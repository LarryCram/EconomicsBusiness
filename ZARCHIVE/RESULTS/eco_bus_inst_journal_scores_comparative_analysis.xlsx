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ropbox\ECONOMICS_BUSINESS\RESULTS\"/>
    </mc:Choice>
  </mc:AlternateContent>
  <bookViews>
    <workbookView xWindow="-120" yWindow="-120" windowWidth="28920" windowHeight="11850" activeTab="2"/>
  </bookViews>
  <sheets>
    <sheet name="journals" sheetId="4" r:id="rId1"/>
    <sheet name="institutions" sheetId="5" r:id="rId2"/>
    <sheet name="institutions_spss" sheetId="17" r:id="rId3"/>
    <sheet name="forspss" sheetId="23" r:id="rId4"/>
  </sheets>
  <externalReferences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3" l="1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44" i="23"/>
  <c r="A45" i="23"/>
  <c r="A46" i="23"/>
  <c r="A47" i="23"/>
  <c r="A48" i="23"/>
  <c r="A49" i="23"/>
  <c r="A50" i="23"/>
  <c r="A51" i="23"/>
  <c r="A52" i="23"/>
  <c r="A53" i="23"/>
  <c r="A54" i="23"/>
  <c r="A55" i="23"/>
  <c r="A56" i="23"/>
  <c r="A57" i="23"/>
  <c r="A58" i="23"/>
  <c r="A59" i="23"/>
  <c r="A60" i="23"/>
  <c r="A61" i="23"/>
  <c r="A62" i="23"/>
  <c r="A63" i="23"/>
  <c r="A64" i="23"/>
  <c r="A65" i="23"/>
  <c r="A66" i="23"/>
  <c r="A67" i="23"/>
  <c r="A68" i="23"/>
  <c r="A69" i="23"/>
  <c r="A70" i="23"/>
  <c r="A71" i="23"/>
  <c r="A72" i="23"/>
  <c r="A73" i="23"/>
  <c r="A74" i="23"/>
  <c r="A75" i="23"/>
  <c r="A76" i="23"/>
  <c r="A77" i="23"/>
  <c r="A78" i="23"/>
  <c r="A79" i="23"/>
  <c r="A80" i="23"/>
  <c r="A81" i="23"/>
  <c r="A82" i="23"/>
  <c r="A83" i="23"/>
  <c r="A84" i="23"/>
  <c r="A85" i="23"/>
  <c r="A86" i="23"/>
  <c r="A87" i="23"/>
  <c r="A88" i="23"/>
  <c r="A89" i="23"/>
  <c r="A90" i="23"/>
  <c r="A91" i="23"/>
  <c r="A92" i="23"/>
  <c r="A93" i="23"/>
  <c r="A94" i="23"/>
  <c r="A95" i="23"/>
  <c r="A96" i="23"/>
  <c r="A97" i="23"/>
  <c r="A98" i="23"/>
  <c r="A99" i="23"/>
  <c r="A100" i="23"/>
  <c r="A101" i="23"/>
  <c r="A102" i="23"/>
  <c r="A103" i="23"/>
  <c r="A104" i="23"/>
  <c r="A105" i="23"/>
  <c r="A106" i="23"/>
  <c r="A107" i="23"/>
  <c r="A108" i="23"/>
  <c r="A109" i="23"/>
  <c r="A110" i="23"/>
  <c r="A111" i="23"/>
  <c r="A112" i="23"/>
  <c r="A113" i="23"/>
  <c r="A114" i="23"/>
  <c r="A115" i="23"/>
  <c r="A116" i="23"/>
  <c r="A117" i="23"/>
  <c r="A118" i="23"/>
  <c r="A119" i="23"/>
  <c r="A120" i="23"/>
  <c r="A121" i="23"/>
  <c r="A122" i="23"/>
  <c r="A123" i="23"/>
  <c r="A124" i="23"/>
  <c r="A125" i="23"/>
  <c r="A126" i="23"/>
  <c r="A127" i="23"/>
  <c r="A128" i="23"/>
  <c r="A129" i="23"/>
  <c r="A130" i="23"/>
  <c r="A131" i="23"/>
  <c r="A132" i="23"/>
  <c r="A133" i="23"/>
  <c r="A134" i="23"/>
  <c r="A135" i="23"/>
  <c r="A136" i="23"/>
  <c r="A137" i="23"/>
  <c r="A138" i="23"/>
  <c r="A139" i="23"/>
  <c r="A140" i="23"/>
  <c r="A141" i="23"/>
  <c r="A142" i="23"/>
  <c r="A143" i="23"/>
  <c r="A144" i="23"/>
  <c r="A145" i="23"/>
  <c r="A146" i="23"/>
  <c r="A147" i="23"/>
  <c r="A148" i="23"/>
  <c r="A149" i="23"/>
  <c r="A150" i="23"/>
  <c r="A151" i="23"/>
  <c r="A152" i="23"/>
  <c r="A153" i="23"/>
  <c r="A154" i="23"/>
  <c r="A155" i="23"/>
  <c r="A156" i="23"/>
  <c r="A157" i="23"/>
  <c r="A158" i="23"/>
  <c r="A159" i="23"/>
  <c r="A160" i="23"/>
  <c r="A161" i="23"/>
  <c r="A162" i="23"/>
  <c r="A163" i="23"/>
  <c r="A164" i="23"/>
  <c r="A165" i="23"/>
  <c r="A166" i="23"/>
  <c r="A167" i="23"/>
  <c r="A168" i="23"/>
  <c r="A169" i="23"/>
  <c r="A170" i="23"/>
  <c r="A171" i="23"/>
  <c r="A172" i="23"/>
  <c r="A173" i="23"/>
  <c r="A174" i="23"/>
  <c r="A175" i="23"/>
  <c r="A176" i="23"/>
  <c r="A177" i="23"/>
  <c r="A178" i="23"/>
  <c r="A179" i="23"/>
  <c r="A180" i="23"/>
  <c r="A181" i="23"/>
  <c r="A182" i="23"/>
  <c r="A183" i="23"/>
  <c r="A184" i="23"/>
  <c r="A185" i="23"/>
  <c r="A186" i="23"/>
  <c r="A187" i="23"/>
  <c r="A188" i="23"/>
  <c r="A189" i="23"/>
  <c r="A190" i="23"/>
  <c r="A191" i="23"/>
  <c r="A192" i="23"/>
  <c r="A193" i="23"/>
  <c r="A194" i="23"/>
  <c r="A195" i="23"/>
  <c r="A196" i="23"/>
  <c r="A197" i="23"/>
  <c r="A198" i="23"/>
  <c r="A199" i="23"/>
  <c r="A200" i="23"/>
  <c r="A201" i="23"/>
  <c r="A202" i="23"/>
  <c r="A203" i="23"/>
  <c r="A204" i="23"/>
  <c r="A205" i="23"/>
  <c r="A206" i="23"/>
  <c r="A207" i="23"/>
  <c r="A208" i="23"/>
  <c r="A209" i="23"/>
  <c r="A210" i="23"/>
  <c r="A211" i="23"/>
  <c r="A212" i="23"/>
  <c r="A213" i="23"/>
  <c r="A214" i="23"/>
  <c r="A215" i="23"/>
  <c r="A216" i="23"/>
  <c r="A217" i="23"/>
  <c r="A218" i="23"/>
  <c r="A219" i="23"/>
  <c r="A220" i="23"/>
  <c r="A221" i="23"/>
  <c r="A222" i="23"/>
  <c r="A223" i="23"/>
  <c r="A224" i="23"/>
  <c r="A225" i="23"/>
  <c r="A226" i="23"/>
  <c r="A227" i="23"/>
  <c r="A228" i="23"/>
  <c r="A229" i="23"/>
  <c r="A230" i="23"/>
  <c r="A231" i="23"/>
  <c r="A232" i="23"/>
  <c r="A233" i="23"/>
  <c r="A234" i="23"/>
  <c r="A235" i="23"/>
  <c r="A236" i="23"/>
  <c r="A237" i="23"/>
  <c r="A238" i="23"/>
  <c r="A239" i="23"/>
  <c r="A240" i="23"/>
  <c r="A241" i="23"/>
  <c r="A242" i="23"/>
  <c r="A243" i="23"/>
  <c r="A244" i="23"/>
  <c r="A245" i="23"/>
  <c r="A246" i="23"/>
  <c r="A247" i="23"/>
  <c r="A248" i="23"/>
  <c r="A249" i="23"/>
  <c r="A250" i="23"/>
  <c r="A251" i="23"/>
  <c r="A252" i="23"/>
  <c r="A253" i="23"/>
  <c r="A254" i="23"/>
  <c r="A255" i="23"/>
  <c r="A256" i="23"/>
  <c r="A257" i="23"/>
  <c r="A258" i="23"/>
  <c r="A259" i="23"/>
  <c r="A260" i="23"/>
  <c r="A261" i="23"/>
  <c r="A262" i="23"/>
  <c r="A263" i="23"/>
  <c r="A264" i="23"/>
  <c r="A265" i="23"/>
  <c r="A266" i="23"/>
  <c r="A267" i="23"/>
  <c r="A268" i="23"/>
  <c r="A269" i="23"/>
  <c r="A270" i="23"/>
  <c r="A271" i="23"/>
  <c r="A272" i="23"/>
  <c r="A273" i="23"/>
  <c r="A274" i="23"/>
  <c r="A275" i="23"/>
  <c r="A276" i="23"/>
  <c r="A277" i="23"/>
  <c r="A278" i="23"/>
  <c r="A279" i="23"/>
  <c r="A280" i="23"/>
  <c r="A281" i="23"/>
  <c r="A282" i="23"/>
  <c r="A283" i="23"/>
  <c r="A284" i="23"/>
  <c r="A285" i="23"/>
  <c r="A286" i="23"/>
  <c r="A287" i="23"/>
  <c r="A288" i="23"/>
  <c r="A289" i="23"/>
  <c r="A290" i="23"/>
  <c r="A291" i="23"/>
  <c r="A292" i="23"/>
  <c r="A293" i="23"/>
  <c r="A294" i="23"/>
  <c r="A295" i="23"/>
  <c r="A296" i="23"/>
  <c r="A297" i="23"/>
  <c r="A298" i="23"/>
  <c r="A299" i="23"/>
  <c r="A300" i="23"/>
  <c r="A301" i="23"/>
  <c r="A302" i="23"/>
  <c r="A303" i="23"/>
  <c r="A304" i="23"/>
  <c r="A305" i="23"/>
  <c r="A306" i="23"/>
  <c r="A307" i="23"/>
  <c r="A308" i="23"/>
  <c r="A309" i="23"/>
  <c r="A310" i="23"/>
  <c r="A311" i="23"/>
  <c r="A312" i="23"/>
  <c r="A313" i="23"/>
  <c r="A314" i="23"/>
  <c r="A315" i="23"/>
  <c r="A316" i="23"/>
  <c r="A317" i="23"/>
  <c r="A318" i="23"/>
  <c r="A319" i="23"/>
  <c r="A320" i="23"/>
  <c r="A321" i="23"/>
  <c r="A322" i="23"/>
  <c r="A323" i="23"/>
  <c r="A324" i="23"/>
  <c r="A325" i="23"/>
  <c r="A326" i="23"/>
  <c r="A327" i="23"/>
  <c r="A328" i="23"/>
  <c r="A329" i="23"/>
  <c r="A330" i="23"/>
  <c r="A331" i="23"/>
  <c r="A332" i="23"/>
  <c r="A333" i="23"/>
  <c r="A334" i="23"/>
  <c r="A335" i="23"/>
  <c r="A336" i="23"/>
  <c r="A337" i="23"/>
  <c r="A338" i="23"/>
  <c r="A339" i="23"/>
  <c r="A340" i="23"/>
  <c r="A341" i="23"/>
  <c r="A342" i="23"/>
  <c r="A343" i="23"/>
  <c r="A344" i="23"/>
  <c r="A345" i="23"/>
  <c r="A346" i="23"/>
  <c r="A347" i="23"/>
  <c r="A348" i="23"/>
  <c r="A349" i="23"/>
  <c r="A350" i="23"/>
  <c r="A351" i="23"/>
  <c r="A352" i="23"/>
  <c r="A353" i="23"/>
  <c r="A354" i="23"/>
  <c r="A355" i="23"/>
  <c r="A356" i="23"/>
  <c r="A357" i="23"/>
  <c r="A358" i="23"/>
  <c r="A359" i="23"/>
  <c r="A360" i="23"/>
  <c r="A361" i="23"/>
  <c r="A362" i="23"/>
  <c r="A363" i="23"/>
  <c r="A364" i="23"/>
  <c r="A365" i="23"/>
  <c r="A366" i="23"/>
  <c r="A367" i="23"/>
  <c r="A368" i="23"/>
  <c r="A369" i="23"/>
  <c r="A370" i="23"/>
  <c r="A371" i="23"/>
  <c r="A372" i="23"/>
  <c r="A373" i="23"/>
  <c r="A374" i="23"/>
  <c r="A375" i="23"/>
  <c r="A376" i="23"/>
  <c r="A377" i="23"/>
  <c r="A378" i="23"/>
  <c r="A379" i="23"/>
  <c r="A380" i="23"/>
  <c r="A381" i="23"/>
  <c r="A382" i="23"/>
  <c r="A383" i="23"/>
  <c r="A384" i="23"/>
  <c r="A385" i="23"/>
  <c r="A386" i="23"/>
  <c r="A387" i="23"/>
  <c r="A388" i="23"/>
  <c r="A389" i="23"/>
  <c r="A390" i="23"/>
  <c r="A391" i="23"/>
  <c r="A392" i="23"/>
  <c r="A393" i="23"/>
  <c r="A394" i="23"/>
  <c r="A395" i="23"/>
  <c r="A396" i="23"/>
  <c r="A397" i="23"/>
  <c r="A398" i="23"/>
  <c r="A399" i="23"/>
  <c r="A400" i="23"/>
  <c r="A401" i="23"/>
  <c r="A402" i="23"/>
  <c r="A403" i="23"/>
  <c r="A404" i="23"/>
  <c r="A405" i="23"/>
  <c r="A406" i="23"/>
  <c r="A407" i="23"/>
  <c r="A408" i="23"/>
  <c r="A409" i="23"/>
  <c r="A410" i="23"/>
  <c r="A411" i="23"/>
  <c r="A412" i="23"/>
  <c r="A413" i="23"/>
  <c r="A414" i="23"/>
  <c r="A415" i="23"/>
  <c r="A416" i="23"/>
  <c r="A417" i="23"/>
  <c r="A418" i="23"/>
  <c r="A419" i="23"/>
  <c r="A420" i="23"/>
  <c r="A421" i="23"/>
  <c r="A422" i="23"/>
  <c r="A423" i="23"/>
  <c r="A424" i="23"/>
  <c r="A425" i="23"/>
  <c r="A426" i="23"/>
  <c r="A427" i="23"/>
  <c r="A428" i="23"/>
  <c r="A429" i="23"/>
  <c r="A430" i="23"/>
  <c r="A431" i="23"/>
  <c r="A432" i="23"/>
  <c r="A433" i="23"/>
  <c r="A434" i="23"/>
  <c r="A435" i="23"/>
  <c r="A436" i="23"/>
  <c r="A437" i="23"/>
  <c r="A438" i="23"/>
  <c r="A439" i="23"/>
  <c r="A440" i="23"/>
  <c r="A441" i="23"/>
  <c r="A442" i="23"/>
  <c r="A443" i="23"/>
  <c r="A444" i="23"/>
  <c r="A445" i="23"/>
  <c r="A446" i="23"/>
  <c r="A447" i="23"/>
  <c r="A448" i="23"/>
  <c r="A449" i="23"/>
  <c r="A450" i="23"/>
  <c r="A451" i="23"/>
  <c r="A452" i="23"/>
  <c r="A453" i="23"/>
  <c r="A454" i="23"/>
  <c r="A455" i="23"/>
  <c r="A456" i="23"/>
  <c r="A457" i="23"/>
  <c r="A458" i="23"/>
  <c r="A459" i="23"/>
  <c r="A460" i="23"/>
  <c r="A461" i="23"/>
  <c r="A462" i="23"/>
  <c r="A463" i="23"/>
  <c r="A464" i="23"/>
  <c r="A465" i="23"/>
  <c r="A466" i="23"/>
  <c r="A467" i="23"/>
  <c r="A468" i="23"/>
  <c r="A469" i="23"/>
  <c r="A470" i="23"/>
  <c r="A471" i="23"/>
  <c r="A472" i="23"/>
  <c r="A473" i="23"/>
  <c r="A474" i="23"/>
  <c r="A475" i="23"/>
  <c r="A476" i="23"/>
  <c r="A477" i="23"/>
  <c r="A478" i="23"/>
  <c r="A479" i="23"/>
  <c r="A480" i="23"/>
  <c r="A481" i="23"/>
  <c r="A482" i="23"/>
  <c r="A483" i="23"/>
  <c r="A484" i="23"/>
  <c r="A485" i="23"/>
  <c r="A486" i="23"/>
  <c r="A487" i="23"/>
  <c r="A488" i="23"/>
  <c r="A489" i="23"/>
  <c r="A490" i="23"/>
  <c r="A491" i="23"/>
  <c r="A492" i="23"/>
  <c r="A493" i="23"/>
  <c r="A494" i="23"/>
  <c r="A495" i="23"/>
  <c r="A496" i="23"/>
  <c r="A497" i="23"/>
  <c r="A498" i="23"/>
  <c r="A499" i="23"/>
  <c r="A500" i="23"/>
  <c r="A501" i="23"/>
  <c r="A502" i="23"/>
  <c r="A503" i="23"/>
  <c r="A504" i="23"/>
  <c r="A505" i="23"/>
  <c r="A506" i="23"/>
  <c r="A507" i="23"/>
  <c r="A508" i="23"/>
  <c r="A509" i="23"/>
  <c r="A510" i="23"/>
  <c r="A511" i="23"/>
  <c r="A512" i="23"/>
  <c r="A513" i="23"/>
  <c r="A514" i="23"/>
  <c r="A515" i="23"/>
  <c r="A516" i="23"/>
  <c r="A517" i="23"/>
  <c r="A518" i="23"/>
  <c r="A519" i="23"/>
  <c r="A520" i="23"/>
  <c r="A521" i="23"/>
  <c r="A522" i="23"/>
  <c r="A523" i="23"/>
  <c r="A524" i="23"/>
  <c r="A525" i="23"/>
  <c r="A526" i="23"/>
  <c r="A527" i="23"/>
  <c r="A528" i="23"/>
  <c r="A529" i="23"/>
  <c r="A530" i="23"/>
  <c r="A531" i="23"/>
  <c r="A532" i="23"/>
  <c r="A533" i="23"/>
  <c r="A534" i="23"/>
  <c r="A535" i="23"/>
  <c r="A536" i="23"/>
  <c r="A537" i="23"/>
  <c r="A538" i="23"/>
  <c r="A539" i="23"/>
  <c r="A540" i="23"/>
  <c r="A541" i="23"/>
  <c r="A542" i="23"/>
  <c r="A543" i="23"/>
  <c r="A544" i="23"/>
  <c r="A545" i="23"/>
  <c r="A546" i="23"/>
  <c r="A547" i="23"/>
  <c r="A548" i="23"/>
  <c r="A549" i="23"/>
  <c r="A550" i="23"/>
  <c r="A551" i="23"/>
  <c r="A552" i="23"/>
  <c r="A553" i="23"/>
  <c r="A554" i="23"/>
  <c r="A555" i="23"/>
  <c r="A556" i="23"/>
  <c r="A557" i="23"/>
  <c r="A558" i="23"/>
  <c r="A559" i="23"/>
  <c r="A560" i="23"/>
  <c r="A561" i="23"/>
  <c r="A562" i="23"/>
  <c r="A563" i="23"/>
  <c r="A564" i="23"/>
  <c r="A565" i="23"/>
  <c r="A566" i="23"/>
  <c r="A567" i="23"/>
  <c r="A568" i="23"/>
  <c r="A569" i="23"/>
  <c r="A570" i="23"/>
  <c r="A571" i="23"/>
  <c r="A572" i="23"/>
  <c r="A573" i="23"/>
  <c r="A574" i="23"/>
  <c r="A575" i="23"/>
  <c r="A576" i="23"/>
  <c r="A577" i="23"/>
  <c r="A578" i="23"/>
  <c r="A579" i="23"/>
  <c r="A580" i="23"/>
  <c r="A581" i="23"/>
  <c r="A582" i="23"/>
  <c r="A583" i="23"/>
  <c r="A584" i="23"/>
  <c r="A585" i="23"/>
  <c r="A586" i="23"/>
  <c r="A587" i="23"/>
  <c r="A588" i="23"/>
  <c r="A589" i="23"/>
  <c r="A590" i="23"/>
  <c r="A591" i="23"/>
  <c r="A592" i="23"/>
  <c r="A593" i="23"/>
  <c r="A594" i="23"/>
  <c r="A595" i="23"/>
  <c r="A596" i="23"/>
  <c r="A597" i="23"/>
  <c r="A598" i="23"/>
  <c r="A599" i="23"/>
  <c r="A600" i="23"/>
  <c r="A601" i="23"/>
  <c r="A2" i="23"/>
  <c r="C3" i="5"/>
  <c r="D602" i="5"/>
  <c r="C602" i="5"/>
  <c r="D601" i="5"/>
  <c r="C601" i="5"/>
  <c r="D600" i="5"/>
  <c r="C600" i="5"/>
  <c r="D599" i="5"/>
  <c r="C599" i="5"/>
  <c r="D598" i="5"/>
  <c r="C598" i="5"/>
  <c r="D597" i="5"/>
  <c r="C597" i="5"/>
  <c r="D596" i="5"/>
  <c r="C596" i="5"/>
  <c r="D595" i="5"/>
  <c r="C595" i="5"/>
  <c r="D594" i="5"/>
  <c r="C594" i="5"/>
  <c r="D593" i="5"/>
  <c r="C593" i="5"/>
  <c r="D592" i="5"/>
  <c r="C592" i="5"/>
  <c r="D591" i="5"/>
  <c r="C591" i="5"/>
  <c r="D590" i="5"/>
  <c r="C590" i="5"/>
  <c r="D589" i="5"/>
  <c r="C589" i="5"/>
  <c r="D588" i="5"/>
  <c r="C588" i="5"/>
  <c r="D587" i="5"/>
  <c r="C587" i="5"/>
  <c r="D586" i="5"/>
  <c r="C586" i="5"/>
  <c r="D585" i="5"/>
  <c r="C585" i="5"/>
  <c r="D584" i="5"/>
  <c r="C584" i="5"/>
  <c r="D583" i="5"/>
  <c r="C583" i="5"/>
  <c r="D582" i="5"/>
  <c r="C582" i="5"/>
  <c r="D581" i="5"/>
  <c r="C581" i="5"/>
  <c r="D580" i="5"/>
  <c r="C580" i="5"/>
  <c r="D579" i="5"/>
  <c r="C579" i="5"/>
  <c r="D578" i="5"/>
  <c r="C578" i="5"/>
  <c r="D577" i="5"/>
  <c r="C577" i="5"/>
  <c r="D576" i="5"/>
  <c r="C576" i="5"/>
  <c r="D575" i="5"/>
  <c r="C575" i="5"/>
  <c r="D574" i="5"/>
  <c r="C574" i="5"/>
  <c r="D573" i="5"/>
  <c r="C573" i="5"/>
  <c r="D572" i="5"/>
  <c r="C572" i="5"/>
  <c r="D571" i="5"/>
  <c r="C571" i="5"/>
  <c r="D570" i="5"/>
  <c r="C570" i="5"/>
  <c r="D569" i="5"/>
  <c r="C569" i="5"/>
  <c r="D568" i="5"/>
  <c r="C568" i="5"/>
  <c r="D567" i="5"/>
  <c r="C567" i="5"/>
  <c r="D566" i="5"/>
  <c r="C566" i="5"/>
  <c r="D565" i="5"/>
  <c r="C565" i="5"/>
  <c r="D564" i="5"/>
  <c r="C564" i="5"/>
  <c r="D563" i="5"/>
  <c r="C563" i="5"/>
  <c r="D562" i="5"/>
  <c r="C562" i="5"/>
  <c r="D561" i="5"/>
  <c r="C561" i="5"/>
  <c r="D560" i="5"/>
  <c r="C560" i="5"/>
  <c r="D559" i="5"/>
  <c r="C559" i="5"/>
  <c r="D558" i="5"/>
  <c r="C558" i="5"/>
  <c r="D557" i="5"/>
  <c r="C557" i="5"/>
  <c r="D556" i="5"/>
  <c r="C556" i="5"/>
  <c r="D555" i="5"/>
  <c r="C555" i="5"/>
  <c r="D554" i="5"/>
  <c r="C554" i="5"/>
  <c r="D553" i="5"/>
  <c r="C553" i="5"/>
  <c r="D552" i="5"/>
  <c r="C552" i="5"/>
  <c r="D551" i="5"/>
  <c r="C551" i="5"/>
  <c r="D550" i="5"/>
  <c r="C550" i="5"/>
  <c r="D549" i="5"/>
  <c r="C549" i="5"/>
  <c r="D548" i="5"/>
  <c r="C548" i="5"/>
  <c r="D547" i="5"/>
  <c r="C547" i="5"/>
  <c r="D546" i="5"/>
  <c r="C546" i="5"/>
  <c r="D545" i="5"/>
  <c r="C545" i="5"/>
  <c r="D544" i="5"/>
  <c r="C544" i="5"/>
  <c r="D543" i="5"/>
  <c r="C543" i="5"/>
  <c r="D542" i="5"/>
  <c r="C542" i="5"/>
  <c r="D541" i="5"/>
  <c r="C541" i="5"/>
  <c r="D540" i="5"/>
  <c r="C540" i="5"/>
  <c r="D539" i="5"/>
  <c r="C539" i="5"/>
  <c r="D538" i="5"/>
  <c r="C538" i="5"/>
  <c r="D537" i="5"/>
  <c r="C537" i="5"/>
  <c r="D536" i="5"/>
  <c r="C536" i="5"/>
  <c r="D535" i="5"/>
  <c r="C535" i="5"/>
  <c r="D534" i="5"/>
  <c r="C534" i="5"/>
  <c r="D533" i="5"/>
  <c r="C533" i="5"/>
  <c r="D532" i="5"/>
  <c r="C532" i="5"/>
  <c r="D531" i="5"/>
  <c r="C531" i="5"/>
  <c r="D530" i="5"/>
  <c r="C530" i="5"/>
  <c r="D529" i="5"/>
  <c r="C529" i="5"/>
  <c r="D528" i="5"/>
  <c r="C528" i="5"/>
  <c r="D527" i="5"/>
  <c r="C527" i="5"/>
  <c r="D526" i="5"/>
  <c r="C526" i="5"/>
  <c r="D525" i="5"/>
  <c r="C525" i="5"/>
  <c r="D524" i="5"/>
  <c r="C524" i="5"/>
  <c r="D523" i="5"/>
  <c r="C523" i="5"/>
  <c r="D522" i="5"/>
  <c r="C522" i="5"/>
  <c r="D521" i="5"/>
  <c r="C521" i="5"/>
  <c r="D520" i="5"/>
  <c r="C520" i="5"/>
  <c r="D519" i="5"/>
  <c r="C519" i="5"/>
  <c r="D518" i="5"/>
  <c r="C518" i="5"/>
  <c r="D517" i="5"/>
  <c r="C517" i="5"/>
  <c r="D516" i="5"/>
  <c r="C516" i="5"/>
  <c r="D515" i="5"/>
  <c r="C515" i="5"/>
  <c r="D514" i="5"/>
  <c r="C514" i="5"/>
  <c r="D513" i="5"/>
  <c r="C513" i="5"/>
  <c r="D512" i="5"/>
  <c r="C512" i="5"/>
  <c r="D511" i="5"/>
  <c r="C511" i="5"/>
  <c r="D510" i="5"/>
  <c r="C510" i="5"/>
  <c r="D509" i="5"/>
  <c r="C509" i="5"/>
  <c r="D508" i="5"/>
  <c r="C508" i="5"/>
  <c r="D507" i="5"/>
  <c r="C507" i="5"/>
  <c r="D506" i="5"/>
  <c r="C506" i="5"/>
  <c r="D505" i="5"/>
  <c r="C505" i="5"/>
  <c r="D504" i="5"/>
  <c r="C504" i="5"/>
  <c r="D503" i="5"/>
  <c r="C503" i="5"/>
  <c r="D502" i="5"/>
  <c r="C502" i="5"/>
  <c r="D501" i="5"/>
  <c r="C501" i="5"/>
  <c r="D500" i="5"/>
  <c r="C500" i="5"/>
  <c r="D499" i="5"/>
  <c r="C499" i="5"/>
  <c r="D498" i="5"/>
  <c r="C498" i="5"/>
  <c r="D497" i="5"/>
  <c r="C497" i="5"/>
  <c r="D496" i="5"/>
  <c r="C496" i="5"/>
  <c r="D495" i="5"/>
  <c r="C495" i="5"/>
  <c r="D494" i="5"/>
  <c r="C494" i="5"/>
  <c r="D493" i="5"/>
  <c r="C493" i="5"/>
  <c r="D492" i="5"/>
  <c r="C492" i="5"/>
  <c r="D491" i="5"/>
  <c r="C491" i="5"/>
  <c r="D490" i="5"/>
  <c r="C490" i="5"/>
  <c r="D489" i="5"/>
  <c r="C489" i="5"/>
  <c r="D488" i="5"/>
  <c r="C488" i="5"/>
  <c r="D487" i="5"/>
  <c r="C487" i="5"/>
  <c r="D486" i="5"/>
  <c r="C486" i="5"/>
  <c r="D485" i="5"/>
  <c r="C485" i="5"/>
  <c r="D484" i="5"/>
  <c r="C484" i="5"/>
  <c r="D483" i="5"/>
  <c r="C483" i="5"/>
  <c r="D482" i="5"/>
  <c r="C482" i="5"/>
  <c r="D481" i="5"/>
  <c r="C481" i="5"/>
  <c r="D480" i="5"/>
  <c r="C480" i="5"/>
  <c r="D479" i="5"/>
  <c r="C479" i="5"/>
  <c r="D478" i="5"/>
  <c r="C478" i="5"/>
  <c r="D477" i="5"/>
  <c r="C477" i="5"/>
  <c r="D476" i="5"/>
  <c r="C476" i="5"/>
  <c r="D475" i="5"/>
  <c r="C475" i="5"/>
  <c r="D474" i="5"/>
  <c r="C474" i="5"/>
  <c r="D473" i="5"/>
  <c r="C473" i="5"/>
  <c r="D472" i="5"/>
  <c r="C472" i="5"/>
  <c r="D471" i="5"/>
  <c r="C471" i="5"/>
  <c r="D470" i="5"/>
  <c r="C470" i="5"/>
  <c r="D469" i="5"/>
  <c r="C469" i="5"/>
  <c r="D468" i="5"/>
  <c r="C468" i="5"/>
  <c r="D467" i="5"/>
  <c r="C467" i="5"/>
  <c r="D466" i="5"/>
  <c r="C466" i="5"/>
  <c r="D465" i="5"/>
  <c r="C465" i="5"/>
  <c r="D464" i="5"/>
  <c r="C464" i="5"/>
  <c r="D463" i="5"/>
  <c r="C463" i="5"/>
  <c r="D462" i="5"/>
  <c r="C462" i="5"/>
  <c r="D461" i="5"/>
  <c r="C461" i="5"/>
  <c r="D460" i="5"/>
  <c r="C460" i="5"/>
  <c r="D459" i="5"/>
  <c r="C459" i="5"/>
  <c r="D458" i="5"/>
  <c r="C458" i="5"/>
  <c r="D457" i="5"/>
  <c r="C457" i="5"/>
  <c r="D456" i="5"/>
  <c r="C456" i="5"/>
  <c r="D455" i="5"/>
  <c r="C455" i="5"/>
  <c r="D454" i="5"/>
  <c r="C454" i="5"/>
  <c r="D453" i="5"/>
  <c r="C453" i="5"/>
  <c r="D452" i="5"/>
  <c r="C452" i="5"/>
  <c r="D451" i="5"/>
  <c r="C451" i="5"/>
  <c r="D450" i="5"/>
  <c r="C450" i="5"/>
  <c r="D449" i="5"/>
  <c r="C449" i="5"/>
  <c r="D448" i="5"/>
  <c r="C448" i="5"/>
  <c r="D447" i="5"/>
  <c r="C447" i="5"/>
  <c r="D446" i="5"/>
  <c r="C446" i="5"/>
  <c r="D445" i="5"/>
  <c r="C445" i="5"/>
  <c r="D444" i="5"/>
  <c r="C444" i="5"/>
  <c r="D443" i="5"/>
  <c r="C443" i="5"/>
  <c r="D442" i="5"/>
  <c r="C442" i="5"/>
  <c r="D441" i="5"/>
  <c r="C441" i="5"/>
  <c r="D440" i="5"/>
  <c r="C440" i="5"/>
  <c r="D439" i="5"/>
  <c r="C439" i="5"/>
  <c r="D438" i="5"/>
  <c r="C438" i="5"/>
  <c r="D437" i="5"/>
  <c r="C437" i="5"/>
  <c r="D436" i="5"/>
  <c r="C436" i="5"/>
  <c r="D435" i="5"/>
  <c r="C435" i="5"/>
  <c r="D434" i="5"/>
  <c r="C434" i="5"/>
  <c r="D433" i="5"/>
  <c r="C433" i="5"/>
  <c r="D432" i="5"/>
  <c r="C432" i="5"/>
  <c r="D431" i="5"/>
  <c r="C431" i="5"/>
  <c r="D430" i="5"/>
  <c r="C430" i="5"/>
  <c r="D429" i="5"/>
  <c r="C429" i="5"/>
  <c r="D428" i="5"/>
  <c r="C428" i="5"/>
  <c r="D427" i="5"/>
  <c r="C427" i="5"/>
  <c r="D426" i="5"/>
  <c r="C426" i="5"/>
  <c r="D425" i="5"/>
  <c r="C425" i="5"/>
  <c r="D424" i="5"/>
  <c r="C424" i="5"/>
  <c r="D423" i="5"/>
  <c r="C423" i="5"/>
  <c r="D422" i="5"/>
  <c r="C422" i="5"/>
  <c r="D421" i="5"/>
  <c r="C421" i="5"/>
  <c r="D420" i="5"/>
  <c r="C420" i="5"/>
  <c r="D419" i="5"/>
  <c r="C419" i="5"/>
  <c r="D418" i="5"/>
  <c r="C418" i="5"/>
  <c r="D417" i="5"/>
  <c r="C417" i="5"/>
  <c r="D416" i="5"/>
  <c r="C416" i="5"/>
  <c r="D415" i="5"/>
  <c r="C415" i="5"/>
  <c r="D414" i="5"/>
  <c r="C414" i="5"/>
  <c r="D413" i="5"/>
  <c r="C413" i="5"/>
  <c r="D412" i="5"/>
  <c r="C412" i="5"/>
  <c r="D411" i="5"/>
  <c r="C411" i="5"/>
  <c r="D410" i="5"/>
  <c r="C410" i="5"/>
  <c r="D409" i="5"/>
  <c r="C409" i="5"/>
  <c r="D408" i="5"/>
  <c r="C408" i="5"/>
  <c r="D407" i="5"/>
  <c r="C407" i="5"/>
  <c r="D406" i="5"/>
  <c r="C406" i="5"/>
  <c r="D405" i="5"/>
  <c r="C405" i="5"/>
  <c r="D404" i="5"/>
  <c r="C404" i="5"/>
  <c r="D403" i="5"/>
  <c r="C403" i="5"/>
  <c r="D402" i="5"/>
  <c r="C402" i="5"/>
  <c r="D401" i="5"/>
  <c r="C401" i="5"/>
  <c r="D400" i="5"/>
  <c r="C400" i="5"/>
  <c r="D399" i="5"/>
  <c r="C399" i="5"/>
  <c r="D398" i="5"/>
  <c r="C398" i="5"/>
  <c r="D397" i="5"/>
  <c r="C397" i="5"/>
  <c r="D396" i="5"/>
  <c r="C396" i="5"/>
  <c r="D395" i="5"/>
  <c r="C395" i="5"/>
  <c r="D394" i="5"/>
  <c r="C394" i="5"/>
  <c r="D393" i="5"/>
  <c r="C393" i="5"/>
  <c r="D392" i="5"/>
  <c r="C392" i="5"/>
  <c r="D391" i="5"/>
  <c r="C391" i="5"/>
  <c r="D390" i="5"/>
  <c r="C390" i="5"/>
  <c r="D389" i="5"/>
  <c r="C389" i="5"/>
  <c r="D388" i="5"/>
  <c r="C388" i="5"/>
  <c r="D387" i="5"/>
  <c r="C387" i="5"/>
  <c r="D386" i="5"/>
  <c r="C386" i="5"/>
  <c r="D385" i="5"/>
  <c r="C385" i="5"/>
  <c r="D384" i="5"/>
  <c r="C384" i="5"/>
  <c r="D383" i="5"/>
  <c r="C383" i="5"/>
  <c r="D382" i="5"/>
  <c r="C382" i="5"/>
  <c r="D381" i="5"/>
  <c r="C381" i="5"/>
  <c r="D380" i="5"/>
  <c r="C380" i="5"/>
  <c r="D379" i="5"/>
  <c r="C379" i="5"/>
  <c r="D378" i="5"/>
  <c r="C378" i="5"/>
  <c r="D377" i="5"/>
  <c r="C377" i="5"/>
  <c r="D376" i="5"/>
  <c r="C376" i="5"/>
  <c r="D375" i="5"/>
  <c r="C375" i="5"/>
  <c r="D374" i="5"/>
  <c r="C374" i="5"/>
  <c r="D373" i="5"/>
  <c r="C373" i="5"/>
  <c r="D372" i="5"/>
  <c r="C372" i="5"/>
  <c r="D371" i="5"/>
  <c r="C371" i="5"/>
  <c r="D370" i="5"/>
  <c r="C370" i="5"/>
  <c r="D369" i="5"/>
  <c r="C369" i="5"/>
  <c r="D368" i="5"/>
  <c r="C368" i="5"/>
  <c r="D367" i="5"/>
  <c r="C367" i="5"/>
  <c r="D366" i="5"/>
  <c r="C366" i="5"/>
  <c r="D365" i="5"/>
  <c r="C365" i="5"/>
  <c r="D364" i="5"/>
  <c r="C364" i="5"/>
  <c r="D363" i="5"/>
  <c r="C363" i="5"/>
  <c r="D362" i="5"/>
  <c r="C362" i="5"/>
  <c r="D361" i="5"/>
  <c r="C361" i="5"/>
  <c r="D360" i="5"/>
  <c r="C360" i="5"/>
  <c r="D359" i="5"/>
  <c r="C359" i="5"/>
  <c r="D358" i="5"/>
  <c r="C358" i="5"/>
  <c r="D357" i="5"/>
  <c r="C357" i="5"/>
  <c r="D356" i="5"/>
  <c r="C356" i="5"/>
  <c r="D355" i="5"/>
  <c r="C355" i="5"/>
  <c r="D354" i="5"/>
  <c r="C354" i="5"/>
  <c r="D353" i="5"/>
  <c r="C353" i="5"/>
  <c r="D352" i="5"/>
  <c r="C352" i="5"/>
  <c r="D351" i="5"/>
  <c r="C351" i="5"/>
  <c r="D350" i="5"/>
  <c r="C350" i="5"/>
  <c r="D349" i="5"/>
  <c r="C349" i="5"/>
  <c r="D348" i="5"/>
  <c r="C348" i="5"/>
  <c r="D347" i="5"/>
  <c r="C347" i="5"/>
  <c r="D346" i="5"/>
  <c r="C346" i="5"/>
  <c r="D345" i="5"/>
  <c r="C345" i="5"/>
  <c r="D344" i="5"/>
  <c r="C344" i="5"/>
  <c r="D343" i="5"/>
  <c r="C343" i="5"/>
  <c r="D342" i="5"/>
  <c r="C342" i="5"/>
  <c r="D341" i="5"/>
  <c r="C341" i="5"/>
  <c r="D340" i="5"/>
  <c r="C340" i="5"/>
  <c r="D339" i="5"/>
  <c r="C339" i="5"/>
  <c r="D338" i="5"/>
  <c r="C338" i="5"/>
  <c r="D337" i="5"/>
  <c r="C337" i="5"/>
  <c r="D336" i="5"/>
  <c r="C336" i="5"/>
  <c r="D335" i="5"/>
  <c r="C335" i="5"/>
  <c r="D334" i="5"/>
  <c r="C334" i="5"/>
  <c r="D333" i="5"/>
  <c r="C333" i="5"/>
  <c r="D332" i="5"/>
  <c r="C332" i="5"/>
  <c r="D331" i="5"/>
  <c r="C331" i="5"/>
  <c r="D330" i="5"/>
  <c r="C330" i="5"/>
  <c r="D329" i="5"/>
  <c r="C329" i="5"/>
  <c r="D328" i="5"/>
  <c r="C328" i="5"/>
  <c r="D327" i="5"/>
  <c r="C327" i="5"/>
  <c r="D326" i="5"/>
  <c r="C326" i="5"/>
  <c r="D325" i="5"/>
  <c r="C325" i="5"/>
  <c r="D324" i="5"/>
  <c r="C324" i="5"/>
  <c r="D323" i="5"/>
  <c r="C323" i="5"/>
  <c r="D322" i="5"/>
  <c r="C322" i="5"/>
  <c r="D321" i="5"/>
  <c r="C321" i="5"/>
  <c r="D320" i="5"/>
  <c r="C320" i="5"/>
  <c r="D319" i="5"/>
  <c r="C319" i="5"/>
  <c r="D318" i="5"/>
  <c r="C318" i="5"/>
  <c r="D317" i="5"/>
  <c r="C317" i="5"/>
  <c r="D316" i="5"/>
  <c r="C316" i="5"/>
  <c r="D315" i="5"/>
  <c r="C315" i="5"/>
  <c r="D314" i="5"/>
  <c r="C314" i="5"/>
  <c r="D313" i="5"/>
  <c r="C313" i="5"/>
  <c r="D312" i="5"/>
  <c r="C312" i="5"/>
  <c r="D311" i="5"/>
  <c r="C311" i="5"/>
  <c r="D310" i="5"/>
  <c r="C310" i="5"/>
  <c r="D309" i="5"/>
  <c r="C309" i="5"/>
  <c r="D308" i="5"/>
  <c r="C308" i="5"/>
  <c r="D307" i="5"/>
  <c r="C307" i="5"/>
  <c r="D306" i="5"/>
  <c r="C306" i="5"/>
  <c r="D305" i="5"/>
  <c r="C305" i="5"/>
  <c r="D304" i="5"/>
  <c r="C304" i="5"/>
  <c r="D303" i="5"/>
  <c r="C303" i="5"/>
  <c r="D302" i="5"/>
  <c r="C302" i="5"/>
  <c r="D301" i="5"/>
  <c r="C301" i="5"/>
  <c r="D300" i="5"/>
  <c r="C300" i="5"/>
  <c r="D299" i="5"/>
  <c r="C299" i="5"/>
  <c r="D298" i="5"/>
  <c r="C298" i="5"/>
  <c r="D297" i="5"/>
  <c r="C297" i="5"/>
  <c r="D296" i="5"/>
  <c r="C296" i="5"/>
  <c r="D295" i="5"/>
  <c r="C295" i="5"/>
  <c r="D294" i="5"/>
  <c r="C294" i="5"/>
  <c r="D293" i="5"/>
  <c r="C293" i="5"/>
  <c r="D292" i="5"/>
  <c r="C292" i="5"/>
  <c r="D291" i="5"/>
  <c r="C291" i="5"/>
  <c r="D290" i="5"/>
  <c r="C290" i="5"/>
  <c r="D289" i="5"/>
  <c r="C289" i="5"/>
  <c r="D288" i="5"/>
  <c r="C288" i="5"/>
  <c r="D287" i="5"/>
  <c r="C287" i="5"/>
  <c r="D286" i="5"/>
  <c r="C286" i="5"/>
  <c r="D285" i="5"/>
  <c r="C285" i="5"/>
  <c r="D284" i="5"/>
  <c r="C284" i="5"/>
  <c r="D283" i="5"/>
  <c r="C283" i="5"/>
  <c r="D282" i="5"/>
  <c r="C282" i="5"/>
  <c r="D281" i="5"/>
  <c r="C281" i="5"/>
  <c r="D280" i="5"/>
  <c r="C280" i="5"/>
  <c r="D279" i="5"/>
  <c r="C279" i="5"/>
  <c r="D278" i="5"/>
  <c r="C278" i="5"/>
  <c r="D277" i="5"/>
  <c r="C277" i="5"/>
  <c r="D276" i="5"/>
  <c r="C276" i="5"/>
  <c r="D275" i="5"/>
  <c r="C275" i="5"/>
  <c r="D274" i="5"/>
  <c r="C274" i="5"/>
  <c r="D273" i="5"/>
  <c r="C273" i="5"/>
  <c r="D272" i="5"/>
  <c r="C272" i="5"/>
  <c r="D271" i="5"/>
  <c r="C271" i="5"/>
  <c r="D270" i="5"/>
  <c r="C270" i="5"/>
  <c r="D269" i="5"/>
  <c r="C269" i="5"/>
  <c r="D268" i="5"/>
  <c r="C268" i="5"/>
  <c r="D267" i="5"/>
  <c r="C267" i="5"/>
  <c r="D266" i="5"/>
  <c r="C266" i="5"/>
  <c r="D265" i="5"/>
  <c r="C265" i="5"/>
  <c r="D264" i="5"/>
  <c r="C264" i="5"/>
  <c r="D263" i="5"/>
  <c r="C263" i="5"/>
  <c r="D262" i="5"/>
  <c r="C262" i="5"/>
  <c r="D261" i="5"/>
  <c r="C261" i="5"/>
  <c r="D260" i="5"/>
  <c r="C260" i="5"/>
  <c r="D259" i="5"/>
  <c r="C259" i="5"/>
  <c r="D258" i="5"/>
  <c r="C258" i="5"/>
  <c r="D257" i="5"/>
  <c r="C257" i="5"/>
  <c r="D256" i="5"/>
  <c r="C256" i="5"/>
  <c r="D255" i="5"/>
  <c r="C255" i="5"/>
  <c r="D254" i="5"/>
  <c r="C254" i="5"/>
  <c r="D253" i="5"/>
  <c r="C253" i="5"/>
  <c r="D252" i="5"/>
  <c r="C252" i="5"/>
  <c r="D251" i="5"/>
  <c r="C251" i="5"/>
  <c r="D250" i="5"/>
  <c r="C250" i="5"/>
  <c r="D249" i="5"/>
  <c r="C249" i="5"/>
  <c r="D248" i="5"/>
  <c r="C248" i="5"/>
  <c r="D247" i="5"/>
  <c r="C247" i="5"/>
  <c r="D246" i="5"/>
  <c r="C246" i="5"/>
  <c r="D245" i="5"/>
  <c r="C245" i="5"/>
  <c r="D244" i="5"/>
  <c r="C244" i="5"/>
  <c r="D243" i="5"/>
  <c r="C243" i="5"/>
  <c r="D242" i="5"/>
  <c r="C242" i="5"/>
  <c r="D241" i="5"/>
  <c r="C241" i="5"/>
  <c r="D240" i="5"/>
  <c r="C240" i="5"/>
  <c r="D239" i="5"/>
  <c r="C239" i="5"/>
  <c r="D238" i="5"/>
  <c r="C238" i="5"/>
  <c r="D237" i="5"/>
  <c r="C237" i="5"/>
  <c r="D236" i="5"/>
  <c r="C236" i="5"/>
  <c r="D235" i="5"/>
  <c r="C235" i="5"/>
  <c r="D234" i="5"/>
  <c r="C234" i="5"/>
  <c r="D233" i="5"/>
  <c r="C233" i="5"/>
  <c r="D232" i="5"/>
  <c r="C232" i="5"/>
  <c r="D231" i="5"/>
  <c r="C231" i="5"/>
  <c r="D230" i="5"/>
  <c r="C230" i="5"/>
  <c r="D229" i="5"/>
  <c r="C229" i="5"/>
  <c r="D228" i="5"/>
  <c r="C228" i="5"/>
  <c r="D227" i="5"/>
  <c r="C227" i="5"/>
  <c r="D226" i="5"/>
  <c r="C226" i="5"/>
  <c r="D225" i="5"/>
  <c r="C225" i="5"/>
  <c r="D224" i="5"/>
  <c r="C224" i="5"/>
  <c r="D223" i="5"/>
  <c r="C223" i="5"/>
  <c r="D222" i="5"/>
  <c r="C222" i="5"/>
  <c r="D221" i="5"/>
  <c r="C221" i="5"/>
  <c r="D220" i="5"/>
  <c r="C220" i="5"/>
  <c r="D219" i="5"/>
  <c r="C219" i="5"/>
  <c r="D218" i="5"/>
  <c r="C218" i="5"/>
  <c r="D217" i="5"/>
  <c r="C217" i="5"/>
  <c r="D216" i="5"/>
  <c r="C216" i="5"/>
  <c r="D215" i="5"/>
  <c r="C215" i="5"/>
  <c r="D214" i="5"/>
  <c r="C214" i="5"/>
  <c r="D213" i="5"/>
  <c r="C213" i="5"/>
  <c r="D212" i="5"/>
  <c r="C212" i="5"/>
  <c r="D211" i="5"/>
  <c r="C211" i="5"/>
  <c r="D210" i="5"/>
  <c r="C210" i="5"/>
  <c r="D209" i="5"/>
  <c r="C209" i="5"/>
  <c r="D208" i="5"/>
  <c r="C208" i="5"/>
  <c r="D207" i="5"/>
  <c r="C207" i="5"/>
  <c r="D206" i="5"/>
  <c r="C206" i="5"/>
  <c r="D205" i="5"/>
  <c r="C205" i="5"/>
  <c r="D204" i="5"/>
  <c r="C204" i="5"/>
  <c r="D203" i="5"/>
  <c r="C203" i="5"/>
  <c r="D202" i="5"/>
  <c r="C202" i="5"/>
  <c r="D201" i="5"/>
  <c r="C201" i="5"/>
  <c r="D200" i="5"/>
  <c r="C200" i="5"/>
  <c r="D199" i="5"/>
  <c r="C199" i="5"/>
  <c r="D198" i="5"/>
  <c r="C198" i="5"/>
  <c r="D197" i="5"/>
  <c r="C197" i="5"/>
  <c r="D196" i="5"/>
  <c r="C196" i="5"/>
  <c r="D195" i="5"/>
  <c r="C195" i="5"/>
  <c r="D194" i="5"/>
  <c r="C194" i="5"/>
  <c r="D193" i="5"/>
  <c r="C193" i="5"/>
  <c r="D192" i="5"/>
  <c r="C192" i="5"/>
  <c r="D191" i="5"/>
  <c r="C191" i="5"/>
  <c r="D190" i="5"/>
  <c r="C190" i="5"/>
  <c r="D189" i="5"/>
  <c r="C189" i="5"/>
  <c r="D188" i="5"/>
  <c r="C188" i="5"/>
  <c r="D187" i="5"/>
  <c r="C187" i="5"/>
  <c r="D186" i="5"/>
  <c r="C186" i="5"/>
  <c r="D185" i="5"/>
  <c r="C185" i="5"/>
  <c r="D184" i="5"/>
  <c r="C184" i="5"/>
  <c r="D183" i="5"/>
  <c r="C183" i="5"/>
  <c r="D182" i="5"/>
  <c r="C182" i="5"/>
  <c r="D181" i="5"/>
  <c r="C181" i="5"/>
  <c r="D180" i="5"/>
  <c r="C180" i="5"/>
  <c r="D179" i="5"/>
  <c r="C179" i="5"/>
  <c r="D178" i="5"/>
  <c r="C178" i="5"/>
  <c r="D177" i="5"/>
  <c r="C177" i="5"/>
  <c r="D176" i="5"/>
  <c r="C176" i="5"/>
  <c r="D175" i="5"/>
  <c r="C175" i="5"/>
  <c r="D174" i="5"/>
  <c r="C174" i="5"/>
  <c r="D173" i="5"/>
  <c r="C173" i="5"/>
  <c r="D172" i="5"/>
  <c r="C172" i="5"/>
  <c r="D171" i="5"/>
  <c r="C171" i="5"/>
  <c r="D170" i="5"/>
  <c r="C170" i="5"/>
  <c r="D169" i="5"/>
  <c r="C169" i="5"/>
  <c r="D168" i="5"/>
  <c r="C168" i="5"/>
  <c r="D167" i="5"/>
  <c r="C167" i="5"/>
  <c r="D166" i="5"/>
  <c r="C166" i="5"/>
  <c r="D165" i="5"/>
  <c r="C165" i="5"/>
  <c r="D164" i="5"/>
  <c r="C164" i="5"/>
  <c r="D163" i="5"/>
  <c r="C163" i="5"/>
  <c r="D162" i="5"/>
  <c r="C162" i="5"/>
  <c r="D161" i="5"/>
  <c r="C161" i="5"/>
  <c r="D160" i="5"/>
  <c r="C160" i="5"/>
  <c r="D159" i="5"/>
  <c r="C159" i="5"/>
  <c r="D158" i="5"/>
  <c r="C158" i="5"/>
  <c r="D157" i="5"/>
  <c r="C157" i="5"/>
  <c r="D156" i="5"/>
  <c r="C156" i="5"/>
  <c r="D155" i="5"/>
  <c r="C155" i="5"/>
  <c r="D154" i="5"/>
  <c r="C154" i="5"/>
  <c r="D153" i="5"/>
  <c r="C153" i="5"/>
  <c r="D152" i="5"/>
  <c r="C152" i="5"/>
  <c r="D151" i="5"/>
  <c r="C151" i="5"/>
  <c r="D150" i="5"/>
  <c r="C150" i="5"/>
  <c r="D149" i="5"/>
  <c r="C149" i="5"/>
  <c r="D148" i="5"/>
  <c r="C148" i="5"/>
  <c r="D147" i="5"/>
  <c r="C147" i="5"/>
  <c r="D146" i="5"/>
  <c r="C146" i="5"/>
  <c r="D145" i="5"/>
  <c r="C145" i="5"/>
  <c r="D144" i="5"/>
  <c r="C144" i="5"/>
  <c r="D143" i="5"/>
  <c r="C143" i="5"/>
  <c r="D142" i="5"/>
  <c r="C142" i="5"/>
  <c r="D141" i="5"/>
  <c r="C141" i="5"/>
  <c r="D140" i="5"/>
  <c r="C140" i="5"/>
  <c r="D139" i="5"/>
  <c r="C139" i="5"/>
  <c r="D138" i="5"/>
  <c r="C138" i="5"/>
  <c r="D137" i="5"/>
  <c r="C137" i="5"/>
  <c r="D136" i="5"/>
  <c r="C136" i="5"/>
  <c r="D135" i="5"/>
  <c r="C135" i="5"/>
  <c r="D134" i="5"/>
  <c r="C134" i="5"/>
  <c r="D133" i="5"/>
  <c r="C133" i="5"/>
  <c r="D132" i="5"/>
  <c r="C132" i="5"/>
  <c r="D131" i="5"/>
  <c r="C131" i="5"/>
  <c r="D130" i="5"/>
  <c r="C130" i="5"/>
  <c r="D129" i="5"/>
  <c r="C129" i="5"/>
  <c r="D128" i="5"/>
  <c r="C128" i="5"/>
  <c r="D127" i="5"/>
  <c r="C127" i="5"/>
  <c r="D126" i="5"/>
  <c r="C126" i="5"/>
  <c r="D125" i="5"/>
  <c r="C125" i="5"/>
  <c r="D124" i="5"/>
  <c r="C124" i="5"/>
  <c r="D123" i="5"/>
  <c r="C123" i="5"/>
  <c r="D122" i="5"/>
  <c r="C122" i="5"/>
  <c r="D121" i="5"/>
  <c r="C121" i="5"/>
  <c r="D120" i="5"/>
  <c r="C120" i="5"/>
  <c r="D119" i="5"/>
  <c r="C119" i="5"/>
  <c r="D118" i="5"/>
  <c r="C118" i="5"/>
  <c r="D117" i="5"/>
  <c r="C117" i="5"/>
  <c r="D116" i="5"/>
  <c r="C116" i="5"/>
  <c r="D115" i="5"/>
  <c r="C115" i="5"/>
  <c r="D114" i="5"/>
  <c r="C114" i="5"/>
  <c r="D113" i="5"/>
  <c r="C113" i="5"/>
  <c r="D112" i="5"/>
  <c r="C112" i="5"/>
  <c r="D111" i="5"/>
  <c r="C111" i="5"/>
  <c r="D110" i="5"/>
  <c r="C110" i="5"/>
  <c r="D109" i="5"/>
  <c r="C109" i="5"/>
  <c r="D108" i="5"/>
  <c r="C108" i="5"/>
  <c r="D107" i="5"/>
  <c r="C107" i="5"/>
  <c r="D106" i="5"/>
  <c r="C106" i="5"/>
  <c r="D105" i="5"/>
  <c r="C105" i="5"/>
  <c r="D104" i="5"/>
  <c r="C104" i="5"/>
  <c r="D103" i="5"/>
  <c r="C103" i="5"/>
  <c r="D102" i="5"/>
  <c r="C102" i="5"/>
  <c r="D101" i="5"/>
  <c r="C101" i="5"/>
  <c r="D100" i="5"/>
  <c r="C100" i="5"/>
  <c r="D99" i="5"/>
  <c r="C99" i="5"/>
  <c r="D98" i="5"/>
  <c r="C98" i="5"/>
  <c r="D97" i="5"/>
  <c r="C97" i="5"/>
  <c r="D96" i="5"/>
  <c r="C96" i="5"/>
  <c r="D95" i="5"/>
  <c r="C95" i="5"/>
  <c r="D94" i="5"/>
  <c r="C94" i="5"/>
  <c r="D93" i="5"/>
  <c r="C93" i="5"/>
  <c r="D92" i="5"/>
  <c r="C92" i="5"/>
  <c r="D91" i="5"/>
  <c r="C91" i="5"/>
  <c r="D90" i="5"/>
  <c r="C90" i="5"/>
  <c r="D89" i="5"/>
  <c r="C89" i="5"/>
  <c r="D88" i="5"/>
  <c r="C88" i="5"/>
  <c r="D87" i="5"/>
  <c r="C87" i="5"/>
  <c r="D86" i="5"/>
  <c r="C86" i="5"/>
  <c r="D85" i="5"/>
  <c r="C85" i="5"/>
  <c r="D84" i="5"/>
  <c r="C84" i="5"/>
  <c r="D83" i="5"/>
  <c r="C83" i="5"/>
  <c r="D82" i="5"/>
  <c r="C82" i="5"/>
  <c r="D81" i="5"/>
  <c r="C81" i="5"/>
  <c r="D80" i="5"/>
  <c r="C80" i="5"/>
  <c r="D79" i="5"/>
  <c r="C79" i="5"/>
  <c r="D78" i="5"/>
  <c r="C78" i="5"/>
  <c r="D77" i="5"/>
  <c r="C77" i="5"/>
  <c r="D76" i="5"/>
  <c r="C76" i="5"/>
  <c r="D75" i="5"/>
  <c r="C75" i="5"/>
  <c r="D74" i="5"/>
  <c r="C74" i="5"/>
  <c r="D73" i="5"/>
  <c r="C73" i="5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P602" i="5"/>
  <c r="O602" i="5"/>
  <c r="M602" i="5"/>
  <c r="L602" i="5"/>
  <c r="J602" i="5"/>
  <c r="I602" i="5"/>
  <c r="G602" i="5"/>
  <c r="F602" i="5"/>
  <c r="P601" i="5"/>
  <c r="O601" i="5"/>
  <c r="M601" i="5"/>
  <c r="L601" i="5"/>
  <c r="J601" i="5"/>
  <c r="I601" i="5"/>
  <c r="G601" i="5"/>
  <c r="F601" i="5"/>
  <c r="P600" i="5"/>
  <c r="O600" i="5"/>
  <c r="M600" i="5"/>
  <c r="L600" i="5"/>
  <c r="J600" i="5"/>
  <c r="I600" i="5"/>
  <c r="G600" i="5"/>
  <c r="F600" i="5"/>
  <c r="P599" i="5"/>
  <c r="O599" i="5"/>
  <c r="M599" i="5"/>
  <c r="L599" i="5"/>
  <c r="J599" i="5"/>
  <c r="I599" i="5"/>
  <c r="G599" i="5"/>
  <c r="F599" i="5"/>
  <c r="P598" i="5"/>
  <c r="O598" i="5"/>
  <c r="M598" i="5"/>
  <c r="L598" i="5"/>
  <c r="J598" i="5"/>
  <c r="I598" i="5"/>
  <c r="G598" i="5"/>
  <c r="F598" i="5"/>
  <c r="P597" i="5"/>
  <c r="O597" i="5"/>
  <c r="M597" i="5"/>
  <c r="L597" i="5"/>
  <c r="J597" i="5"/>
  <c r="I597" i="5"/>
  <c r="G597" i="5"/>
  <c r="F597" i="5"/>
  <c r="P596" i="5"/>
  <c r="O596" i="5"/>
  <c r="M596" i="5"/>
  <c r="L596" i="5"/>
  <c r="J596" i="5"/>
  <c r="I596" i="5"/>
  <c r="G596" i="5"/>
  <c r="F596" i="5"/>
  <c r="P595" i="5"/>
  <c r="O595" i="5"/>
  <c r="M595" i="5"/>
  <c r="L595" i="5"/>
  <c r="J595" i="5"/>
  <c r="I595" i="5"/>
  <c r="G595" i="5"/>
  <c r="F595" i="5"/>
  <c r="P594" i="5"/>
  <c r="O594" i="5"/>
  <c r="M594" i="5"/>
  <c r="L594" i="5"/>
  <c r="J594" i="5"/>
  <c r="I594" i="5"/>
  <c r="G594" i="5"/>
  <c r="F594" i="5"/>
  <c r="P593" i="5"/>
  <c r="O593" i="5"/>
  <c r="M593" i="5"/>
  <c r="L593" i="5"/>
  <c r="J593" i="5"/>
  <c r="I593" i="5"/>
  <c r="G593" i="5"/>
  <c r="F593" i="5"/>
  <c r="P592" i="5"/>
  <c r="O592" i="5"/>
  <c r="M592" i="5"/>
  <c r="L592" i="5"/>
  <c r="J592" i="5"/>
  <c r="I592" i="5"/>
  <c r="G592" i="5"/>
  <c r="F592" i="5"/>
  <c r="P591" i="5"/>
  <c r="O591" i="5"/>
  <c r="M591" i="5"/>
  <c r="L591" i="5"/>
  <c r="J591" i="5"/>
  <c r="I591" i="5"/>
  <c r="G591" i="5"/>
  <c r="F591" i="5"/>
  <c r="P590" i="5"/>
  <c r="O590" i="5"/>
  <c r="M590" i="5"/>
  <c r="L590" i="5"/>
  <c r="J590" i="5"/>
  <c r="I590" i="5"/>
  <c r="G590" i="5"/>
  <c r="F590" i="5"/>
  <c r="P589" i="5"/>
  <c r="O589" i="5"/>
  <c r="M589" i="5"/>
  <c r="L589" i="5"/>
  <c r="J589" i="5"/>
  <c r="I589" i="5"/>
  <c r="G589" i="5"/>
  <c r="F589" i="5"/>
  <c r="P588" i="5"/>
  <c r="O588" i="5"/>
  <c r="M588" i="5"/>
  <c r="L588" i="5"/>
  <c r="J588" i="5"/>
  <c r="I588" i="5"/>
  <c r="G588" i="5"/>
  <c r="F588" i="5"/>
  <c r="P587" i="5"/>
  <c r="O587" i="5"/>
  <c r="M587" i="5"/>
  <c r="L587" i="5"/>
  <c r="J587" i="5"/>
  <c r="I587" i="5"/>
  <c r="G587" i="5"/>
  <c r="F587" i="5"/>
  <c r="P586" i="5"/>
  <c r="O586" i="5"/>
  <c r="M586" i="5"/>
  <c r="L586" i="5"/>
  <c r="J586" i="5"/>
  <c r="I586" i="5"/>
  <c r="G586" i="5"/>
  <c r="F586" i="5"/>
  <c r="P585" i="5"/>
  <c r="O585" i="5"/>
  <c r="M585" i="5"/>
  <c r="L585" i="5"/>
  <c r="J585" i="5"/>
  <c r="I585" i="5"/>
  <c r="G585" i="5"/>
  <c r="F585" i="5"/>
  <c r="P584" i="5"/>
  <c r="O584" i="5"/>
  <c r="M584" i="5"/>
  <c r="L584" i="5"/>
  <c r="J584" i="5"/>
  <c r="I584" i="5"/>
  <c r="G584" i="5"/>
  <c r="F584" i="5"/>
  <c r="P583" i="5"/>
  <c r="O583" i="5"/>
  <c r="M583" i="5"/>
  <c r="L583" i="5"/>
  <c r="J583" i="5"/>
  <c r="I583" i="5"/>
  <c r="G583" i="5"/>
  <c r="F583" i="5"/>
  <c r="P582" i="5"/>
  <c r="O582" i="5"/>
  <c r="M582" i="5"/>
  <c r="L582" i="5"/>
  <c r="J582" i="5"/>
  <c r="I582" i="5"/>
  <c r="G582" i="5"/>
  <c r="F582" i="5"/>
  <c r="P581" i="5"/>
  <c r="O581" i="5"/>
  <c r="M581" i="5"/>
  <c r="L581" i="5"/>
  <c r="J581" i="5"/>
  <c r="I581" i="5"/>
  <c r="G581" i="5"/>
  <c r="F581" i="5"/>
  <c r="P580" i="5"/>
  <c r="O580" i="5"/>
  <c r="M580" i="5"/>
  <c r="L580" i="5"/>
  <c r="J580" i="5"/>
  <c r="I580" i="5"/>
  <c r="G580" i="5"/>
  <c r="F580" i="5"/>
  <c r="P579" i="5"/>
  <c r="O579" i="5"/>
  <c r="M579" i="5"/>
  <c r="L579" i="5"/>
  <c r="J579" i="5"/>
  <c r="I579" i="5"/>
  <c r="G579" i="5"/>
  <c r="F579" i="5"/>
  <c r="P578" i="5"/>
  <c r="O578" i="5"/>
  <c r="M578" i="5"/>
  <c r="L578" i="5"/>
  <c r="J578" i="5"/>
  <c r="I578" i="5"/>
  <c r="G578" i="5"/>
  <c r="F578" i="5"/>
  <c r="P577" i="5"/>
  <c r="O577" i="5"/>
  <c r="M577" i="5"/>
  <c r="L577" i="5"/>
  <c r="J577" i="5"/>
  <c r="I577" i="5"/>
  <c r="G577" i="5"/>
  <c r="F577" i="5"/>
  <c r="P576" i="5"/>
  <c r="O576" i="5"/>
  <c r="M576" i="5"/>
  <c r="L576" i="5"/>
  <c r="J576" i="5"/>
  <c r="I576" i="5"/>
  <c r="G576" i="5"/>
  <c r="F576" i="5"/>
  <c r="P575" i="5"/>
  <c r="O575" i="5"/>
  <c r="M575" i="5"/>
  <c r="L575" i="5"/>
  <c r="J575" i="5"/>
  <c r="I575" i="5"/>
  <c r="G575" i="5"/>
  <c r="F575" i="5"/>
  <c r="P574" i="5"/>
  <c r="O574" i="5"/>
  <c r="M574" i="5"/>
  <c r="L574" i="5"/>
  <c r="J574" i="5"/>
  <c r="I574" i="5"/>
  <c r="G574" i="5"/>
  <c r="F574" i="5"/>
  <c r="P573" i="5"/>
  <c r="O573" i="5"/>
  <c r="M573" i="5"/>
  <c r="L573" i="5"/>
  <c r="J573" i="5"/>
  <c r="I573" i="5"/>
  <c r="G573" i="5"/>
  <c r="F573" i="5"/>
  <c r="P572" i="5"/>
  <c r="O572" i="5"/>
  <c r="M572" i="5"/>
  <c r="L572" i="5"/>
  <c r="J572" i="5"/>
  <c r="I572" i="5"/>
  <c r="G572" i="5"/>
  <c r="F572" i="5"/>
  <c r="P571" i="5"/>
  <c r="O571" i="5"/>
  <c r="M571" i="5"/>
  <c r="L571" i="5"/>
  <c r="J571" i="5"/>
  <c r="I571" i="5"/>
  <c r="G571" i="5"/>
  <c r="F571" i="5"/>
  <c r="P570" i="5"/>
  <c r="O570" i="5"/>
  <c r="M570" i="5"/>
  <c r="L570" i="5"/>
  <c r="J570" i="5"/>
  <c r="I570" i="5"/>
  <c r="G570" i="5"/>
  <c r="F570" i="5"/>
  <c r="P569" i="5"/>
  <c r="O569" i="5"/>
  <c r="M569" i="5"/>
  <c r="L569" i="5"/>
  <c r="J569" i="5"/>
  <c r="I569" i="5"/>
  <c r="G569" i="5"/>
  <c r="F569" i="5"/>
  <c r="P568" i="5"/>
  <c r="O568" i="5"/>
  <c r="M568" i="5"/>
  <c r="L568" i="5"/>
  <c r="J568" i="5"/>
  <c r="I568" i="5"/>
  <c r="G568" i="5"/>
  <c r="F568" i="5"/>
  <c r="P567" i="5"/>
  <c r="O567" i="5"/>
  <c r="M567" i="5"/>
  <c r="L567" i="5"/>
  <c r="J567" i="5"/>
  <c r="I567" i="5"/>
  <c r="G567" i="5"/>
  <c r="F567" i="5"/>
  <c r="P566" i="5"/>
  <c r="O566" i="5"/>
  <c r="M566" i="5"/>
  <c r="L566" i="5"/>
  <c r="J566" i="5"/>
  <c r="I566" i="5"/>
  <c r="G566" i="5"/>
  <c r="F566" i="5"/>
  <c r="P565" i="5"/>
  <c r="O565" i="5"/>
  <c r="M565" i="5"/>
  <c r="L565" i="5"/>
  <c r="J565" i="5"/>
  <c r="I565" i="5"/>
  <c r="G565" i="5"/>
  <c r="F565" i="5"/>
  <c r="P564" i="5"/>
  <c r="O564" i="5"/>
  <c r="M564" i="5"/>
  <c r="L564" i="5"/>
  <c r="J564" i="5"/>
  <c r="I564" i="5"/>
  <c r="G564" i="5"/>
  <c r="F564" i="5"/>
  <c r="P563" i="5"/>
  <c r="O563" i="5"/>
  <c r="M563" i="5"/>
  <c r="L563" i="5"/>
  <c r="J563" i="5"/>
  <c r="I563" i="5"/>
  <c r="G563" i="5"/>
  <c r="F563" i="5"/>
  <c r="P562" i="5"/>
  <c r="O562" i="5"/>
  <c r="M562" i="5"/>
  <c r="L562" i="5"/>
  <c r="J562" i="5"/>
  <c r="I562" i="5"/>
  <c r="G562" i="5"/>
  <c r="F562" i="5"/>
  <c r="P561" i="5"/>
  <c r="O561" i="5"/>
  <c r="M561" i="5"/>
  <c r="L561" i="5"/>
  <c r="J561" i="5"/>
  <c r="I561" i="5"/>
  <c r="G561" i="5"/>
  <c r="F561" i="5"/>
  <c r="P560" i="5"/>
  <c r="O560" i="5"/>
  <c r="M560" i="5"/>
  <c r="L560" i="5"/>
  <c r="J560" i="5"/>
  <c r="I560" i="5"/>
  <c r="G560" i="5"/>
  <c r="F560" i="5"/>
  <c r="P559" i="5"/>
  <c r="O559" i="5"/>
  <c r="M559" i="5"/>
  <c r="L559" i="5"/>
  <c r="J559" i="5"/>
  <c r="I559" i="5"/>
  <c r="G559" i="5"/>
  <c r="F559" i="5"/>
  <c r="P558" i="5"/>
  <c r="O558" i="5"/>
  <c r="M558" i="5"/>
  <c r="L558" i="5"/>
  <c r="J558" i="5"/>
  <c r="I558" i="5"/>
  <c r="G558" i="5"/>
  <c r="F558" i="5"/>
  <c r="P557" i="5"/>
  <c r="O557" i="5"/>
  <c r="M557" i="5"/>
  <c r="L557" i="5"/>
  <c r="J557" i="5"/>
  <c r="I557" i="5"/>
  <c r="G557" i="5"/>
  <c r="F557" i="5"/>
  <c r="P556" i="5"/>
  <c r="O556" i="5"/>
  <c r="M556" i="5"/>
  <c r="L556" i="5"/>
  <c r="J556" i="5"/>
  <c r="I556" i="5"/>
  <c r="G556" i="5"/>
  <c r="F556" i="5"/>
  <c r="P555" i="5"/>
  <c r="O555" i="5"/>
  <c r="M555" i="5"/>
  <c r="L555" i="5"/>
  <c r="J555" i="5"/>
  <c r="I555" i="5"/>
  <c r="G555" i="5"/>
  <c r="F555" i="5"/>
  <c r="P554" i="5"/>
  <c r="O554" i="5"/>
  <c r="M554" i="5"/>
  <c r="L554" i="5"/>
  <c r="J554" i="5"/>
  <c r="I554" i="5"/>
  <c r="G554" i="5"/>
  <c r="F554" i="5"/>
  <c r="P553" i="5"/>
  <c r="O553" i="5"/>
  <c r="M553" i="5"/>
  <c r="L553" i="5"/>
  <c r="J553" i="5"/>
  <c r="I553" i="5"/>
  <c r="G553" i="5"/>
  <c r="F553" i="5"/>
  <c r="P552" i="5"/>
  <c r="O552" i="5"/>
  <c r="M552" i="5"/>
  <c r="L552" i="5"/>
  <c r="J552" i="5"/>
  <c r="I552" i="5"/>
  <c r="G552" i="5"/>
  <c r="F552" i="5"/>
  <c r="P551" i="5"/>
  <c r="O551" i="5"/>
  <c r="M551" i="5"/>
  <c r="L551" i="5"/>
  <c r="J551" i="5"/>
  <c r="I551" i="5"/>
  <c r="G551" i="5"/>
  <c r="F551" i="5"/>
  <c r="P550" i="5"/>
  <c r="O550" i="5"/>
  <c r="M550" i="5"/>
  <c r="L550" i="5"/>
  <c r="J550" i="5"/>
  <c r="I550" i="5"/>
  <c r="G550" i="5"/>
  <c r="F550" i="5"/>
  <c r="P549" i="5"/>
  <c r="O549" i="5"/>
  <c r="M549" i="5"/>
  <c r="L549" i="5"/>
  <c r="J549" i="5"/>
  <c r="I549" i="5"/>
  <c r="G549" i="5"/>
  <c r="F549" i="5"/>
  <c r="P548" i="5"/>
  <c r="O548" i="5"/>
  <c r="M548" i="5"/>
  <c r="L548" i="5"/>
  <c r="J548" i="5"/>
  <c r="I548" i="5"/>
  <c r="G548" i="5"/>
  <c r="F548" i="5"/>
  <c r="P547" i="5"/>
  <c r="O547" i="5"/>
  <c r="M547" i="5"/>
  <c r="L547" i="5"/>
  <c r="J547" i="5"/>
  <c r="I547" i="5"/>
  <c r="G547" i="5"/>
  <c r="F547" i="5"/>
  <c r="P546" i="5"/>
  <c r="O546" i="5"/>
  <c r="M546" i="5"/>
  <c r="L546" i="5"/>
  <c r="J546" i="5"/>
  <c r="I546" i="5"/>
  <c r="G546" i="5"/>
  <c r="F546" i="5"/>
  <c r="P545" i="5"/>
  <c r="O545" i="5"/>
  <c r="M545" i="5"/>
  <c r="L545" i="5"/>
  <c r="J545" i="5"/>
  <c r="I545" i="5"/>
  <c r="G545" i="5"/>
  <c r="F545" i="5"/>
  <c r="P544" i="5"/>
  <c r="O544" i="5"/>
  <c r="M544" i="5"/>
  <c r="L544" i="5"/>
  <c r="J544" i="5"/>
  <c r="I544" i="5"/>
  <c r="G544" i="5"/>
  <c r="F544" i="5"/>
  <c r="P543" i="5"/>
  <c r="O543" i="5"/>
  <c r="M543" i="5"/>
  <c r="L543" i="5"/>
  <c r="J543" i="5"/>
  <c r="I543" i="5"/>
  <c r="G543" i="5"/>
  <c r="F543" i="5"/>
  <c r="P542" i="5"/>
  <c r="O542" i="5"/>
  <c r="M542" i="5"/>
  <c r="L542" i="5"/>
  <c r="J542" i="5"/>
  <c r="I542" i="5"/>
  <c r="G542" i="5"/>
  <c r="F542" i="5"/>
  <c r="P541" i="5"/>
  <c r="O541" i="5"/>
  <c r="M541" i="5"/>
  <c r="L541" i="5"/>
  <c r="J541" i="5"/>
  <c r="I541" i="5"/>
  <c r="G541" i="5"/>
  <c r="F541" i="5"/>
  <c r="P540" i="5"/>
  <c r="O540" i="5"/>
  <c r="M540" i="5"/>
  <c r="L540" i="5"/>
  <c r="J540" i="5"/>
  <c r="I540" i="5"/>
  <c r="G540" i="5"/>
  <c r="F540" i="5"/>
  <c r="P539" i="5"/>
  <c r="O539" i="5"/>
  <c r="M539" i="5"/>
  <c r="L539" i="5"/>
  <c r="J539" i="5"/>
  <c r="I539" i="5"/>
  <c r="G539" i="5"/>
  <c r="F539" i="5"/>
  <c r="P538" i="5"/>
  <c r="O538" i="5"/>
  <c r="M538" i="5"/>
  <c r="L538" i="5"/>
  <c r="J538" i="5"/>
  <c r="I538" i="5"/>
  <c r="G538" i="5"/>
  <c r="F538" i="5"/>
  <c r="P537" i="5"/>
  <c r="O537" i="5"/>
  <c r="M537" i="5"/>
  <c r="L537" i="5"/>
  <c r="J537" i="5"/>
  <c r="I537" i="5"/>
  <c r="G537" i="5"/>
  <c r="F537" i="5"/>
  <c r="P536" i="5"/>
  <c r="O536" i="5"/>
  <c r="M536" i="5"/>
  <c r="L536" i="5"/>
  <c r="J536" i="5"/>
  <c r="I536" i="5"/>
  <c r="G536" i="5"/>
  <c r="F536" i="5"/>
  <c r="P535" i="5"/>
  <c r="O535" i="5"/>
  <c r="M535" i="5"/>
  <c r="L535" i="5"/>
  <c r="J535" i="5"/>
  <c r="I535" i="5"/>
  <c r="G535" i="5"/>
  <c r="F535" i="5"/>
  <c r="P534" i="5"/>
  <c r="O534" i="5"/>
  <c r="M534" i="5"/>
  <c r="L534" i="5"/>
  <c r="J534" i="5"/>
  <c r="I534" i="5"/>
  <c r="G534" i="5"/>
  <c r="F534" i="5"/>
  <c r="P533" i="5"/>
  <c r="O533" i="5"/>
  <c r="M533" i="5"/>
  <c r="L533" i="5"/>
  <c r="J533" i="5"/>
  <c r="I533" i="5"/>
  <c r="G533" i="5"/>
  <c r="F533" i="5"/>
  <c r="P532" i="5"/>
  <c r="O532" i="5"/>
  <c r="M532" i="5"/>
  <c r="L532" i="5"/>
  <c r="J532" i="5"/>
  <c r="I532" i="5"/>
  <c r="G532" i="5"/>
  <c r="F532" i="5"/>
  <c r="P531" i="5"/>
  <c r="O531" i="5"/>
  <c r="M531" i="5"/>
  <c r="L531" i="5"/>
  <c r="J531" i="5"/>
  <c r="I531" i="5"/>
  <c r="G531" i="5"/>
  <c r="F531" i="5"/>
  <c r="P530" i="5"/>
  <c r="O530" i="5"/>
  <c r="M530" i="5"/>
  <c r="L530" i="5"/>
  <c r="J530" i="5"/>
  <c r="I530" i="5"/>
  <c r="G530" i="5"/>
  <c r="F530" i="5"/>
  <c r="P529" i="5"/>
  <c r="O529" i="5"/>
  <c r="M529" i="5"/>
  <c r="L529" i="5"/>
  <c r="J529" i="5"/>
  <c r="I529" i="5"/>
  <c r="G529" i="5"/>
  <c r="F529" i="5"/>
  <c r="P528" i="5"/>
  <c r="O528" i="5"/>
  <c r="M528" i="5"/>
  <c r="L528" i="5"/>
  <c r="J528" i="5"/>
  <c r="I528" i="5"/>
  <c r="G528" i="5"/>
  <c r="F528" i="5"/>
  <c r="P527" i="5"/>
  <c r="O527" i="5"/>
  <c r="M527" i="5"/>
  <c r="L527" i="5"/>
  <c r="J527" i="5"/>
  <c r="I527" i="5"/>
  <c r="G527" i="5"/>
  <c r="F527" i="5"/>
  <c r="P526" i="5"/>
  <c r="O526" i="5"/>
  <c r="M526" i="5"/>
  <c r="L526" i="5"/>
  <c r="J526" i="5"/>
  <c r="I526" i="5"/>
  <c r="G526" i="5"/>
  <c r="F526" i="5"/>
  <c r="P525" i="5"/>
  <c r="O525" i="5"/>
  <c r="M525" i="5"/>
  <c r="L525" i="5"/>
  <c r="J525" i="5"/>
  <c r="I525" i="5"/>
  <c r="G525" i="5"/>
  <c r="F525" i="5"/>
  <c r="P524" i="5"/>
  <c r="O524" i="5"/>
  <c r="M524" i="5"/>
  <c r="L524" i="5"/>
  <c r="J524" i="5"/>
  <c r="I524" i="5"/>
  <c r="G524" i="5"/>
  <c r="F524" i="5"/>
  <c r="P523" i="5"/>
  <c r="O523" i="5"/>
  <c r="M523" i="5"/>
  <c r="L523" i="5"/>
  <c r="J523" i="5"/>
  <c r="I523" i="5"/>
  <c r="G523" i="5"/>
  <c r="F523" i="5"/>
  <c r="P522" i="5"/>
  <c r="O522" i="5"/>
  <c r="M522" i="5"/>
  <c r="L522" i="5"/>
  <c r="J522" i="5"/>
  <c r="I522" i="5"/>
  <c r="G522" i="5"/>
  <c r="F522" i="5"/>
  <c r="P521" i="5"/>
  <c r="O521" i="5"/>
  <c r="M521" i="5"/>
  <c r="L521" i="5"/>
  <c r="J521" i="5"/>
  <c r="I521" i="5"/>
  <c r="G521" i="5"/>
  <c r="F521" i="5"/>
  <c r="P520" i="5"/>
  <c r="O520" i="5"/>
  <c r="M520" i="5"/>
  <c r="L520" i="5"/>
  <c r="J520" i="5"/>
  <c r="I520" i="5"/>
  <c r="G520" i="5"/>
  <c r="F520" i="5"/>
  <c r="P519" i="5"/>
  <c r="O519" i="5"/>
  <c r="M519" i="5"/>
  <c r="L519" i="5"/>
  <c r="J519" i="5"/>
  <c r="I519" i="5"/>
  <c r="G519" i="5"/>
  <c r="F519" i="5"/>
  <c r="P518" i="5"/>
  <c r="O518" i="5"/>
  <c r="M518" i="5"/>
  <c r="L518" i="5"/>
  <c r="J518" i="5"/>
  <c r="I518" i="5"/>
  <c r="G518" i="5"/>
  <c r="F518" i="5"/>
  <c r="P517" i="5"/>
  <c r="O517" i="5"/>
  <c r="M517" i="5"/>
  <c r="L517" i="5"/>
  <c r="J517" i="5"/>
  <c r="I517" i="5"/>
  <c r="G517" i="5"/>
  <c r="F517" i="5"/>
  <c r="P516" i="5"/>
  <c r="O516" i="5"/>
  <c r="M516" i="5"/>
  <c r="L516" i="5"/>
  <c r="J516" i="5"/>
  <c r="I516" i="5"/>
  <c r="G516" i="5"/>
  <c r="F516" i="5"/>
  <c r="P515" i="5"/>
  <c r="O515" i="5"/>
  <c r="M515" i="5"/>
  <c r="L515" i="5"/>
  <c r="J515" i="5"/>
  <c r="I515" i="5"/>
  <c r="G515" i="5"/>
  <c r="F515" i="5"/>
  <c r="P514" i="5"/>
  <c r="O514" i="5"/>
  <c r="M514" i="5"/>
  <c r="L514" i="5"/>
  <c r="J514" i="5"/>
  <c r="I514" i="5"/>
  <c r="G514" i="5"/>
  <c r="F514" i="5"/>
  <c r="P513" i="5"/>
  <c r="O513" i="5"/>
  <c r="M513" i="5"/>
  <c r="L513" i="5"/>
  <c r="J513" i="5"/>
  <c r="I513" i="5"/>
  <c r="G513" i="5"/>
  <c r="F513" i="5"/>
  <c r="P512" i="5"/>
  <c r="O512" i="5"/>
  <c r="M512" i="5"/>
  <c r="L512" i="5"/>
  <c r="J512" i="5"/>
  <c r="I512" i="5"/>
  <c r="G512" i="5"/>
  <c r="F512" i="5"/>
  <c r="P511" i="5"/>
  <c r="O511" i="5"/>
  <c r="M511" i="5"/>
  <c r="L511" i="5"/>
  <c r="J511" i="5"/>
  <c r="I511" i="5"/>
  <c r="G511" i="5"/>
  <c r="F511" i="5"/>
  <c r="P510" i="5"/>
  <c r="O510" i="5"/>
  <c r="M510" i="5"/>
  <c r="L510" i="5"/>
  <c r="J510" i="5"/>
  <c r="I510" i="5"/>
  <c r="G510" i="5"/>
  <c r="F510" i="5"/>
  <c r="P509" i="5"/>
  <c r="O509" i="5"/>
  <c r="M509" i="5"/>
  <c r="L509" i="5"/>
  <c r="J509" i="5"/>
  <c r="I509" i="5"/>
  <c r="G509" i="5"/>
  <c r="F509" i="5"/>
  <c r="P508" i="5"/>
  <c r="O508" i="5"/>
  <c r="M508" i="5"/>
  <c r="L508" i="5"/>
  <c r="J508" i="5"/>
  <c r="I508" i="5"/>
  <c r="G508" i="5"/>
  <c r="F508" i="5"/>
  <c r="P507" i="5"/>
  <c r="O507" i="5"/>
  <c r="M507" i="5"/>
  <c r="L507" i="5"/>
  <c r="J507" i="5"/>
  <c r="I507" i="5"/>
  <c r="G507" i="5"/>
  <c r="F507" i="5"/>
  <c r="P506" i="5"/>
  <c r="O506" i="5"/>
  <c r="M506" i="5"/>
  <c r="L506" i="5"/>
  <c r="J506" i="5"/>
  <c r="I506" i="5"/>
  <c r="G506" i="5"/>
  <c r="F506" i="5"/>
  <c r="P505" i="5"/>
  <c r="O505" i="5"/>
  <c r="M505" i="5"/>
  <c r="L505" i="5"/>
  <c r="J505" i="5"/>
  <c r="I505" i="5"/>
  <c r="G505" i="5"/>
  <c r="F505" i="5"/>
  <c r="P504" i="5"/>
  <c r="O504" i="5"/>
  <c r="M504" i="5"/>
  <c r="L504" i="5"/>
  <c r="J504" i="5"/>
  <c r="I504" i="5"/>
  <c r="G504" i="5"/>
  <c r="F504" i="5"/>
  <c r="P503" i="5"/>
  <c r="O503" i="5"/>
  <c r="M503" i="5"/>
  <c r="L503" i="5"/>
  <c r="J503" i="5"/>
  <c r="I503" i="5"/>
  <c r="G503" i="5"/>
  <c r="F503" i="5"/>
  <c r="P502" i="5"/>
  <c r="O502" i="5"/>
  <c r="M502" i="5"/>
  <c r="L502" i="5"/>
  <c r="J502" i="5"/>
  <c r="I502" i="5"/>
  <c r="G502" i="5"/>
  <c r="F502" i="5"/>
  <c r="P501" i="5"/>
  <c r="O501" i="5"/>
  <c r="M501" i="5"/>
  <c r="L501" i="5"/>
  <c r="J501" i="5"/>
  <c r="I501" i="5"/>
  <c r="G501" i="5"/>
  <c r="F501" i="5"/>
  <c r="P500" i="5"/>
  <c r="O500" i="5"/>
  <c r="M500" i="5"/>
  <c r="L500" i="5"/>
  <c r="J500" i="5"/>
  <c r="I500" i="5"/>
  <c r="G500" i="5"/>
  <c r="F500" i="5"/>
  <c r="P499" i="5"/>
  <c r="O499" i="5"/>
  <c r="M499" i="5"/>
  <c r="L499" i="5"/>
  <c r="J499" i="5"/>
  <c r="I499" i="5"/>
  <c r="G499" i="5"/>
  <c r="F499" i="5"/>
  <c r="P498" i="5"/>
  <c r="O498" i="5"/>
  <c r="M498" i="5"/>
  <c r="L498" i="5"/>
  <c r="J498" i="5"/>
  <c r="I498" i="5"/>
  <c r="G498" i="5"/>
  <c r="F498" i="5"/>
  <c r="P497" i="5"/>
  <c r="O497" i="5"/>
  <c r="M497" i="5"/>
  <c r="L497" i="5"/>
  <c r="J497" i="5"/>
  <c r="I497" i="5"/>
  <c r="G497" i="5"/>
  <c r="F497" i="5"/>
  <c r="P496" i="5"/>
  <c r="O496" i="5"/>
  <c r="M496" i="5"/>
  <c r="L496" i="5"/>
  <c r="J496" i="5"/>
  <c r="I496" i="5"/>
  <c r="G496" i="5"/>
  <c r="F496" i="5"/>
  <c r="P495" i="5"/>
  <c r="O495" i="5"/>
  <c r="M495" i="5"/>
  <c r="L495" i="5"/>
  <c r="J495" i="5"/>
  <c r="I495" i="5"/>
  <c r="G495" i="5"/>
  <c r="F495" i="5"/>
  <c r="P494" i="5"/>
  <c r="O494" i="5"/>
  <c r="M494" i="5"/>
  <c r="L494" i="5"/>
  <c r="J494" i="5"/>
  <c r="I494" i="5"/>
  <c r="G494" i="5"/>
  <c r="F494" i="5"/>
  <c r="P493" i="5"/>
  <c r="O493" i="5"/>
  <c r="M493" i="5"/>
  <c r="L493" i="5"/>
  <c r="J493" i="5"/>
  <c r="I493" i="5"/>
  <c r="G493" i="5"/>
  <c r="F493" i="5"/>
  <c r="P492" i="5"/>
  <c r="O492" i="5"/>
  <c r="M492" i="5"/>
  <c r="L492" i="5"/>
  <c r="J492" i="5"/>
  <c r="I492" i="5"/>
  <c r="G492" i="5"/>
  <c r="F492" i="5"/>
  <c r="P491" i="5"/>
  <c r="O491" i="5"/>
  <c r="M491" i="5"/>
  <c r="L491" i="5"/>
  <c r="J491" i="5"/>
  <c r="I491" i="5"/>
  <c r="G491" i="5"/>
  <c r="F491" i="5"/>
  <c r="P490" i="5"/>
  <c r="O490" i="5"/>
  <c r="M490" i="5"/>
  <c r="L490" i="5"/>
  <c r="J490" i="5"/>
  <c r="I490" i="5"/>
  <c r="G490" i="5"/>
  <c r="F490" i="5"/>
  <c r="P489" i="5"/>
  <c r="O489" i="5"/>
  <c r="M489" i="5"/>
  <c r="L489" i="5"/>
  <c r="J489" i="5"/>
  <c r="I489" i="5"/>
  <c r="G489" i="5"/>
  <c r="F489" i="5"/>
  <c r="P488" i="5"/>
  <c r="O488" i="5"/>
  <c r="M488" i="5"/>
  <c r="L488" i="5"/>
  <c r="J488" i="5"/>
  <c r="I488" i="5"/>
  <c r="G488" i="5"/>
  <c r="F488" i="5"/>
  <c r="P487" i="5"/>
  <c r="O487" i="5"/>
  <c r="M487" i="5"/>
  <c r="L487" i="5"/>
  <c r="J487" i="5"/>
  <c r="I487" i="5"/>
  <c r="G487" i="5"/>
  <c r="F487" i="5"/>
  <c r="P486" i="5"/>
  <c r="O486" i="5"/>
  <c r="M486" i="5"/>
  <c r="L486" i="5"/>
  <c r="J486" i="5"/>
  <c r="I486" i="5"/>
  <c r="G486" i="5"/>
  <c r="F486" i="5"/>
  <c r="P485" i="5"/>
  <c r="O485" i="5"/>
  <c r="M485" i="5"/>
  <c r="L485" i="5"/>
  <c r="J485" i="5"/>
  <c r="I485" i="5"/>
  <c r="G485" i="5"/>
  <c r="F485" i="5"/>
  <c r="P484" i="5"/>
  <c r="O484" i="5"/>
  <c r="M484" i="5"/>
  <c r="L484" i="5"/>
  <c r="J484" i="5"/>
  <c r="I484" i="5"/>
  <c r="G484" i="5"/>
  <c r="F484" i="5"/>
  <c r="P483" i="5"/>
  <c r="O483" i="5"/>
  <c r="M483" i="5"/>
  <c r="L483" i="5"/>
  <c r="J483" i="5"/>
  <c r="I483" i="5"/>
  <c r="G483" i="5"/>
  <c r="F483" i="5"/>
  <c r="P482" i="5"/>
  <c r="O482" i="5"/>
  <c r="M482" i="5"/>
  <c r="L482" i="5"/>
  <c r="J482" i="5"/>
  <c r="I482" i="5"/>
  <c r="G482" i="5"/>
  <c r="F482" i="5"/>
  <c r="P481" i="5"/>
  <c r="O481" i="5"/>
  <c r="M481" i="5"/>
  <c r="L481" i="5"/>
  <c r="J481" i="5"/>
  <c r="I481" i="5"/>
  <c r="G481" i="5"/>
  <c r="F481" i="5"/>
  <c r="P480" i="5"/>
  <c r="O480" i="5"/>
  <c r="M480" i="5"/>
  <c r="L480" i="5"/>
  <c r="J480" i="5"/>
  <c r="I480" i="5"/>
  <c r="G480" i="5"/>
  <c r="F480" i="5"/>
  <c r="P479" i="5"/>
  <c r="O479" i="5"/>
  <c r="M479" i="5"/>
  <c r="L479" i="5"/>
  <c r="J479" i="5"/>
  <c r="I479" i="5"/>
  <c r="G479" i="5"/>
  <c r="F479" i="5"/>
  <c r="P478" i="5"/>
  <c r="O478" i="5"/>
  <c r="M478" i="5"/>
  <c r="L478" i="5"/>
  <c r="J478" i="5"/>
  <c r="I478" i="5"/>
  <c r="G478" i="5"/>
  <c r="F478" i="5"/>
  <c r="P477" i="5"/>
  <c r="O477" i="5"/>
  <c r="M477" i="5"/>
  <c r="L477" i="5"/>
  <c r="J477" i="5"/>
  <c r="I477" i="5"/>
  <c r="G477" i="5"/>
  <c r="F477" i="5"/>
  <c r="P476" i="5"/>
  <c r="O476" i="5"/>
  <c r="M476" i="5"/>
  <c r="L476" i="5"/>
  <c r="J476" i="5"/>
  <c r="I476" i="5"/>
  <c r="G476" i="5"/>
  <c r="F476" i="5"/>
  <c r="P475" i="5"/>
  <c r="O475" i="5"/>
  <c r="M475" i="5"/>
  <c r="L475" i="5"/>
  <c r="J475" i="5"/>
  <c r="I475" i="5"/>
  <c r="G475" i="5"/>
  <c r="F475" i="5"/>
  <c r="P474" i="5"/>
  <c r="O474" i="5"/>
  <c r="M474" i="5"/>
  <c r="L474" i="5"/>
  <c r="J474" i="5"/>
  <c r="I474" i="5"/>
  <c r="G474" i="5"/>
  <c r="F474" i="5"/>
  <c r="P473" i="5"/>
  <c r="O473" i="5"/>
  <c r="M473" i="5"/>
  <c r="L473" i="5"/>
  <c r="J473" i="5"/>
  <c r="I473" i="5"/>
  <c r="G473" i="5"/>
  <c r="F473" i="5"/>
  <c r="P472" i="5"/>
  <c r="O472" i="5"/>
  <c r="M472" i="5"/>
  <c r="L472" i="5"/>
  <c r="J472" i="5"/>
  <c r="I472" i="5"/>
  <c r="G472" i="5"/>
  <c r="F472" i="5"/>
  <c r="P471" i="5"/>
  <c r="O471" i="5"/>
  <c r="M471" i="5"/>
  <c r="L471" i="5"/>
  <c r="J471" i="5"/>
  <c r="I471" i="5"/>
  <c r="G471" i="5"/>
  <c r="F471" i="5"/>
  <c r="P470" i="5"/>
  <c r="O470" i="5"/>
  <c r="M470" i="5"/>
  <c r="L470" i="5"/>
  <c r="J470" i="5"/>
  <c r="I470" i="5"/>
  <c r="G470" i="5"/>
  <c r="F470" i="5"/>
  <c r="P469" i="5"/>
  <c r="O469" i="5"/>
  <c r="M469" i="5"/>
  <c r="L469" i="5"/>
  <c r="J469" i="5"/>
  <c r="I469" i="5"/>
  <c r="G469" i="5"/>
  <c r="F469" i="5"/>
  <c r="P468" i="5"/>
  <c r="O468" i="5"/>
  <c r="M468" i="5"/>
  <c r="L468" i="5"/>
  <c r="J468" i="5"/>
  <c r="I468" i="5"/>
  <c r="G468" i="5"/>
  <c r="F468" i="5"/>
  <c r="P467" i="5"/>
  <c r="O467" i="5"/>
  <c r="M467" i="5"/>
  <c r="L467" i="5"/>
  <c r="J467" i="5"/>
  <c r="I467" i="5"/>
  <c r="G467" i="5"/>
  <c r="F467" i="5"/>
  <c r="P466" i="5"/>
  <c r="O466" i="5"/>
  <c r="M466" i="5"/>
  <c r="L466" i="5"/>
  <c r="J466" i="5"/>
  <c r="I466" i="5"/>
  <c r="G466" i="5"/>
  <c r="F466" i="5"/>
  <c r="P465" i="5"/>
  <c r="O465" i="5"/>
  <c r="M465" i="5"/>
  <c r="L465" i="5"/>
  <c r="J465" i="5"/>
  <c r="I465" i="5"/>
  <c r="G465" i="5"/>
  <c r="F465" i="5"/>
  <c r="P464" i="5"/>
  <c r="O464" i="5"/>
  <c r="M464" i="5"/>
  <c r="L464" i="5"/>
  <c r="J464" i="5"/>
  <c r="I464" i="5"/>
  <c r="G464" i="5"/>
  <c r="F464" i="5"/>
  <c r="P463" i="5"/>
  <c r="O463" i="5"/>
  <c r="M463" i="5"/>
  <c r="L463" i="5"/>
  <c r="J463" i="5"/>
  <c r="I463" i="5"/>
  <c r="G463" i="5"/>
  <c r="F463" i="5"/>
  <c r="P462" i="5"/>
  <c r="O462" i="5"/>
  <c r="M462" i="5"/>
  <c r="L462" i="5"/>
  <c r="J462" i="5"/>
  <c r="I462" i="5"/>
  <c r="G462" i="5"/>
  <c r="F462" i="5"/>
  <c r="P461" i="5"/>
  <c r="O461" i="5"/>
  <c r="M461" i="5"/>
  <c r="L461" i="5"/>
  <c r="J461" i="5"/>
  <c r="I461" i="5"/>
  <c r="G461" i="5"/>
  <c r="F461" i="5"/>
  <c r="P460" i="5"/>
  <c r="O460" i="5"/>
  <c r="M460" i="5"/>
  <c r="L460" i="5"/>
  <c r="J460" i="5"/>
  <c r="I460" i="5"/>
  <c r="G460" i="5"/>
  <c r="F460" i="5"/>
  <c r="P459" i="5"/>
  <c r="O459" i="5"/>
  <c r="M459" i="5"/>
  <c r="L459" i="5"/>
  <c r="J459" i="5"/>
  <c r="I459" i="5"/>
  <c r="G459" i="5"/>
  <c r="F459" i="5"/>
  <c r="P458" i="5"/>
  <c r="O458" i="5"/>
  <c r="M458" i="5"/>
  <c r="L458" i="5"/>
  <c r="J458" i="5"/>
  <c r="I458" i="5"/>
  <c r="G458" i="5"/>
  <c r="F458" i="5"/>
  <c r="P457" i="5"/>
  <c r="O457" i="5"/>
  <c r="M457" i="5"/>
  <c r="L457" i="5"/>
  <c r="J457" i="5"/>
  <c r="I457" i="5"/>
  <c r="G457" i="5"/>
  <c r="F457" i="5"/>
  <c r="P456" i="5"/>
  <c r="O456" i="5"/>
  <c r="M456" i="5"/>
  <c r="L456" i="5"/>
  <c r="J456" i="5"/>
  <c r="I456" i="5"/>
  <c r="G456" i="5"/>
  <c r="F456" i="5"/>
  <c r="P455" i="5"/>
  <c r="O455" i="5"/>
  <c r="M455" i="5"/>
  <c r="L455" i="5"/>
  <c r="J455" i="5"/>
  <c r="I455" i="5"/>
  <c r="G455" i="5"/>
  <c r="F455" i="5"/>
  <c r="P454" i="5"/>
  <c r="O454" i="5"/>
  <c r="M454" i="5"/>
  <c r="L454" i="5"/>
  <c r="J454" i="5"/>
  <c r="I454" i="5"/>
  <c r="G454" i="5"/>
  <c r="F454" i="5"/>
  <c r="P453" i="5"/>
  <c r="O453" i="5"/>
  <c r="M453" i="5"/>
  <c r="L453" i="5"/>
  <c r="J453" i="5"/>
  <c r="I453" i="5"/>
  <c r="G453" i="5"/>
  <c r="F453" i="5"/>
  <c r="P452" i="5"/>
  <c r="O452" i="5"/>
  <c r="M452" i="5"/>
  <c r="L452" i="5"/>
  <c r="J452" i="5"/>
  <c r="I452" i="5"/>
  <c r="G452" i="5"/>
  <c r="F452" i="5"/>
  <c r="P451" i="5"/>
  <c r="O451" i="5"/>
  <c r="M451" i="5"/>
  <c r="L451" i="5"/>
  <c r="J451" i="5"/>
  <c r="I451" i="5"/>
  <c r="G451" i="5"/>
  <c r="F451" i="5"/>
  <c r="P450" i="5"/>
  <c r="O450" i="5"/>
  <c r="M450" i="5"/>
  <c r="L450" i="5"/>
  <c r="J450" i="5"/>
  <c r="I450" i="5"/>
  <c r="G450" i="5"/>
  <c r="F450" i="5"/>
  <c r="P449" i="5"/>
  <c r="O449" i="5"/>
  <c r="M449" i="5"/>
  <c r="L449" i="5"/>
  <c r="J449" i="5"/>
  <c r="I449" i="5"/>
  <c r="G449" i="5"/>
  <c r="F449" i="5"/>
  <c r="P448" i="5"/>
  <c r="O448" i="5"/>
  <c r="M448" i="5"/>
  <c r="L448" i="5"/>
  <c r="J448" i="5"/>
  <c r="I448" i="5"/>
  <c r="G448" i="5"/>
  <c r="F448" i="5"/>
  <c r="P447" i="5"/>
  <c r="O447" i="5"/>
  <c r="M447" i="5"/>
  <c r="L447" i="5"/>
  <c r="J447" i="5"/>
  <c r="I447" i="5"/>
  <c r="G447" i="5"/>
  <c r="F447" i="5"/>
  <c r="P446" i="5"/>
  <c r="O446" i="5"/>
  <c r="M446" i="5"/>
  <c r="L446" i="5"/>
  <c r="J446" i="5"/>
  <c r="I446" i="5"/>
  <c r="G446" i="5"/>
  <c r="F446" i="5"/>
  <c r="P445" i="5"/>
  <c r="O445" i="5"/>
  <c r="M445" i="5"/>
  <c r="L445" i="5"/>
  <c r="J445" i="5"/>
  <c r="I445" i="5"/>
  <c r="G445" i="5"/>
  <c r="F445" i="5"/>
  <c r="P444" i="5"/>
  <c r="O444" i="5"/>
  <c r="M444" i="5"/>
  <c r="L444" i="5"/>
  <c r="J444" i="5"/>
  <c r="I444" i="5"/>
  <c r="G444" i="5"/>
  <c r="F444" i="5"/>
  <c r="P443" i="5"/>
  <c r="O443" i="5"/>
  <c r="M443" i="5"/>
  <c r="L443" i="5"/>
  <c r="J443" i="5"/>
  <c r="I443" i="5"/>
  <c r="G443" i="5"/>
  <c r="F443" i="5"/>
  <c r="P442" i="5"/>
  <c r="O442" i="5"/>
  <c r="M442" i="5"/>
  <c r="L442" i="5"/>
  <c r="J442" i="5"/>
  <c r="I442" i="5"/>
  <c r="G442" i="5"/>
  <c r="F442" i="5"/>
  <c r="P441" i="5"/>
  <c r="O441" i="5"/>
  <c r="M441" i="5"/>
  <c r="L441" i="5"/>
  <c r="J441" i="5"/>
  <c r="I441" i="5"/>
  <c r="G441" i="5"/>
  <c r="F441" i="5"/>
  <c r="P440" i="5"/>
  <c r="O440" i="5"/>
  <c r="M440" i="5"/>
  <c r="L440" i="5"/>
  <c r="J440" i="5"/>
  <c r="I440" i="5"/>
  <c r="G440" i="5"/>
  <c r="F440" i="5"/>
  <c r="P439" i="5"/>
  <c r="O439" i="5"/>
  <c r="M439" i="5"/>
  <c r="L439" i="5"/>
  <c r="J439" i="5"/>
  <c r="I439" i="5"/>
  <c r="G439" i="5"/>
  <c r="F439" i="5"/>
  <c r="P438" i="5"/>
  <c r="O438" i="5"/>
  <c r="M438" i="5"/>
  <c r="L438" i="5"/>
  <c r="J438" i="5"/>
  <c r="I438" i="5"/>
  <c r="G438" i="5"/>
  <c r="F438" i="5"/>
  <c r="P437" i="5"/>
  <c r="O437" i="5"/>
  <c r="M437" i="5"/>
  <c r="L437" i="5"/>
  <c r="J437" i="5"/>
  <c r="I437" i="5"/>
  <c r="G437" i="5"/>
  <c r="F437" i="5"/>
  <c r="P436" i="5"/>
  <c r="O436" i="5"/>
  <c r="M436" i="5"/>
  <c r="L436" i="5"/>
  <c r="J436" i="5"/>
  <c r="I436" i="5"/>
  <c r="G436" i="5"/>
  <c r="F436" i="5"/>
  <c r="P435" i="5"/>
  <c r="O435" i="5"/>
  <c r="M435" i="5"/>
  <c r="L435" i="5"/>
  <c r="J435" i="5"/>
  <c r="I435" i="5"/>
  <c r="G435" i="5"/>
  <c r="F435" i="5"/>
  <c r="P434" i="5"/>
  <c r="O434" i="5"/>
  <c r="M434" i="5"/>
  <c r="L434" i="5"/>
  <c r="J434" i="5"/>
  <c r="I434" i="5"/>
  <c r="G434" i="5"/>
  <c r="F434" i="5"/>
  <c r="P433" i="5"/>
  <c r="O433" i="5"/>
  <c r="M433" i="5"/>
  <c r="L433" i="5"/>
  <c r="J433" i="5"/>
  <c r="I433" i="5"/>
  <c r="G433" i="5"/>
  <c r="F433" i="5"/>
  <c r="P432" i="5"/>
  <c r="O432" i="5"/>
  <c r="M432" i="5"/>
  <c r="L432" i="5"/>
  <c r="J432" i="5"/>
  <c r="I432" i="5"/>
  <c r="G432" i="5"/>
  <c r="F432" i="5"/>
  <c r="P431" i="5"/>
  <c r="O431" i="5"/>
  <c r="M431" i="5"/>
  <c r="L431" i="5"/>
  <c r="J431" i="5"/>
  <c r="I431" i="5"/>
  <c r="G431" i="5"/>
  <c r="F431" i="5"/>
  <c r="P430" i="5"/>
  <c r="O430" i="5"/>
  <c r="M430" i="5"/>
  <c r="L430" i="5"/>
  <c r="J430" i="5"/>
  <c r="I430" i="5"/>
  <c r="G430" i="5"/>
  <c r="F430" i="5"/>
  <c r="P429" i="5"/>
  <c r="O429" i="5"/>
  <c r="M429" i="5"/>
  <c r="L429" i="5"/>
  <c r="J429" i="5"/>
  <c r="I429" i="5"/>
  <c r="G429" i="5"/>
  <c r="F429" i="5"/>
  <c r="P428" i="5"/>
  <c r="O428" i="5"/>
  <c r="M428" i="5"/>
  <c r="L428" i="5"/>
  <c r="J428" i="5"/>
  <c r="I428" i="5"/>
  <c r="G428" i="5"/>
  <c r="F428" i="5"/>
  <c r="P427" i="5"/>
  <c r="O427" i="5"/>
  <c r="M427" i="5"/>
  <c r="L427" i="5"/>
  <c r="J427" i="5"/>
  <c r="I427" i="5"/>
  <c r="G427" i="5"/>
  <c r="F427" i="5"/>
  <c r="P426" i="5"/>
  <c r="O426" i="5"/>
  <c r="M426" i="5"/>
  <c r="L426" i="5"/>
  <c r="J426" i="5"/>
  <c r="I426" i="5"/>
  <c r="G426" i="5"/>
  <c r="F426" i="5"/>
  <c r="P425" i="5"/>
  <c r="O425" i="5"/>
  <c r="M425" i="5"/>
  <c r="L425" i="5"/>
  <c r="J425" i="5"/>
  <c r="I425" i="5"/>
  <c r="G425" i="5"/>
  <c r="F425" i="5"/>
  <c r="P424" i="5"/>
  <c r="O424" i="5"/>
  <c r="M424" i="5"/>
  <c r="L424" i="5"/>
  <c r="J424" i="5"/>
  <c r="I424" i="5"/>
  <c r="G424" i="5"/>
  <c r="F424" i="5"/>
  <c r="P423" i="5"/>
  <c r="O423" i="5"/>
  <c r="M423" i="5"/>
  <c r="L423" i="5"/>
  <c r="J423" i="5"/>
  <c r="I423" i="5"/>
  <c r="G423" i="5"/>
  <c r="F423" i="5"/>
  <c r="P422" i="5"/>
  <c r="O422" i="5"/>
  <c r="M422" i="5"/>
  <c r="L422" i="5"/>
  <c r="J422" i="5"/>
  <c r="I422" i="5"/>
  <c r="G422" i="5"/>
  <c r="F422" i="5"/>
  <c r="P421" i="5"/>
  <c r="O421" i="5"/>
  <c r="M421" i="5"/>
  <c r="L421" i="5"/>
  <c r="J421" i="5"/>
  <c r="I421" i="5"/>
  <c r="G421" i="5"/>
  <c r="F421" i="5"/>
  <c r="P420" i="5"/>
  <c r="O420" i="5"/>
  <c r="M420" i="5"/>
  <c r="L420" i="5"/>
  <c r="J420" i="5"/>
  <c r="I420" i="5"/>
  <c r="G420" i="5"/>
  <c r="F420" i="5"/>
  <c r="P419" i="5"/>
  <c r="O419" i="5"/>
  <c r="M419" i="5"/>
  <c r="L419" i="5"/>
  <c r="J419" i="5"/>
  <c r="I419" i="5"/>
  <c r="G419" i="5"/>
  <c r="F419" i="5"/>
  <c r="P418" i="5"/>
  <c r="O418" i="5"/>
  <c r="M418" i="5"/>
  <c r="L418" i="5"/>
  <c r="J418" i="5"/>
  <c r="I418" i="5"/>
  <c r="G418" i="5"/>
  <c r="F418" i="5"/>
  <c r="P417" i="5"/>
  <c r="O417" i="5"/>
  <c r="M417" i="5"/>
  <c r="L417" i="5"/>
  <c r="J417" i="5"/>
  <c r="I417" i="5"/>
  <c r="G417" i="5"/>
  <c r="F417" i="5"/>
  <c r="P416" i="5"/>
  <c r="O416" i="5"/>
  <c r="M416" i="5"/>
  <c r="L416" i="5"/>
  <c r="J416" i="5"/>
  <c r="I416" i="5"/>
  <c r="G416" i="5"/>
  <c r="F416" i="5"/>
  <c r="P415" i="5"/>
  <c r="O415" i="5"/>
  <c r="M415" i="5"/>
  <c r="L415" i="5"/>
  <c r="J415" i="5"/>
  <c r="I415" i="5"/>
  <c r="G415" i="5"/>
  <c r="F415" i="5"/>
  <c r="P414" i="5"/>
  <c r="O414" i="5"/>
  <c r="M414" i="5"/>
  <c r="L414" i="5"/>
  <c r="J414" i="5"/>
  <c r="I414" i="5"/>
  <c r="G414" i="5"/>
  <c r="F414" i="5"/>
  <c r="P413" i="5"/>
  <c r="O413" i="5"/>
  <c r="M413" i="5"/>
  <c r="L413" i="5"/>
  <c r="J413" i="5"/>
  <c r="I413" i="5"/>
  <c r="G413" i="5"/>
  <c r="F413" i="5"/>
  <c r="P412" i="5"/>
  <c r="O412" i="5"/>
  <c r="M412" i="5"/>
  <c r="L412" i="5"/>
  <c r="J412" i="5"/>
  <c r="I412" i="5"/>
  <c r="G412" i="5"/>
  <c r="F412" i="5"/>
  <c r="P411" i="5"/>
  <c r="O411" i="5"/>
  <c r="M411" i="5"/>
  <c r="L411" i="5"/>
  <c r="J411" i="5"/>
  <c r="I411" i="5"/>
  <c r="G411" i="5"/>
  <c r="F411" i="5"/>
  <c r="P410" i="5"/>
  <c r="O410" i="5"/>
  <c r="M410" i="5"/>
  <c r="L410" i="5"/>
  <c r="J410" i="5"/>
  <c r="I410" i="5"/>
  <c r="G410" i="5"/>
  <c r="F410" i="5"/>
  <c r="P409" i="5"/>
  <c r="O409" i="5"/>
  <c r="M409" i="5"/>
  <c r="L409" i="5"/>
  <c r="J409" i="5"/>
  <c r="I409" i="5"/>
  <c r="G409" i="5"/>
  <c r="F409" i="5"/>
  <c r="P408" i="5"/>
  <c r="O408" i="5"/>
  <c r="M408" i="5"/>
  <c r="L408" i="5"/>
  <c r="J408" i="5"/>
  <c r="I408" i="5"/>
  <c r="G408" i="5"/>
  <c r="F408" i="5"/>
  <c r="P407" i="5"/>
  <c r="O407" i="5"/>
  <c r="M407" i="5"/>
  <c r="L407" i="5"/>
  <c r="J407" i="5"/>
  <c r="I407" i="5"/>
  <c r="G407" i="5"/>
  <c r="F407" i="5"/>
  <c r="P406" i="5"/>
  <c r="O406" i="5"/>
  <c r="M406" i="5"/>
  <c r="L406" i="5"/>
  <c r="J406" i="5"/>
  <c r="I406" i="5"/>
  <c r="G406" i="5"/>
  <c r="F406" i="5"/>
  <c r="P405" i="5"/>
  <c r="O405" i="5"/>
  <c r="M405" i="5"/>
  <c r="L405" i="5"/>
  <c r="J405" i="5"/>
  <c r="I405" i="5"/>
  <c r="G405" i="5"/>
  <c r="F405" i="5"/>
  <c r="P404" i="5"/>
  <c r="O404" i="5"/>
  <c r="M404" i="5"/>
  <c r="L404" i="5"/>
  <c r="J404" i="5"/>
  <c r="I404" i="5"/>
  <c r="G404" i="5"/>
  <c r="F404" i="5"/>
  <c r="P403" i="5"/>
  <c r="O403" i="5"/>
  <c r="M403" i="5"/>
  <c r="L403" i="5"/>
  <c r="J403" i="5"/>
  <c r="I403" i="5"/>
  <c r="G403" i="5"/>
  <c r="F403" i="5"/>
  <c r="P402" i="5"/>
  <c r="O402" i="5"/>
  <c r="M402" i="5"/>
  <c r="L402" i="5"/>
  <c r="J402" i="5"/>
  <c r="I402" i="5"/>
  <c r="G402" i="5"/>
  <c r="F402" i="5"/>
  <c r="P401" i="5"/>
  <c r="O401" i="5"/>
  <c r="M401" i="5"/>
  <c r="L401" i="5"/>
  <c r="J401" i="5"/>
  <c r="I401" i="5"/>
  <c r="G401" i="5"/>
  <c r="F401" i="5"/>
  <c r="P400" i="5"/>
  <c r="O400" i="5"/>
  <c r="M400" i="5"/>
  <c r="L400" i="5"/>
  <c r="J400" i="5"/>
  <c r="I400" i="5"/>
  <c r="G400" i="5"/>
  <c r="F400" i="5"/>
  <c r="P399" i="5"/>
  <c r="O399" i="5"/>
  <c r="M399" i="5"/>
  <c r="L399" i="5"/>
  <c r="J399" i="5"/>
  <c r="I399" i="5"/>
  <c r="G399" i="5"/>
  <c r="F399" i="5"/>
  <c r="P398" i="5"/>
  <c r="O398" i="5"/>
  <c r="M398" i="5"/>
  <c r="L398" i="5"/>
  <c r="J398" i="5"/>
  <c r="I398" i="5"/>
  <c r="G398" i="5"/>
  <c r="F398" i="5"/>
  <c r="P397" i="5"/>
  <c r="O397" i="5"/>
  <c r="M397" i="5"/>
  <c r="L397" i="5"/>
  <c r="J397" i="5"/>
  <c r="I397" i="5"/>
  <c r="G397" i="5"/>
  <c r="F397" i="5"/>
  <c r="P396" i="5"/>
  <c r="O396" i="5"/>
  <c r="M396" i="5"/>
  <c r="L396" i="5"/>
  <c r="J396" i="5"/>
  <c r="I396" i="5"/>
  <c r="G396" i="5"/>
  <c r="F396" i="5"/>
  <c r="P395" i="5"/>
  <c r="O395" i="5"/>
  <c r="M395" i="5"/>
  <c r="L395" i="5"/>
  <c r="J395" i="5"/>
  <c r="I395" i="5"/>
  <c r="G395" i="5"/>
  <c r="F395" i="5"/>
  <c r="P394" i="5"/>
  <c r="O394" i="5"/>
  <c r="M394" i="5"/>
  <c r="L394" i="5"/>
  <c r="J394" i="5"/>
  <c r="I394" i="5"/>
  <c r="G394" i="5"/>
  <c r="F394" i="5"/>
  <c r="P393" i="5"/>
  <c r="O393" i="5"/>
  <c r="M393" i="5"/>
  <c r="L393" i="5"/>
  <c r="J393" i="5"/>
  <c r="I393" i="5"/>
  <c r="G393" i="5"/>
  <c r="F393" i="5"/>
  <c r="P392" i="5"/>
  <c r="O392" i="5"/>
  <c r="M392" i="5"/>
  <c r="L392" i="5"/>
  <c r="J392" i="5"/>
  <c r="I392" i="5"/>
  <c r="G392" i="5"/>
  <c r="F392" i="5"/>
  <c r="P391" i="5"/>
  <c r="O391" i="5"/>
  <c r="M391" i="5"/>
  <c r="L391" i="5"/>
  <c r="J391" i="5"/>
  <c r="I391" i="5"/>
  <c r="G391" i="5"/>
  <c r="F391" i="5"/>
  <c r="P390" i="5"/>
  <c r="O390" i="5"/>
  <c r="M390" i="5"/>
  <c r="L390" i="5"/>
  <c r="J390" i="5"/>
  <c r="I390" i="5"/>
  <c r="G390" i="5"/>
  <c r="F390" i="5"/>
  <c r="P389" i="5"/>
  <c r="O389" i="5"/>
  <c r="M389" i="5"/>
  <c r="L389" i="5"/>
  <c r="J389" i="5"/>
  <c r="I389" i="5"/>
  <c r="G389" i="5"/>
  <c r="F389" i="5"/>
  <c r="P388" i="5"/>
  <c r="O388" i="5"/>
  <c r="M388" i="5"/>
  <c r="L388" i="5"/>
  <c r="J388" i="5"/>
  <c r="I388" i="5"/>
  <c r="G388" i="5"/>
  <c r="F388" i="5"/>
  <c r="P387" i="5"/>
  <c r="O387" i="5"/>
  <c r="M387" i="5"/>
  <c r="L387" i="5"/>
  <c r="J387" i="5"/>
  <c r="I387" i="5"/>
  <c r="G387" i="5"/>
  <c r="F387" i="5"/>
  <c r="P386" i="5"/>
  <c r="O386" i="5"/>
  <c r="M386" i="5"/>
  <c r="L386" i="5"/>
  <c r="J386" i="5"/>
  <c r="I386" i="5"/>
  <c r="G386" i="5"/>
  <c r="F386" i="5"/>
  <c r="P385" i="5"/>
  <c r="O385" i="5"/>
  <c r="M385" i="5"/>
  <c r="L385" i="5"/>
  <c r="J385" i="5"/>
  <c r="I385" i="5"/>
  <c r="G385" i="5"/>
  <c r="F385" i="5"/>
  <c r="P384" i="5"/>
  <c r="O384" i="5"/>
  <c r="M384" i="5"/>
  <c r="L384" i="5"/>
  <c r="J384" i="5"/>
  <c r="I384" i="5"/>
  <c r="G384" i="5"/>
  <c r="F384" i="5"/>
  <c r="P383" i="5"/>
  <c r="O383" i="5"/>
  <c r="M383" i="5"/>
  <c r="L383" i="5"/>
  <c r="J383" i="5"/>
  <c r="I383" i="5"/>
  <c r="G383" i="5"/>
  <c r="F383" i="5"/>
  <c r="P382" i="5"/>
  <c r="O382" i="5"/>
  <c r="M382" i="5"/>
  <c r="L382" i="5"/>
  <c r="J382" i="5"/>
  <c r="I382" i="5"/>
  <c r="G382" i="5"/>
  <c r="F382" i="5"/>
  <c r="P381" i="5"/>
  <c r="O381" i="5"/>
  <c r="M381" i="5"/>
  <c r="L381" i="5"/>
  <c r="J381" i="5"/>
  <c r="I381" i="5"/>
  <c r="G381" i="5"/>
  <c r="F381" i="5"/>
  <c r="P380" i="5"/>
  <c r="O380" i="5"/>
  <c r="M380" i="5"/>
  <c r="L380" i="5"/>
  <c r="J380" i="5"/>
  <c r="I380" i="5"/>
  <c r="G380" i="5"/>
  <c r="F380" i="5"/>
  <c r="P379" i="5"/>
  <c r="O379" i="5"/>
  <c r="M379" i="5"/>
  <c r="L379" i="5"/>
  <c r="J379" i="5"/>
  <c r="I379" i="5"/>
  <c r="G379" i="5"/>
  <c r="F379" i="5"/>
  <c r="P378" i="5"/>
  <c r="O378" i="5"/>
  <c r="M378" i="5"/>
  <c r="L378" i="5"/>
  <c r="J378" i="5"/>
  <c r="I378" i="5"/>
  <c r="G378" i="5"/>
  <c r="F378" i="5"/>
  <c r="P377" i="5"/>
  <c r="O377" i="5"/>
  <c r="M377" i="5"/>
  <c r="L377" i="5"/>
  <c r="J377" i="5"/>
  <c r="I377" i="5"/>
  <c r="G377" i="5"/>
  <c r="F377" i="5"/>
  <c r="P376" i="5"/>
  <c r="O376" i="5"/>
  <c r="M376" i="5"/>
  <c r="L376" i="5"/>
  <c r="J376" i="5"/>
  <c r="I376" i="5"/>
  <c r="G376" i="5"/>
  <c r="F376" i="5"/>
  <c r="P375" i="5"/>
  <c r="O375" i="5"/>
  <c r="M375" i="5"/>
  <c r="L375" i="5"/>
  <c r="J375" i="5"/>
  <c r="I375" i="5"/>
  <c r="G375" i="5"/>
  <c r="F375" i="5"/>
  <c r="P374" i="5"/>
  <c r="O374" i="5"/>
  <c r="M374" i="5"/>
  <c r="L374" i="5"/>
  <c r="J374" i="5"/>
  <c r="I374" i="5"/>
  <c r="G374" i="5"/>
  <c r="F374" i="5"/>
  <c r="P373" i="5"/>
  <c r="O373" i="5"/>
  <c r="M373" i="5"/>
  <c r="L373" i="5"/>
  <c r="J373" i="5"/>
  <c r="I373" i="5"/>
  <c r="G373" i="5"/>
  <c r="F373" i="5"/>
  <c r="P372" i="5"/>
  <c r="O372" i="5"/>
  <c r="M372" i="5"/>
  <c r="L372" i="5"/>
  <c r="J372" i="5"/>
  <c r="I372" i="5"/>
  <c r="G372" i="5"/>
  <c r="F372" i="5"/>
  <c r="P371" i="5"/>
  <c r="O371" i="5"/>
  <c r="M371" i="5"/>
  <c r="L371" i="5"/>
  <c r="J371" i="5"/>
  <c r="I371" i="5"/>
  <c r="G371" i="5"/>
  <c r="F371" i="5"/>
  <c r="P370" i="5"/>
  <c r="O370" i="5"/>
  <c r="M370" i="5"/>
  <c r="L370" i="5"/>
  <c r="J370" i="5"/>
  <c r="I370" i="5"/>
  <c r="G370" i="5"/>
  <c r="F370" i="5"/>
  <c r="P369" i="5"/>
  <c r="O369" i="5"/>
  <c r="M369" i="5"/>
  <c r="L369" i="5"/>
  <c r="J369" i="5"/>
  <c r="I369" i="5"/>
  <c r="G369" i="5"/>
  <c r="F369" i="5"/>
  <c r="P368" i="5"/>
  <c r="O368" i="5"/>
  <c r="M368" i="5"/>
  <c r="L368" i="5"/>
  <c r="J368" i="5"/>
  <c r="I368" i="5"/>
  <c r="G368" i="5"/>
  <c r="F368" i="5"/>
  <c r="P367" i="5"/>
  <c r="O367" i="5"/>
  <c r="M367" i="5"/>
  <c r="L367" i="5"/>
  <c r="J367" i="5"/>
  <c r="I367" i="5"/>
  <c r="G367" i="5"/>
  <c r="F367" i="5"/>
  <c r="P366" i="5"/>
  <c r="O366" i="5"/>
  <c r="M366" i="5"/>
  <c r="L366" i="5"/>
  <c r="J366" i="5"/>
  <c r="I366" i="5"/>
  <c r="G366" i="5"/>
  <c r="F366" i="5"/>
  <c r="P365" i="5"/>
  <c r="O365" i="5"/>
  <c r="M365" i="5"/>
  <c r="L365" i="5"/>
  <c r="J365" i="5"/>
  <c r="I365" i="5"/>
  <c r="G365" i="5"/>
  <c r="F365" i="5"/>
  <c r="P364" i="5"/>
  <c r="O364" i="5"/>
  <c r="M364" i="5"/>
  <c r="L364" i="5"/>
  <c r="J364" i="5"/>
  <c r="I364" i="5"/>
  <c r="G364" i="5"/>
  <c r="F364" i="5"/>
  <c r="P363" i="5"/>
  <c r="O363" i="5"/>
  <c r="M363" i="5"/>
  <c r="L363" i="5"/>
  <c r="J363" i="5"/>
  <c r="I363" i="5"/>
  <c r="G363" i="5"/>
  <c r="F363" i="5"/>
  <c r="P362" i="5"/>
  <c r="O362" i="5"/>
  <c r="M362" i="5"/>
  <c r="L362" i="5"/>
  <c r="J362" i="5"/>
  <c r="I362" i="5"/>
  <c r="G362" i="5"/>
  <c r="F362" i="5"/>
  <c r="P361" i="5"/>
  <c r="O361" i="5"/>
  <c r="M361" i="5"/>
  <c r="L361" i="5"/>
  <c r="J361" i="5"/>
  <c r="I361" i="5"/>
  <c r="G361" i="5"/>
  <c r="F361" i="5"/>
  <c r="P360" i="5"/>
  <c r="O360" i="5"/>
  <c r="M360" i="5"/>
  <c r="L360" i="5"/>
  <c r="J360" i="5"/>
  <c r="I360" i="5"/>
  <c r="G360" i="5"/>
  <c r="F360" i="5"/>
  <c r="P359" i="5"/>
  <c r="O359" i="5"/>
  <c r="M359" i="5"/>
  <c r="L359" i="5"/>
  <c r="J359" i="5"/>
  <c r="I359" i="5"/>
  <c r="G359" i="5"/>
  <c r="F359" i="5"/>
  <c r="P358" i="5"/>
  <c r="O358" i="5"/>
  <c r="M358" i="5"/>
  <c r="L358" i="5"/>
  <c r="J358" i="5"/>
  <c r="I358" i="5"/>
  <c r="G358" i="5"/>
  <c r="F358" i="5"/>
  <c r="P357" i="5"/>
  <c r="O357" i="5"/>
  <c r="M357" i="5"/>
  <c r="L357" i="5"/>
  <c r="J357" i="5"/>
  <c r="I357" i="5"/>
  <c r="G357" i="5"/>
  <c r="F357" i="5"/>
  <c r="P356" i="5"/>
  <c r="O356" i="5"/>
  <c r="M356" i="5"/>
  <c r="L356" i="5"/>
  <c r="J356" i="5"/>
  <c r="I356" i="5"/>
  <c r="G356" i="5"/>
  <c r="F356" i="5"/>
  <c r="P355" i="5"/>
  <c r="O355" i="5"/>
  <c r="M355" i="5"/>
  <c r="L355" i="5"/>
  <c r="J355" i="5"/>
  <c r="I355" i="5"/>
  <c r="G355" i="5"/>
  <c r="F355" i="5"/>
  <c r="P354" i="5"/>
  <c r="O354" i="5"/>
  <c r="M354" i="5"/>
  <c r="L354" i="5"/>
  <c r="J354" i="5"/>
  <c r="I354" i="5"/>
  <c r="G354" i="5"/>
  <c r="F354" i="5"/>
  <c r="P353" i="5"/>
  <c r="O353" i="5"/>
  <c r="M353" i="5"/>
  <c r="L353" i="5"/>
  <c r="J353" i="5"/>
  <c r="I353" i="5"/>
  <c r="G353" i="5"/>
  <c r="F353" i="5"/>
  <c r="P352" i="5"/>
  <c r="O352" i="5"/>
  <c r="M352" i="5"/>
  <c r="L352" i="5"/>
  <c r="J352" i="5"/>
  <c r="I352" i="5"/>
  <c r="G352" i="5"/>
  <c r="F352" i="5"/>
  <c r="P351" i="5"/>
  <c r="O351" i="5"/>
  <c r="M351" i="5"/>
  <c r="L351" i="5"/>
  <c r="J351" i="5"/>
  <c r="I351" i="5"/>
  <c r="G351" i="5"/>
  <c r="F351" i="5"/>
  <c r="P350" i="5"/>
  <c r="O350" i="5"/>
  <c r="M350" i="5"/>
  <c r="L350" i="5"/>
  <c r="J350" i="5"/>
  <c r="I350" i="5"/>
  <c r="G350" i="5"/>
  <c r="F350" i="5"/>
  <c r="P349" i="5"/>
  <c r="O349" i="5"/>
  <c r="M349" i="5"/>
  <c r="L349" i="5"/>
  <c r="J349" i="5"/>
  <c r="I349" i="5"/>
  <c r="G349" i="5"/>
  <c r="F349" i="5"/>
  <c r="P348" i="5"/>
  <c r="O348" i="5"/>
  <c r="M348" i="5"/>
  <c r="L348" i="5"/>
  <c r="J348" i="5"/>
  <c r="I348" i="5"/>
  <c r="G348" i="5"/>
  <c r="F348" i="5"/>
  <c r="P347" i="5"/>
  <c r="O347" i="5"/>
  <c r="M347" i="5"/>
  <c r="L347" i="5"/>
  <c r="J347" i="5"/>
  <c r="I347" i="5"/>
  <c r="G347" i="5"/>
  <c r="F347" i="5"/>
  <c r="P346" i="5"/>
  <c r="O346" i="5"/>
  <c r="M346" i="5"/>
  <c r="L346" i="5"/>
  <c r="J346" i="5"/>
  <c r="I346" i="5"/>
  <c r="G346" i="5"/>
  <c r="F346" i="5"/>
  <c r="P345" i="5"/>
  <c r="O345" i="5"/>
  <c r="M345" i="5"/>
  <c r="L345" i="5"/>
  <c r="J345" i="5"/>
  <c r="I345" i="5"/>
  <c r="G345" i="5"/>
  <c r="F345" i="5"/>
  <c r="P344" i="5"/>
  <c r="O344" i="5"/>
  <c r="M344" i="5"/>
  <c r="L344" i="5"/>
  <c r="J344" i="5"/>
  <c r="I344" i="5"/>
  <c r="G344" i="5"/>
  <c r="F344" i="5"/>
  <c r="P343" i="5"/>
  <c r="O343" i="5"/>
  <c r="M343" i="5"/>
  <c r="L343" i="5"/>
  <c r="J343" i="5"/>
  <c r="I343" i="5"/>
  <c r="G343" i="5"/>
  <c r="F343" i="5"/>
  <c r="P342" i="5"/>
  <c r="O342" i="5"/>
  <c r="M342" i="5"/>
  <c r="L342" i="5"/>
  <c r="J342" i="5"/>
  <c r="I342" i="5"/>
  <c r="G342" i="5"/>
  <c r="F342" i="5"/>
  <c r="P341" i="5"/>
  <c r="O341" i="5"/>
  <c r="M341" i="5"/>
  <c r="L341" i="5"/>
  <c r="J341" i="5"/>
  <c r="I341" i="5"/>
  <c r="G341" i="5"/>
  <c r="F341" i="5"/>
  <c r="P340" i="5"/>
  <c r="O340" i="5"/>
  <c r="M340" i="5"/>
  <c r="L340" i="5"/>
  <c r="J340" i="5"/>
  <c r="I340" i="5"/>
  <c r="G340" i="5"/>
  <c r="F340" i="5"/>
  <c r="P339" i="5"/>
  <c r="O339" i="5"/>
  <c r="M339" i="5"/>
  <c r="L339" i="5"/>
  <c r="J339" i="5"/>
  <c r="I339" i="5"/>
  <c r="G339" i="5"/>
  <c r="F339" i="5"/>
  <c r="P338" i="5"/>
  <c r="O338" i="5"/>
  <c r="M338" i="5"/>
  <c r="L338" i="5"/>
  <c r="J338" i="5"/>
  <c r="I338" i="5"/>
  <c r="G338" i="5"/>
  <c r="F338" i="5"/>
  <c r="P337" i="5"/>
  <c r="O337" i="5"/>
  <c r="M337" i="5"/>
  <c r="L337" i="5"/>
  <c r="J337" i="5"/>
  <c r="I337" i="5"/>
  <c r="G337" i="5"/>
  <c r="F337" i="5"/>
  <c r="P336" i="5"/>
  <c r="O336" i="5"/>
  <c r="M336" i="5"/>
  <c r="L336" i="5"/>
  <c r="J336" i="5"/>
  <c r="I336" i="5"/>
  <c r="G336" i="5"/>
  <c r="F336" i="5"/>
  <c r="P335" i="5"/>
  <c r="O335" i="5"/>
  <c r="M335" i="5"/>
  <c r="L335" i="5"/>
  <c r="J335" i="5"/>
  <c r="I335" i="5"/>
  <c r="G335" i="5"/>
  <c r="F335" i="5"/>
  <c r="P334" i="5"/>
  <c r="O334" i="5"/>
  <c r="M334" i="5"/>
  <c r="L334" i="5"/>
  <c r="J334" i="5"/>
  <c r="I334" i="5"/>
  <c r="G334" i="5"/>
  <c r="F334" i="5"/>
  <c r="P333" i="5"/>
  <c r="O333" i="5"/>
  <c r="M333" i="5"/>
  <c r="L333" i="5"/>
  <c r="J333" i="5"/>
  <c r="I333" i="5"/>
  <c r="G333" i="5"/>
  <c r="F333" i="5"/>
  <c r="P332" i="5"/>
  <c r="O332" i="5"/>
  <c r="M332" i="5"/>
  <c r="L332" i="5"/>
  <c r="J332" i="5"/>
  <c r="I332" i="5"/>
  <c r="G332" i="5"/>
  <c r="F332" i="5"/>
  <c r="P331" i="5"/>
  <c r="O331" i="5"/>
  <c r="M331" i="5"/>
  <c r="L331" i="5"/>
  <c r="J331" i="5"/>
  <c r="I331" i="5"/>
  <c r="G331" i="5"/>
  <c r="F331" i="5"/>
  <c r="P330" i="5"/>
  <c r="O330" i="5"/>
  <c r="M330" i="5"/>
  <c r="L330" i="5"/>
  <c r="J330" i="5"/>
  <c r="I330" i="5"/>
  <c r="G330" i="5"/>
  <c r="F330" i="5"/>
  <c r="P329" i="5"/>
  <c r="O329" i="5"/>
  <c r="M329" i="5"/>
  <c r="L329" i="5"/>
  <c r="J329" i="5"/>
  <c r="I329" i="5"/>
  <c r="G329" i="5"/>
  <c r="F329" i="5"/>
  <c r="P328" i="5"/>
  <c r="O328" i="5"/>
  <c r="M328" i="5"/>
  <c r="L328" i="5"/>
  <c r="J328" i="5"/>
  <c r="I328" i="5"/>
  <c r="G328" i="5"/>
  <c r="F328" i="5"/>
  <c r="P327" i="5"/>
  <c r="O327" i="5"/>
  <c r="M327" i="5"/>
  <c r="L327" i="5"/>
  <c r="J327" i="5"/>
  <c r="I327" i="5"/>
  <c r="G327" i="5"/>
  <c r="F327" i="5"/>
  <c r="P326" i="5"/>
  <c r="O326" i="5"/>
  <c r="M326" i="5"/>
  <c r="L326" i="5"/>
  <c r="J326" i="5"/>
  <c r="I326" i="5"/>
  <c r="G326" i="5"/>
  <c r="F326" i="5"/>
  <c r="P325" i="5"/>
  <c r="O325" i="5"/>
  <c r="M325" i="5"/>
  <c r="L325" i="5"/>
  <c r="J325" i="5"/>
  <c r="I325" i="5"/>
  <c r="G325" i="5"/>
  <c r="F325" i="5"/>
  <c r="P324" i="5"/>
  <c r="O324" i="5"/>
  <c r="M324" i="5"/>
  <c r="L324" i="5"/>
  <c r="J324" i="5"/>
  <c r="I324" i="5"/>
  <c r="G324" i="5"/>
  <c r="F324" i="5"/>
  <c r="P323" i="5"/>
  <c r="O323" i="5"/>
  <c r="M323" i="5"/>
  <c r="L323" i="5"/>
  <c r="J323" i="5"/>
  <c r="I323" i="5"/>
  <c r="G323" i="5"/>
  <c r="F323" i="5"/>
  <c r="P322" i="5"/>
  <c r="O322" i="5"/>
  <c r="M322" i="5"/>
  <c r="L322" i="5"/>
  <c r="J322" i="5"/>
  <c r="I322" i="5"/>
  <c r="G322" i="5"/>
  <c r="F322" i="5"/>
  <c r="P321" i="5"/>
  <c r="O321" i="5"/>
  <c r="M321" i="5"/>
  <c r="L321" i="5"/>
  <c r="J321" i="5"/>
  <c r="I321" i="5"/>
  <c r="G321" i="5"/>
  <c r="F321" i="5"/>
  <c r="P320" i="5"/>
  <c r="O320" i="5"/>
  <c r="M320" i="5"/>
  <c r="L320" i="5"/>
  <c r="J320" i="5"/>
  <c r="I320" i="5"/>
  <c r="G320" i="5"/>
  <c r="F320" i="5"/>
  <c r="P319" i="5"/>
  <c r="O319" i="5"/>
  <c r="M319" i="5"/>
  <c r="L319" i="5"/>
  <c r="J319" i="5"/>
  <c r="I319" i="5"/>
  <c r="G319" i="5"/>
  <c r="F319" i="5"/>
  <c r="P318" i="5"/>
  <c r="O318" i="5"/>
  <c r="M318" i="5"/>
  <c r="L318" i="5"/>
  <c r="J318" i="5"/>
  <c r="I318" i="5"/>
  <c r="G318" i="5"/>
  <c r="F318" i="5"/>
  <c r="P317" i="5"/>
  <c r="O317" i="5"/>
  <c r="M317" i="5"/>
  <c r="L317" i="5"/>
  <c r="J317" i="5"/>
  <c r="I317" i="5"/>
  <c r="G317" i="5"/>
  <c r="F317" i="5"/>
  <c r="P316" i="5"/>
  <c r="O316" i="5"/>
  <c r="M316" i="5"/>
  <c r="L316" i="5"/>
  <c r="J316" i="5"/>
  <c r="I316" i="5"/>
  <c r="G316" i="5"/>
  <c r="F316" i="5"/>
  <c r="P315" i="5"/>
  <c r="O315" i="5"/>
  <c r="M315" i="5"/>
  <c r="L315" i="5"/>
  <c r="J315" i="5"/>
  <c r="I315" i="5"/>
  <c r="G315" i="5"/>
  <c r="F315" i="5"/>
  <c r="P314" i="5"/>
  <c r="O314" i="5"/>
  <c r="M314" i="5"/>
  <c r="L314" i="5"/>
  <c r="J314" i="5"/>
  <c r="I314" i="5"/>
  <c r="G314" i="5"/>
  <c r="F314" i="5"/>
  <c r="P313" i="5"/>
  <c r="O313" i="5"/>
  <c r="M313" i="5"/>
  <c r="L313" i="5"/>
  <c r="J313" i="5"/>
  <c r="I313" i="5"/>
  <c r="G313" i="5"/>
  <c r="F313" i="5"/>
  <c r="P312" i="5"/>
  <c r="O312" i="5"/>
  <c r="M312" i="5"/>
  <c r="L312" i="5"/>
  <c r="J312" i="5"/>
  <c r="I312" i="5"/>
  <c r="G312" i="5"/>
  <c r="F312" i="5"/>
  <c r="P311" i="5"/>
  <c r="O311" i="5"/>
  <c r="M311" i="5"/>
  <c r="L311" i="5"/>
  <c r="J311" i="5"/>
  <c r="I311" i="5"/>
  <c r="G311" i="5"/>
  <c r="F311" i="5"/>
  <c r="P310" i="5"/>
  <c r="O310" i="5"/>
  <c r="M310" i="5"/>
  <c r="L310" i="5"/>
  <c r="J310" i="5"/>
  <c r="I310" i="5"/>
  <c r="G310" i="5"/>
  <c r="F310" i="5"/>
  <c r="P309" i="5"/>
  <c r="O309" i="5"/>
  <c r="M309" i="5"/>
  <c r="L309" i="5"/>
  <c r="J309" i="5"/>
  <c r="I309" i="5"/>
  <c r="G309" i="5"/>
  <c r="F309" i="5"/>
  <c r="P308" i="5"/>
  <c r="O308" i="5"/>
  <c r="M308" i="5"/>
  <c r="L308" i="5"/>
  <c r="J308" i="5"/>
  <c r="I308" i="5"/>
  <c r="G308" i="5"/>
  <c r="F308" i="5"/>
  <c r="P307" i="5"/>
  <c r="O307" i="5"/>
  <c r="M307" i="5"/>
  <c r="L307" i="5"/>
  <c r="J307" i="5"/>
  <c r="I307" i="5"/>
  <c r="G307" i="5"/>
  <c r="F307" i="5"/>
  <c r="P306" i="5"/>
  <c r="O306" i="5"/>
  <c r="M306" i="5"/>
  <c r="L306" i="5"/>
  <c r="J306" i="5"/>
  <c r="I306" i="5"/>
  <c r="G306" i="5"/>
  <c r="F306" i="5"/>
  <c r="P305" i="5"/>
  <c r="O305" i="5"/>
  <c r="M305" i="5"/>
  <c r="L305" i="5"/>
  <c r="J305" i="5"/>
  <c r="I305" i="5"/>
  <c r="G305" i="5"/>
  <c r="F305" i="5"/>
  <c r="P304" i="5"/>
  <c r="O304" i="5"/>
  <c r="M304" i="5"/>
  <c r="L304" i="5"/>
  <c r="J304" i="5"/>
  <c r="I304" i="5"/>
  <c r="G304" i="5"/>
  <c r="F304" i="5"/>
  <c r="P303" i="5"/>
  <c r="O303" i="5"/>
  <c r="M303" i="5"/>
  <c r="L303" i="5"/>
  <c r="J303" i="5"/>
  <c r="I303" i="5"/>
  <c r="G303" i="5"/>
  <c r="F303" i="5"/>
  <c r="P302" i="5"/>
  <c r="O302" i="5"/>
  <c r="M302" i="5"/>
  <c r="L302" i="5"/>
  <c r="J302" i="5"/>
  <c r="I302" i="5"/>
  <c r="G302" i="5"/>
  <c r="F302" i="5"/>
  <c r="P301" i="5"/>
  <c r="O301" i="5"/>
  <c r="M301" i="5"/>
  <c r="L301" i="5"/>
  <c r="J301" i="5"/>
  <c r="I301" i="5"/>
  <c r="G301" i="5"/>
  <c r="F301" i="5"/>
  <c r="P300" i="5"/>
  <c r="O300" i="5"/>
  <c r="M300" i="5"/>
  <c r="L300" i="5"/>
  <c r="J300" i="5"/>
  <c r="I300" i="5"/>
  <c r="G300" i="5"/>
  <c r="F300" i="5"/>
  <c r="P299" i="5"/>
  <c r="O299" i="5"/>
  <c r="M299" i="5"/>
  <c r="L299" i="5"/>
  <c r="J299" i="5"/>
  <c r="I299" i="5"/>
  <c r="G299" i="5"/>
  <c r="F299" i="5"/>
  <c r="P298" i="5"/>
  <c r="O298" i="5"/>
  <c r="M298" i="5"/>
  <c r="L298" i="5"/>
  <c r="J298" i="5"/>
  <c r="I298" i="5"/>
  <c r="G298" i="5"/>
  <c r="F298" i="5"/>
  <c r="P297" i="5"/>
  <c r="O297" i="5"/>
  <c r="M297" i="5"/>
  <c r="L297" i="5"/>
  <c r="J297" i="5"/>
  <c r="I297" i="5"/>
  <c r="G297" i="5"/>
  <c r="F297" i="5"/>
  <c r="P296" i="5"/>
  <c r="O296" i="5"/>
  <c r="M296" i="5"/>
  <c r="L296" i="5"/>
  <c r="J296" i="5"/>
  <c r="I296" i="5"/>
  <c r="G296" i="5"/>
  <c r="F296" i="5"/>
  <c r="P295" i="5"/>
  <c r="O295" i="5"/>
  <c r="M295" i="5"/>
  <c r="L295" i="5"/>
  <c r="J295" i="5"/>
  <c r="I295" i="5"/>
  <c r="G295" i="5"/>
  <c r="F295" i="5"/>
  <c r="P294" i="5"/>
  <c r="O294" i="5"/>
  <c r="M294" i="5"/>
  <c r="L294" i="5"/>
  <c r="J294" i="5"/>
  <c r="I294" i="5"/>
  <c r="G294" i="5"/>
  <c r="F294" i="5"/>
  <c r="P293" i="5"/>
  <c r="O293" i="5"/>
  <c r="M293" i="5"/>
  <c r="L293" i="5"/>
  <c r="J293" i="5"/>
  <c r="I293" i="5"/>
  <c r="G293" i="5"/>
  <c r="F293" i="5"/>
  <c r="P292" i="5"/>
  <c r="O292" i="5"/>
  <c r="M292" i="5"/>
  <c r="L292" i="5"/>
  <c r="J292" i="5"/>
  <c r="I292" i="5"/>
  <c r="G292" i="5"/>
  <c r="F292" i="5"/>
  <c r="P291" i="5"/>
  <c r="O291" i="5"/>
  <c r="M291" i="5"/>
  <c r="L291" i="5"/>
  <c r="J291" i="5"/>
  <c r="I291" i="5"/>
  <c r="G291" i="5"/>
  <c r="F291" i="5"/>
  <c r="P290" i="5"/>
  <c r="O290" i="5"/>
  <c r="M290" i="5"/>
  <c r="L290" i="5"/>
  <c r="J290" i="5"/>
  <c r="I290" i="5"/>
  <c r="G290" i="5"/>
  <c r="F290" i="5"/>
  <c r="P289" i="5"/>
  <c r="O289" i="5"/>
  <c r="M289" i="5"/>
  <c r="L289" i="5"/>
  <c r="J289" i="5"/>
  <c r="I289" i="5"/>
  <c r="G289" i="5"/>
  <c r="F289" i="5"/>
  <c r="P288" i="5"/>
  <c r="O288" i="5"/>
  <c r="M288" i="5"/>
  <c r="L288" i="5"/>
  <c r="J288" i="5"/>
  <c r="I288" i="5"/>
  <c r="G288" i="5"/>
  <c r="F288" i="5"/>
  <c r="P287" i="5"/>
  <c r="O287" i="5"/>
  <c r="M287" i="5"/>
  <c r="L287" i="5"/>
  <c r="J287" i="5"/>
  <c r="I287" i="5"/>
  <c r="G287" i="5"/>
  <c r="F287" i="5"/>
  <c r="P286" i="5"/>
  <c r="O286" i="5"/>
  <c r="M286" i="5"/>
  <c r="L286" i="5"/>
  <c r="J286" i="5"/>
  <c r="I286" i="5"/>
  <c r="G286" i="5"/>
  <c r="F286" i="5"/>
  <c r="P285" i="5"/>
  <c r="O285" i="5"/>
  <c r="M285" i="5"/>
  <c r="L285" i="5"/>
  <c r="J285" i="5"/>
  <c r="I285" i="5"/>
  <c r="G285" i="5"/>
  <c r="F285" i="5"/>
  <c r="P284" i="5"/>
  <c r="O284" i="5"/>
  <c r="M284" i="5"/>
  <c r="L284" i="5"/>
  <c r="J284" i="5"/>
  <c r="I284" i="5"/>
  <c r="G284" i="5"/>
  <c r="F284" i="5"/>
  <c r="P283" i="5"/>
  <c r="O283" i="5"/>
  <c r="M283" i="5"/>
  <c r="L283" i="5"/>
  <c r="J283" i="5"/>
  <c r="I283" i="5"/>
  <c r="G283" i="5"/>
  <c r="F283" i="5"/>
  <c r="P282" i="5"/>
  <c r="O282" i="5"/>
  <c r="M282" i="5"/>
  <c r="L282" i="5"/>
  <c r="J282" i="5"/>
  <c r="I282" i="5"/>
  <c r="G282" i="5"/>
  <c r="F282" i="5"/>
  <c r="P281" i="5"/>
  <c r="O281" i="5"/>
  <c r="M281" i="5"/>
  <c r="L281" i="5"/>
  <c r="J281" i="5"/>
  <c r="I281" i="5"/>
  <c r="G281" i="5"/>
  <c r="F281" i="5"/>
  <c r="P280" i="5"/>
  <c r="O280" i="5"/>
  <c r="M280" i="5"/>
  <c r="L280" i="5"/>
  <c r="J280" i="5"/>
  <c r="I280" i="5"/>
  <c r="G280" i="5"/>
  <c r="F280" i="5"/>
  <c r="P279" i="5"/>
  <c r="O279" i="5"/>
  <c r="M279" i="5"/>
  <c r="L279" i="5"/>
  <c r="J279" i="5"/>
  <c r="I279" i="5"/>
  <c r="G279" i="5"/>
  <c r="F279" i="5"/>
  <c r="P278" i="5"/>
  <c r="O278" i="5"/>
  <c r="M278" i="5"/>
  <c r="L278" i="5"/>
  <c r="J278" i="5"/>
  <c r="I278" i="5"/>
  <c r="G278" i="5"/>
  <c r="F278" i="5"/>
  <c r="P277" i="5"/>
  <c r="O277" i="5"/>
  <c r="M277" i="5"/>
  <c r="L277" i="5"/>
  <c r="J277" i="5"/>
  <c r="I277" i="5"/>
  <c r="G277" i="5"/>
  <c r="F277" i="5"/>
  <c r="P276" i="5"/>
  <c r="O276" i="5"/>
  <c r="M276" i="5"/>
  <c r="L276" i="5"/>
  <c r="J276" i="5"/>
  <c r="I276" i="5"/>
  <c r="G276" i="5"/>
  <c r="F276" i="5"/>
  <c r="P275" i="5"/>
  <c r="O275" i="5"/>
  <c r="M275" i="5"/>
  <c r="L275" i="5"/>
  <c r="J275" i="5"/>
  <c r="I275" i="5"/>
  <c r="G275" i="5"/>
  <c r="F275" i="5"/>
  <c r="P274" i="5"/>
  <c r="O274" i="5"/>
  <c r="M274" i="5"/>
  <c r="L274" i="5"/>
  <c r="J274" i="5"/>
  <c r="I274" i="5"/>
  <c r="G274" i="5"/>
  <c r="F274" i="5"/>
  <c r="P273" i="5"/>
  <c r="O273" i="5"/>
  <c r="M273" i="5"/>
  <c r="L273" i="5"/>
  <c r="J273" i="5"/>
  <c r="I273" i="5"/>
  <c r="G273" i="5"/>
  <c r="F273" i="5"/>
  <c r="P272" i="5"/>
  <c r="O272" i="5"/>
  <c r="M272" i="5"/>
  <c r="L272" i="5"/>
  <c r="J272" i="5"/>
  <c r="I272" i="5"/>
  <c r="G272" i="5"/>
  <c r="F272" i="5"/>
  <c r="P271" i="5"/>
  <c r="O271" i="5"/>
  <c r="M271" i="5"/>
  <c r="L271" i="5"/>
  <c r="J271" i="5"/>
  <c r="I271" i="5"/>
  <c r="G271" i="5"/>
  <c r="F271" i="5"/>
  <c r="P270" i="5"/>
  <c r="O270" i="5"/>
  <c r="M270" i="5"/>
  <c r="L270" i="5"/>
  <c r="J270" i="5"/>
  <c r="I270" i="5"/>
  <c r="G270" i="5"/>
  <c r="F270" i="5"/>
  <c r="P269" i="5"/>
  <c r="O269" i="5"/>
  <c r="M269" i="5"/>
  <c r="L269" i="5"/>
  <c r="J269" i="5"/>
  <c r="I269" i="5"/>
  <c r="G269" i="5"/>
  <c r="F269" i="5"/>
  <c r="P268" i="5"/>
  <c r="O268" i="5"/>
  <c r="M268" i="5"/>
  <c r="L268" i="5"/>
  <c r="J268" i="5"/>
  <c r="I268" i="5"/>
  <c r="G268" i="5"/>
  <c r="F268" i="5"/>
  <c r="P267" i="5"/>
  <c r="O267" i="5"/>
  <c r="M267" i="5"/>
  <c r="L267" i="5"/>
  <c r="J267" i="5"/>
  <c r="I267" i="5"/>
  <c r="G267" i="5"/>
  <c r="F267" i="5"/>
  <c r="P266" i="5"/>
  <c r="O266" i="5"/>
  <c r="M266" i="5"/>
  <c r="L266" i="5"/>
  <c r="J266" i="5"/>
  <c r="I266" i="5"/>
  <c r="G266" i="5"/>
  <c r="F266" i="5"/>
  <c r="P265" i="5"/>
  <c r="O265" i="5"/>
  <c r="M265" i="5"/>
  <c r="L265" i="5"/>
  <c r="J265" i="5"/>
  <c r="I265" i="5"/>
  <c r="G265" i="5"/>
  <c r="F265" i="5"/>
  <c r="P264" i="5"/>
  <c r="O264" i="5"/>
  <c r="M264" i="5"/>
  <c r="L264" i="5"/>
  <c r="J264" i="5"/>
  <c r="I264" i="5"/>
  <c r="G264" i="5"/>
  <c r="F264" i="5"/>
  <c r="P263" i="5"/>
  <c r="O263" i="5"/>
  <c r="M263" i="5"/>
  <c r="L263" i="5"/>
  <c r="J263" i="5"/>
  <c r="I263" i="5"/>
  <c r="G263" i="5"/>
  <c r="F263" i="5"/>
  <c r="P262" i="5"/>
  <c r="O262" i="5"/>
  <c r="M262" i="5"/>
  <c r="L262" i="5"/>
  <c r="J262" i="5"/>
  <c r="I262" i="5"/>
  <c r="G262" i="5"/>
  <c r="F262" i="5"/>
  <c r="P261" i="5"/>
  <c r="O261" i="5"/>
  <c r="M261" i="5"/>
  <c r="L261" i="5"/>
  <c r="J261" i="5"/>
  <c r="I261" i="5"/>
  <c r="G261" i="5"/>
  <c r="F261" i="5"/>
  <c r="P260" i="5"/>
  <c r="O260" i="5"/>
  <c r="M260" i="5"/>
  <c r="L260" i="5"/>
  <c r="J260" i="5"/>
  <c r="I260" i="5"/>
  <c r="G260" i="5"/>
  <c r="F260" i="5"/>
  <c r="P259" i="5"/>
  <c r="O259" i="5"/>
  <c r="M259" i="5"/>
  <c r="L259" i="5"/>
  <c r="J259" i="5"/>
  <c r="I259" i="5"/>
  <c r="G259" i="5"/>
  <c r="F259" i="5"/>
  <c r="P258" i="5"/>
  <c r="O258" i="5"/>
  <c r="M258" i="5"/>
  <c r="L258" i="5"/>
  <c r="J258" i="5"/>
  <c r="I258" i="5"/>
  <c r="G258" i="5"/>
  <c r="F258" i="5"/>
  <c r="P257" i="5"/>
  <c r="O257" i="5"/>
  <c r="M257" i="5"/>
  <c r="L257" i="5"/>
  <c r="J257" i="5"/>
  <c r="I257" i="5"/>
  <c r="G257" i="5"/>
  <c r="F257" i="5"/>
  <c r="P256" i="5"/>
  <c r="O256" i="5"/>
  <c r="M256" i="5"/>
  <c r="L256" i="5"/>
  <c r="J256" i="5"/>
  <c r="I256" i="5"/>
  <c r="G256" i="5"/>
  <c r="F256" i="5"/>
  <c r="P255" i="5"/>
  <c r="O255" i="5"/>
  <c r="M255" i="5"/>
  <c r="L255" i="5"/>
  <c r="J255" i="5"/>
  <c r="I255" i="5"/>
  <c r="G255" i="5"/>
  <c r="F255" i="5"/>
  <c r="P254" i="5"/>
  <c r="O254" i="5"/>
  <c r="M254" i="5"/>
  <c r="L254" i="5"/>
  <c r="J254" i="5"/>
  <c r="I254" i="5"/>
  <c r="G254" i="5"/>
  <c r="F254" i="5"/>
  <c r="P253" i="5"/>
  <c r="O253" i="5"/>
  <c r="M253" i="5"/>
  <c r="L253" i="5"/>
  <c r="J253" i="5"/>
  <c r="I253" i="5"/>
  <c r="G253" i="5"/>
  <c r="F253" i="5"/>
  <c r="P252" i="5"/>
  <c r="O252" i="5"/>
  <c r="M252" i="5"/>
  <c r="L252" i="5"/>
  <c r="J252" i="5"/>
  <c r="I252" i="5"/>
  <c r="G252" i="5"/>
  <c r="F252" i="5"/>
  <c r="P251" i="5"/>
  <c r="O251" i="5"/>
  <c r="M251" i="5"/>
  <c r="L251" i="5"/>
  <c r="J251" i="5"/>
  <c r="I251" i="5"/>
  <c r="G251" i="5"/>
  <c r="F251" i="5"/>
  <c r="P250" i="5"/>
  <c r="O250" i="5"/>
  <c r="M250" i="5"/>
  <c r="L250" i="5"/>
  <c r="J250" i="5"/>
  <c r="I250" i="5"/>
  <c r="G250" i="5"/>
  <c r="F250" i="5"/>
  <c r="P249" i="5"/>
  <c r="O249" i="5"/>
  <c r="M249" i="5"/>
  <c r="L249" i="5"/>
  <c r="J249" i="5"/>
  <c r="I249" i="5"/>
  <c r="G249" i="5"/>
  <c r="F249" i="5"/>
  <c r="P248" i="5"/>
  <c r="O248" i="5"/>
  <c r="M248" i="5"/>
  <c r="L248" i="5"/>
  <c r="J248" i="5"/>
  <c r="I248" i="5"/>
  <c r="G248" i="5"/>
  <c r="F248" i="5"/>
  <c r="P247" i="5"/>
  <c r="O247" i="5"/>
  <c r="M247" i="5"/>
  <c r="L247" i="5"/>
  <c r="J247" i="5"/>
  <c r="I247" i="5"/>
  <c r="G247" i="5"/>
  <c r="F247" i="5"/>
  <c r="P246" i="5"/>
  <c r="O246" i="5"/>
  <c r="M246" i="5"/>
  <c r="L246" i="5"/>
  <c r="J246" i="5"/>
  <c r="I246" i="5"/>
  <c r="G246" i="5"/>
  <c r="F246" i="5"/>
  <c r="P245" i="5"/>
  <c r="O245" i="5"/>
  <c r="M245" i="5"/>
  <c r="L245" i="5"/>
  <c r="J245" i="5"/>
  <c r="I245" i="5"/>
  <c r="G245" i="5"/>
  <c r="F245" i="5"/>
  <c r="P244" i="5"/>
  <c r="O244" i="5"/>
  <c r="M244" i="5"/>
  <c r="L244" i="5"/>
  <c r="J244" i="5"/>
  <c r="I244" i="5"/>
  <c r="G244" i="5"/>
  <c r="F244" i="5"/>
  <c r="P243" i="5"/>
  <c r="O243" i="5"/>
  <c r="M243" i="5"/>
  <c r="L243" i="5"/>
  <c r="J243" i="5"/>
  <c r="I243" i="5"/>
  <c r="G243" i="5"/>
  <c r="F243" i="5"/>
  <c r="P242" i="5"/>
  <c r="O242" i="5"/>
  <c r="M242" i="5"/>
  <c r="L242" i="5"/>
  <c r="J242" i="5"/>
  <c r="I242" i="5"/>
  <c r="G242" i="5"/>
  <c r="F242" i="5"/>
  <c r="P241" i="5"/>
  <c r="O241" i="5"/>
  <c r="M241" i="5"/>
  <c r="L241" i="5"/>
  <c r="J241" i="5"/>
  <c r="I241" i="5"/>
  <c r="G241" i="5"/>
  <c r="F241" i="5"/>
  <c r="P240" i="5"/>
  <c r="O240" i="5"/>
  <c r="M240" i="5"/>
  <c r="L240" i="5"/>
  <c r="J240" i="5"/>
  <c r="I240" i="5"/>
  <c r="G240" i="5"/>
  <c r="F240" i="5"/>
  <c r="P239" i="5"/>
  <c r="O239" i="5"/>
  <c r="M239" i="5"/>
  <c r="L239" i="5"/>
  <c r="J239" i="5"/>
  <c r="I239" i="5"/>
  <c r="G239" i="5"/>
  <c r="F239" i="5"/>
  <c r="P238" i="5"/>
  <c r="O238" i="5"/>
  <c r="M238" i="5"/>
  <c r="L238" i="5"/>
  <c r="J238" i="5"/>
  <c r="I238" i="5"/>
  <c r="G238" i="5"/>
  <c r="F238" i="5"/>
  <c r="P237" i="5"/>
  <c r="O237" i="5"/>
  <c r="M237" i="5"/>
  <c r="L237" i="5"/>
  <c r="J237" i="5"/>
  <c r="I237" i="5"/>
  <c r="G237" i="5"/>
  <c r="F237" i="5"/>
  <c r="P236" i="5"/>
  <c r="O236" i="5"/>
  <c r="M236" i="5"/>
  <c r="L236" i="5"/>
  <c r="J236" i="5"/>
  <c r="I236" i="5"/>
  <c r="G236" i="5"/>
  <c r="F236" i="5"/>
  <c r="P235" i="5"/>
  <c r="O235" i="5"/>
  <c r="M235" i="5"/>
  <c r="L235" i="5"/>
  <c r="J235" i="5"/>
  <c r="I235" i="5"/>
  <c r="G235" i="5"/>
  <c r="F235" i="5"/>
  <c r="P234" i="5"/>
  <c r="O234" i="5"/>
  <c r="M234" i="5"/>
  <c r="L234" i="5"/>
  <c r="J234" i="5"/>
  <c r="I234" i="5"/>
  <c r="G234" i="5"/>
  <c r="F234" i="5"/>
  <c r="P233" i="5"/>
  <c r="O233" i="5"/>
  <c r="M233" i="5"/>
  <c r="L233" i="5"/>
  <c r="J233" i="5"/>
  <c r="I233" i="5"/>
  <c r="G233" i="5"/>
  <c r="F233" i="5"/>
  <c r="P232" i="5"/>
  <c r="O232" i="5"/>
  <c r="M232" i="5"/>
  <c r="L232" i="5"/>
  <c r="J232" i="5"/>
  <c r="I232" i="5"/>
  <c r="G232" i="5"/>
  <c r="F232" i="5"/>
  <c r="P231" i="5"/>
  <c r="O231" i="5"/>
  <c r="M231" i="5"/>
  <c r="L231" i="5"/>
  <c r="J231" i="5"/>
  <c r="I231" i="5"/>
  <c r="G231" i="5"/>
  <c r="F231" i="5"/>
  <c r="P230" i="5"/>
  <c r="O230" i="5"/>
  <c r="M230" i="5"/>
  <c r="L230" i="5"/>
  <c r="J230" i="5"/>
  <c r="I230" i="5"/>
  <c r="G230" i="5"/>
  <c r="F230" i="5"/>
  <c r="P229" i="5"/>
  <c r="O229" i="5"/>
  <c r="M229" i="5"/>
  <c r="L229" i="5"/>
  <c r="J229" i="5"/>
  <c r="I229" i="5"/>
  <c r="G229" i="5"/>
  <c r="F229" i="5"/>
  <c r="P228" i="5"/>
  <c r="O228" i="5"/>
  <c r="M228" i="5"/>
  <c r="L228" i="5"/>
  <c r="J228" i="5"/>
  <c r="I228" i="5"/>
  <c r="G228" i="5"/>
  <c r="F228" i="5"/>
  <c r="P227" i="5"/>
  <c r="O227" i="5"/>
  <c r="M227" i="5"/>
  <c r="L227" i="5"/>
  <c r="J227" i="5"/>
  <c r="I227" i="5"/>
  <c r="G227" i="5"/>
  <c r="F227" i="5"/>
  <c r="P226" i="5"/>
  <c r="O226" i="5"/>
  <c r="M226" i="5"/>
  <c r="L226" i="5"/>
  <c r="J226" i="5"/>
  <c r="I226" i="5"/>
  <c r="G226" i="5"/>
  <c r="F226" i="5"/>
  <c r="P225" i="5"/>
  <c r="O225" i="5"/>
  <c r="M225" i="5"/>
  <c r="L225" i="5"/>
  <c r="J225" i="5"/>
  <c r="I225" i="5"/>
  <c r="G225" i="5"/>
  <c r="F225" i="5"/>
  <c r="P224" i="5"/>
  <c r="O224" i="5"/>
  <c r="M224" i="5"/>
  <c r="L224" i="5"/>
  <c r="J224" i="5"/>
  <c r="I224" i="5"/>
  <c r="G224" i="5"/>
  <c r="F224" i="5"/>
  <c r="P223" i="5"/>
  <c r="O223" i="5"/>
  <c r="M223" i="5"/>
  <c r="L223" i="5"/>
  <c r="J223" i="5"/>
  <c r="I223" i="5"/>
  <c r="G223" i="5"/>
  <c r="F223" i="5"/>
  <c r="P222" i="5"/>
  <c r="O222" i="5"/>
  <c r="M222" i="5"/>
  <c r="L222" i="5"/>
  <c r="J222" i="5"/>
  <c r="I222" i="5"/>
  <c r="G222" i="5"/>
  <c r="F222" i="5"/>
  <c r="P221" i="5"/>
  <c r="O221" i="5"/>
  <c r="M221" i="5"/>
  <c r="L221" i="5"/>
  <c r="J221" i="5"/>
  <c r="I221" i="5"/>
  <c r="G221" i="5"/>
  <c r="F221" i="5"/>
  <c r="P220" i="5"/>
  <c r="O220" i="5"/>
  <c r="M220" i="5"/>
  <c r="L220" i="5"/>
  <c r="J220" i="5"/>
  <c r="I220" i="5"/>
  <c r="G220" i="5"/>
  <c r="F220" i="5"/>
  <c r="P219" i="5"/>
  <c r="O219" i="5"/>
  <c r="M219" i="5"/>
  <c r="L219" i="5"/>
  <c r="J219" i="5"/>
  <c r="I219" i="5"/>
  <c r="G219" i="5"/>
  <c r="F219" i="5"/>
  <c r="P218" i="5"/>
  <c r="O218" i="5"/>
  <c r="M218" i="5"/>
  <c r="L218" i="5"/>
  <c r="J218" i="5"/>
  <c r="I218" i="5"/>
  <c r="G218" i="5"/>
  <c r="F218" i="5"/>
  <c r="P217" i="5"/>
  <c r="O217" i="5"/>
  <c r="M217" i="5"/>
  <c r="L217" i="5"/>
  <c r="J217" i="5"/>
  <c r="I217" i="5"/>
  <c r="G217" i="5"/>
  <c r="F217" i="5"/>
  <c r="P216" i="5"/>
  <c r="O216" i="5"/>
  <c r="M216" i="5"/>
  <c r="L216" i="5"/>
  <c r="J216" i="5"/>
  <c r="I216" i="5"/>
  <c r="G216" i="5"/>
  <c r="F216" i="5"/>
  <c r="P215" i="5"/>
  <c r="O215" i="5"/>
  <c r="M215" i="5"/>
  <c r="L215" i="5"/>
  <c r="J215" i="5"/>
  <c r="I215" i="5"/>
  <c r="G215" i="5"/>
  <c r="F215" i="5"/>
  <c r="P214" i="5"/>
  <c r="O214" i="5"/>
  <c r="M214" i="5"/>
  <c r="L214" i="5"/>
  <c r="J214" i="5"/>
  <c r="I214" i="5"/>
  <c r="G214" i="5"/>
  <c r="F214" i="5"/>
  <c r="P213" i="5"/>
  <c r="O213" i="5"/>
  <c r="M213" i="5"/>
  <c r="L213" i="5"/>
  <c r="J213" i="5"/>
  <c r="I213" i="5"/>
  <c r="G213" i="5"/>
  <c r="F213" i="5"/>
  <c r="P212" i="5"/>
  <c r="O212" i="5"/>
  <c r="M212" i="5"/>
  <c r="L212" i="5"/>
  <c r="J212" i="5"/>
  <c r="I212" i="5"/>
  <c r="G212" i="5"/>
  <c r="F212" i="5"/>
  <c r="P211" i="5"/>
  <c r="O211" i="5"/>
  <c r="M211" i="5"/>
  <c r="L211" i="5"/>
  <c r="J211" i="5"/>
  <c r="I211" i="5"/>
  <c r="G211" i="5"/>
  <c r="F211" i="5"/>
  <c r="P210" i="5"/>
  <c r="O210" i="5"/>
  <c r="M210" i="5"/>
  <c r="L210" i="5"/>
  <c r="J210" i="5"/>
  <c r="I210" i="5"/>
  <c r="G210" i="5"/>
  <c r="F210" i="5"/>
  <c r="P209" i="5"/>
  <c r="O209" i="5"/>
  <c r="M209" i="5"/>
  <c r="L209" i="5"/>
  <c r="J209" i="5"/>
  <c r="I209" i="5"/>
  <c r="G209" i="5"/>
  <c r="F209" i="5"/>
  <c r="P208" i="5"/>
  <c r="O208" i="5"/>
  <c r="M208" i="5"/>
  <c r="L208" i="5"/>
  <c r="J208" i="5"/>
  <c r="I208" i="5"/>
  <c r="G208" i="5"/>
  <c r="F208" i="5"/>
  <c r="P207" i="5"/>
  <c r="O207" i="5"/>
  <c r="M207" i="5"/>
  <c r="L207" i="5"/>
  <c r="J207" i="5"/>
  <c r="I207" i="5"/>
  <c r="G207" i="5"/>
  <c r="F207" i="5"/>
  <c r="P206" i="5"/>
  <c r="O206" i="5"/>
  <c r="M206" i="5"/>
  <c r="L206" i="5"/>
  <c r="J206" i="5"/>
  <c r="I206" i="5"/>
  <c r="G206" i="5"/>
  <c r="F206" i="5"/>
  <c r="P205" i="5"/>
  <c r="O205" i="5"/>
  <c r="M205" i="5"/>
  <c r="L205" i="5"/>
  <c r="J205" i="5"/>
  <c r="I205" i="5"/>
  <c r="G205" i="5"/>
  <c r="F205" i="5"/>
  <c r="P204" i="5"/>
  <c r="O204" i="5"/>
  <c r="M204" i="5"/>
  <c r="L204" i="5"/>
  <c r="J204" i="5"/>
  <c r="I204" i="5"/>
  <c r="G204" i="5"/>
  <c r="F204" i="5"/>
  <c r="P203" i="5"/>
  <c r="O203" i="5"/>
  <c r="M203" i="5"/>
  <c r="L203" i="5"/>
  <c r="J203" i="5"/>
  <c r="I203" i="5"/>
  <c r="G203" i="5"/>
  <c r="F203" i="5"/>
  <c r="P202" i="5"/>
  <c r="O202" i="5"/>
  <c r="M202" i="5"/>
  <c r="L202" i="5"/>
  <c r="J202" i="5"/>
  <c r="I202" i="5"/>
  <c r="G202" i="5"/>
  <c r="F202" i="5"/>
  <c r="P201" i="5"/>
  <c r="O201" i="5"/>
  <c r="M201" i="5"/>
  <c r="L201" i="5"/>
  <c r="J201" i="5"/>
  <c r="I201" i="5"/>
  <c r="G201" i="5"/>
  <c r="F201" i="5"/>
  <c r="P200" i="5"/>
  <c r="O200" i="5"/>
  <c r="M200" i="5"/>
  <c r="L200" i="5"/>
  <c r="J200" i="5"/>
  <c r="I200" i="5"/>
  <c r="G200" i="5"/>
  <c r="F200" i="5"/>
  <c r="P199" i="5"/>
  <c r="O199" i="5"/>
  <c r="M199" i="5"/>
  <c r="L199" i="5"/>
  <c r="J199" i="5"/>
  <c r="I199" i="5"/>
  <c r="G199" i="5"/>
  <c r="F199" i="5"/>
  <c r="P198" i="5"/>
  <c r="O198" i="5"/>
  <c r="M198" i="5"/>
  <c r="L198" i="5"/>
  <c r="J198" i="5"/>
  <c r="I198" i="5"/>
  <c r="G198" i="5"/>
  <c r="F198" i="5"/>
  <c r="P197" i="5"/>
  <c r="O197" i="5"/>
  <c r="M197" i="5"/>
  <c r="L197" i="5"/>
  <c r="J197" i="5"/>
  <c r="I197" i="5"/>
  <c r="G197" i="5"/>
  <c r="F197" i="5"/>
  <c r="P196" i="5"/>
  <c r="O196" i="5"/>
  <c r="M196" i="5"/>
  <c r="L196" i="5"/>
  <c r="J196" i="5"/>
  <c r="I196" i="5"/>
  <c r="G196" i="5"/>
  <c r="F196" i="5"/>
  <c r="P195" i="5"/>
  <c r="O195" i="5"/>
  <c r="M195" i="5"/>
  <c r="L195" i="5"/>
  <c r="J195" i="5"/>
  <c r="I195" i="5"/>
  <c r="G195" i="5"/>
  <c r="F195" i="5"/>
  <c r="P194" i="5"/>
  <c r="O194" i="5"/>
  <c r="M194" i="5"/>
  <c r="L194" i="5"/>
  <c r="J194" i="5"/>
  <c r="I194" i="5"/>
  <c r="G194" i="5"/>
  <c r="F194" i="5"/>
  <c r="P193" i="5"/>
  <c r="O193" i="5"/>
  <c r="M193" i="5"/>
  <c r="L193" i="5"/>
  <c r="J193" i="5"/>
  <c r="I193" i="5"/>
  <c r="G193" i="5"/>
  <c r="F193" i="5"/>
  <c r="P192" i="5"/>
  <c r="O192" i="5"/>
  <c r="M192" i="5"/>
  <c r="L192" i="5"/>
  <c r="J192" i="5"/>
  <c r="I192" i="5"/>
  <c r="G192" i="5"/>
  <c r="F192" i="5"/>
  <c r="P191" i="5"/>
  <c r="O191" i="5"/>
  <c r="M191" i="5"/>
  <c r="L191" i="5"/>
  <c r="J191" i="5"/>
  <c r="I191" i="5"/>
  <c r="G191" i="5"/>
  <c r="F191" i="5"/>
  <c r="P190" i="5"/>
  <c r="O190" i="5"/>
  <c r="M190" i="5"/>
  <c r="L190" i="5"/>
  <c r="J190" i="5"/>
  <c r="I190" i="5"/>
  <c r="G190" i="5"/>
  <c r="F190" i="5"/>
  <c r="P189" i="5"/>
  <c r="O189" i="5"/>
  <c r="M189" i="5"/>
  <c r="L189" i="5"/>
  <c r="J189" i="5"/>
  <c r="I189" i="5"/>
  <c r="G189" i="5"/>
  <c r="F189" i="5"/>
  <c r="P188" i="5"/>
  <c r="O188" i="5"/>
  <c r="M188" i="5"/>
  <c r="L188" i="5"/>
  <c r="J188" i="5"/>
  <c r="I188" i="5"/>
  <c r="G188" i="5"/>
  <c r="F188" i="5"/>
  <c r="P187" i="5"/>
  <c r="O187" i="5"/>
  <c r="M187" i="5"/>
  <c r="L187" i="5"/>
  <c r="J187" i="5"/>
  <c r="I187" i="5"/>
  <c r="G187" i="5"/>
  <c r="F187" i="5"/>
  <c r="P186" i="5"/>
  <c r="O186" i="5"/>
  <c r="M186" i="5"/>
  <c r="L186" i="5"/>
  <c r="J186" i="5"/>
  <c r="I186" i="5"/>
  <c r="G186" i="5"/>
  <c r="F186" i="5"/>
  <c r="P185" i="5"/>
  <c r="O185" i="5"/>
  <c r="M185" i="5"/>
  <c r="L185" i="5"/>
  <c r="J185" i="5"/>
  <c r="I185" i="5"/>
  <c r="G185" i="5"/>
  <c r="F185" i="5"/>
  <c r="P184" i="5"/>
  <c r="O184" i="5"/>
  <c r="M184" i="5"/>
  <c r="L184" i="5"/>
  <c r="J184" i="5"/>
  <c r="I184" i="5"/>
  <c r="G184" i="5"/>
  <c r="F184" i="5"/>
  <c r="P183" i="5"/>
  <c r="O183" i="5"/>
  <c r="M183" i="5"/>
  <c r="L183" i="5"/>
  <c r="J183" i="5"/>
  <c r="I183" i="5"/>
  <c r="G183" i="5"/>
  <c r="F183" i="5"/>
  <c r="P182" i="5"/>
  <c r="O182" i="5"/>
  <c r="M182" i="5"/>
  <c r="L182" i="5"/>
  <c r="J182" i="5"/>
  <c r="I182" i="5"/>
  <c r="G182" i="5"/>
  <c r="F182" i="5"/>
  <c r="P181" i="5"/>
  <c r="O181" i="5"/>
  <c r="M181" i="5"/>
  <c r="L181" i="5"/>
  <c r="J181" i="5"/>
  <c r="I181" i="5"/>
  <c r="G181" i="5"/>
  <c r="F181" i="5"/>
  <c r="P180" i="5"/>
  <c r="O180" i="5"/>
  <c r="M180" i="5"/>
  <c r="L180" i="5"/>
  <c r="J180" i="5"/>
  <c r="I180" i="5"/>
  <c r="G180" i="5"/>
  <c r="F180" i="5"/>
  <c r="P179" i="5"/>
  <c r="O179" i="5"/>
  <c r="M179" i="5"/>
  <c r="L179" i="5"/>
  <c r="J179" i="5"/>
  <c r="I179" i="5"/>
  <c r="G179" i="5"/>
  <c r="F179" i="5"/>
  <c r="P178" i="5"/>
  <c r="O178" i="5"/>
  <c r="M178" i="5"/>
  <c r="L178" i="5"/>
  <c r="J178" i="5"/>
  <c r="I178" i="5"/>
  <c r="G178" i="5"/>
  <c r="F178" i="5"/>
  <c r="P177" i="5"/>
  <c r="O177" i="5"/>
  <c r="M177" i="5"/>
  <c r="L177" i="5"/>
  <c r="J177" i="5"/>
  <c r="I177" i="5"/>
  <c r="G177" i="5"/>
  <c r="F177" i="5"/>
  <c r="P176" i="5"/>
  <c r="O176" i="5"/>
  <c r="M176" i="5"/>
  <c r="L176" i="5"/>
  <c r="J176" i="5"/>
  <c r="I176" i="5"/>
  <c r="G176" i="5"/>
  <c r="F176" i="5"/>
  <c r="P175" i="5"/>
  <c r="O175" i="5"/>
  <c r="M175" i="5"/>
  <c r="L175" i="5"/>
  <c r="J175" i="5"/>
  <c r="I175" i="5"/>
  <c r="G175" i="5"/>
  <c r="F175" i="5"/>
  <c r="P174" i="5"/>
  <c r="O174" i="5"/>
  <c r="M174" i="5"/>
  <c r="L174" i="5"/>
  <c r="J174" i="5"/>
  <c r="I174" i="5"/>
  <c r="G174" i="5"/>
  <c r="F174" i="5"/>
  <c r="P173" i="5"/>
  <c r="O173" i="5"/>
  <c r="M173" i="5"/>
  <c r="L173" i="5"/>
  <c r="J173" i="5"/>
  <c r="I173" i="5"/>
  <c r="G173" i="5"/>
  <c r="F173" i="5"/>
  <c r="P172" i="5"/>
  <c r="O172" i="5"/>
  <c r="M172" i="5"/>
  <c r="L172" i="5"/>
  <c r="J172" i="5"/>
  <c r="I172" i="5"/>
  <c r="G172" i="5"/>
  <c r="F172" i="5"/>
  <c r="P171" i="5"/>
  <c r="O171" i="5"/>
  <c r="M171" i="5"/>
  <c r="L171" i="5"/>
  <c r="J171" i="5"/>
  <c r="I171" i="5"/>
  <c r="G171" i="5"/>
  <c r="F171" i="5"/>
  <c r="P170" i="5"/>
  <c r="O170" i="5"/>
  <c r="M170" i="5"/>
  <c r="L170" i="5"/>
  <c r="J170" i="5"/>
  <c r="I170" i="5"/>
  <c r="G170" i="5"/>
  <c r="F170" i="5"/>
  <c r="P169" i="5"/>
  <c r="O169" i="5"/>
  <c r="M169" i="5"/>
  <c r="L169" i="5"/>
  <c r="J169" i="5"/>
  <c r="I169" i="5"/>
  <c r="G169" i="5"/>
  <c r="F169" i="5"/>
  <c r="P168" i="5"/>
  <c r="O168" i="5"/>
  <c r="M168" i="5"/>
  <c r="L168" i="5"/>
  <c r="J168" i="5"/>
  <c r="I168" i="5"/>
  <c r="G168" i="5"/>
  <c r="F168" i="5"/>
  <c r="P167" i="5"/>
  <c r="O167" i="5"/>
  <c r="M167" i="5"/>
  <c r="L167" i="5"/>
  <c r="J167" i="5"/>
  <c r="I167" i="5"/>
  <c r="G167" i="5"/>
  <c r="F167" i="5"/>
  <c r="P166" i="5"/>
  <c r="O166" i="5"/>
  <c r="M166" i="5"/>
  <c r="L166" i="5"/>
  <c r="J166" i="5"/>
  <c r="I166" i="5"/>
  <c r="G166" i="5"/>
  <c r="F166" i="5"/>
  <c r="P165" i="5"/>
  <c r="O165" i="5"/>
  <c r="M165" i="5"/>
  <c r="L165" i="5"/>
  <c r="J165" i="5"/>
  <c r="I165" i="5"/>
  <c r="G165" i="5"/>
  <c r="F165" i="5"/>
  <c r="P164" i="5"/>
  <c r="O164" i="5"/>
  <c r="M164" i="5"/>
  <c r="L164" i="5"/>
  <c r="J164" i="5"/>
  <c r="I164" i="5"/>
  <c r="G164" i="5"/>
  <c r="F164" i="5"/>
  <c r="P163" i="5"/>
  <c r="O163" i="5"/>
  <c r="M163" i="5"/>
  <c r="L163" i="5"/>
  <c r="J163" i="5"/>
  <c r="I163" i="5"/>
  <c r="G163" i="5"/>
  <c r="F163" i="5"/>
  <c r="P162" i="5"/>
  <c r="O162" i="5"/>
  <c r="M162" i="5"/>
  <c r="L162" i="5"/>
  <c r="J162" i="5"/>
  <c r="I162" i="5"/>
  <c r="G162" i="5"/>
  <c r="F162" i="5"/>
  <c r="P161" i="5"/>
  <c r="O161" i="5"/>
  <c r="M161" i="5"/>
  <c r="L161" i="5"/>
  <c r="J161" i="5"/>
  <c r="I161" i="5"/>
  <c r="G161" i="5"/>
  <c r="F161" i="5"/>
  <c r="P160" i="5"/>
  <c r="O160" i="5"/>
  <c r="M160" i="5"/>
  <c r="L160" i="5"/>
  <c r="J160" i="5"/>
  <c r="I160" i="5"/>
  <c r="G160" i="5"/>
  <c r="F160" i="5"/>
  <c r="P159" i="5"/>
  <c r="O159" i="5"/>
  <c r="M159" i="5"/>
  <c r="L159" i="5"/>
  <c r="J159" i="5"/>
  <c r="I159" i="5"/>
  <c r="G159" i="5"/>
  <c r="F159" i="5"/>
  <c r="P158" i="5"/>
  <c r="O158" i="5"/>
  <c r="M158" i="5"/>
  <c r="L158" i="5"/>
  <c r="J158" i="5"/>
  <c r="I158" i="5"/>
  <c r="G158" i="5"/>
  <c r="F158" i="5"/>
  <c r="P157" i="5"/>
  <c r="O157" i="5"/>
  <c r="M157" i="5"/>
  <c r="L157" i="5"/>
  <c r="J157" i="5"/>
  <c r="I157" i="5"/>
  <c r="G157" i="5"/>
  <c r="F157" i="5"/>
  <c r="P156" i="5"/>
  <c r="O156" i="5"/>
  <c r="M156" i="5"/>
  <c r="L156" i="5"/>
  <c r="J156" i="5"/>
  <c r="I156" i="5"/>
  <c r="G156" i="5"/>
  <c r="F156" i="5"/>
  <c r="P155" i="5"/>
  <c r="O155" i="5"/>
  <c r="M155" i="5"/>
  <c r="L155" i="5"/>
  <c r="J155" i="5"/>
  <c r="I155" i="5"/>
  <c r="G155" i="5"/>
  <c r="F155" i="5"/>
  <c r="P154" i="5"/>
  <c r="O154" i="5"/>
  <c r="M154" i="5"/>
  <c r="L154" i="5"/>
  <c r="J154" i="5"/>
  <c r="I154" i="5"/>
  <c r="G154" i="5"/>
  <c r="F154" i="5"/>
  <c r="P153" i="5"/>
  <c r="O153" i="5"/>
  <c r="M153" i="5"/>
  <c r="L153" i="5"/>
  <c r="J153" i="5"/>
  <c r="I153" i="5"/>
  <c r="G153" i="5"/>
  <c r="F153" i="5"/>
  <c r="P152" i="5"/>
  <c r="O152" i="5"/>
  <c r="M152" i="5"/>
  <c r="L152" i="5"/>
  <c r="J152" i="5"/>
  <c r="I152" i="5"/>
  <c r="G152" i="5"/>
  <c r="F152" i="5"/>
  <c r="P151" i="5"/>
  <c r="O151" i="5"/>
  <c r="M151" i="5"/>
  <c r="L151" i="5"/>
  <c r="J151" i="5"/>
  <c r="I151" i="5"/>
  <c r="G151" i="5"/>
  <c r="F151" i="5"/>
  <c r="P150" i="5"/>
  <c r="O150" i="5"/>
  <c r="M150" i="5"/>
  <c r="L150" i="5"/>
  <c r="J150" i="5"/>
  <c r="I150" i="5"/>
  <c r="G150" i="5"/>
  <c r="F150" i="5"/>
  <c r="P149" i="5"/>
  <c r="O149" i="5"/>
  <c r="M149" i="5"/>
  <c r="L149" i="5"/>
  <c r="J149" i="5"/>
  <c r="I149" i="5"/>
  <c r="G149" i="5"/>
  <c r="F149" i="5"/>
  <c r="P148" i="5"/>
  <c r="O148" i="5"/>
  <c r="M148" i="5"/>
  <c r="L148" i="5"/>
  <c r="J148" i="5"/>
  <c r="I148" i="5"/>
  <c r="G148" i="5"/>
  <c r="F148" i="5"/>
  <c r="P147" i="5"/>
  <c r="O147" i="5"/>
  <c r="M147" i="5"/>
  <c r="L147" i="5"/>
  <c r="J147" i="5"/>
  <c r="I147" i="5"/>
  <c r="G147" i="5"/>
  <c r="F147" i="5"/>
  <c r="P146" i="5"/>
  <c r="O146" i="5"/>
  <c r="M146" i="5"/>
  <c r="L146" i="5"/>
  <c r="J146" i="5"/>
  <c r="I146" i="5"/>
  <c r="G146" i="5"/>
  <c r="F146" i="5"/>
  <c r="P145" i="5"/>
  <c r="O145" i="5"/>
  <c r="M145" i="5"/>
  <c r="L145" i="5"/>
  <c r="J145" i="5"/>
  <c r="I145" i="5"/>
  <c r="G145" i="5"/>
  <c r="F145" i="5"/>
  <c r="P144" i="5"/>
  <c r="O144" i="5"/>
  <c r="M144" i="5"/>
  <c r="L144" i="5"/>
  <c r="J144" i="5"/>
  <c r="I144" i="5"/>
  <c r="G144" i="5"/>
  <c r="F144" i="5"/>
  <c r="P143" i="5"/>
  <c r="O143" i="5"/>
  <c r="M143" i="5"/>
  <c r="L143" i="5"/>
  <c r="J143" i="5"/>
  <c r="I143" i="5"/>
  <c r="G143" i="5"/>
  <c r="F143" i="5"/>
  <c r="P142" i="5"/>
  <c r="O142" i="5"/>
  <c r="M142" i="5"/>
  <c r="L142" i="5"/>
  <c r="J142" i="5"/>
  <c r="I142" i="5"/>
  <c r="G142" i="5"/>
  <c r="F142" i="5"/>
  <c r="P141" i="5"/>
  <c r="O141" i="5"/>
  <c r="M141" i="5"/>
  <c r="L141" i="5"/>
  <c r="J141" i="5"/>
  <c r="I141" i="5"/>
  <c r="G141" i="5"/>
  <c r="F141" i="5"/>
  <c r="P140" i="5"/>
  <c r="O140" i="5"/>
  <c r="M140" i="5"/>
  <c r="L140" i="5"/>
  <c r="J140" i="5"/>
  <c r="I140" i="5"/>
  <c r="G140" i="5"/>
  <c r="F140" i="5"/>
  <c r="P139" i="5"/>
  <c r="O139" i="5"/>
  <c r="M139" i="5"/>
  <c r="L139" i="5"/>
  <c r="J139" i="5"/>
  <c r="I139" i="5"/>
  <c r="G139" i="5"/>
  <c r="F139" i="5"/>
  <c r="P138" i="5"/>
  <c r="O138" i="5"/>
  <c r="M138" i="5"/>
  <c r="L138" i="5"/>
  <c r="J138" i="5"/>
  <c r="I138" i="5"/>
  <c r="G138" i="5"/>
  <c r="F138" i="5"/>
  <c r="P137" i="5"/>
  <c r="O137" i="5"/>
  <c r="M137" i="5"/>
  <c r="L137" i="5"/>
  <c r="J137" i="5"/>
  <c r="I137" i="5"/>
  <c r="G137" i="5"/>
  <c r="F137" i="5"/>
  <c r="P136" i="5"/>
  <c r="O136" i="5"/>
  <c r="M136" i="5"/>
  <c r="L136" i="5"/>
  <c r="J136" i="5"/>
  <c r="I136" i="5"/>
  <c r="G136" i="5"/>
  <c r="F136" i="5"/>
  <c r="P135" i="5"/>
  <c r="O135" i="5"/>
  <c r="M135" i="5"/>
  <c r="L135" i="5"/>
  <c r="J135" i="5"/>
  <c r="I135" i="5"/>
  <c r="G135" i="5"/>
  <c r="F135" i="5"/>
  <c r="P134" i="5"/>
  <c r="O134" i="5"/>
  <c r="M134" i="5"/>
  <c r="L134" i="5"/>
  <c r="J134" i="5"/>
  <c r="I134" i="5"/>
  <c r="G134" i="5"/>
  <c r="F134" i="5"/>
  <c r="P133" i="5"/>
  <c r="O133" i="5"/>
  <c r="M133" i="5"/>
  <c r="L133" i="5"/>
  <c r="J133" i="5"/>
  <c r="I133" i="5"/>
  <c r="G133" i="5"/>
  <c r="F133" i="5"/>
  <c r="P132" i="5"/>
  <c r="O132" i="5"/>
  <c r="M132" i="5"/>
  <c r="L132" i="5"/>
  <c r="J132" i="5"/>
  <c r="I132" i="5"/>
  <c r="G132" i="5"/>
  <c r="F132" i="5"/>
  <c r="P131" i="5"/>
  <c r="O131" i="5"/>
  <c r="M131" i="5"/>
  <c r="L131" i="5"/>
  <c r="J131" i="5"/>
  <c r="I131" i="5"/>
  <c r="G131" i="5"/>
  <c r="F131" i="5"/>
  <c r="P130" i="5"/>
  <c r="O130" i="5"/>
  <c r="M130" i="5"/>
  <c r="L130" i="5"/>
  <c r="J130" i="5"/>
  <c r="I130" i="5"/>
  <c r="G130" i="5"/>
  <c r="F130" i="5"/>
  <c r="P129" i="5"/>
  <c r="O129" i="5"/>
  <c r="M129" i="5"/>
  <c r="L129" i="5"/>
  <c r="J129" i="5"/>
  <c r="I129" i="5"/>
  <c r="G129" i="5"/>
  <c r="F129" i="5"/>
  <c r="P128" i="5"/>
  <c r="O128" i="5"/>
  <c r="M128" i="5"/>
  <c r="L128" i="5"/>
  <c r="J128" i="5"/>
  <c r="I128" i="5"/>
  <c r="G128" i="5"/>
  <c r="F128" i="5"/>
  <c r="P127" i="5"/>
  <c r="O127" i="5"/>
  <c r="M127" i="5"/>
  <c r="L127" i="5"/>
  <c r="J127" i="5"/>
  <c r="I127" i="5"/>
  <c r="G127" i="5"/>
  <c r="F127" i="5"/>
  <c r="P126" i="5"/>
  <c r="O126" i="5"/>
  <c r="M126" i="5"/>
  <c r="L126" i="5"/>
  <c r="J126" i="5"/>
  <c r="I126" i="5"/>
  <c r="G126" i="5"/>
  <c r="F126" i="5"/>
  <c r="P125" i="5"/>
  <c r="O125" i="5"/>
  <c r="M125" i="5"/>
  <c r="L125" i="5"/>
  <c r="J125" i="5"/>
  <c r="I125" i="5"/>
  <c r="G125" i="5"/>
  <c r="F125" i="5"/>
  <c r="P124" i="5"/>
  <c r="O124" i="5"/>
  <c r="M124" i="5"/>
  <c r="L124" i="5"/>
  <c r="J124" i="5"/>
  <c r="I124" i="5"/>
  <c r="G124" i="5"/>
  <c r="F124" i="5"/>
  <c r="P123" i="5"/>
  <c r="O123" i="5"/>
  <c r="M123" i="5"/>
  <c r="L123" i="5"/>
  <c r="J123" i="5"/>
  <c r="I123" i="5"/>
  <c r="G123" i="5"/>
  <c r="F123" i="5"/>
  <c r="P122" i="5"/>
  <c r="O122" i="5"/>
  <c r="M122" i="5"/>
  <c r="L122" i="5"/>
  <c r="J122" i="5"/>
  <c r="I122" i="5"/>
  <c r="G122" i="5"/>
  <c r="F122" i="5"/>
  <c r="P121" i="5"/>
  <c r="O121" i="5"/>
  <c r="M121" i="5"/>
  <c r="L121" i="5"/>
  <c r="J121" i="5"/>
  <c r="I121" i="5"/>
  <c r="G121" i="5"/>
  <c r="F121" i="5"/>
  <c r="P120" i="5"/>
  <c r="O120" i="5"/>
  <c r="M120" i="5"/>
  <c r="L120" i="5"/>
  <c r="J120" i="5"/>
  <c r="I120" i="5"/>
  <c r="G120" i="5"/>
  <c r="F120" i="5"/>
  <c r="P119" i="5"/>
  <c r="O119" i="5"/>
  <c r="M119" i="5"/>
  <c r="L119" i="5"/>
  <c r="J119" i="5"/>
  <c r="I119" i="5"/>
  <c r="G119" i="5"/>
  <c r="F119" i="5"/>
  <c r="P118" i="5"/>
  <c r="O118" i="5"/>
  <c r="M118" i="5"/>
  <c r="L118" i="5"/>
  <c r="J118" i="5"/>
  <c r="I118" i="5"/>
  <c r="G118" i="5"/>
  <c r="F118" i="5"/>
  <c r="P117" i="5"/>
  <c r="O117" i="5"/>
  <c r="M117" i="5"/>
  <c r="L117" i="5"/>
  <c r="J117" i="5"/>
  <c r="I117" i="5"/>
  <c r="G117" i="5"/>
  <c r="F117" i="5"/>
  <c r="P116" i="5"/>
  <c r="O116" i="5"/>
  <c r="M116" i="5"/>
  <c r="L116" i="5"/>
  <c r="J116" i="5"/>
  <c r="I116" i="5"/>
  <c r="G116" i="5"/>
  <c r="F116" i="5"/>
  <c r="P115" i="5"/>
  <c r="O115" i="5"/>
  <c r="M115" i="5"/>
  <c r="L115" i="5"/>
  <c r="J115" i="5"/>
  <c r="I115" i="5"/>
  <c r="G115" i="5"/>
  <c r="F115" i="5"/>
  <c r="P114" i="5"/>
  <c r="O114" i="5"/>
  <c r="M114" i="5"/>
  <c r="L114" i="5"/>
  <c r="J114" i="5"/>
  <c r="I114" i="5"/>
  <c r="G114" i="5"/>
  <c r="F114" i="5"/>
  <c r="P113" i="5"/>
  <c r="O113" i="5"/>
  <c r="M113" i="5"/>
  <c r="L113" i="5"/>
  <c r="J113" i="5"/>
  <c r="I113" i="5"/>
  <c r="G113" i="5"/>
  <c r="F113" i="5"/>
  <c r="P112" i="5"/>
  <c r="O112" i="5"/>
  <c r="M112" i="5"/>
  <c r="L112" i="5"/>
  <c r="J112" i="5"/>
  <c r="I112" i="5"/>
  <c r="G112" i="5"/>
  <c r="F112" i="5"/>
  <c r="P111" i="5"/>
  <c r="O111" i="5"/>
  <c r="M111" i="5"/>
  <c r="L111" i="5"/>
  <c r="J111" i="5"/>
  <c r="I111" i="5"/>
  <c r="G111" i="5"/>
  <c r="F111" i="5"/>
  <c r="P110" i="5"/>
  <c r="O110" i="5"/>
  <c r="M110" i="5"/>
  <c r="L110" i="5"/>
  <c r="J110" i="5"/>
  <c r="I110" i="5"/>
  <c r="G110" i="5"/>
  <c r="F110" i="5"/>
  <c r="P109" i="5"/>
  <c r="O109" i="5"/>
  <c r="M109" i="5"/>
  <c r="L109" i="5"/>
  <c r="J109" i="5"/>
  <c r="I109" i="5"/>
  <c r="G109" i="5"/>
  <c r="F109" i="5"/>
  <c r="P108" i="5"/>
  <c r="O108" i="5"/>
  <c r="M108" i="5"/>
  <c r="L108" i="5"/>
  <c r="J108" i="5"/>
  <c r="I108" i="5"/>
  <c r="G108" i="5"/>
  <c r="F108" i="5"/>
  <c r="P107" i="5"/>
  <c r="O107" i="5"/>
  <c r="M107" i="5"/>
  <c r="L107" i="5"/>
  <c r="J107" i="5"/>
  <c r="I107" i="5"/>
  <c r="G107" i="5"/>
  <c r="F107" i="5"/>
  <c r="P106" i="5"/>
  <c r="O106" i="5"/>
  <c r="M106" i="5"/>
  <c r="L106" i="5"/>
  <c r="J106" i="5"/>
  <c r="I106" i="5"/>
  <c r="G106" i="5"/>
  <c r="F106" i="5"/>
  <c r="P105" i="5"/>
  <c r="O105" i="5"/>
  <c r="M105" i="5"/>
  <c r="L105" i="5"/>
  <c r="J105" i="5"/>
  <c r="I105" i="5"/>
  <c r="G105" i="5"/>
  <c r="F105" i="5"/>
  <c r="P104" i="5"/>
  <c r="O104" i="5"/>
  <c r="M104" i="5"/>
  <c r="L104" i="5"/>
  <c r="J104" i="5"/>
  <c r="I104" i="5"/>
  <c r="G104" i="5"/>
  <c r="F104" i="5"/>
  <c r="P103" i="5"/>
  <c r="O103" i="5"/>
  <c r="M103" i="5"/>
  <c r="L103" i="5"/>
  <c r="J103" i="5"/>
  <c r="I103" i="5"/>
  <c r="G103" i="5"/>
  <c r="F103" i="5"/>
  <c r="P102" i="5"/>
  <c r="O102" i="5"/>
  <c r="M102" i="5"/>
  <c r="L102" i="5"/>
  <c r="J102" i="5"/>
  <c r="I102" i="5"/>
  <c r="G102" i="5"/>
  <c r="F102" i="5"/>
  <c r="P101" i="5"/>
  <c r="O101" i="5"/>
  <c r="M101" i="5"/>
  <c r="L101" i="5"/>
  <c r="J101" i="5"/>
  <c r="I101" i="5"/>
  <c r="G101" i="5"/>
  <c r="F101" i="5"/>
  <c r="P100" i="5"/>
  <c r="O100" i="5"/>
  <c r="M100" i="5"/>
  <c r="L100" i="5"/>
  <c r="J100" i="5"/>
  <c r="I100" i="5"/>
  <c r="G100" i="5"/>
  <c r="F100" i="5"/>
  <c r="P99" i="5"/>
  <c r="O99" i="5"/>
  <c r="M99" i="5"/>
  <c r="L99" i="5"/>
  <c r="J99" i="5"/>
  <c r="I99" i="5"/>
  <c r="G99" i="5"/>
  <c r="F99" i="5"/>
  <c r="P98" i="5"/>
  <c r="O98" i="5"/>
  <c r="M98" i="5"/>
  <c r="L98" i="5"/>
  <c r="J98" i="5"/>
  <c r="I98" i="5"/>
  <c r="G98" i="5"/>
  <c r="F98" i="5"/>
  <c r="P97" i="5"/>
  <c r="O97" i="5"/>
  <c r="M97" i="5"/>
  <c r="L97" i="5"/>
  <c r="J97" i="5"/>
  <c r="I97" i="5"/>
  <c r="G97" i="5"/>
  <c r="F97" i="5"/>
  <c r="P96" i="5"/>
  <c r="O96" i="5"/>
  <c r="M96" i="5"/>
  <c r="L96" i="5"/>
  <c r="J96" i="5"/>
  <c r="I96" i="5"/>
  <c r="G96" i="5"/>
  <c r="F96" i="5"/>
  <c r="P95" i="5"/>
  <c r="O95" i="5"/>
  <c r="M95" i="5"/>
  <c r="L95" i="5"/>
  <c r="J95" i="5"/>
  <c r="I95" i="5"/>
  <c r="G95" i="5"/>
  <c r="F95" i="5"/>
  <c r="P94" i="5"/>
  <c r="O94" i="5"/>
  <c r="M94" i="5"/>
  <c r="L94" i="5"/>
  <c r="J94" i="5"/>
  <c r="I94" i="5"/>
  <c r="G94" i="5"/>
  <c r="F94" i="5"/>
  <c r="P93" i="5"/>
  <c r="O93" i="5"/>
  <c r="M93" i="5"/>
  <c r="L93" i="5"/>
  <c r="J93" i="5"/>
  <c r="I93" i="5"/>
  <c r="G93" i="5"/>
  <c r="F93" i="5"/>
  <c r="P92" i="5"/>
  <c r="O92" i="5"/>
  <c r="M92" i="5"/>
  <c r="L92" i="5"/>
  <c r="J92" i="5"/>
  <c r="I92" i="5"/>
  <c r="G92" i="5"/>
  <c r="F92" i="5"/>
  <c r="P91" i="5"/>
  <c r="O91" i="5"/>
  <c r="M91" i="5"/>
  <c r="L91" i="5"/>
  <c r="J91" i="5"/>
  <c r="I91" i="5"/>
  <c r="G91" i="5"/>
  <c r="F91" i="5"/>
  <c r="P90" i="5"/>
  <c r="O90" i="5"/>
  <c r="M90" i="5"/>
  <c r="L90" i="5"/>
  <c r="J90" i="5"/>
  <c r="I90" i="5"/>
  <c r="G90" i="5"/>
  <c r="F90" i="5"/>
  <c r="P89" i="5"/>
  <c r="O89" i="5"/>
  <c r="M89" i="5"/>
  <c r="L89" i="5"/>
  <c r="J89" i="5"/>
  <c r="I89" i="5"/>
  <c r="G89" i="5"/>
  <c r="F89" i="5"/>
  <c r="P88" i="5"/>
  <c r="O88" i="5"/>
  <c r="M88" i="5"/>
  <c r="L88" i="5"/>
  <c r="J88" i="5"/>
  <c r="I88" i="5"/>
  <c r="G88" i="5"/>
  <c r="F88" i="5"/>
  <c r="P87" i="5"/>
  <c r="O87" i="5"/>
  <c r="M87" i="5"/>
  <c r="L87" i="5"/>
  <c r="J87" i="5"/>
  <c r="I87" i="5"/>
  <c r="G87" i="5"/>
  <c r="F87" i="5"/>
  <c r="P86" i="5"/>
  <c r="O86" i="5"/>
  <c r="M86" i="5"/>
  <c r="L86" i="5"/>
  <c r="J86" i="5"/>
  <c r="I86" i="5"/>
  <c r="G86" i="5"/>
  <c r="F86" i="5"/>
  <c r="P85" i="5"/>
  <c r="O85" i="5"/>
  <c r="M85" i="5"/>
  <c r="L85" i="5"/>
  <c r="J85" i="5"/>
  <c r="I85" i="5"/>
  <c r="G85" i="5"/>
  <c r="F85" i="5"/>
  <c r="P84" i="5"/>
  <c r="O84" i="5"/>
  <c r="M84" i="5"/>
  <c r="L84" i="5"/>
  <c r="J84" i="5"/>
  <c r="I84" i="5"/>
  <c r="G84" i="5"/>
  <c r="F84" i="5"/>
  <c r="P83" i="5"/>
  <c r="O83" i="5"/>
  <c r="M83" i="5"/>
  <c r="L83" i="5"/>
  <c r="J83" i="5"/>
  <c r="I83" i="5"/>
  <c r="G83" i="5"/>
  <c r="F83" i="5"/>
  <c r="P82" i="5"/>
  <c r="O82" i="5"/>
  <c r="M82" i="5"/>
  <c r="L82" i="5"/>
  <c r="J82" i="5"/>
  <c r="I82" i="5"/>
  <c r="G82" i="5"/>
  <c r="F82" i="5"/>
  <c r="P81" i="5"/>
  <c r="O81" i="5"/>
  <c r="M81" i="5"/>
  <c r="L81" i="5"/>
  <c r="J81" i="5"/>
  <c r="I81" i="5"/>
  <c r="G81" i="5"/>
  <c r="F81" i="5"/>
  <c r="P80" i="5"/>
  <c r="O80" i="5"/>
  <c r="M80" i="5"/>
  <c r="L80" i="5"/>
  <c r="J80" i="5"/>
  <c r="I80" i="5"/>
  <c r="G80" i="5"/>
  <c r="F80" i="5"/>
  <c r="P79" i="5"/>
  <c r="O79" i="5"/>
  <c r="M79" i="5"/>
  <c r="L79" i="5"/>
  <c r="J79" i="5"/>
  <c r="I79" i="5"/>
  <c r="G79" i="5"/>
  <c r="F79" i="5"/>
  <c r="P78" i="5"/>
  <c r="O78" i="5"/>
  <c r="M78" i="5"/>
  <c r="L78" i="5"/>
  <c r="J78" i="5"/>
  <c r="I78" i="5"/>
  <c r="G78" i="5"/>
  <c r="F78" i="5"/>
  <c r="P77" i="5"/>
  <c r="O77" i="5"/>
  <c r="M77" i="5"/>
  <c r="L77" i="5"/>
  <c r="J77" i="5"/>
  <c r="I77" i="5"/>
  <c r="G77" i="5"/>
  <c r="F77" i="5"/>
  <c r="P76" i="5"/>
  <c r="O76" i="5"/>
  <c r="M76" i="5"/>
  <c r="L76" i="5"/>
  <c r="J76" i="5"/>
  <c r="I76" i="5"/>
  <c r="G76" i="5"/>
  <c r="F76" i="5"/>
  <c r="P75" i="5"/>
  <c r="O75" i="5"/>
  <c r="M75" i="5"/>
  <c r="L75" i="5"/>
  <c r="J75" i="5"/>
  <c r="I75" i="5"/>
  <c r="G75" i="5"/>
  <c r="F75" i="5"/>
  <c r="P74" i="5"/>
  <c r="O74" i="5"/>
  <c r="M74" i="5"/>
  <c r="L74" i="5"/>
  <c r="J74" i="5"/>
  <c r="I74" i="5"/>
  <c r="G74" i="5"/>
  <c r="F74" i="5"/>
  <c r="P73" i="5"/>
  <c r="O73" i="5"/>
  <c r="M73" i="5"/>
  <c r="L73" i="5"/>
  <c r="J73" i="5"/>
  <c r="I73" i="5"/>
  <c r="G73" i="5"/>
  <c r="F73" i="5"/>
  <c r="P72" i="5"/>
  <c r="O72" i="5"/>
  <c r="M72" i="5"/>
  <c r="L72" i="5"/>
  <c r="J72" i="5"/>
  <c r="I72" i="5"/>
  <c r="G72" i="5"/>
  <c r="F72" i="5"/>
  <c r="P71" i="5"/>
  <c r="O71" i="5"/>
  <c r="M71" i="5"/>
  <c r="L71" i="5"/>
  <c r="J71" i="5"/>
  <c r="I71" i="5"/>
  <c r="G71" i="5"/>
  <c r="F71" i="5"/>
  <c r="P70" i="5"/>
  <c r="O70" i="5"/>
  <c r="M70" i="5"/>
  <c r="L70" i="5"/>
  <c r="J70" i="5"/>
  <c r="I70" i="5"/>
  <c r="G70" i="5"/>
  <c r="F70" i="5"/>
  <c r="P69" i="5"/>
  <c r="O69" i="5"/>
  <c r="M69" i="5"/>
  <c r="L69" i="5"/>
  <c r="J69" i="5"/>
  <c r="I69" i="5"/>
  <c r="G69" i="5"/>
  <c r="F69" i="5"/>
  <c r="P68" i="5"/>
  <c r="O68" i="5"/>
  <c r="M68" i="5"/>
  <c r="L68" i="5"/>
  <c r="J68" i="5"/>
  <c r="I68" i="5"/>
  <c r="G68" i="5"/>
  <c r="F68" i="5"/>
  <c r="P67" i="5"/>
  <c r="O67" i="5"/>
  <c r="M67" i="5"/>
  <c r="L67" i="5"/>
  <c r="J67" i="5"/>
  <c r="I67" i="5"/>
  <c r="G67" i="5"/>
  <c r="F67" i="5"/>
  <c r="P66" i="5"/>
  <c r="O66" i="5"/>
  <c r="M66" i="5"/>
  <c r="L66" i="5"/>
  <c r="J66" i="5"/>
  <c r="I66" i="5"/>
  <c r="G66" i="5"/>
  <c r="F66" i="5"/>
  <c r="P65" i="5"/>
  <c r="O65" i="5"/>
  <c r="M65" i="5"/>
  <c r="L65" i="5"/>
  <c r="J65" i="5"/>
  <c r="I65" i="5"/>
  <c r="G65" i="5"/>
  <c r="F65" i="5"/>
  <c r="P64" i="5"/>
  <c r="O64" i="5"/>
  <c r="M64" i="5"/>
  <c r="L64" i="5"/>
  <c r="J64" i="5"/>
  <c r="I64" i="5"/>
  <c r="G64" i="5"/>
  <c r="F64" i="5"/>
  <c r="P63" i="5"/>
  <c r="O63" i="5"/>
  <c r="M63" i="5"/>
  <c r="L63" i="5"/>
  <c r="J63" i="5"/>
  <c r="I63" i="5"/>
  <c r="G63" i="5"/>
  <c r="F63" i="5"/>
  <c r="P62" i="5"/>
  <c r="O62" i="5"/>
  <c r="M62" i="5"/>
  <c r="L62" i="5"/>
  <c r="J62" i="5"/>
  <c r="I62" i="5"/>
  <c r="G62" i="5"/>
  <c r="F62" i="5"/>
  <c r="P61" i="5"/>
  <c r="O61" i="5"/>
  <c r="M61" i="5"/>
  <c r="L61" i="5"/>
  <c r="J61" i="5"/>
  <c r="I61" i="5"/>
  <c r="G61" i="5"/>
  <c r="F61" i="5"/>
  <c r="P60" i="5"/>
  <c r="O60" i="5"/>
  <c r="M60" i="5"/>
  <c r="L60" i="5"/>
  <c r="J60" i="5"/>
  <c r="I60" i="5"/>
  <c r="G60" i="5"/>
  <c r="F60" i="5"/>
  <c r="P59" i="5"/>
  <c r="O59" i="5"/>
  <c r="M59" i="5"/>
  <c r="L59" i="5"/>
  <c r="J59" i="5"/>
  <c r="I59" i="5"/>
  <c r="G59" i="5"/>
  <c r="F59" i="5"/>
  <c r="P58" i="5"/>
  <c r="O58" i="5"/>
  <c r="M58" i="5"/>
  <c r="L58" i="5"/>
  <c r="J58" i="5"/>
  <c r="I58" i="5"/>
  <c r="G58" i="5"/>
  <c r="F58" i="5"/>
  <c r="P57" i="5"/>
  <c r="O57" i="5"/>
  <c r="M57" i="5"/>
  <c r="L57" i="5"/>
  <c r="J57" i="5"/>
  <c r="I57" i="5"/>
  <c r="G57" i="5"/>
  <c r="F57" i="5"/>
  <c r="P56" i="5"/>
  <c r="O56" i="5"/>
  <c r="M56" i="5"/>
  <c r="L56" i="5"/>
  <c r="J56" i="5"/>
  <c r="I56" i="5"/>
  <c r="G56" i="5"/>
  <c r="F56" i="5"/>
  <c r="P55" i="5"/>
  <c r="O55" i="5"/>
  <c r="M55" i="5"/>
  <c r="L55" i="5"/>
  <c r="J55" i="5"/>
  <c r="I55" i="5"/>
  <c r="G55" i="5"/>
  <c r="F55" i="5"/>
  <c r="P54" i="5"/>
  <c r="O54" i="5"/>
  <c r="M54" i="5"/>
  <c r="L54" i="5"/>
  <c r="J54" i="5"/>
  <c r="I54" i="5"/>
  <c r="G54" i="5"/>
  <c r="F54" i="5"/>
  <c r="P53" i="5"/>
  <c r="O53" i="5"/>
  <c r="M53" i="5"/>
  <c r="L53" i="5"/>
  <c r="J53" i="5"/>
  <c r="I53" i="5"/>
  <c r="G53" i="5"/>
  <c r="F53" i="5"/>
  <c r="P52" i="5"/>
  <c r="O52" i="5"/>
  <c r="M52" i="5"/>
  <c r="L52" i="5"/>
  <c r="J52" i="5"/>
  <c r="I52" i="5"/>
  <c r="G52" i="5"/>
  <c r="F52" i="5"/>
  <c r="P51" i="5"/>
  <c r="O51" i="5"/>
  <c r="M51" i="5"/>
  <c r="L51" i="5"/>
  <c r="J51" i="5"/>
  <c r="I51" i="5"/>
  <c r="G51" i="5"/>
  <c r="F51" i="5"/>
  <c r="P50" i="5"/>
  <c r="O50" i="5"/>
  <c r="M50" i="5"/>
  <c r="L50" i="5"/>
  <c r="J50" i="5"/>
  <c r="I50" i="5"/>
  <c r="G50" i="5"/>
  <c r="F50" i="5"/>
  <c r="P49" i="5"/>
  <c r="O49" i="5"/>
  <c r="M49" i="5"/>
  <c r="L49" i="5"/>
  <c r="J49" i="5"/>
  <c r="I49" i="5"/>
  <c r="G49" i="5"/>
  <c r="F49" i="5"/>
  <c r="P48" i="5"/>
  <c r="O48" i="5"/>
  <c r="M48" i="5"/>
  <c r="L48" i="5"/>
  <c r="J48" i="5"/>
  <c r="I48" i="5"/>
  <c r="G48" i="5"/>
  <c r="F48" i="5"/>
  <c r="P47" i="5"/>
  <c r="O47" i="5"/>
  <c r="M47" i="5"/>
  <c r="L47" i="5"/>
  <c r="J47" i="5"/>
  <c r="I47" i="5"/>
  <c r="G47" i="5"/>
  <c r="F47" i="5"/>
  <c r="P46" i="5"/>
  <c r="O46" i="5"/>
  <c r="M46" i="5"/>
  <c r="L46" i="5"/>
  <c r="J46" i="5"/>
  <c r="I46" i="5"/>
  <c r="G46" i="5"/>
  <c r="F46" i="5"/>
  <c r="P45" i="5"/>
  <c r="O45" i="5"/>
  <c r="M45" i="5"/>
  <c r="L45" i="5"/>
  <c r="J45" i="5"/>
  <c r="I45" i="5"/>
  <c r="G45" i="5"/>
  <c r="F45" i="5"/>
  <c r="P44" i="5"/>
  <c r="O44" i="5"/>
  <c r="M44" i="5"/>
  <c r="L44" i="5"/>
  <c r="J44" i="5"/>
  <c r="I44" i="5"/>
  <c r="G44" i="5"/>
  <c r="F44" i="5"/>
  <c r="P43" i="5"/>
  <c r="O43" i="5"/>
  <c r="M43" i="5"/>
  <c r="L43" i="5"/>
  <c r="J43" i="5"/>
  <c r="I43" i="5"/>
  <c r="G43" i="5"/>
  <c r="F43" i="5"/>
  <c r="P42" i="5"/>
  <c r="O42" i="5"/>
  <c r="M42" i="5"/>
  <c r="L42" i="5"/>
  <c r="J42" i="5"/>
  <c r="I42" i="5"/>
  <c r="G42" i="5"/>
  <c r="F42" i="5"/>
  <c r="P41" i="5"/>
  <c r="O41" i="5"/>
  <c r="M41" i="5"/>
  <c r="L41" i="5"/>
  <c r="J41" i="5"/>
  <c r="I41" i="5"/>
  <c r="G41" i="5"/>
  <c r="F41" i="5"/>
  <c r="P40" i="5"/>
  <c r="O40" i="5"/>
  <c r="M40" i="5"/>
  <c r="L40" i="5"/>
  <c r="J40" i="5"/>
  <c r="I40" i="5"/>
  <c r="G40" i="5"/>
  <c r="F40" i="5"/>
  <c r="P39" i="5"/>
  <c r="O39" i="5"/>
  <c r="M39" i="5"/>
  <c r="L39" i="5"/>
  <c r="J39" i="5"/>
  <c r="I39" i="5"/>
  <c r="G39" i="5"/>
  <c r="F39" i="5"/>
  <c r="P38" i="5"/>
  <c r="O38" i="5"/>
  <c r="M38" i="5"/>
  <c r="L38" i="5"/>
  <c r="J38" i="5"/>
  <c r="I38" i="5"/>
  <c r="G38" i="5"/>
  <c r="F38" i="5"/>
  <c r="P37" i="5"/>
  <c r="O37" i="5"/>
  <c r="M37" i="5"/>
  <c r="L37" i="5"/>
  <c r="J37" i="5"/>
  <c r="I37" i="5"/>
  <c r="G37" i="5"/>
  <c r="F37" i="5"/>
  <c r="P36" i="5"/>
  <c r="O36" i="5"/>
  <c r="M36" i="5"/>
  <c r="L36" i="5"/>
  <c r="J36" i="5"/>
  <c r="I36" i="5"/>
  <c r="G36" i="5"/>
  <c r="F36" i="5"/>
  <c r="P35" i="5"/>
  <c r="O35" i="5"/>
  <c r="M35" i="5"/>
  <c r="L35" i="5"/>
  <c r="J35" i="5"/>
  <c r="I35" i="5"/>
  <c r="G35" i="5"/>
  <c r="F35" i="5"/>
  <c r="P34" i="5"/>
  <c r="O34" i="5"/>
  <c r="M34" i="5"/>
  <c r="L34" i="5"/>
  <c r="J34" i="5"/>
  <c r="I34" i="5"/>
  <c r="G34" i="5"/>
  <c r="F34" i="5"/>
  <c r="P33" i="5"/>
  <c r="O33" i="5"/>
  <c r="M33" i="5"/>
  <c r="L33" i="5"/>
  <c r="J33" i="5"/>
  <c r="I33" i="5"/>
  <c r="G33" i="5"/>
  <c r="F33" i="5"/>
  <c r="P32" i="5"/>
  <c r="O32" i="5"/>
  <c r="M32" i="5"/>
  <c r="L32" i="5"/>
  <c r="J32" i="5"/>
  <c r="I32" i="5"/>
  <c r="G32" i="5"/>
  <c r="F32" i="5"/>
  <c r="P31" i="5"/>
  <c r="O31" i="5"/>
  <c r="M31" i="5"/>
  <c r="L31" i="5"/>
  <c r="J31" i="5"/>
  <c r="I31" i="5"/>
  <c r="G31" i="5"/>
  <c r="F31" i="5"/>
  <c r="P30" i="5"/>
  <c r="O30" i="5"/>
  <c r="M30" i="5"/>
  <c r="L30" i="5"/>
  <c r="J30" i="5"/>
  <c r="I30" i="5"/>
  <c r="G30" i="5"/>
  <c r="F30" i="5"/>
  <c r="P29" i="5"/>
  <c r="O29" i="5"/>
  <c r="M29" i="5"/>
  <c r="L29" i="5"/>
  <c r="J29" i="5"/>
  <c r="I29" i="5"/>
  <c r="G29" i="5"/>
  <c r="F29" i="5"/>
  <c r="P28" i="5"/>
  <c r="O28" i="5"/>
  <c r="M28" i="5"/>
  <c r="L28" i="5"/>
  <c r="J28" i="5"/>
  <c r="I28" i="5"/>
  <c r="G28" i="5"/>
  <c r="F28" i="5"/>
  <c r="P27" i="5"/>
  <c r="O27" i="5"/>
  <c r="M27" i="5"/>
  <c r="L27" i="5"/>
  <c r="J27" i="5"/>
  <c r="I27" i="5"/>
  <c r="G27" i="5"/>
  <c r="F27" i="5"/>
  <c r="P26" i="5"/>
  <c r="O26" i="5"/>
  <c r="M26" i="5"/>
  <c r="L26" i="5"/>
  <c r="J26" i="5"/>
  <c r="I26" i="5"/>
  <c r="G26" i="5"/>
  <c r="F26" i="5"/>
  <c r="P25" i="5"/>
  <c r="O25" i="5"/>
  <c r="M25" i="5"/>
  <c r="L25" i="5"/>
  <c r="J25" i="5"/>
  <c r="I25" i="5"/>
  <c r="G25" i="5"/>
  <c r="F25" i="5"/>
  <c r="P24" i="5"/>
  <c r="O24" i="5"/>
  <c r="M24" i="5"/>
  <c r="L24" i="5"/>
  <c r="J24" i="5"/>
  <c r="I24" i="5"/>
  <c r="G24" i="5"/>
  <c r="F24" i="5"/>
  <c r="P23" i="5"/>
  <c r="O23" i="5"/>
  <c r="M23" i="5"/>
  <c r="L23" i="5"/>
  <c r="J23" i="5"/>
  <c r="I23" i="5"/>
  <c r="G23" i="5"/>
  <c r="F23" i="5"/>
  <c r="P22" i="5"/>
  <c r="O22" i="5"/>
  <c r="M22" i="5"/>
  <c r="L22" i="5"/>
  <c r="J22" i="5"/>
  <c r="I22" i="5"/>
  <c r="G22" i="5"/>
  <c r="F22" i="5"/>
  <c r="P21" i="5"/>
  <c r="O21" i="5"/>
  <c r="M21" i="5"/>
  <c r="L21" i="5"/>
  <c r="J21" i="5"/>
  <c r="I21" i="5"/>
  <c r="G21" i="5"/>
  <c r="F21" i="5"/>
  <c r="P20" i="5"/>
  <c r="O20" i="5"/>
  <c r="M20" i="5"/>
  <c r="L20" i="5"/>
  <c r="J20" i="5"/>
  <c r="I20" i="5"/>
  <c r="G20" i="5"/>
  <c r="F20" i="5"/>
  <c r="P19" i="5"/>
  <c r="O19" i="5"/>
  <c r="M19" i="5"/>
  <c r="L19" i="5"/>
  <c r="J19" i="5"/>
  <c r="I19" i="5"/>
  <c r="G19" i="5"/>
  <c r="F19" i="5"/>
  <c r="P18" i="5"/>
  <c r="O18" i="5"/>
  <c r="M18" i="5"/>
  <c r="L18" i="5"/>
  <c r="J18" i="5"/>
  <c r="I18" i="5"/>
  <c r="G18" i="5"/>
  <c r="F18" i="5"/>
  <c r="P17" i="5"/>
  <c r="O17" i="5"/>
  <c r="M17" i="5"/>
  <c r="L17" i="5"/>
  <c r="J17" i="5"/>
  <c r="I17" i="5"/>
  <c r="G17" i="5"/>
  <c r="F17" i="5"/>
  <c r="P16" i="5"/>
  <c r="O16" i="5"/>
  <c r="M16" i="5"/>
  <c r="L16" i="5"/>
  <c r="J16" i="5"/>
  <c r="I16" i="5"/>
  <c r="G16" i="5"/>
  <c r="F16" i="5"/>
  <c r="P15" i="5"/>
  <c r="O15" i="5"/>
  <c r="M15" i="5"/>
  <c r="L15" i="5"/>
  <c r="J15" i="5"/>
  <c r="I15" i="5"/>
  <c r="G15" i="5"/>
  <c r="F15" i="5"/>
  <c r="P14" i="5"/>
  <c r="O14" i="5"/>
  <c r="M14" i="5"/>
  <c r="L14" i="5"/>
  <c r="J14" i="5"/>
  <c r="I14" i="5"/>
  <c r="G14" i="5"/>
  <c r="F14" i="5"/>
  <c r="P13" i="5"/>
  <c r="O13" i="5"/>
  <c r="M13" i="5"/>
  <c r="L13" i="5"/>
  <c r="J13" i="5"/>
  <c r="I13" i="5"/>
  <c r="G13" i="5"/>
  <c r="F13" i="5"/>
  <c r="P12" i="5"/>
  <c r="O12" i="5"/>
  <c r="M12" i="5"/>
  <c r="L12" i="5"/>
  <c r="J12" i="5"/>
  <c r="I12" i="5"/>
  <c r="G12" i="5"/>
  <c r="F12" i="5"/>
  <c r="P11" i="5"/>
  <c r="O11" i="5"/>
  <c r="M11" i="5"/>
  <c r="L11" i="5"/>
  <c r="J11" i="5"/>
  <c r="I11" i="5"/>
  <c r="G11" i="5"/>
  <c r="F11" i="5"/>
  <c r="P10" i="5"/>
  <c r="O10" i="5"/>
  <c r="M10" i="5"/>
  <c r="L10" i="5"/>
  <c r="J10" i="5"/>
  <c r="I10" i="5"/>
  <c r="G10" i="5"/>
  <c r="F10" i="5"/>
  <c r="P9" i="5"/>
  <c r="O9" i="5"/>
  <c r="M9" i="5"/>
  <c r="L9" i="5"/>
  <c r="J9" i="5"/>
  <c r="I9" i="5"/>
  <c r="G9" i="5"/>
  <c r="F9" i="5"/>
  <c r="P8" i="5"/>
  <c r="O8" i="5"/>
  <c r="M8" i="5"/>
  <c r="L8" i="5"/>
  <c r="J8" i="5"/>
  <c r="I8" i="5"/>
  <c r="G8" i="5"/>
  <c r="F8" i="5"/>
  <c r="P7" i="5"/>
  <c r="O7" i="5"/>
  <c r="M7" i="5"/>
  <c r="L7" i="5"/>
  <c r="J7" i="5"/>
  <c r="I7" i="5"/>
  <c r="G7" i="5"/>
  <c r="F7" i="5"/>
  <c r="P6" i="5"/>
  <c r="O6" i="5"/>
  <c r="M6" i="5"/>
  <c r="L6" i="5"/>
  <c r="J6" i="5"/>
  <c r="I6" i="5"/>
  <c r="G6" i="5"/>
  <c r="F6" i="5"/>
  <c r="P5" i="5"/>
  <c r="O5" i="5"/>
  <c r="M5" i="5"/>
  <c r="L5" i="5"/>
  <c r="J5" i="5"/>
  <c r="I5" i="5"/>
  <c r="G5" i="5"/>
  <c r="F5" i="5"/>
  <c r="P4" i="5"/>
  <c r="O4" i="5"/>
  <c r="M4" i="5"/>
  <c r="L4" i="5"/>
  <c r="J4" i="5"/>
  <c r="I4" i="5"/>
  <c r="G4" i="5"/>
  <c r="F4" i="5"/>
  <c r="P3" i="5"/>
  <c r="O3" i="5"/>
  <c r="M3" i="5"/>
  <c r="L3" i="5"/>
  <c r="J3" i="5"/>
  <c r="I3" i="5"/>
  <c r="G3" i="5"/>
  <c r="F3" i="5"/>
  <c r="N261" i="17" l="1"/>
  <c r="O261" i="17"/>
  <c r="P261" i="17"/>
  <c r="Q261" i="17"/>
  <c r="T261" i="17"/>
  <c r="U261" i="17" s="1"/>
  <c r="L615" i="4" l="1"/>
  <c r="J615" i="4"/>
  <c r="H615" i="4"/>
  <c r="I615" i="4" s="1"/>
  <c r="F615" i="4"/>
  <c r="D615" i="4"/>
  <c r="C615" i="4"/>
  <c r="L613" i="4"/>
  <c r="J613" i="4"/>
  <c r="H613" i="4"/>
  <c r="F613" i="4"/>
  <c r="D613" i="4"/>
  <c r="C613" i="4"/>
  <c r="L608" i="4"/>
  <c r="J608" i="4"/>
  <c r="H608" i="4"/>
  <c r="F608" i="4"/>
  <c r="D608" i="4"/>
  <c r="C608" i="4"/>
  <c r="L611" i="4"/>
  <c r="J611" i="4"/>
  <c r="K611" i="4" s="1"/>
  <c r="H611" i="4"/>
  <c r="F611" i="4"/>
  <c r="D611" i="4"/>
  <c r="C611" i="4"/>
  <c r="L614" i="4"/>
  <c r="J614" i="4"/>
  <c r="H614" i="4"/>
  <c r="I614" i="4" s="1"/>
  <c r="F614" i="4"/>
  <c r="D614" i="4"/>
  <c r="C614" i="4"/>
  <c r="L609" i="4"/>
  <c r="M609" i="4" s="1"/>
  <c r="J609" i="4"/>
  <c r="H609" i="4"/>
  <c r="I609" i="4" s="1"/>
  <c r="F609" i="4"/>
  <c r="D609" i="4"/>
  <c r="C609" i="4"/>
  <c r="L588" i="4"/>
  <c r="M588" i="4" s="1"/>
  <c r="J588" i="4"/>
  <c r="K588" i="4" s="1"/>
  <c r="H588" i="4"/>
  <c r="I588" i="4" s="1"/>
  <c r="F588" i="4"/>
  <c r="D588" i="4"/>
  <c r="C588" i="4"/>
  <c r="L600" i="4"/>
  <c r="M600" i="4" s="1"/>
  <c r="J600" i="4"/>
  <c r="H600" i="4"/>
  <c r="F600" i="4"/>
  <c r="D600" i="4"/>
  <c r="C600" i="4"/>
  <c r="L610" i="4"/>
  <c r="M610" i="4" s="1"/>
  <c r="J610" i="4"/>
  <c r="H610" i="4"/>
  <c r="F610" i="4"/>
  <c r="D610" i="4"/>
  <c r="C610" i="4"/>
  <c r="L607" i="4"/>
  <c r="J607" i="4"/>
  <c r="H607" i="4"/>
  <c r="I607" i="4" s="1"/>
  <c r="F607" i="4"/>
  <c r="D607" i="4"/>
  <c r="C607" i="4"/>
  <c r="L612" i="4"/>
  <c r="M612" i="4" s="1"/>
  <c r="J612" i="4"/>
  <c r="K612" i="4" s="1"/>
  <c r="H612" i="4"/>
  <c r="F612" i="4"/>
  <c r="D612" i="4"/>
  <c r="C612" i="4"/>
  <c r="L595" i="4"/>
  <c r="J595" i="4"/>
  <c r="K595" i="4" s="1"/>
  <c r="H595" i="4"/>
  <c r="I595" i="4" s="1"/>
  <c r="F595" i="4"/>
  <c r="G595" i="4" s="1"/>
  <c r="D595" i="4"/>
  <c r="C595" i="4"/>
  <c r="L603" i="4"/>
  <c r="M603" i="4" s="1"/>
  <c r="J603" i="4"/>
  <c r="K603" i="4" s="1"/>
  <c r="H603" i="4"/>
  <c r="I603" i="4" s="1"/>
  <c r="F603" i="4"/>
  <c r="D603" i="4"/>
  <c r="C603" i="4"/>
  <c r="L587" i="4"/>
  <c r="M587" i="4" s="1"/>
  <c r="J587" i="4"/>
  <c r="K587" i="4" s="1"/>
  <c r="H587" i="4"/>
  <c r="I587" i="4" s="1"/>
  <c r="F587" i="4"/>
  <c r="D587" i="4"/>
  <c r="C587" i="4"/>
  <c r="L567" i="4"/>
  <c r="M567" i="4" s="1"/>
  <c r="J567" i="4"/>
  <c r="K567" i="4" s="1"/>
  <c r="H567" i="4"/>
  <c r="F567" i="4"/>
  <c r="D567" i="4"/>
  <c r="C567" i="4"/>
  <c r="L592" i="4"/>
  <c r="J592" i="4"/>
  <c r="K592" i="4" s="1"/>
  <c r="H592" i="4"/>
  <c r="I592" i="4" s="1"/>
  <c r="F592" i="4"/>
  <c r="D592" i="4"/>
  <c r="C592" i="4"/>
  <c r="L590" i="4"/>
  <c r="M590" i="4" s="1"/>
  <c r="J590" i="4"/>
  <c r="H590" i="4"/>
  <c r="F590" i="4"/>
  <c r="D590" i="4"/>
  <c r="C590" i="4"/>
  <c r="L558" i="4"/>
  <c r="M558" i="4" s="1"/>
  <c r="J558" i="4"/>
  <c r="K558" i="4" s="1"/>
  <c r="H558" i="4"/>
  <c r="F558" i="4"/>
  <c r="D558" i="4"/>
  <c r="C558" i="4"/>
  <c r="L583" i="4"/>
  <c r="J583" i="4"/>
  <c r="H583" i="4"/>
  <c r="I583" i="4" s="1"/>
  <c r="F583" i="4"/>
  <c r="D583" i="4"/>
  <c r="C583" i="4"/>
  <c r="L606" i="4"/>
  <c r="M606" i="4" s="1"/>
  <c r="J606" i="4"/>
  <c r="H606" i="4"/>
  <c r="F606" i="4"/>
  <c r="D606" i="4"/>
  <c r="C606" i="4"/>
  <c r="L576" i="4"/>
  <c r="M576" i="4" s="1"/>
  <c r="J576" i="4"/>
  <c r="K576" i="4" s="1"/>
  <c r="H576" i="4"/>
  <c r="I576" i="4" s="1"/>
  <c r="F576" i="4"/>
  <c r="D576" i="4"/>
  <c r="C576" i="4"/>
  <c r="L597" i="4"/>
  <c r="J597" i="4"/>
  <c r="K597" i="4" s="1"/>
  <c r="H597" i="4"/>
  <c r="I597" i="4" s="1"/>
  <c r="F597" i="4"/>
  <c r="D597" i="4"/>
  <c r="C597" i="4"/>
  <c r="L589" i="4"/>
  <c r="J589" i="4"/>
  <c r="H589" i="4"/>
  <c r="F589" i="4"/>
  <c r="D589" i="4"/>
  <c r="C589" i="4"/>
  <c r="L586" i="4"/>
  <c r="J586" i="4"/>
  <c r="H586" i="4"/>
  <c r="F586" i="4"/>
  <c r="D586" i="4"/>
  <c r="C586" i="4"/>
  <c r="L604" i="4"/>
  <c r="J604" i="4"/>
  <c r="H604" i="4"/>
  <c r="F604" i="4"/>
  <c r="D604" i="4"/>
  <c r="C604" i="4"/>
  <c r="L598" i="4"/>
  <c r="J598" i="4"/>
  <c r="H598" i="4"/>
  <c r="I598" i="4" s="1"/>
  <c r="F598" i="4"/>
  <c r="G598" i="4" s="1"/>
  <c r="D598" i="4"/>
  <c r="C598" i="4"/>
  <c r="L596" i="4"/>
  <c r="J596" i="4"/>
  <c r="H596" i="4"/>
  <c r="I596" i="4" s="1"/>
  <c r="F596" i="4"/>
  <c r="D596" i="4"/>
  <c r="C596" i="4"/>
  <c r="L599" i="4"/>
  <c r="J599" i="4"/>
  <c r="K599" i="4" s="1"/>
  <c r="H599" i="4"/>
  <c r="I599" i="4" s="1"/>
  <c r="F599" i="4"/>
  <c r="D599" i="4"/>
  <c r="C599" i="4"/>
  <c r="L593" i="4"/>
  <c r="J593" i="4"/>
  <c r="K593" i="4" s="1"/>
  <c r="H593" i="4"/>
  <c r="F593" i="4"/>
  <c r="D593" i="4"/>
  <c r="C593" i="4"/>
  <c r="L569" i="4"/>
  <c r="M569" i="4" s="1"/>
  <c r="J569" i="4"/>
  <c r="H569" i="4"/>
  <c r="F569" i="4"/>
  <c r="D569" i="4"/>
  <c r="C569" i="4"/>
  <c r="L585" i="4"/>
  <c r="J585" i="4"/>
  <c r="H585" i="4"/>
  <c r="I585" i="4" s="1"/>
  <c r="F585" i="4"/>
  <c r="D585" i="4"/>
  <c r="C585" i="4"/>
  <c r="L605" i="4"/>
  <c r="J605" i="4"/>
  <c r="H605" i="4"/>
  <c r="I605" i="4" s="1"/>
  <c r="F605" i="4"/>
  <c r="G605" i="4" s="1"/>
  <c r="D605" i="4"/>
  <c r="C605" i="4"/>
  <c r="L602" i="4"/>
  <c r="J602" i="4"/>
  <c r="H602" i="4"/>
  <c r="F602" i="4"/>
  <c r="D602" i="4"/>
  <c r="C602" i="4"/>
  <c r="L570" i="4"/>
  <c r="M570" i="4" s="1"/>
  <c r="J570" i="4"/>
  <c r="K570" i="4" s="1"/>
  <c r="H570" i="4"/>
  <c r="F570" i="4"/>
  <c r="D570" i="4"/>
  <c r="C570" i="4"/>
  <c r="L581" i="4"/>
  <c r="J581" i="4"/>
  <c r="K581" i="4" s="1"/>
  <c r="H581" i="4"/>
  <c r="I581" i="4" s="1"/>
  <c r="F581" i="4"/>
  <c r="D581" i="4"/>
  <c r="C581" i="4"/>
  <c r="L580" i="4"/>
  <c r="M580" i="4" s="1"/>
  <c r="J580" i="4"/>
  <c r="K580" i="4" s="1"/>
  <c r="H580" i="4"/>
  <c r="F580" i="4"/>
  <c r="G580" i="4" s="1"/>
  <c r="D580" i="4"/>
  <c r="C580" i="4"/>
  <c r="L577" i="4"/>
  <c r="M577" i="4" s="1"/>
  <c r="J577" i="4"/>
  <c r="K577" i="4" s="1"/>
  <c r="H577" i="4"/>
  <c r="I577" i="4" s="1"/>
  <c r="F577" i="4"/>
  <c r="D577" i="4"/>
  <c r="C577" i="4"/>
  <c r="L601" i="4"/>
  <c r="M601" i="4" s="1"/>
  <c r="J601" i="4"/>
  <c r="K601" i="4" s="1"/>
  <c r="H601" i="4"/>
  <c r="I601" i="4" s="1"/>
  <c r="F601" i="4"/>
  <c r="D601" i="4"/>
  <c r="C601" i="4"/>
  <c r="L574" i="4"/>
  <c r="M574" i="4" s="1"/>
  <c r="J574" i="4"/>
  <c r="H574" i="4"/>
  <c r="F574" i="4"/>
  <c r="D574" i="4"/>
  <c r="C574" i="4"/>
  <c r="L582" i="4"/>
  <c r="M582" i="4" s="1"/>
  <c r="J582" i="4"/>
  <c r="H582" i="4"/>
  <c r="F582" i="4"/>
  <c r="D582" i="4"/>
  <c r="C582" i="4"/>
  <c r="L575" i="4"/>
  <c r="J575" i="4"/>
  <c r="H575" i="4"/>
  <c r="F575" i="4"/>
  <c r="D575" i="4"/>
  <c r="C575" i="4"/>
  <c r="L573" i="4"/>
  <c r="M573" i="4" s="1"/>
  <c r="J573" i="4"/>
  <c r="K573" i="4" s="1"/>
  <c r="H573" i="4"/>
  <c r="I573" i="4" s="1"/>
  <c r="F573" i="4"/>
  <c r="D573" i="4"/>
  <c r="C573" i="4"/>
  <c r="L554" i="4"/>
  <c r="M554" i="4" s="1"/>
  <c r="J554" i="4"/>
  <c r="K554" i="4" s="1"/>
  <c r="H554" i="4"/>
  <c r="I554" i="4" s="1"/>
  <c r="F554" i="4"/>
  <c r="D554" i="4"/>
  <c r="C554" i="4"/>
  <c r="L584" i="4"/>
  <c r="J584" i="4"/>
  <c r="H584" i="4"/>
  <c r="I584" i="4" s="1"/>
  <c r="F584" i="4"/>
  <c r="D584" i="4"/>
  <c r="C584" i="4"/>
  <c r="L594" i="4"/>
  <c r="J594" i="4"/>
  <c r="K594" i="4" s="1"/>
  <c r="H594" i="4"/>
  <c r="I594" i="4" s="1"/>
  <c r="F594" i="4"/>
  <c r="G594" i="4" s="1"/>
  <c r="D594" i="4"/>
  <c r="C594" i="4"/>
  <c r="L568" i="4"/>
  <c r="J568" i="4"/>
  <c r="H568" i="4"/>
  <c r="I568" i="4" s="1"/>
  <c r="F568" i="4"/>
  <c r="G568" i="4" s="1"/>
  <c r="D568" i="4"/>
  <c r="C568" i="4"/>
  <c r="L591" i="4"/>
  <c r="M591" i="4" s="1"/>
  <c r="J591" i="4"/>
  <c r="K591" i="4" s="1"/>
  <c r="H591" i="4"/>
  <c r="I591" i="4" s="1"/>
  <c r="F591" i="4"/>
  <c r="D591" i="4"/>
  <c r="C591" i="4"/>
  <c r="L578" i="4"/>
  <c r="J578" i="4"/>
  <c r="H578" i="4"/>
  <c r="I578" i="4" s="1"/>
  <c r="F578" i="4"/>
  <c r="G578" i="4" s="1"/>
  <c r="D578" i="4"/>
  <c r="C578" i="4"/>
  <c r="L544" i="4"/>
  <c r="M544" i="4" s="1"/>
  <c r="J544" i="4"/>
  <c r="K544" i="4" s="1"/>
  <c r="H544" i="4"/>
  <c r="I544" i="4" s="1"/>
  <c r="F544" i="4"/>
  <c r="D544" i="4"/>
  <c r="C544" i="4"/>
  <c r="L537" i="4"/>
  <c r="J537" i="4"/>
  <c r="K537" i="4" s="1"/>
  <c r="H537" i="4"/>
  <c r="I537" i="4" s="1"/>
  <c r="F537" i="4"/>
  <c r="D537" i="4"/>
  <c r="C537" i="4"/>
  <c r="L571" i="4"/>
  <c r="J571" i="4"/>
  <c r="H571" i="4"/>
  <c r="I571" i="4" s="1"/>
  <c r="F571" i="4"/>
  <c r="D571" i="4"/>
  <c r="C571" i="4"/>
  <c r="L563" i="4"/>
  <c r="M563" i="4" s="1"/>
  <c r="J563" i="4"/>
  <c r="K563" i="4" s="1"/>
  <c r="H563" i="4"/>
  <c r="I563" i="4" s="1"/>
  <c r="F563" i="4"/>
  <c r="D563" i="4"/>
  <c r="C563" i="4"/>
  <c r="L550" i="4"/>
  <c r="M550" i="4" s="1"/>
  <c r="J550" i="4"/>
  <c r="H550" i="4"/>
  <c r="F550" i="4"/>
  <c r="D550" i="4"/>
  <c r="C550" i="4"/>
  <c r="L579" i="4"/>
  <c r="J579" i="4"/>
  <c r="H579" i="4"/>
  <c r="I579" i="4" s="1"/>
  <c r="F579" i="4"/>
  <c r="D579" i="4"/>
  <c r="C579" i="4"/>
  <c r="L552" i="4"/>
  <c r="M552" i="4" s="1"/>
  <c r="J552" i="4"/>
  <c r="K552" i="4" s="1"/>
  <c r="H552" i="4"/>
  <c r="F552" i="4"/>
  <c r="G552" i="4" s="1"/>
  <c r="D552" i="4"/>
  <c r="C552" i="4"/>
  <c r="L555" i="4"/>
  <c r="M555" i="4" s="1"/>
  <c r="J555" i="4"/>
  <c r="K555" i="4" s="1"/>
  <c r="H555" i="4"/>
  <c r="I555" i="4" s="1"/>
  <c r="F555" i="4"/>
  <c r="D555" i="4"/>
  <c r="C555" i="4"/>
  <c r="L538" i="4"/>
  <c r="J538" i="4"/>
  <c r="K538" i="4" s="1"/>
  <c r="H538" i="4"/>
  <c r="F538" i="4"/>
  <c r="D538" i="4"/>
  <c r="C538" i="4"/>
  <c r="L542" i="4"/>
  <c r="M542" i="4" s="1"/>
  <c r="J542" i="4"/>
  <c r="K542" i="4" s="1"/>
  <c r="H542" i="4"/>
  <c r="I542" i="4" s="1"/>
  <c r="F542" i="4"/>
  <c r="D542" i="4"/>
  <c r="C542" i="4"/>
  <c r="L557" i="4"/>
  <c r="J557" i="4"/>
  <c r="K557" i="4" s="1"/>
  <c r="H557" i="4"/>
  <c r="F557" i="4"/>
  <c r="D557" i="4"/>
  <c r="C557" i="4"/>
  <c r="L546" i="4"/>
  <c r="M546" i="4" s="1"/>
  <c r="J546" i="4"/>
  <c r="K546" i="4" s="1"/>
  <c r="H546" i="4"/>
  <c r="I546" i="4" s="1"/>
  <c r="F546" i="4"/>
  <c r="D546" i="4"/>
  <c r="C546" i="4"/>
  <c r="L559" i="4"/>
  <c r="M559" i="4" s="1"/>
  <c r="J559" i="4"/>
  <c r="K559" i="4" s="1"/>
  <c r="H559" i="4"/>
  <c r="I559" i="4" s="1"/>
  <c r="F559" i="4"/>
  <c r="D559" i="4"/>
  <c r="C559" i="4"/>
  <c r="L533" i="4"/>
  <c r="M533" i="4" s="1"/>
  <c r="J533" i="4"/>
  <c r="K533" i="4" s="1"/>
  <c r="H533" i="4"/>
  <c r="F533" i="4"/>
  <c r="D533" i="4"/>
  <c r="C533" i="4"/>
  <c r="L565" i="4"/>
  <c r="M565" i="4" s="1"/>
  <c r="J565" i="4"/>
  <c r="H565" i="4"/>
  <c r="I565" i="4" s="1"/>
  <c r="F565" i="4"/>
  <c r="D565" i="4"/>
  <c r="C565" i="4"/>
  <c r="L564" i="4"/>
  <c r="M564" i="4" s="1"/>
  <c r="J564" i="4"/>
  <c r="K564" i="4" s="1"/>
  <c r="H564" i="4"/>
  <c r="F564" i="4"/>
  <c r="G564" i="4" s="1"/>
  <c r="D564" i="4"/>
  <c r="C564" i="4"/>
  <c r="L535" i="4"/>
  <c r="M535" i="4" s="1"/>
  <c r="J535" i="4"/>
  <c r="K535" i="4" s="1"/>
  <c r="H535" i="4"/>
  <c r="F535" i="4"/>
  <c r="D535" i="4"/>
  <c r="C535" i="4"/>
  <c r="L562" i="4"/>
  <c r="M562" i="4" s="1"/>
  <c r="J562" i="4"/>
  <c r="K562" i="4" s="1"/>
  <c r="H562" i="4"/>
  <c r="F562" i="4"/>
  <c r="D562" i="4"/>
  <c r="C562" i="4"/>
  <c r="L547" i="4"/>
  <c r="M547" i="4" s="1"/>
  <c r="J547" i="4"/>
  <c r="H547" i="4"/>
  <c r="I547" i="4" s="1"/>
  <c r="F547" i="4"/>
  <c r="D547" i="4"/>
  <c r="C547" i="4"/>
  <c r="L572" i="4"/>
  <c r="M572" i="4" s="1"/>
  <c r="J572" i="4"/>
  <c r="K572" i="4" s="1"/>
  <c r="H572" i="4"/>
  <c r="I572" i="4" s="1"/>
  <c r="F572" i="4"/>
  <c r="D572" i="4"/>
  <c r="C572" i="4"/>
  <c r="L516" i="4"/>
  <c r="M516" i="4" s="1"/>
  <c r="J516" i="4"/>
  <c r="K516" i="4" s="1"/>
  <c r="H516" i="4"/>
  <c r="I516" i="4" s="1"/>
  <c r="F516" i="4"/>
  <c r="D516" i="4"/>
  <c r="C516" i="4"/>
  <c r="L560" i="4"/>
  <c r="J560" i="4"/>
  <c r="K560" i="4" s="1"/>
  <c r="H560" i="4"/>
  <c r="I560" i="4" s="1"/>
  <c r="F560" i="4"/>
  <c r="D560" i="4"/>
  <c r="C560" i="4"/>
  <c r="L539" i="4"/>
  <c r="J539" i="4"/>
  <c r="K539" i="4" s="1"/>
  <c r="H539" i="4"/>
  <c r="F539" i="4"/>
  <c r="D539" i="4"/>
  <c r="C539" i="4"/>
  <c r="L505" i="4"/>
  <c r="J505" i="4"/>
  <c r="K505" i="4" s="1"/>
  <c r="H505" i="4"/>
  <c r="I505" i="4" s="1"/>
  <c r="F505" i="4"/>
  <c r="G505" i="4" s="1"/>
  <c r="D505" i="4"/>
  <c r="C505" i="4"/>
  <c r="L523" i="4"/>
  <c r="M523" i="4" s="1"/>
  <c r="J523" i="4"/>
  <c r="H523" i="4"/>
  <c r="F523" i="4"/>
  <c r="D523" i="4"/>
  <c r="C523" i="4"/>
  <c r="L566" i="4"/>
  <c r="M566" i="4" s="1"/>
  <c r="J566" i="4"/>
  <c r="K566" i="4" s="1"/>
  <c r="H566" i="4"/>
  <c r="I566" i="4" s="1"/>
  <c r="F566" i="4"/>
  <c r="D566" i="4"/>
  <c r="C566" i="4"/>
  <c r="L524" i="4"/>
  <c r="M524" i="4" s="1"/>
  <c r="J524" i="4"/>
  <c r="K524" i="4" s="1"/>
  <c r="H524" i="4"/>
  <c r="I524" i="4" s="1"/>
  <c r="F524" i="4"/>
  <c r="D524" i="4"/>
  <c r="C524" i="4"/>
  <c r="L536" i="4"/>
  <c r="M536" i="4" s="1"/>
  <c r="J536" i="4"/>
  <c r="K536" i="4" s="1"/>
  <c r="H536" i="4"/>
  <c r="F536" i="4"/>
  <c r="G536" i="4" s="1"/>
  <c r="D536" i="4"/>
  <c r="C536" i="4"/>
  <c r="L532" i="4"/>
  <c r="M532" i="4" s="1"/>
  <c r="J532" i="4"/>
  <c r="K532" i="4" s="1"/>
  <c r="H532" i="4"/>
  <c r="I532" i="4" s="1"/>
  <c r="F532" i="4"/>
  <c r="D532" i="4"/>
  <c r="C532" i="4"/>
  <c r="L553" i="4"/>
  <c r="J553" i="4"/>
  <c r="H553" i="4"/>
  <c r="I553" i="4" s="1"/>
  <c r="F553" i="4"/>
  <c r="D553" i="4"/>
  <c r="C553" i="4"/>
  <c r="L549" i="4"/>
  <c r="M549" i="4" s="1"/>
  <c r="J549" i="4"/>
  <c r="K549" i="4" s="1"/>
  <c r="H549" i="4"/>
  <c r="I549" i="4" s="1"/>
  <c r="F549" i="4"/>
  <c r="D549" i="4"/>
  <c r="C549" i="4"/>
  <c r="L543" i="4"/>
  <c r="M543" i="4" s="1"/>
  <c r="J543" i="4"/>
  <c r="H543" i="4"/>
  <c r="I543" i="4" s="1"/>
  <c r="F543" i="4"/>
  <c r="D543" i="4"/>
  <c r="C543" i="4"/>
  <c r="L531" i="4"/>
  <c r="J531" i="4"/>
  <c r="K531" i="4" s="1"/>
  <c r="H531" i="4"/>
  <c r="I531" i="4" s="1"/>
  <c r="F531" i="4"/>
  <c r="D531" i="4"/>
  <c r="C531" i="4"/>
  <c r="L561" i="4"/>
  <c r="M561" i="4" s="1"/>
  <c r="J561" i="4"/>
  <c r="K561" i="4" s="1"/>
  <c r="H561" i="4"/>
  <c r="I561" i="4" s="1"/>
  <c r="F561" i="4"/>
  <c r="D561" i="4"/>
  <c r="C561" i="4"/>
  <c r="L541" i="4"/>
  <c r="M541" i="4" s="1"/>
  <c r="J541" i="4"/>
  <c r="K541" i="4" s="1"/>
  <c r="H541" i="4"/>
  <c r="I541" i="4" s="1"/>
  <c r="F541" i="4"/>
  <c r="D541" i="4"/>
  <c r="C541" i="4"/>
  <c r="L551" i="4"/>
  <c r="M551" i="4" s="1"/>
  <c r="J551" i="4"/>
  <c r="K551" i="4" s="1"/>
  <c r="H551" i="4"/>
  <c r="I551" i="4" s="1"/>
  <c r="F551" i="4"/>
  <c r="D551" i="4"/>
  <c r="C551" i="4"/>
  <c r="L500" i="4"/>
  <c r="M500" i="4" s="1"/>
  <c r="J500" i="4"/>
  <c r="H500" i="4"/>
  <c r="I500" i="4" s="1"/>
  <c r="F500" i="4"/>
  <c r="D500" i="4"/>
  <c r="C500" i="4"/>
  <c r="L497" i="4"/>
  <c r="M497" i="4" s="1"/>
  <c r="J497" i="4"/>
  <c r="K497" i="4" s="1"/>
  <c r="H497" i="4"/>
  <c r="I497" i="4" s="1"/>
  <c r="F497" i="4"/>
  <c r="D497" i="4"/>
  <c r="C497" i="4"/>
  <c r="L540" i="4"/>
  <c r="M540" i="4" s="1"/>
  <c r="J540" i="4"/>
  <c r="K540" i="4" s="1"/>
  <c r="H540" i="4"/>
  <c r="F540" i="4"/>
  <c r="D540" i="4"/>
  <c r="C540" i="4"/>
  <c r="L556" i="4"/>
  <c r="M556" i="4" s="1"/>
  <c r="J556" i="4"/>
  <c r="K556" i="4" s="1"/>
  <c r="H556" i="4"/>
  <c r="I556" i="4" s="1"/>
  <c r="F556" i="4"/>
  <c r="D556" i="4"/>
  <c r="C556" i="4"/>
  <c r="L548" i="4"/>
  <c r="M548" i="4" s="1"/>
  <c r="J548" i="4"/>
  <c r="K548" i="4" s="1"/>
  <c r="H548" i="4"/>
  <c r="I548" i="4" s="1"/>
  <c r="F548" i="4"/>
  <c r="D548" i="4"/>
  <c r="C548" i="4"/>
  <c r="L545" i="4"/>
  <c r="J545" i="4"/>
  <c r="K545" i="4" s="1"/>
  <c r="H545" i="4"/>
  <c r="F545" i="4"/>
  <c r="D545" i="4"/>
  <c r="C545" i="4"/>
  <c r="L519" i="4"/>
  <c r="J519" i="4"/>
  <c r="K519" i="4" s="1"/>
  <c r="H519" i="4"/>
  <c r="I519" i="4" s="1"/>
  <c r="F519" i="4"/>
  <c r="G519" i="4" s="1"/>
  <c r="D519" i="4"/>
  <c r="C519" i="4"/>
  <c r="L496" i="4"/>
  <c r="M496" i="4" s="1"/>
  <c r="J496" i="4"/>
  <c r="K496" i="4" s="1"/>
  <c r="H496" i="4"/>
  <c r="F496" i="4"/>
  <c r="D496" i="4"/>
  <c r="C496" i="4"/>
  <c r="L530" i="4"/>
  <c r="M530" i="4" s="1"/>
  <c r="J530" i="4"/>
  <c r="K530" i="4" s="1"/>
  <c r="H530" i="4"/>
  <c r="I530" i="4" s="1"/>
  <c r="F530" i="4"/>
  <c r="D530" i="4"/>
  <c r="C530" i="4"/>
  <c r="L529" i="4"/>
  <c r="M529" i="4" s="1"/>
  <c r="J529" i="4"/>
  <c r="K529" i="4" s="1"/>
  <c r="H529" i="4"/>
  <c r="I529" i="4" s="1"/>
  <c r="F529" i="4"/>
  <c r="D529" i="4"/>
  <c r="C529" i="4"/>
  <c r="L525" i="4"/>
  <c r="J525" i="4"/>
  <c r="K525" i="4" s="1"/>
  <c r="H525" i="4"/>
  <c r="I525" i="4" s="1"/>
  <c r="F525" i="4"/>
  <c r="G525" i="4" s="1"/>
  <c r="D525" i="4"/>
  <c r="C525" i="4"/>
  <c r="L518" i="4"/>
  <c r="J518" i="4"/>
  <c r="K518" i="4" s="1"/>
  <c r="H518" i="4"/>
  <c r="I518" i="4" s="1"/>
  <c r="F518" i="4"/>
  <c r="D518" i="4"/>
  <c r="C518" i="4"/>
  <c r="L488" i="4"/>
  <c r="M488" i="4" s="1"/>
  <c r="J488" i="4"/>
  <c r="K488" i="4" s="1"/>
  <c r="H488" i="4"/>
  <c r="I488" i="4" s="1"/>
  <c r="F488" i="4"/>
  <c r="D488" i="4"/>
  <c r="C488" i="4"/>
  <c r="L507" i="4"/>
  <c r="J507" i="4"/>
  <c r="H507" i="4"/>
  <c r="I507" i="4" s="1"/>
  <c r="F507" i="4"/>
  <c r="D507" i="4"/>
  <c r="C507" i="4"/>
  <c r="L521" i="4"/>
  <c r="J521" i="4"/>
  <c r="H521" i="4"/>
  <c r="I521" i="4" s="1"/>
  <c r="F521" i="4"/>
  <c r="G521" i="4" s="1"/>
  <c r="D521" i="4"/>
  <c r="C521" i="4"/>
  <c r="L520" i="4"/>
  <c r="M520" i="4" s="1"/>
  <c r="J520" i="4"/>
  <c r="K520" i="4" s="1"/>
  <c r="H520" i="4"/>
  <c r="I520" i="4" s="1"/>
  <c r="F520" i="4"/>
  <c r="D520" i="4"/>
  <c r="C520" i="4"/>
  <c r="L526" i="4"/>
  <c r="M526" i="4" s="1"/>
  <c r="J526" i="4"/>
  <c r="K526" i="4" s="1"/>
  <c r="H526" i="4"/>
  <c r="I526" i="4" s="1"/>
  <c r="F526" i="4"/>
  <c r="D526" i="4"/>
  <c r="C526" i="4"/>
  <c r="L534" i="4"/>
  <c r="M534" i="4" s="1"/>
  <c r="J534" i="4"/>
  <c r="K534" i="4" s="1"/>
  <c r="H534" i="4"/>
  <c r="F534" i="4"/>
  <c r="D534" i="4"/>
  <c r="C534" i="4"/>
  <c r="L517" i="4"/>
  <c r="M517" i="4" s="1"/>
  <c r="J517" i="4"/>
  <c r="K517" i="4" s="1"/>
  <c r="H517" i="4"/>
  <c r="I517" i="4" s="1"/>
  <c r="F517" i="4"/>
  <c r="D517" i="4"/>
  <c r="C517" i="4"/>
  <c r="L455" i="4"/>
  <c r="J455" i="4"/>
  <c r="K455" i="4" s="1"/>
  <c r="H455" i="4"/>
  <c r="F455" i="4"/>
  <c r="D455" i="4"/>
  <c r="C455" i="4"/>
  <c r="L493" i="4"/>
  <c r="M493" i="4" s="1"/>
  <c r="J493" i="4"/>
  <c r="K493" i="4" s="1"/>
  <c r="H493" i="4"/>
  <c r="I493" i="4" s="1"/>
  <c r="F493" i="4"/>
  <c r="D493" i="4"/>
  <c r="C493" i="4"/>
  <c r="L506" i="4"/>
  <c r="M506" i="4" s="1"/>
  <c r="J506" i="4"/>
  <c r="K506" i="4" s="1"/>
  <c r="H506" i="4"/>
  <c r="I506" i="4" s="1"/>
  <c r="F506" i="4"/>
  <c r="D506" i="4"/>
  <c r="C506" i="4"/>
  <c r="L495" i="4"/>
  <c r="J495" i="4"/>
  <c r="K495" i="4" s="1"/>
  <c r="H495" i="4"/>
  <c r="I495" i="4" s="1"/>
  <c r="F495" i="4"/>
  <c r="D495" i="4"/>
  <c r="C495" i="4"/>
  <c r="L528" i="4"/>
  <c r="J528" i="4"/>
  <c r="H528" i="4"/>
  <c r="F528" i="4"/>
  <c r="G528" i="4" s="1"/>
  <c r="D528" i="4"/>
  <c r="C528" i="4"/>
  <c r="L489" i="4"/>
  <c r="M489" i="4" s="1"/>
  <c r="J489" i="4"/>
  <c r="K489" i="4" s="1"/>
  <c r="H489" i="4"/>
  <c r="F489" i="4"/>
  <c r="G489" i="4" s="1"/>
  <c r="D489" i="4"/>
  <c r="C489" i="4"/>
  <c r="L502" i="4"/>
  <c r="M502" i="4" s="1"/>
  <c r="J502" i="4"/>
  <c r="K502" i="4" s="1"/>
  <c r="H502" i="4"/>
  <c r="F502" i="4"/>
  <c r="D502" i="4"/>
  <c r="C502" i="4"/>
  <c r="L482" i="4"/>
  <c r="J482" i="4"/>
  <c r="H482" i="4"/>
  <c r="F482" i="4"/>
  <c r="G482" i="4" s="1"/>
  <c r="D482" i="4"/>
  <c r="C482" i="4"/>
  <c r="L499" i="4"/>
  <c r="M499" i="4" s="1"/>
  <c r="J499" i="4"/>
  <c r="K499" i="4" s="1"/>
  <c r="H499" i="4"/>
  <c r="F499" i="4"/>
  <c r="D499" i="4"/>
  <c r="C499" i="4"/>
  <c r="L512" i="4"/>
  <c r="J512" i="4"/>
  <c r="K512" i="4" s="1"/>
  <c r="H512" i="4"/>
  <c r="I512" i="4" s="1"/>
  <c r="F512" i="4"/>
  <c r="G512" i="4" s="1"/>
  <c r="D512" i="4"/>
  <c r="C512" i="4"/>
  <c r="L498" i="4"/>
  <c r="J498" i="4"/>
  <c r="H498" i="4"/>
  <c r="I498" i="4" s="1"/>
  <c r="F498" i="4"/>
  <c r="D498" i="4"/>
  <c r="C498" i="4"/>
  <c r="L472" i="4"/>
  <c r="J472" i="4"/>
  <c r="H472" i="4"/>
  <c r="I472" i="4" s="1"/>
  <c r="F472" i="4"/>
  <c r="D472" i="4"/>
  <c r="C472" i="4"/>
  <c r="L484" i="4"/>
  <c r="M484" i="4" s="1"/>
  <c r="J484" i="4"/>
  <c r="K484" i="4" s="1"/>
  <c r="H484" i="4"/>
  <c r="I484" i="4" s="1"/>
  <c r="F484" i="4"/>
  <c r="D484" i="4"/>
  <c r="C484" i="4"/>
  <c r="L483" i="4"/>
  <c r="M483" i="4" s="1"/>
  <c r="J483" i="4"/>
  <c r="K483" i="4" s="1"/>
  <c r="H483" i="4"/>
  <c r="I483" i="4" s="1"/>
  <c r="F483" i="4"/>
  <c r="D483" i="4"/>
  <c r="C483" i="4"/>
  <c r="L515" i="4"/>
  <c r="M515" i="4" s="1"/>
  <c r="J515" i="4"/>
  <c r="K515" i="4" s="1"/>
  <c r="H515" i="4"/>
  <c r="I515" i="4" s="1"/>
  <c r="F515" i="4"/>
  <c r="D515" i="4"/>
  <c r="C515" i="4"/>
  <c r="L513" i="4"/>
  <c r="J513" i="4"/>
  <c r="H513" i="4"/>
  <c r="F513" i="4"/>
  <c r="D513" i="4"/>
  <c r="C513" i="4"/>
  <c r="L527" i="4"/>
  <c r="J527" i="4"/>
  <c r="K527" i="4" s="1"/>
  <c r="H527" i="4"/>
  <c r="I527" i="4" s="1"/>
  <c r="F527" i="4"/>
  <c r="D527" i="4"/>
  <c r="C527" i="4"/>
  <c r="L485" i="4"/>
  <c r="M485" i="4" s="1"/>
  <c r="J485" i="4"/>
  <c r="H485" i="4"/>
  <c r="I485" i="4" s="1"/>
  <c r="F485" i="4"/>
  <c r="G485" i="4" s="1"/>
  <c r="D485" i="4"/>
  <c r="C485" i="4"/>
  <c r="L522" i="4"/>
  <c r="M522" i="4" s="1"/>
  <c r="J522" i="4"/>
  <c r="H522" i="4"/>
  <c r="F522" i="4"/>
  <c r="D522" i="4"/>
  <c r="C522" i="4"/>
  <c r="L490" i="4"/>
  <c r="M490" i="4" s="1"/>
  <c r="J490" i="4"/>
  <c r="K490" i="4" s="1"/>
  <c r="H490" i="4"/>
  <c r="I490" i="4" s="1"/>
  <c r="F490" i="4"/>
  <c r="D490" i="4"/>
  <c r="C490" i="4"/>
  <c r="L509" i="4"/>
  <c r="J509" i="4"/>
  <c r="H509" i="4"/>
  <c r="I509" i="4" s="1"/>
  <c r="F509" i="4"/>
  <c r="D509" i="4"/>
  <c r="C509" i="4"/>
  <c r="L487" i="4"/>
  <c r="M487" i="4" s="1"/>
  <c r="J487" i="4"/>
  <c r="H487" i="4"/>
  <c r="F487" i="4"/>
  <c r="G487" i="4" s="1"/>
  <c r="D487" i="4"/>
  <c r="C487" i="4"/>
  <c r="L469" i="4"/>
  <c r="J469" i="4"/>
  <c r="K469" i="4" s="1"/>
  <c r="H469" i="4"/>
  <c r="F469" i="4"/>
  <c r="D469" i="4"/>
  <c r="C469" i="4"/>
  <c r="L501" i="4"/>
  <c r="J501" i="4"/>
  <c r="K501" i="4" s="1"/>
  <c r="H501" i="4"/>
  <c r="I501" i="4" s="1"/>
  <c r="F501" i="4"/>
  <c r="G501" i="4" s="1"/>
  <c r="D501" i="4"/>
  <c r="C501" i="4"/>
  <c r="L473" i="4"/>
  <c r="J473" i="4"/>
  <c r="K473" i="4" s="1"/>
  <c r="H473" i="4"/>
  <c r="I473" i="4" s="1"/>
  <c r="F473" i="4"/>
  <c r="D473" i="4"/>
  <c r="C473" i="4"/>
  <c r="L508" i="4"/>
  <c r="J508" i="4"/>
  <c r="K508" i="4" s="1"/>
  <c r="H508" i="4"/>
  <c r="I508" i="4" s="1"/>
  <c r="F508" i="4"/>
  <c r="G508" i="4" s="1"/>
  <c r="D508" i="4"/>
  <c r="C508" i="4"/>
  <c r="L511" i="4"/>
  <c r="M511" i="4" s="1"/>
  <c r="J511" i="4"/>
  <c r="K511" i="4" s="1"/>
  <c r="H511" i="4"/>
  <c r="I511" i="4" s="1"/>
  <c r="F511" i="4"/>
  <c r="D511" i="4"/>
  <c r="C511" i="4"/>
  <c r="L326" i="4"/>
  <c r="J326" i="4"/>
  <c r="H326" i="4"/>
  <c r="I326" i="4" s="1"/>
  <c r="F326" i="4"/>
  <c r="D326" i="4"/>
  <c r="C326" i="4"/>
  <c r="L478" i="4"/>
  <c r="M478" i="4" s="1"/>
  <c r="J478" i="4"/>
  <c r="H478" i="4"/>
  <c r="I478" i="4" s="1"/>
  <c r="F478" i="4"/>
  <c r="G478" i="4" s="1"/>
  <c r="D478" i="4"/>
  <c r="C478" i="4"/>
  <c r="L514" i="4"/>
  <c r="M514" i="4" s="1"/>
  <c r="J514" i="4"/>
  <c r="H514" i="4"/>
  <c r="F514" i="4"/>
  <c r="D514" i="4"/>
  <c r="C514" i="4"/>
  <c r="L491" i="4"/>
  <c r="J491" i="4"/>
  <c r="H491" i="4"/>
  <c r="I491" i="4" s="1"/>
  <c r="F491" i="4"/>
  <c r="D491" i="4"/>
  <c r="C491" i="4"/>
  <c r="L510" i="4"/>
  <c r="J510" i="4"/>
  <c r="K510" i="4" s="1"/>
  <c r="H510" i="4"/>
  <c r="I510" i="4" s="1"/>
  <c r="F510" i="4"/>
  <c r="D510" i="4"/>
  <c r="C510" i="4"/>
  <c r="L467" i="4"/>
  <c r="M467" i="4" s="1"/>
  <c r="J467" i="4"/>
  <c r="K467" i="4" s="1"/>
  <c r="H467" i="4"/>
  <c r="I467" i="4" s="1"/>
  <c r="F467" i="4"/>
  <c r="D467" i="4"/>
  <c r="C467" i="4"/>
  <c r="L476" i="4"/>
  <c r="M476" i="4" s="1"/>
  <c r="J476" i="4"/>
  <c r="K476" i="4" s="1"/>
  <c r="H476" i="4"/>
  <c r="I476" i="4" s="1"/>
  <c r="F476" i="4"/>
  <c r="D476" i="4"/>
  <c r="C476" i="4"/>
  <c r="L475" i="4"/>
  <c r="M475" i="4" s="1"/>
  <c r="J475" i="4"/>
  <c r="K475" i="4" s="1"/>
  <c r="H475" i="4"/>
  <c r="I475" i="4" s="1"/>
  <c r="F475" i="4"/>
  <c r="D475" i="4"/>
  <c r="C475" i="4"/>
  <c r="L441" i="4"/>
  <c r="J441" i="4"/>
  <c r="H441" i="4"/>
  <c r="F441" i="4"/>
  <c r="G441" i="4" s="1"/>
  <c r="D441" i="4"/>
  <c r="C441" i="4"/>
  <c r="L486" i="4"/>
  <c r="J486" i="4"/>
  <c r="K486" i="4" s="1"/>
  <c r="H486" i="4"/>
  <c r="I486" i="4" s="1"/>
  <c r="F486" i="4"/>
  <c r="G486" i="4" s="1"/>
  <c r="D486" i="4"/>
  <c r="C486" i="4"/>
  <c r="L504" i="4"/>
  <c r="J504" i="4"/>
  <c r="K504" i="4" s="1"/>
  <c r="H504" i="4"/>
  <c r="I504" i="4" s="1"/>
  <c r="F504" i="4"/>
  <c r="D504" i="4"/>
  <c r="C504" i="4"/>
  <c r="L460" i="4"/>
  <c r="M460" i="4" s="1"/>
  <c r="J460" i="4"/>
  <c r="K460" i="4" s="1"/>
  <c r="H460" i="4"/>
  <c r="I460" i="4" s="1"/>
  <c r="F460" i="4"/>
  <c r="D460" i="4"/>
  <c r="C460" i="4"/>
  <c r="L474" i="4"/>
  <c r="M474" i="4" s="1"/>
  <c r="J474" i="4"/>
  <c r="K474" i="4" s="1"/>
  <c r="H474" i="4"/>
  <c r="I474" i="4" s="1"/>
  <c r="F474" i="4"/>
  <c r="D474" i="4"/>
  <c r="C474" i="4"/>
  <c r="L503" i="4"/>
  <c r="J503" i="4"/>
  <c r="H503" i="4"/>
  <c r="I503" i="4" s="1"/>
  <c r="F503" i="4"/>
  <c r="D503" i="4"/>
  <c r="C503" i="4"/>
  <c r="L479" i="4"/>
  <c r="J479" i="4"/>
  <c r="K479" i="4" s="1"/>
  <c r="H479" i="4"/>
  <c r="I479" i="4" s="1"/>
  <c r="F479" i="4"/>
  <c r="G479" i="4" s="1"/>
  <c r="D479" i="4"/>
  <c r="C479" i="4"/>
  <c r="L492" i="4"/>
  <c r="M492" i="4" s="1"/>
  <c r="J492" i="4"/>
  <c r="H492" i="4"/>
  <c r="I492" i="4" s="1"/>
  <c r="F492" i="4"/>
  <c r="D492" i="4"/>
  <c r="C492" i="4"/>
  <c r="L466" i="4"/>
  <c r="M466" i="4" s="1"/>
  <c r="J466" i="4"/>
  <c r="H466" i="4"/>
  <c r="I466" i="4" s="1"/>
  <c r="F466" i="4"/>
  <c r="D466" i="4"/>
  <c r="C466" i="4"/>
  <c r="L465" i="4"/>
  <c r="J465" i="4"/>
  <c r="H465" i="4"/>
  <c r="I465" i="4" s="1"/>
  <c r="F465" i="4"/>
  <c r="D465" i="4"/>
  <c r="C465" i="4"/>
  <c r="L446" i="4"/>
  <c r="M446" i="4" s="1"/>
  <c r="J446" i="4"/>
  <c r="K446" i="4" s="1"/>
  <c r="H446" i="4"/>
  <c r="F446" i="4"/>
  <c r="G446" i="4" s="1"/>
  <c r="D446" i="4"/>
  <c r="C446" i="4"/>
  <c r="L471" i="4"/>
  <c r="J471" i="4"/>
  <c r="K471" i="4" s="1"/>
  <c r="H471" i="4"/>
  <c r="I471" i="4" s="1"/>
  <c r="F471" i="4"/>
  <c r="D471" i="4"/>
  <c r="C471" i="4"/>
  <c r="L452" i="4"/>
  <c r="J452" i="4"/>
  <c r="K452" i="4" s="1"/>
  <c r="H452" i="4"/>
  <c r="I452" i="4" s="1"/>
  <c r="F452" i="4"/>
  <c r="D452" i="4"/>
  <c r="C452" i="4"/>
  <c r="L464" i="4"/>
  <c r="J464" i="4"/>
  <c r="K464" i="4" s="1"/>
  <c r="H464" i="4"/>
  <c r="F464" i="4"/>
  <c r="G464" i="4" s="1"/>
  <c r="D464" i="4"/>
  <c r="C464" i="4"/>
  <c r="L480" i="4"/>
  <c r="M480" i="4" s="1"/>
  <c r="J480" i="4"/>
  <c r="K480" i="4" s="1"/>
  <c r="H480" i="4"/>
  <c r="I480" i="4" s="1"/>
  <c r="F480" i="4"/>
  <c r="D480" i="4"/>
  <c r="C480" i="4"/>
  <c r="L462" i="4"/>
  <c r="J462" i="4"/>
  <c r="H462" i="4"/>
  <c r="I462" i="4" s="1"/>
  <c r="F462" i="4"/>
  <c r="G462" i="4" s="1"/>
  <c r="D462" i="4"/>
  <c r="C462" i="4"/>
  <c r="L461" i="4"/>
  <c r="J461" i="4"/>
  <c r="K461" i="4" s="1"/>
  <c r="H461" i="4"/>
  <c r="I461" i="4" s="1"/>
  <c r="F461" i="4"/>
  <c r="G461" i="4" s="1"/>
  <c r="D461" i="4"/>
  <c r="C461" i="4"/>
  <c r="L438" i="4"/>
  <c r="J438" i="4"/>
  <c r="K438" i="4" s="1"/>
  <c r="H438" i="4"/>
  <c r="I438" i="4" s="1"/>
  <c r="F438" i="4"/>
  <c r="G438" i="4" s="1"/>
  <c r="D438" i="4"/>
  <c r="C438" i="4"/>
  <c r="L481" i="4"/>
  <c r="J481" i="4"/>
  <c r="H481" i="4"/>
  <c r="I481" i="4" s="1"/>
  <c r="F481" i="4"/>
  <c r="D481" i="4"/>
  <c r="C481" i="4"/>
  <c r="L494" i="4"/>
  <c r="J494" i="4"/>
  <c r="K494" i="4" s="1"/>
  <c r="H494" i="4"/>
  <c r="I494" i="4" s="1"/>
  <c r="F494" i="4"/>
  <c r="G494" i="4" s="1"/>
  <c r="D494" i="4"/>
  <c r="C494" i="4"/>
  <c r="L440" i="4"/>
  <c r="J440" i="4"/>
  <c r="H440" i="4"/>
  <c r="I440" i="4" s="1"/>
  <c r="F440" i="4"/>
  <c r="G440" i="4" s="1"/>
  <c r="D440" i="4"/>
  <c r="C440" i="4"/>
  <c r="L445" i="4"/>
  <c r="M445" i="4" s="1"/>
  <c r="J445" i="4"/>
  <c r="K445" i="4" s="1"/>
  <c r="H445" i="4"/>
  <c r="I445" i="4" s="1"/>
  <c r="F445" i="4"/>
  <c r="D445" i="4"/>
  <c r="C445" i="4"/>
  <c r="L463" i="4"/>
  <c r="J463" i="4"/>
  <c r="K463" i="4" s="1"/>
  <c r="H463" i="4"/>
  <c r="I463" i="4" s="1"/>
  <c r="F463" i="4"/>
  <c r="G463" i="4" s="1"/>
  <c r="D463" i="4"/>
  <c r="C463" i="4"/>
  <c r="L477" i="4"/>
  <c r="J477" i="4"/>
  <c r="H477" i="4"/>
  <c r="I477" i="4" s="1"/>
  <c r="F477" i="4"/>
  <c r="G477" i="4" s="1"/>
  <c r="D477" i="4"/>
  <c r="C477" i="4"/>
  <c r="L451" i="4"/>
  <c r="J451" i="4"/>
  <c r="K451" i="4" s="1"/>
  <c r="H451" i="4"/>
  <c r="F451" i="4"/>
  <c r="D451" i="4"/>
  <c r="C451" i="4"/>
  <c r="L424" i="4"/>
  <c r="M424" i="4" s="1"/>
  <c r="J424" i="4"/>
  <c r="K424" i="4" s="1"/>
  <c r="H424" i="4"/>
  <c r="I424" i="4" s="1"/>
  <c r="F424" i="4"/>
  <c r="D424" i="4"/>
  <c r="C424" i="4"/>
  <c r="L458" i="4"/>
  <c r="M458" i="4" s="1"/>
  <c r="J458" i="4"/>
  <c r="K458" i="4" s="1"/>
  <c r="H458" i="4"/>
  <c r="F458" i="4"/>
  <c r="D458" i="4"/>
  <c r="C458" i="4"/>
  <c r="L454" i="4"/>
  <c r="M454" i="4" s="1"/>
  <c r="J454" i="4"/>
  <c r="H454" i="4"/>
  <c r="I454" i="4" s="1"/>
  <c r="F454" i="4"/>
  <c r="G454" i="4" s="1"/>
  <c r="D454" i="4"/>
  <c r="C454" i="4"/>
  <c r="L409" i="4"/>
  <c r="J409" i="4"/>
  <c r="K409" i="4" s="1"/>
  <c r="H409" i="4"/>
  <c r="I409" i="4" s="1"/>
  <c r="F409" i="4"/>
  <c r="D409" i="4"/>
  <c r="C409" i="4"/>
  <c r="L432" i="4"/>
  <c r="J432" i="4"/>
  <c r="H432" i="4"/>
  <c r="I432" i="4" s="1"/>
  <c r="F432" i="4"/>
  <c r="D432" i="4"/>
  <c r="C432" i="4"/>
  <c r="L456" i="4"/>
  <c r="J456" i="4"/>
  <c r="K456" i="4" s="1"/>
  <c r="H456" i="4"/>
  <c r="F456" i="4"/>
  <c r="G456" i="4" s="1"/>
  <c r="D456" i="4"/>
  <c r="C456" i="4"/>
  <c r="L430" i="4"/>
  <c r="M430" i="4" s="1"/>
  <c r="J430" i="4"/>
  <c r="K430" i="4" s="1"/>
  <c r="H430" i="4"/>
  <c r="F430" i="4"/>
  <c r="D430" i="4"/>
  <c r="C430" i="4"/>
  <c r="L468" i="4"/>
  <c r="M468" i="4" s="1"/>
  <c r="J468" i="4"/>
  <c r="K468" i="4" s="1"/>
  <c r="H468" i="4"/>
  <c r="I468" i="4" s="1"/>
  <c r="F468" i="4"/>
  <c r="D468" i="4"/>
  <c r="C468" i="4"/>
  <c r="L422" i="4"/>
  <c r="M422" i="4" s="1"/>
  <c r="J422" i="4"/>
  <c r="K422" i="4" s="1"/>
  <c r="H422" i="4"/>
  <c r="I422" i="4" s="1"/>
  <c r="F422" i="4"/>
  <c r="D422" i="4"/>
  <c r="C422" i="4"/>
  <c r="L459" i="4"/>
  <c r="J459" i="4"/>
  <c r="H459" i="4"/>
  <c r="I459" i="4" s="1"/>
  <c r="F459" i="4"/>
  <c r="D459" i="4"/>
  <c r="C459" i="4"/>
  <c r="L470" i="4"/>
  <c r="J470" i="4"/>
  <c r="K470" i="4" s="1"/>
  <c r="H470" i="4"/>
  <c r="I470" i="4" s="1"/>
  <c r="F470" i="4"/>
  <c r="D470" i="4"/>
  <c r="C470" i="4"/>
  <c r="L307" i="4"/>
  <c r="J307" i="4"/>
  <c r="K307" i="4" s="1"/>
  <c r="H307" i="4"/>
  <c r="I307" i="4" s="1"/>
  <c r="F307" i="4"/>
  <c r="G307" i="4" s="1"/>
  <c r="D307" i="4"/>
  <c r="C307" i="4"/>
  <c r="L412" i="4"/>
  <c r="M412" i="4" s="1"/>
  <c r="J412" i="4"/>
  <c r="K412" i="4" s="1"/>
  <c r="H412" i="4"/>
  <c r="I412" i="4" s="1"/>
  <c r="F412" i="4"/>
  <c r="D412" i="4"/>
  <c r="C412" i="4"/>
  <c r="L444" i="4"/>
  <c r="M444" i="4" s="1"/>
  <c r="J444" i="4"/>
  <c r="K444" i="4" s="1"/>
  <c r="H444" i="4"/>
  <c r="F444" i="4"/>
  <c r="D444" i="4"/>
  <c r="C444" i="4"/>
  <c r="L450" i="4"/>
  <c r="M450" i="4" s="1"/>
  <c r="J450" i="4"/>
  <c r="H450" i="4"/>
  <c r="I450" i="4" s="1"/>
  <c r="F450" i="4"/>
  <c r="D450" i="4"/>
  <c r="C450" i="4"/>
  <c r="L417" i="4"/>
  <c r="J417" i="4"/>
  <c r="K417" i="4" s="1"/>
  <c r="H417" i="4"/>
  <c r="F417" i="4"/>
  <c r="D417" i="4"/>
  <c r="C417" i="4"/>
  <c r="L453" i="4"/>
  <c r="M453" i="4" s="1"/>
  <c r="J453" i="4"/>
  <c r="K453" i="4" s="1"/>
  <c r="H453" i="4"/>
  <c r="I453" i="4" s="1"/>
  <c r="F453" i="4"/>
  <c r="D453" i="4"/>
  <c r="C453" i="4"/>
  <c r="L443" i="4"/>
  <c r="M443" i="4" s="1"/>
  <c r="J443" i="4"/>
  <c r="K443" i="4" s="1"/>
  <c r="H443" i="4"/>
  <c r="I443" i="4" s="1"/>
  <c r="F443" i="4"/>
  <c r="D443" i="4"/>
  <c r="C443" i="4"/>
  <c r="L414" i="4"/>
  <c r="M414" i="4" s="1"/>
  <c r="J414" i="4"/>
  <c r="K414" i="4" s="1"/>
  <c r="H414" i="4"/>
  <c r="I414" i="4" s="1"/>
  <c r="F414" i="4"/>
  <c r="D414" i="4"/>
  <c r="C414" i="4"/>
  <c r="L396" i="4"/>
  <c r="M396" i="4" s="1"/>
  <c r="J396" i="4"/>
  <c r="H396" i="4"/>
  <c r="I396" i="4" s="1"/>
  <c r="F396" i="4"/>
  <c r="D396" i="4"/>
  <c r="C396" i="4"/>
  <c r="L449" i="4"/>
  <c r="M449" i="4" s="1"/>
  <c r="J449" i="4"/>
  <c r="K449" i="4" s="1"/>
  <c r="H449" i="4"/>
  <c r="F449" i="4"/>
  <c r="D449" i="4"/>
  <c r="C449" i="4"/>
  <c r="L437" i="4"/>
  <c r="M437" i="4" s="1"/>
  <c r="J437" i="4"/>
  <c r="K437" i="4" s="1"/>
  <c r="H437" i="4"/>
  <c r="F437" i="4"/>
  <c r="D437" i="4"/>
  <c r="C437" i="4"/>
  <c r="L457" i="4"/>
  <c r="M457" i="4" s="1"/>
  <c r="J457" i="4"/>
  <c r="K457" i="4" s="1"/>
  <c r="H457" i="4"/>
  <c r="I457" i="4" s="1"/>
  <c r="F457" i="4"/>
  <c r="D457" i="4"/>
  <c r="C457" i="4"/>
  <c r="L428" i="4"/>
  <c r="M428" i="4" s="1"/>
  <c r="J428" i="4"/>
  <c r="K428" i="4" s="1"/>
  <c r="H428" i="4"/>
  <c r="I428" i="4" s="1"/>
  <c r="F428" i="4"/>
  <c r="D428" i="4"/>
  <c r="C428" i="4"/>
  <c r="L439" i="4"/>
  <c r="J439" i="4"/>
  <c r="H439" i="4"/>
  <c r="I439" i="4" s="1"/>
  <c r="F439" i="4"/>
  <c r="G439" i="4" s="1"/>
  <c r="D439" i="4"/>
  <c r="C439" i="4"/>
  <c r="L425" i="4"/>
  <c r="M425" i="4" s="1"/>
  <c r="J425" i="4"/>
  <c r="H425" i="4"/>
  <c r="I425" i="4" s="1"/>
  <c r="F425" i="4"/>
  <c r="D425" i="4"/>
  <c r="C425" i="4"/>
  <c r="L406" i="4"/>
  <c r="J406" i="4"/>
  <c r="H406" i="4"/>
  <c r="F406" i="4"/>
  <c r="D406" i="4"/>
  <c r="C406" i="4"/>
  <c r="L448" i="4"/>
  <c r="J448" i="4"/>
  <c r="H448" i="4"/>
  <c r="I448" i="4" s="1"/>
  <c r="F448" i="4"/>
  <c r="G448" i="4" s="1"/>
  <c r="D448" i="4"/>
  <c r="C448" i="4"/>
  <c r="L391" i="4"/>
  <c r="M391" i="4" s="1"/>
  <c r="J391" i="4"/>
  <c r="K391" i="4" s="1"/>
  <c r="H391" i="4"/>
  <c r="I391" i="4" s="1"/>
  <c r="F391" i="4"/>
  <c r="D391" i="4"/>
  <c r="C391" i="4"/>
  <c r="L436" i="4"/>
  <c r="M436" i="4" s="1"/>
  <c r="J436" i="4"/>
  <c r="K436" i="4" s="1"/>
  <c r="H436" i="4"/>
  <c r="I436" i="4" s="1"/>
  <c r="F436" i="4"/>
  <c r="D436" i="4"/>
  <c r="C436" i="4"/>
  <c r="L447" i="4"/>
  <c r="J447" i="4"/>
  <c r="H447" i="4"/>
  <c r="F447" i="4"/>
  <c r="D447" i="4"/>
  <c r="C447" i="4"/>
  <c r="L420" i="4"/>
  <c r="M420" i="4" s="1"/>
  <c r="J420" i="4"/>
  <c r="K420" i="4" s="1"/>
  <c r="H420" i="4"/>
  <c r="I420" i="4" s="1"/>
  <c r="F420" i="4"/>
  <c r="D420" i="4"/>
  <c r="C420" i="4"/>
  <c r="L388" i="4"/>
  <c r="M388" i="4" s="1"/>
  <c r="J388" i="4"/>
  <c r="K388" i="4" s="1"/>
  <c r="H388" i="4"/>
  <c r="I388" i="4" s="1"/>
  <c r="F388" i="4"/>
  <c r="D388" i="4"/>
  <c r="C388" i="4"/>
  <c r="L435" i="4"/>
  <c r="J435" i="4"/>
  <c r="H435" i="4"/>
  <c r="I435" i="4" s="1"/>
  <c r="F435" i="4"/>
  <c r="G435" i="4" s="1"/>
  <c r="D435" i="4"/>
  <c r="C435" i="4"/>
  <c r="L433" i="4"/>
  <c r="J433" i="4"/>
  <c r="H433" i="4"/>
  <c r="I433" i="4" s="1"/>
  <c r="F433" i="4"/>
  <c r="D433" i="4"/>
  <c r="C433" i="4"/>
  <c r="L415" i="4"/>
  <c r="M415" i="4" s="1"/>
  <c r="J415" i="4"/>
  <c r="H415" i="4"/>
  <c r="I415" i="4" s="1"/>
  <c r="F415" i="4"/>
  <c r="G415" i="4" s="1"/>
  <c r="D415" i="4"/>
  <c r="C415" i="4"/>
  <c r="L442" i="4"/>
  <c r="J442" i="4"/>
  <c r="H442" i="4"/>
  <c r="F442" i="4"/>
  <c r="G442" i="4" s="1"/>
  <c r="D442" i="4"/>
  <c r="C442" i="4"/>
  <c r="L423" i="4"/>
  <c r="J423" i="4"/>
  <c r="K423" i="4" s="1"/>
  <c r="H423" i="4"/>
  <c r="I423" i="4" s="1"/>
  <c r="F423" i="4"/>
  <c r="G423" i="4" s="1"/>
  <c r="D423" i="4"/>
  <c r="C423" i="4"/>
  <c r="L390" i="4"/>
  <c r="J390" i="4"/>
  <c r="K390" i="4" s="1"/>
  <c r="H390" i="4"/>
  <c r="F390" i="4"/>
  <c r="D390" i="4"/>
  <c r="C390" i="4"/>
  <c r="L394" i="4"/>
  <c r="M394" i="4" s="1"/>
  <c r="J394" i="4"/>
  <c r="K394" i="4" s="1"/>
  <c r="H394" i="4"/>
  <c r="I394" i="4" s="1"/>
  <c r="F394" i="4"/>
  <c r="D394" i="4"/>
  <c r="C394" i="4"/>
  <c r="L397" i="4"/>
  <c r="M397" i="4" s="1"/>
  <c r="J397" i="4"/>
  <c r="K397" i="4" s="1"/>
  <c r="H397" i="4"/>
  <c r="I397" i="4" s="1"/>
  <c r="F397" i="4"/>
  <c r="D397" i="4"/>
  <c r="C397" i="4"/>
  <c r="L426" i="4"/>
  <c r="J426" i="4"/>
  <c r="H426" i="4"/>
  <c r="I426" i="4" s="1"/>
  <c r="F426" i="4"/>
  <c r="D426" i="4"/>
  <c r="C426" i="4"/>
  <c r="L418" i="4"/>
  <c r="J418" i="4"/>
  <c r="H418" i="4"/>
  <c r="I418" i="4" s="1"/>
  <c r="F418" i="4"/>
  <c r="G418" i="4" s="1"/>
  <c r="D418" i="4"/>
  <c r="C418" i="4"/>
  <c r="L416" i="4"/>
  <c r="M416" i="4" s="1"/>
  <c r="J416" i="4"/>
  <c r="K416" i="4" s="1"/>
  <c r="H416" i="4"/>
  <c r="I416" i="4" s="1"/>
  <c r="F416" i="4"/>
  <c r="D416" i="4"/>
  <c r="C416" i="4"/>
  <c r="L411" i="4"/>
  <c r="M411" i="4" s="1"/>
  <c r="J411" i="4"/>
  <c r="K411" i="4" s="1"/>
  <c r="H411" i="4"/>
  <c r="F411" i="4"/>
  <c r="D411" i="4"/>
  <c r="C411" i="4"/>
  <c r="L392" i="4"/>
  <c r="M392" i="4" s="1"/>
  <c r="J392" i="4"/>
  <c r="H392" i="4"/>
  <c r="I392" i="4" s="1"/>
  <c r="F392" i="4"/>
  <c r="D392" i="4"/>
  <c r="C392" i="4"/>
  <c r="L429" i="4"/>
  <c r="J429" i="4"/>
  <c r="H429" i="4"/>
  <c r="I429" i="4" s="1"/>
  <c r="F429" i="4"/>
  <c r="G429" i="4" s="1"/>
  <c r="D429" i="4"/>
  <c r="C429" i="4"/>
  <c r="L434" i="4"/>
  <c r="M434" i="4" s="1"/>
  <c r="J434" i="4"/>
  <c r="K434" i="4" s="1"/>
  <c r="H434" i="4"/>
  <c r="F434" i="4"/>
  <c r="G434" i="4" s="1"/>
  <c r="D434" i="4"/>
  <c r="C434" i="4"/>
  <c r="L380" i="4"/>
  <c r="J380" i="4"/>
  <c r="H380" i="4"/>
  <c r="I380" i="4" s="1"/>
  <c r="F380" i="4"/>
  <c r="G380" i="4" s="1"/>
  <c r="D380" i="4"/>
  <c r="C380" i="4"/>
  <c r="L427" i="4"/>
  <c r="J427" i="4"/>
  <c r="K427" i="4" s="1"/>
  <c r="H427" i="4"/>
  <c r="I427" i="4" s="1"/>
  <c r="F427" i="4"/>
  <c r="D427" i="4"/>
  <c r="C427" i="4"/>
  <c r="L408" i="4"/>
  <c r="M408" i="4" s="1"/>
  <c r="J408" i="4"/>
  <c r="H408" i="4"/>
  <c r="I408" i="4" s="1"/>
  <c r="F408" i="4"/>
  <c r="D408" i="4"/>
  <c r="C408" i="4"/>
  <c r="L377" i="4"/>
  <c r="M377" i="4" s="1"/>
  <c r="J377" i="4"/>
  <c r="K377" i="4" s="1"/>
  <c r="H377" i="4"/>
  <c r="F377" i="4"/>
  <c r="D377" i="4"/>
  <c r="C377" i="4"/>
  <c r="L331" i="4"/>
  <c r="J331" i="4"/>
  <c r="K331" i="4" s="1"/>
  <c r="H331" i="4"/>
  <c r="I331" i="4" s="1"/>
  <c r="F331" i="4"/>
  <c r="D331" i="4"/>
  <c r="C331" i="4"/>
  <c r="L404" i="4"/>
  <c r="M404" i="4" s="1"/>
  <c r="J404" i="4"/>
  <c r="K404" i="4" s="1"/>
  <c r="H404" i="4"/>
  <c r="I404" i="4" s="1"/>
  <c r="F404" i="4"/>
  <c r="D404" i="4"/>
  <c r="C404" i="4"/>
  <c r="L403" i="4"/>
  <c r="J403" i="4"/>
  <c r="K403" i="4" s="1"/>
  <c r="H403" i="4"/>
  <c r="I403" i="4" s="1"/>
  <c r="F403" i="4"/>
  <c r="G403" i="4" s="1"/>
  <c r="D403" i="4"/>
  <c r="C403" i="4"/>
  <c r="L389" i="4"/>
  <c r="M389" i="4" s="1"/>
  <c r="J389" i="4"/>
  <c r="K389" i="4" s="1"/>
  <c r="H389" i="4"/>
  <c r="I389" i="4" s="1"/>
  <c r="F389" i="4"/>
  <c r="D389" i="4"/>
  <c r="C389" i="4"/>
  <c r="L410" i="4"/>
  <c r="J410" i="4"/>
  <c r="K410" i="4" s="1"/>
  <c r="H410" i="4"/>
  <c r="I410" i="4" s="1"/>
  <c r="F410" i="4"/>
  <c r="G410" i="4" s="1"/>
  <c r="D410" i="4"/>
  <c r="C410" i="4"/>
  <c r="L407" i="4"/>
  <c r="M407" i="4" s="1"/>
  <c r="J407" i="4"/>
  <c r="K407" i="4" s="1"/>
  <c r="H407" i="4"/>
  <c r="I407" i="4" s="1"/>
  <c r="F407" i="4"/>
  <c r="D407" i="4"/>
  <c r="C407" i="4"/>
  <c r="L402" i="4"/>
  <c r="M402" i="4" s="1"/>
  <c r="J402" i="4"/>
  <c r="H402" i="4"/>
  <c r="I402" i="4" s="1"/>
  <c r="F402" i="4"/>
  <c r="G402" i="4" s="1"/>
  <c r="D402" i="4"/>
  <c r="C402" i="4"/>
  <c r="L367" i="4"/>
  <c r="J367" i="4"/>
  <c r="H367" i="4"/>
  <c r="I367" i="4" s="1"/>
  <c r="F367" i="4"/>
  <c r="G367" i="4" s="1"/>
  <c r="D367" i="4"/>
  <c r="C367" i="4"/>
  <c r="L359" i="4"/>
  <c r="M359" i="4" s="1"/>
  <c r="J359" i="4"/>
  <c r="K359" i="4" s="1"/>
  <c r="H359" i="4"/>
  <c r="I359" i="4" s="1"/>
  <c r="F359" i="4"/>
  <c r="D359" i="4"/>
  <c r="C359" i="4"/>
  <c r="L393" i="4"/>
  <c r="J393" i="4"/>
  <c r="K393" i="4" s="1"/>
  <c r="H393" i="4"/>
  <c r="I393" i="4" s="1"/>
  <c r="F393" i="4"/>
  <c r="D393" i="4"/>
  <c r="C393" i="4"/>
  <c r="L413" i="4"/>
  <c r="M413" i="4" s="1"/>
  <c r="J413" i="4"/>
  <c r="K413" i="4" s="1"/>
  <c r="H413" i="4"/>
  <c r="F413" i="4"/>
  <c r="D413" i="4"/>
  <c r="C413" i="4"/>
  <c r="L327" i="4"/>
  <c r="M327" i="4" s="1"/>
  <c r="J327" i="4"/>
  <c r="K327" i="4" s="1"/>
  <c r="H327" i="4"/>
  <c r="F327" i="4"/>
  <c r="D327" i="4"/>
  <c r="C327" i="4"/>
  <c r="L374" i="4"/>
  <c r="J374" i="4"/>
  <c r="K374" i="4" s="1"/>
  <c r="H374" i="4"/>
  <c r="I374" i="4" s="1"/>
  <c r="F374" i="4"/>
  <c r="D374" i="4"/>
  <c r="C374" i="4"/>
  <c r="L431" i="4"/>
  <c r="J431" i="4"/>
  <c r="K431" i="4" s="1"/>
  <c r="H431" i="4"/>
  <c r="F431" i="4"/>
  <c r="D431" i="4"/>
  <c r="C431" i="4"/>
  <c r="L371" i="4"/>
  <c r="J371" i="4"/>
  <c r="K371" i="4" s="1"/>
  <c r="H371" i="4"/>
  <c r="I371" i="4" s="1"/>
  <c r="F371" i="4"/>
  <c r="D371" i="4"/>
  <c r="C371" i="4"/>
  <c r="L370" i="4"/>
  <c r="J370" i="4"/>
  <c r="H370" i="4"/>
  <c r="I370" i="4" s="1"/>
  <c r="F370" i="4"/>
  <c r="G370" i="4" s="1"/>
  <c r="D370" i="4"/>
  <c r="C370" i="4"/>
  <c r="L340" i="4"/>
  <c r="J340" i="4"/>
  <c r="H340" i="4"/>
  <c r="I340" i="4" s="1"/>
  <c r="F340" i="4"/>
  <c r="G340" i="4" s="1"/>
  <c r="D340" i="4"/>
  <c r="C340" i="4"/>
  <c r="L384" i="4"/>
  <c r="J384" i="4"/>
  <c r="H384" i="4"/>
  <c r="I384" i="4" s="1"/>
  <c r="F384" i="4"/>
  <c r="G384" i="4" s="1"/>
  <c r="D384" i="4"/>
  <c r="C384" i="4"/>
  <c r="L361" i="4"/>
  <c r="M361" i="4" s="1"/>
  <c r="J361" i="4"/>
  <c r="H361" i="4"/>
  <c r="I361" i="4" s="1"/>
  <c r="F361" i="4"/>
  <c r="D361" i="4"/>
  <c r="C361" i="4"/>
  <c r="L382" i="4"/>
  <c r="J382" i="4"/>
  <c r="H382" i="4"/>
  <c r="I382" i="4" s="1"/>
  <c r="F382" i="4"/>
  <c r="G382" i="4" s="1"/>
  <c r="D382" i="4"/>
  <c r="C382" i="4"/>
  <c r="L395" i="4"/>
  <c r="J395" i="4"/>
  <c r="K395" i="4" s="1"/>
  <c r="H395" i="4"/>
  <c r="I395" i="4" s="1"/>
  <c r="F395" i="4"/>
  <c r="D395" i="4"/>
  <c r="C395" i="4"/>
  <c r="L369" i="4"/>
  <c r="J369" i="4"/>
  <c r="K369" i="4" s="1"/>
  <c r="H369" i="4"/>
  <c r="I369" i="4" s="1"/>
  <c r="F369" i="4"/>
  <c r="D369" i="4"/>
  <c r="C369" i="4"/>
  <c r="L386" i="4"/>
  <c r="J386" i="4"/>
  <c r="K386" i="4" s="1"/>
  <c r="H386" i="4"/>
  <c r="F386" i="4"/>
  <c r="G386" i="4" s="1"/>
  <c r="D386" i="4"/>
  <c r="C386" i="4"/>
  <c r="L383" i="4"/>
  <c r="J383" i="4"/>
  <c r="K383" i="4" s="1"/>
  <c r="H383" i="4"/>
  <c r="F383" i="4"/>
  <c r="G383" i="4" s="1"/>
  <c r="D383" i="4"/>
  <c r="C383" i="4"/>
  <c r="L378" i="4"/>
  <c r="J378" i="4"/>
  <c r="K378" i="4" s="1"/>
  <c r="H378" i="4"/>
  <c r="I378" i="4" s="1"/>
  <c r="F378" i="4"/>
  <c r="G378" i="4" s="1"/>
  <c r="D378" i="4"/>
  <c r="C378" i="4"/>
  <c r="L387" i="4"/>
  <c r="M387" i="4" s="1"/>
  <c r="J387" i="4"/>
  <c r="H387" i="4"/>
  <c r="I387" i="4" s="1"/>
  <c r="F387" i="4"/>
  <c r="D387" i="4"/>
  <c r="C387" i="4"/>
  <c r="L362" i="4"/>
  <c r="M362" i="4" s="1"/>
  <c r="J362" i="4"/>
  <c r="H362" i="4"/>
  <c r="I362" i="4" s="1"/>
  <c r="F362" i="4"/>
  <c r="D362" i="4"/>
  <c r="C362" i="4"/>
  <c r="L381" i="4"/>
  <c r="J381" i="4"/>
  <c r="K381" i="4" s="1"/>
  <c r="H381" i="4"/>
  <c r="I381" i="4" s="1"/>
  <c r="F381" i="4"/>
  <c r="G381" i="4" s="1"/>
  <c r="D381" i="4"/>
  <c r="C381" i="4"/>
  <c r="L348" i="4"/>
  <c r="J348" i="4"/>
  <c r="H348" i="4"/>
  <c r="I348" i="4" s="1"/>
  <c r="F348" i="4"/>
  <c r="D348" i="4"/>
  <c r="C348" i="4"/>
  <c r="L405" i="4"/>
  <c r="J405" i="4"/>
  <c r="K405" i="4" s="1"/>
  <c r="H405" i="4"/>
  <c r="F405" i="4"/>
  <c r="G405" i="4" s="1"/>
  <c r="D405" i="4"/>
  <c r="C405" i="4"/>
  <c r="L421" i="4"/>
  <c r="M421" i="4" s="1"/>
  <c r="J421" i="4"/>
  <c r="K421" i="4" s="1"/>
  <c r="H421" i="4"/>
  <c r="I421" i="4" s="1"/>
  <c r="F421" i="4"/>
  <c r="D421" i="4"/>
  <c r="C421" i="4"/>
  <c r="L365" i="4"/>
  <c r="M365" i="4" s="1"/>
  <c r="J365" i="4"/>
  <c r="K365" i="4" s="1"/>
  <c r="H365" i="4"/>
  <c r="F365" i="4"/>
  <c r="D365" i="4"/>
  <c r="C365" i="4"/>
  <c r="L364" i="4"/>
  <c r="M364" i="4" s="1"/>
  <c r="J364" i="4"/>
  <c r="K364" i="4" s="1"/>
  <c r="H364" i="4"/>
  <c r="I364" i="4" s="1"/>
  <c r="F364" i="4"/>
  <c r="D364" i="4"/>
  <c r="C364" i="4"/>
  <c r="L363" i="4"/>
  <c r="M363" i="4" s="1"/>
  <c r="J363" i="4"/>
  <c r="K363" i="4" s="1"/>
  <c r="H363" i="4"/>
  <c r="F363" i="4"/>
  <c r="D363" i="4"/>
  <c r="C363" i="4"/>
  <c r="L337" i="4"/>
  <c r="M337" i="4" s="1"/>
  <c r="J337" i="4"/>
  <c r="K337" i="4" s="1"/>
  <c r="H337" i="4"/>
  <c r="I337" i="4" s="1"/>
  <c r="F337" i="4"/>
  <c r="D337" i="4"/>
  <c r="C337" i="4"/>
  <c r="L344" i="4"/>
  <c r="J344" i="4"/>
  <c r="H344" i="4"/>
  <c r="I344" i="4" s="1"/>
  <c r="F344" i="4"/>
  <c r="G344" i="4" s="1"/>
  <c r="D344" i="4"/>
  <c r="C344" i="4"/>
  <c r="L321" i="4"/>
  <c r="M321" i="4" s="1"/>
  <c r="J321" i="4"/>
  <c r="K321" i="4" s="1"/>
  <c r="H321" i="4"/>
  <c r="F321" i="4"/>
  <c r="D321" i="4"/>
  <c r="C321" i="4"/>
  <c r="L279" i="4"/>
  <c r="M279" i="4" s="1"/>
  <c r="J279" i="4"/>
  <c r="K279" i="4" s="1"/>
  <c r="H279" i="4"/>
  <c r="F279" i="4"/>
  <c r="D279" i="4"/>
  <c r="C279" i="4"/>
  <c r="L379" i="4"/>
  <c r="J379" i="4"/>
  <c r="K379" i="4" s="1"/>
  <c r="H379" i="4"/>
  <c r="I379" i="4" s="1"/>
  <c r="F379" i="4"/>
  <c r="D379" i="4"/>
  <c r="C379" i="4"/>
  <c r="L357" i="4"/>
  <c r="M357" i="4" s="1"/>
  <c r="J357" i="4"/>
  <c r="H357" i="4"/>
  <c r="I357" i="4" s="1"/>
  <c r="F357" i="4"/>
  <c r="D357" i="4"/>
  <c r="C357" i="4"/>
  <c r="L372" i="4"/>
  <c r="M372" i="4" s="1"/>
  <c r="J372" i="4"/>
  <c r="K372" i="4" s="1"/>
  <c r="H372" i="4"/>
  <c r="I372" i="4" s="1"/>
  <c r="F372" i="4"/>
  <c r="D372" i="4"/>
  <c r="C372" i="4"/>
  <c r="L356" i="4"/>
  <c r="J356" i="4"/>
  <c r="H356" i="4"/>
  <c r="I356" i="4" s="1"/>
  <c r="F356" i="4"/>
  <c r="G356" i="4" s="1"/>
  <c r="D356" i="4"/>
  <c r="C356" i="4"/>
  <c r="L324" i="4"/>
  <c r="M324" i="4" s="1"/>
  <c r="J324" i="4"/>
  <c r="K324" i="4" s="1"/>
  <c r="H324" i="4"/>
  <c r="I324" i="4" s="1"/>
  <c r="F324" i="4"/>
  <c r="D324" i="4"/>
  <c r="C324" i="4"/>
  <c r="L281" i="4"/>
  <c r="M281" i="4" s="1"/>
  <c r="J281" i="4"/>
  <c r="K281" i="4" s="1"/>
  <c r="H281" i="4"/>
  <c r="I281" i="4" s="1"/>
  <c r="F281" i="4"/>
  <c r="D281" i="4"/>
  <c r="C281" i="4"/>
  <c r="L352" i="4"/>
  <c r="J352" i="4"/>
  <c r="H352" i="4"/>
  <c r="I352" i="4" s="1"/>
  <c r="F352" i="4"/>
  <c r="G352" i="4" s="1"/>
  <c r="D352" i="4"/>
  <c r="C352" i="4"/>
  <c r="L366" i="4"/>
  <c r="J366" i="4"/>
  <c r="K366" i="4" s="1"/>
  <c r="H366" i="4"/>
  <c r="I366" i="4" s="1"/>
  <c r="F366" i="4"/>
  <c r="D366" i="4"/>
  <c r="C366" i="4"/>
  <c r="L398" i="4"/>
  <c r="J398" i="4"/>
  <c r="K398" i="4" s="1"/>
  <c r="H398" i="4"/>
  <c r="F398" i="4"/>
  <c r="D398" i="4"/>
  <c r="C398" i="4"/>
  <c r="L351" i="4"/>
  <c r="M351" i="4" s="1"/>
  <c r="J351" i="4"/>
  <c r="H351" i="4"/>
  <c r="I351" i="4" s="1"/>
  <c r="F351" i="4"/>
  <c r="D351" i="4"/>
  <c r="C351" i="4"/>
  <c r="L358" i="4"/>
  <c r="M358" i="4" s="1"/>
  <c r="J358" i="4"/>
  <c r="K358" i="4" s="1"/>
  <c r="H358" i="4"/>
  <c r="F358" i="4"/>
  <c r="D358" i="4"/>
  <c r="C358" i="4"/>
  <c r="L373" i="4"/>
  <c r="M373" i="4" s="1"/>
  <c r="J373" i="4"/>
  <c r="K373" i="4" s="1"/>
  <c r="H373" i="4"/>
  <c r="I373" i="4" s="1"/>
  <c r="F373" i="4"/>
  <c r="D373" i="4"/>
  <c r="C373" i="4"/>
  <c r="L339" i="4"/>
  <c r="M339" i="4" s="1"/>
  <c r="J339" i="4"/>
  <c r="K339" i="4" s="1"/>
  <c r="H339" i="4"/>
  <c r="I339" i="4" s="1"/>
  <c r="F339" i="4"/>
  <c r="D339" i="4"/>
  <c r="C339" i="4"/>
  <c r="L399" i="4"/>
  <c r="M399" i="4" s="1"/>
  <c r="J399" i="4"/>
  <c r="K399" i="4" s="1"/>
  <c r="H399" i="4"/>
  <c r="I399" i="4" s="1"/>
  <c r="F399" i="4"/>
  <c r="D399" i="4"/>
  <c r="C399" i="4"/>
  <c r="L335" i="4"/>
  <c r="M335" i="4" s="1"/>
  <c r="J335" i="4"/>
  <c r="K335" i="4" s="1"/>
  <c r="H335" i="4"/>
  <c r="I335" i="4" s="1"/>
  <c r="F335" i="4"/>
  <c r="D335" i="4"/>
  <c r="C335" i="4"/>
  <c r="L376" i="4"/>
  <c r="M376" i="4" s="1"/>
  <c r="J376" i="4"/>
  <c r="H376" i="4"/>
  <c r="I376" i="4" s="1"/>
  <c r="F376" i="4"/>
  <c r="G376" i="4" s="1"/>
  <c r="D376" i="4"/>
  <c r="C376" i="4"/>
  <c r="L336" i="4"/>
  <c r="M336" i="4" s="1"/>
  <c r="J336" i="4"/>
  <c r="K336" i="4" s="1"/>
  <c r="H336" i="4"/>
  <c r="I336" i="4" s="1"/>
  <c r="F336" i="4"/>
  <c r="D336" i="4"/>
  <c r="C336" i="4"/>
  <c r="L341" i="4"/>
  <c r="J341" i="4"/>
  <c r="H341" i="4"/>
  <c r="F341" i="4"/>
  <c r="G341" i="4" s="1"/>
  <c r="D341" i="4"/>
  <c r="C341" i="4"/>
  <c r="L385" i="4"/>
  <c r="M385" i="4" s="1"/>
  <c r="J385" i="4"/>
  <c r="K385" i="4" s="1"/>
  <c r="H385" i="4"/>
  <c r="I385" i="4" s="1"/>
  <c r="F385" i="4"/>
  <c r="D385" i="4"/>
  <c r="C385" i="4"/>
  <c r="L347" i="4"/>
  <c r="M347" i="4" s="1"/>
  <c r="J347" i="4"/>
  <c r="H347" i="4"/>
  <c r="I347" i="4" s="1"/>
  <c r="F347" i="4"/>
  <c r="G347" i="4" s="1"/>
  <c r="D347" i="4"/>
  <c r="C347" i="4"/>
  <c r="L346" i="4"/>
  <c r="J346" i="4"/>
  <c r="H346" i="4"/>
  <c r="I346" i="4" s="1"/>
  <c r="F346" i="4"/>
  <c r="G346" i="4" s="1"/>
  <c r="D346" i="4"/>
  <c r="C346" i="4"/>
  <c r="L401" i="4"/>
  <c r="M401" i="4" s="1"/>
  <c r="J401" i="4"/>
  <c r="H401" i="4"/>
  <c r="I401" i="4" s="1"/>
  <c r="F401" i="4"/>
  <c r="G401" i="4" s="1"/>
  <c r="D401" i="4"/>
  <c r="C401" i="4"/>
  <c r="L342" i="4"/>
  <c r="J342" i="4"/>
  <c r="K342" i="4" s="1"/>
  <c r="H342" i="4"/>
  <c r="I342" i="4" s="1"/>
  <c r="F342" i="4"/>
  <c r="D342" i="4"/>
  <c r="C342" i="4"/>
  <c r="L313" i="4"/>
  <c r="J313" i="4"/>
  <c r="K313" i="4" s="1"/>
  <c r="H313" i="4"/>
  <c r="I313" i="4" s="1"/>
  <c r="F313" i="4"/>
  <c r="G313" i="4" s="1"/>
  <c r="D313" i="4"/>
  <c r="C313" i="4"/>
  <c r="L368" i="4"/>
  <c r="M368" i="4" s="1"/>
  <c r="J368" i="4"/>
  <c r="K368" i="4" s="1"/>
  <c r="H368" i="4"/>
  <c r="I368" i="4" s="1"/>
  <c r="F368" i="4"/>
  <c r="D368" i="4"/>
  <c r="C368" i="4"/>
  <c r="L354" i="4"/>
  <c r="J354" i="4"/>
  <c r="H354" i="4"/>
  <c r="I354" i="4" s="1"/>
  <c r="F354" i="4"/>
  <c r="G354" i="4" s="1"/>
  <c r="D354" i="4"/>
  <c r="C354" i="4"/>
  <c r="L308" i="4"/>
  <c r="J308" i="4"/>
  <c r="K308" i="4" s="1"/>
  <c r="H308" i="4"/>
  <c r="I308" i="4" s="1"/>
  <c r="F308" i="4"/>
  <c r="G308" i="4" s="1"/>
  <c r="D308" i="4"/>
  <c r="C308" i="4"/>
  <c r="L350" i="4"/>
  <c r="M350" i="4" s="1"/>
  <c r="J350" i="4"/>
  <c r="K350" i="4" s="1"/>
  <c r="H350" i="4"/>
  <c r="I350" i="4" s="1"/>
  <c r="F350" i="4"/>
  <c r="D350" i="4"/>
  <c r="C350" i="4"/>
  <c r="L315" i="4"/>
  <c r="J315" i="4"/>
  <c r="H315" i="4"/>
  <c r="I315" i="4" s="1"/>
  <c r="F315" i="4"/>
  <c r="G315" i="4" s="1"/>
  <c r="D315" i="4"/>
  <c r="C315" i="4"/>
  <c r="L338" i="4"/>
  <c r="J338" i="4"/>
  <c r="H338" i="4"/>
  <c r="I338" i="4" s="1"/>
  <c r="F338" i="4"/>
  <c r="G338" i="4" s="1"/>
  <c r="D338" i="4"/>
  <c r="C338" i="4"/>
  <c r="L332" i="4"/>
  <c r="M332" i="4" s="1"/>
  <c r="J332" i="4"/>
  <c r="K332" i="4" s="1"/>
  <c r="H332" i="4"/>
  <c r="I332" i="4" s="1"/>
  <c r="F332" i="4"/>
  <c r="D332" i="4"/>
  <c r="C332" i="4"/>
  <c r="L419" i="4"/>
  <c r="M419" i="4" s="1"/>
  <c r="J419" i="4"/>
  <c r="K419" i="4" s="1"/>
  <c r="H419" i="4"/>
  <c r="I419" i="4" s="1"/>
  <c r="F419" i="4"/>
  <c r="D419" i="4"/>
  <c r="C419" i="4"/>
  <c r="L355" i="4"/>
  <c r="M355" i="4" s="1"/>
  <c r="J355" i="4"/>
  <c r="K355" i="4" s="1"/>
  <c r="H355" i="4"/>
  <c r="F355" i="4"/>
  <c r="G355" i="4" s="1"/>
  <c r="D355" i="4"/>
  <c r="C355" i="4"/>
  <c r="L300" i="4"/>
  <c r="M300" i="4" s="1"/>
  <c r="J300" i="4"/>
  <c r="K300" i="4" s="1"/>
  <c r="H300" i="4"/>
  <c r="I300" i="4" s="1"/>
  <c r="F300" i="4"/>
  <c r="D300" i="4"/>
  <c r="C300" i="4"/>
  <c r="L328" i="4"/>
  <c r="J328" i="4"/>
  <c r="K328" i="4" s="1"/>
  <c r="H328" i="4"/>
  <c r="I328" i="4" s="1"/>
  <c r="F328" i="4"/>
  <c r="G328" i="4" s="1"/>
  <c r="D328" i="4"/>
  <c r="C328" i="4"/>
  <c r="L304" i="4"/>
  <c r="M304" i="4" s="1"/>
  <c r="J304" i="4"/>
  <c r="K304" i="4" s="1"/>
  <c r="H304" i="4"/>
  <c r="I304" i="4" s="1"/>
  <c r="F304" i="4"/>
  <c r="D304" i="4"/>
  <c r="C304" i="4"/>
  <c r="L400" i="4"/>
  <c r="J400" i="4"/>
  <c r="K400" i="4" s="1"/>
  <c r="H400" i="4"/>
  <c r="I400" i="4" s="1"/>
  <c r="F400" i="4"/>
  <c r="G400" i="4" s="1"/>
  <c r="D400" i="4"/>
  <c r="C400" i="4"/>
  <c r="L299" i="4"/>
  <c r="M299" i="4" s="1"/>
  <c r="J299" i="4"/>
  <c r="K299" i="4" s="1"/>
  <c r="H299" i="4"/>
  <c r="I299" i="4" s="1"/>
  <c r="F299" i="4"/>
  <c r="D299" i="4"/>
  <c r="C299" i="4"/>
  <c r="L298" i="4"/>
  <c r="J298" i="4"/>
  <c r="K298" i="4" s="1"/>
  <c r="H298" i="4"/>
  <c r="F298" i="4"/>
  <c r="G298" i="4" s="1"/>
  <c r="D298" i="4"/>
  <c r="C298" i="4"/>
  <c r="L236" i="4"/>
  <c r="M236" i="4" s="1"/>
  <c r="J236" i="4"/>
  <c r="K236" i="4" s="1"/>
  <c r="H236" i="4"/>
  <c r="F236" i="4"/>
  <c r="G236" i="4" s="1"/>
  <c r="D236" i="4"/>
  <c r="C236" i="4"/>
  <c r="L314" i="4"/>
  <c r="M314" i="4" s="1"/>
  <c r="J314" i="4"/>
  <c r="K314" i="4" s="1"/>
  <c r="H314" i="4"/>
  <c r="I314" i="4" s="1"/>
  <c r="F314" i="4"/>
  <c r="D314" i="4"/>
  <c r="C314" i="4"/>
  <c r="L270" i="4"/>
  <c r="J270" i="4"/>
  <c r="H270" i="4"/>
  <c r="I270" i="4" s="1"/>
  <c r="F270" i="4"/>
  <c r="G270" i="4" s="1"/>
  <c r="D270" i="4"/>
  <c r="C270" i="4"/>
  <c r="L288" i="4"/>
  <c r="J288" i="4"/>
  <c r="K288" i="4" s="1"/>
  <c r="H288" i="4"/>
  <c r="I288" i="4" s="1"/>
  <c r="F288" i="4"/>
  <c r="G288" i="4" s="1"/>
  <c r="D288" i="4"/>
  <c r="C288" i="4"/>
  <c r="L333" i="4"/>
  <c r="M333" i="4" s="1"/>
  <c r="J333" i="4"/>
  <c r="K333" i="4" s="1"/>
  <c r="H333" i="4"/>
  <c r="I333" i="4" s="1"/>
  <c r="F333" i="4"/>
  <c r="D333" i="4"/>
  <c r="C333" i="4"/>
  <c r="L311" i="4"/>
  <c r="J311" i="4"/>
  <c r="K311" i="4" s="1"/>
  <c r="H311" i="4"/>
  <c r="F311" i="4"/>
  <c r="G311" i="4" s="1"/>
  <c r="D311" i="4"/>
  <c r="C311" i="4"/>
  <c r="L296" i="4"/>
  <c r="M296" i="4" s="1"/>
  <c r="J296" i="4"/>
  <c r="K296" i="4" s="1"/>
  <c r="H296" i="4"/>
  <c r="I296" i="4" s="1"/>
  <c r="F296" i="4"/>
  <c r="D296" i="4"/>
  <c r="C296" i="4"/>
  <c r="L323" i="4"/>
  <c r="M323" i="4" s="1"/>
  <c r="J323" i="4"/>
  <c r="K323" i="4" s="1"/>
  <c r="H323" i="4"/>
  <c r="I323" i="4" s="1"/>
  <c r="F323" i="4"/>
  <c r="D323" i="4"/>
  <c r="C323" i="4"/>
  <c r="L289" i="4"/>
  <c r="M289" i="4" s="1"/>
  <c r="J289" i="4"/>
  <c r="H289" i="4"/>
  <c r="I289" i="4" s="1"/>
  <c r="F289" i="4"/>
  <c r="G289" i="4" s="1"/>
  <c r="D289" i="4"/>
  <c r="C289" i="4"/>
  <c r="L343" i="4"/>
  <c r="J343" i="4"/>
  <c r="K343" i="4" s="1"/>
  <c r="H343" i="4"/>
  <c r="F343" i="4"/>
  <c r="D343" i="4"/>
  <c r="C343" i="4"/>
  <c r="L360" i="4"/>
  <c r="M360" i="4" s="1"/>
  <c r="J360" i="4"/>
  <c r="K360" i="4" s="1"/>
  <c r="H360" i="4"/>
  <c r="F360" i="4"/>
  <c r="D360" i="4"/>
  <c r="C360" i="4"/>
  <c r="L334" i="4"/>
  <c r="J334" i="4"/>
  <c r="K334" i="4" s="1"/>
  <c r="H334" i="4"/>
  <c r="F334" i="4"/>
  <c r="G334" i="4" s="1"/>
  <c r="D334" i="4"/>
  <c r="C334" i="4"/>
  <c r="L310" i="4"/>
  <c r="J310" i="4"/>
  <c r="K310" i="4" s="1"/>
  <c r="H310" i="4"/>
  <c r="I310" i="4" s="1"/>
  <c r="F310" i="4"/>
  <c r="D310" i="4"/>
  <c r="C310" i="4"/>
  <c r="L322" i="4"/>
  <c r="J322" i="4"/>
  <c r="H322" i="4"/>
  <c r="I322" i="4" s="1"/>
  <c r="F322" i="4"/>
  <c r="G322" i="4" s="1"/>
  <c r="D322" i="4"/>
  <c r="C322" i="4"/>
  <c r="L349" i="4"/>
  <c r="M349" i="4" s="1"/>
  <c r="J349" i="4"/>
  <c r="K349" i="4" s="1"/>
  <c r="H349" i="4"/>
  <c r="F349" i="4"/>
  <c r="G349" i="4" s="1"/>
  <c r="D349" i="4"/>
  <c r="C349" i="4"/>
  <c r="L318" i="4"/>
  <c r="M318" i="4" s="1"/>
  <c r="J318" i="4"/>
  <c r="K318" i="4" s="1"/>
  <c r="H318" i="4"/>
  <c r="I318" i="4" s="1"/>
  <c r="F318" i="4"/>
  <c r="D318" i="4"/>
  <c r="C318" i="4"/>
  <c r="L306" i="4"/>
  <c r="M306" i="4" s="1"/>
  <c r="J306" i="4"/>
  <c r="K306" i="4" s="1"/>
  <c r="H306" i="4"/>
  <c r="F306" i="4"/>
  <c r="D306" i="4"/>
  <c r="C306" i="4"/>
  <c r="L271" i="4"/>
  <c r="M271" i="4" s="1"/>
  <c r="J271" i="4"/>
  <c r="K271" i="4" s="1"/>
  <c r="H271" i="4"/>
  <c r="I271" i="4" s="1"/>
  <c r="F271" i="4"/>
  <c r="D271" i="4"/>
  <c r="C271" i="4"/>
  <c r="L305" i="4"/>
  <c r="M305" i="4" s="1"/>
  <c r="J305" i="4"/>
  <c r="K305" i="4" s="1"/>
  <c r="H305" i="4"/>
  <c r="F305" i="4"/>
  <c r="G305" i="4" s="1"/>
  <c r="D305" i="4"/>
  <c r="C305" i="4"/>
  <c r="L303" i="4"/>
  <c r="J303" i="4"/>
  <c r="K303" i="4" s="1"/>
  <c r="H303" i="4"/>
  <c r="I303" i="4" s="1"/>
  <c r="F303" i="4"/>
  <c r="G303" i="4" s="1"/>
  <c r="D303" i="4"/>
  <c r="C303" i="4"/>
  <c r="L325" i="4"/>
  <c r="M325" i="4" s="1"/>
  <c r="J325" i="4"/>
  <c r="H325" i="4"/>
  <c r="I325" i="4" s="1"/>
  <c r="F325" i="4"/>
  <c r="D325" i="4"/>
  <c r="C325" i="4"/>
  <c r="L228" i="4"/>
  <c r="M228" i="4" s="1"/>
  <c r="J228" i="4"/>
  <c r="K228" i="4" s="1"/>
  <c r="H228" i="4"/>
  <c r="I228" i="4" s="1"/>
  <c r="F228" i="4"/>
  <c r="D228" i="4"/>
  <c r="C228" i="4"/>
  <c r="L290" i="4"/>
  <c r="M290" i="4" s="1"/>
  <c r="J290" i="4"/>
  <c r="K290" i="4" s="1"/>
  <c r="H290" i="4"/>
  <c r="I290" i="4" s="1"/>
  <c r="F290" i="4"/>
  <c r="D290" i="4"/>
  <c r="C290" i="4"/>
  <c r="L261" i="4"/>
  <c r="J261" i="4"/>
  <c r="K261" i="4" s="1"/>
  <c r="H261" i="4"/>
  <c r="I261" i="4" s="1"/>
  <c r="F261" i="4"/>
  <c r="G261" i="4" s="1"/>
  <c r="D261" i="4"/>
  <c r="C261" i="4"/>
  <c r="L278" i="4"/>
  <c r="M278" i="4" s="1"/>
  <c r="J278" i="4"/>
  <c r="K278" i="4" s="1"/>
  <c r="H278" i="4"/>
  <c r="I278" i="4" s="1"/>
  <c r="F278" i="4"/>
  <c r="D278" i="4"/>
  <c r="C278" i="4"/>
  <c r="L330" i="4"/>
  <c r="M330" i="4" s="1"/>
  <c r="J330" i="4"/>
  <c r="K330" i="4" s="1"/>
  <c r="H330" i="4"/>
  <c r="F330" i="4"/>
  <c r="G330" i="4" s="1"/>
  <c r="D330" i="4"/>
  <c r="C330" i="4"/>
  <c r="L320" i="4"/>
  <c r="M320" i="4" s="1"/>
  <c r="J320" i="4"/>
  <c r="K320" i="4" s="1"/>
  <c r="H320" i="4"/>
  <c r="I320" i="4" s="1"/>
  <c r="F320" i="4"/>
  <c r="D320" i="4"/>
  <c r="C320" i="4"/>
  <c r="L353" i="4"/>
  <c r="M353" i="4" s="1"/>
  <c r="J353" i="4"/>
  <c r="K353" i="4" s="1"/>
  <c r="H353" i="4"/>
  <c r="I353" i="4" s="1"/>
  <c r="F353" i="4"/>
  <c r="D353" i="4"/>
  <c r="C353" i="4"/>
  <c r="L263" i="4"/>
  <c r="J263" i="4"/>
  <c r="K263" i="4" s="1"/>
  <c r="H263" i="4"/>
  <c r="I263" i="4" s="1"/>
  <c r="F263" i="4"/>
  <c r="D263" i="4"/>
  <c r="C263" i="4"/>
  <c r="L297" i="4"/>
  <c r="J297" i="4"/>
  <c r="K297" i="4" s="1"/>
  <c r="H297" i="4"/>
  <c r="I297" i="4" s="1"/>
  <c r="F297" i="4"/>
  <c r="G297" i="4" s="1"/>
  <c r="D297" i="4"/>
  <c r="C297" i="4"/>
  <c r="L282" i="4"/>
  <c r="J282" i="4"/>
  <c r="K282" i="4" s="1"/>
  <c r="H282" i="4"/>
  <c r="I282" i="4" s="1"/>
  <c r="F282" i="4"/>
  <c r="G282" i="4" s="1"/>
  <c r="D282" i="4"/>
  <c r="C282" i="4"/>
  <c r="L293" i="4"/>
  <c r="J293" i="4"/>
  <c r="H293" i="4"/>
  <c r="I293" i="4" s="1"/>
  <c r="F293" i="4"/>
  <c r="G293" i="4" s="1"/>
  <c r="D293" i="4"/>
  <c r="C293" i="4"/>
  <c r="L291" i="4"/>
  <c r="M291" i="4" s="1"/>
  <c r="J291" i="4"/>
  <c r="K291" i="4" s="1"/>
  <c r="H291" i="4"/>
  <c r="F291" i="4"/>
  <c r="G291" i="4" s="1"/>
  <c r="D291" i="4"/>
  <c r="C291" i="4"/>
  <c r="L375" i="4"/>
  <c r="M375" i="4" s="1"/>
  <c r="J375" i="4"/>
  <c r="K375" i="4" s="1"/>
  <c r="H375" i="4"/>
  <c r="I375" i="4" s="1"/>
  <c r="F375" i="4"/>
  <c r="D375" i="4"/>
  <c r="C375" i="4"/>
  <c r="L292" i="4"/>
  <c r="J292" i="4"/>
  <c r="H292" i="4"/>
  <c r="I292" i="4" s="1"/>
  <c r="F292" i="4"/>
  <c r="G292" i="4" s="1"/>
  <c r="D292" i="4"/>
  <c r="C292" i="4"/>
  <c r="L283" i="4"/>
  <c r="M283" i="4" s="1"/>
  <c r="J283" i="4"/>
  <c r="K283" i="4" s="1"/>
  <c r="H283" i="4"/>
  <c r="F283" i="4"/>
  <c r="G283" i="4" s="1"/>
  <c r="D283" i="4"/>
  <c r="C283" i="4"/>
  <c r="L246" i="4"/>
  <c r="J246" i="4"/>
  <c r="H246" i="4"/>
  <c r="I246" i="4" s="1"/>
  <c r="F246" i="4"/>
  <c r="G246" i="4" s="1"/>
  <c r="D246" i="4"/>
  <c r="C246" i="4"/>
  <c r="L345" i="4"/>
  <c r="J345" i="4"/>
  <c r="K345" i="4" s="1"/>
  <c r="H345" i="4"/>
  <c r="I345" i="4" s="1"/>
  <c r="F345" i="4"/>
  <c r="D345" i="4"/>
  <c r="C345" i="4"/>
  <c r="L286" i="4"/>
  <c r="M286" i="4" s="1"/>
  <c r="J286" i="4"/>
  <c r="K286" i="4" s="1"/>
  <c r="H286" i="4"/>
  <c r="I286" i="4" s="1"/>
  <c r="F286" i="4"/>
  <c r="D286" i="4"/>
  <c r="C286" i="4"/>
  <c r="L276" i="4"/>
  <c r="M276" i="4" s="1"/>
  <c r="J276" i="4"/>
  <c r="K276" i="4" s="1"/>
  <c r="H276" i="4"/>
  <c r="I276" i="4" s="1"/>
  <c r="F276" i="4"/>
  <c r="D276" i="4"/>
  <c r="C276" i="4"/>
  <c r="L273" i="4"/>
  <c r="M273" i="4" s="1"/>
  <c r="J273" i="4"/>
  <c r="K273" i="4" s="1"/>
  <c r="H273" i="4"/>
  <c r="I273" i="4" s="1"/>
  <c r="F273" i="4"/>
  <c r="D273" i="4"/>
  <c r="C273" i="4"/>
  <c r="L316" i="4"/>
  <c r="J316" i="4"/>
  <c r="K316" i="4" s="1"/>
  <c r="H316" i="4"/>
  <c r="F316" i="4"/>
  <c r="D316" i="4"/>
  <c r="C316" i="4"/>
  <c r="L319" i="4"/>
  <c r="M319" i="4" s="1"/>
  <c r="J319" i="4"/>
  <c r="K319" i="4" s="1"/>
  <c r="H319" i="4"/>
  <c r="I319" i="4" s="1"/>
  <c r="F319" i="4"/>
  <c r="D319" i="4"/>
  <c r="C319" i="4"/>
  <c r="L295" i="4"/>
  <c r="M295" i="4" s="1"/>
  <c r="J295" i="4"/>
  <c r="K295" i="4" s="1"/>
  <c r="H295" i="4"/>
  <c r="F295" i="4"/>
  <c r="G295" i="4" s="1"/>
  <c r="D295" i="4"/>
  <c r="C295" i="4"/>
  <c r="L312" i="4"/>
  <c r="M312" i="4" s="1"/>
  <c r="J312" i="4"/>
  <c r="K312" i="4" s="1"/>
  <c r="H312" i="4"/>
  <c r="I312" i="4" s="1"/>
  <c r="F312" i="4"/>
  <c r="D312" i="4"/>
  <c r="C312" i="4"/>
  <c r="L272" i="4"/>
  <c r="J272" i="4"/>
  <c r="K272" i="4" s="1"/>
  <c r="H272" i="4"/>
  <c r="I272" i="4" s="1"/>
  <c r="F272" i="4"/>
  <c r="G272" i="4" s="1"/>
  <c r="D272" i="4"/>
  <c r="C272" i="4"/>
  <c r="L260" i="4"/>
  <c r="J260" i="4"/>
  <c r="H260" i="4"/>
  <c r="I260" i="4" s="1"/>
  <c r="F260" i="4"/>
  <c r="G260" i="4" s="1"/>
  <c r="D260" i="4"/>
  <c r="C260" i="4"/>
  <c r="L280" i="4"/>
  <c r="J280" i="4"/>
  <c r="H280" i="4"/>
  <c r="I280" i="4" s="1"/>
  <c r="F280" i="4"/>
  <c r="G280" i="4" s="1"/>
  <c r="D280" i="4"/>
  <c r="C280" i="4"/>
  <c r="L252" i="4"/>
  <c r="J252" i="4"/>
  <c r="K252" i="4" s="1"/>
  <c r="H252" i="4"/>
  <c r="I252" i="4" s="1"/>
  <c r="F252" i="4"/>
  <c r="D252" i="4"/>
  <c r="C252" i="4"/>
  <c r="L287" i="4"/>
  <c r="J287" i="4"/>
  <c r="K287" i="4" s="1"/>
  <c r="H287" i="4"/>
  <c r="F287" i="4"/>
  <c r="G287" i="4" s="1"/>
  <c r="D287" i="4"/>
  <c r="C287" i="4"/>
  <c r="L329" i="4"/>
  <c r="M329" i="4" s="1"/>
  <c r="J329" i="4"/>
  <c r="K329" i="4" s="1"/>
  <c r="H329" i="4"/>
  <c r="I329" i="4" s="1"/>
  <c r="F329" i="4"/>
  <c r="D329" i="4"/>
  <c r="C329" i="4"/>
  <c r="L266" i="4"/>
  <c r="J266" i="4"/>
  <c r="H266" i="4"/>
  <c r="I266" i="4" s="1"/>
  <c r="F266" i="4"/>
  <c r="G266" i="4" s="1"/>
  <c r="D266" i="4"/>
  <c r="C266" i="4"/>
  <c r="L247" i="4"/>
  <c r="J247" i="4"/>
  <c r="H247" i="4"/>
  <c r="I247" i="4" s="1"/>
  <c r="F247" i="4"/>
  <c r="D247" i="4"/>
  <c r="C247" i="4"/>
  <c r="L302" i="4"/>
  <c r="M302" i="4" s="1"/>
  <c r="J302" i="4"/>
  <c r="K302" i="4" s="1"/>
  <c r="H302" i="4"/>
  <c r="F302" i="4"/>
  <c r="G302" i="4" s="1"/>
  <c r="D302" i="4"/>
  <c r="C302" i="4"/>
  <c r="L175" i="4"/>
  <c r="M175" i="4" s="1"/>
  <c r="J175" i="4"/>
  <c r="H175" i="4"/>
  <c r="I175" i="4" s="1"/>
  <c r="F175" i="4"/>
  <c r="G175" i="4" s="1"/>
  <c r="D175" i="4"/>
  <c r="C175" i="4"/>
  <c r="L294" i="4"/>
  <c r="M294" i="4" s="1"/>
  <c r="J294" i="4"/>
  <c r="K294" i="4" s="1"/>
  <c r="H294" i="4"/>
  <c r="F294" i="4"/>
  <c r="G294" i="4" s="1"/>
  <c r="D294" i="4"/>
  <c r="C294" i="4"/>
  <c r="L223" i="4"/>
  <c r="J223" i="4"/>
  <c r="K223" i="4" s="1"/>
  <c r="H223" i="4"/>
  <c r="I223" i="4" s="1"/>
  <c r="F223" i="4"/>
  <c r="G223" i="4" s="1"/>
  <c r="D223" i="4"/>
  <c r="C223" i="4"/>
  <c r="L267" i="4"/>
  <c r="M267" i="4" s="1"/>
  <c r="J267" i="4"/>
  <c r="K267" i="4" s="1"/>
  <c r="H267" i="4"/>
  <c r="I267" i="4" s="1"/>
  <c r="F267" i="4"/>
  <c r="D267" i="4"/>
  <c r="C267" i="4"/>
  <c r="L275" i="4"/>
  <c r="J275" i="4"/>
  <c r="H275" i="4"/>
  <c r="I275" i="4" s="1"/>
  <c r="F275" i="4"/>
  <c r="G275" i="4" s="1"/>
  <c r="D275" i="4"/>
  <c r="C275" i="4"/>
  <c r="L274" i="4"/>
  <c r="M274" i="4" s="1"/>
  <c r="J274" i="4"/>
  <c r="K274" i="4" s="1"/>
  <c r="H274" i="4"/>
  <c r="I274" i="4" s="1"/>
  <c r="F274" i="4"/>
  <c r="D274" i="4"/>
  <c r="C274" i="4"/>
  <c r="L196" i="4"/>
  <c r="J196" i="4"/>
  <c r="K196" i="4" s="1"/>
  <c r="H196" i="4"/>
  <c r="I196" i="4" s="1"/>
  <c r="F196" i="4"/>
  <c r="D196" i="4"/>
  <c r="C196" i="4"/>
  <c r="L219" i="4"/>
  <c r="M219" i="4" s="1"/>
  <c r="J219" i="4"/>
  <c r="H219" i="4"/>
  <c r="I219" i="4" s="1"/>
  <c r="F219" i="4"/>
  <c r="G219" i="4" s="1"/>
  <c r="D219" i="4"/>
  <c r="C219" i="4"/>
  <c r="L269" i="4"/>
  <c r="M269" i="4" s="1"/>
  <c r="J269" i="4"/>
  <c r="K269" i="4" s="1"/>
  <c r="H269" i="4"/>
  <c r="F269" i="4"/>
  <c r="G269" i="4" s="1"/>
  <c r="D269" i="4"/>
  <c r="C269" i="4"/>
  <c r="L233" i="4"/>
  <c r="J233" i="4"/>
  <c r="H233" i="4"/>
  <c r="F233" i="4"/>
  <c r="D233" i="4"/>
  <c r="C233" i="4"/>
  <c r="L256" i="4"/>
  <c r="J256" i="4"/>
  <c r="K256" i="4" s="1"/>
  <c r="H256" i="4"/>
  <c r="I256" i="4" s="1"/>
  <c r="F256" i="4"/>
  <c r="D256" i="4"/>
  <c r="C256" i="4"/>
  <c r="L243" i="4"/>
  <c r="J243" i="4"/>
  <c r="H243" i="4"/>
  <c r="I243" i="4" s="1"/>
  <c r="F243" i="4"/>
  <c r="G243" i="4" s="1"/>
  <c r="D243" i="4"/>
  <c r="C243" i="4"/>
  <c r="L242" i="4"/>
  <c r="M242" i="4" s="1"/>
  <c r="J242" i="4"/>
  <c r="H242" i="4"/>
  <c r="I242" i="4" s="1"/>
  <c r="F242" i="4"/>
  <c r="D242" i="4"/>
  <c r="C242" i="4"/>
  <c r="L301" i="4"/>
  <c r="J301" i="4"/>
  <c r="H301" i="4"/>
  <c r="I301" i="4" s="1"/>
  <c r="F301" i="4"/>
  <c r="D301" i="4"/>
  <c r="C301" i="4"/>
  <c r="L258" i="4"/>
  <c r="M258" i="4" s="1"/>
  <c r="J258" i="4"/>
  <c r="K258" i="4" s="1"/>
  <c r="H258" i="4"/>
  <c r="F258" i="4"/>
  <c r="D258" i="4"/>
  <c r="C258" i="4"/>
  <c r="L265" i="4"/>
  <c r="J265" i="4"/>
  <c r="H265" i="4"/>
  <c r="I265" i="4" s="1"/>
  <c r="F265" i="4"/>
  <c r="D265" i="4"/>
  <c r="C265" i="4"/>
  <c r="L284" i="4"/>
  <c r="M284" i="4" s="1"/>
  <c r="J284" i="4"/>
  <c r="K284" i="4" s="1"/>
  <c r="H284" i="4"/>
  <c r="I284" i="4" s="1"/>
  <c r="F284" i="4"/>
  <c r="D284" i="4"/>
  <c r="C284" i="4"/>
  <c r="L262" i="4"/>
  <c r="M262" i="4" s="1"/>
  <c r="J262" i="4"/>
  <c r="K262" i="4" s="1"/>
  <c r="H262" i="4"/>
  <c r="F262" i="4"/>
  <c r="G262" i="4" s="1"/>
  <c r="D262" i="4"/>
  <c r="C262" i="4"/>
  <c r="L285" i="4"/>
  <c r="M285" i="4" s="1"/>
  <c r="J285" i="4"/>
  <c r="K285" i="4" s="1"/>
  <c r="H285" i="4"/>
  <c r="F285" i="4"/>
  <c r="D285" i="4"/>
  <c r="C285" i="4"/>
  <c r="L221" i="4"/>
  <c r="M221" i="4" s="1"/>
  <c r="J221" i="4"/>
  <c r="K221" i="4" s="1"/>
  <c r="H221" i="4"/>
  <c r="F221" i="4"/>
  <c r="G221" i="4" s="1"/>
  <c r="D221" i="4"/>
  <c r="C221" i="4"/>
  <c r="L229" i="4"/>
  <c r="M229" i="4" s="1"/>
  <c r="J229" i="4"/>
  <c r="H229" i="4"/>
  <c r="I229" i="4" s="1"/>
  <c r="F229" i="4"/>
  <c r="D229" i="4"/>
  <c r="C229" i="4"/>
  <c r="L264" i="4"/>
  <c r="J264" i="4"/>
  <c r="K264" i="4" s="1"/>
  <c r="H264" i="4"/>
  <c r="F264" i="4"/>
  <c r="G264" i="4" s="1"/>
  <c r="D264" i="4"/>
  <c r="C264" i="4"/>
  <c r="L277" i="4"/>
  <c r="M277" i="4" s="1"/>
  <c r="J277" i="4"/>
  <c r="K277" i="4" s="1"/>
  <c r="H277" i="4"/>
  <c r="I277" i="4" s="1"/>
  <c r="F277" i="4"/>
  <c r="D277" i="4"/>
  <c r="C277" i="4"/>
  <c r="L226" i="4"/>
  <c r="M226" i="4" s="1"/>
  <c r="J226" i="4"/>
  <c r="K226" i="4" s="1"/>
  <c r="H226" i="4"/>
  <c r="I226" i="4" s="1"/>
  <c r="F226" i="4"/>
  <c r="D226" i="4"/>
  <c r="C226" i="4"/>
  <c r="L184" i="4"/>
  <c r="M184" i="4" s="1"/>
  <c r="J184" i="4"/>
  <c r="K184" i="4" s="1"/>
  <c r="H184" i="4"/>
  <c r="F184" i="4"/>
  <c r="G184" i="4" s="1"/>
  <c r="D184" i="4"/>
  <c r="C184" i="4"/>
  <c r="L237" i="4"/>
  <c r="J237" i="4"/>
  <c r="H237" i="4"/>
  <c r="I237" i="4" s="1"/>
  <c r="F237" i="4"/>
  <c r="D237" i="4"/>
  <c r="C237" i="4"/>
  <c r="L309" i="4"/>
  <c r="M309" i="4" s="1"/>
  <c r="J309" i="4"/>
  <c r="K309" i="4" s="1"/>
  <c r="H309" i="4"/>
  <c r="F309" i="4"/>
  <c r="D309" i="4"/>
  <c r="C309" i="4"/>
  <c r="L244" i="4"/>
  <c r="J244" i="4"/>
  <c r="K244" i="4" s="1"/>
  <c r="H244" i="4"/>
  <c r="I244" i="4" s="1"/>
  <c r="F244" i="4"/>
  <c r="G244" i="4" s="1"/>
  <c r="D244" i="4"/>
  <c r="C244" i="4"/>
  <c r="L235" i="4"/>
  <c r="M235" i="4" s="1"/>
  <c r="J235" i="4"/>
  <c r="K235" i="4" s="1"/>
  <c r="H235" i="4"/>
  <c r="I235" i="4" s="1"/>
  <c r="F235" i="4"/>
  <c r="D235" i="4"/>
  <c r="C235" i="4"/>
  <c r="L249" i="4"/>
  <c r="J249" i="4"/>
  <c r="K249" i="4" s="1"/>
  <c r="H249" i="4"/>
  <c r="I249" i="4" s="1"/>
  <c r="F249" i="4"/>
  <c r="G249" i="4" s="1"/>
  <c r="D249" i="4"/>
  <c r="C249" i="4"/>
  <c r="L212" i="4"/>
  <c r="M212" i="4" s="1"/>
  <c r="J212" i="4"/>
  <c r="K212" i="4" s="1"/>
  <c r="H212" i="4"/>
  <c r="I212" i="4" s="1"/>
  <c r="F212" i="4"/>
  <c r="D212" i="4"/>
  <c r="C212" i="4"/>
  <c r="L250" i="4"/>
  <c r="M250" i="4" s="1"/>
  <c r="J250" i="4"/>
  <c r="K250" i="4" s="1"/>
  <c r="H250" i="4"/>
  <c r="F250" i="4"/>
  <c r="D250" i="4"/>
  <c r="C250" i="4"/>
  <c r="L257" i="4"/>
  <c r="J257" i="4"/>
  <c r="K257" i="4" s="1"/>
  <c r="H257" i="4"/>
  <c r="I257" i="4" s="1"/>
  <c r="F257" i="4"/>
  <c r="G257" i="4" s="1"/>
  <c r="D257" i="4"/>
  <c r="C257" i="4"/>
  <c r="L253" i="4"/>
  <c r="M253" i="4" s="1"/>
  <c r="J253" i="4"/>
  <c r="K253" i="4" s="1"/>
  <c r="H253" i="4"/>
  <c r="F253" i="4"/>
  <c r="G253" i="4" s="1"/>
  <c r="D253" i="4"/>
  <c r="C253" i="4"/>
  <c r="L254" i="4"/>
  <c r="J254" i="4"/>
  <c r="K254" i="4" s="1"/>
  <c r="H254" i="4"/>
  <c r="I254" i="4" s="1"/>
  <c r="F254" i="4"/>
  <c r="D254" i="4"/>
  <c r="C254" i="4"/>
  <c r="L268" i="4"/>
  <c r="J268" i="4"/>
  <c r="H268" i="4"/>
  <c r="I268" i="4" s="1"/>
  <c r="F268" i="4"/>
  <c r="G268" i="4" s="1"/>
  <c r="D268" i="4"/>
  <c r="C268" i="4"/>
  <c r="L317" i="4"/>
  <c r="M317" i="4" s="1"/>
  <c r="J317" i="4"/>
  <c r="K317" i="4" s="1"/>
  <c r="H317" i="4"/>
  <c r="I317" i="4" s="1"/>
  <c r="F317" i="4"/>
  <c r="D317" i="4"/>
  <c r="C317" i="4"/>
  <c r="L234" i="4"/>
  <c r="M234" i="4" s="1"/>
  <c r="J234" i="4"/>
  <c r="H234" i="4"/>
  <c r="I234" i="4" s="1"/>
  <c r="F234" i="4"/>
  <c r="G234" i="4" s="1"/>
  <c r="D234" i="4"/>
  <c r="C234" i="4"/>
  <c r="L238" i="4"/>
  <c r="M238" i="4" s="1"/>
  <c r="J238" i="4"/>
  <c r="K238" i="4" s="1"/>
  <c r="H238" i="4"/>
  <c r="I238" i="4" s="1"/>
  <c r="F238" i="4"/>
  <c r="D238" i="4"/>
  <c r="C238" i="4"/>
  <c r="L241" i="4"/>
  <c r="M241" i="4" s="1"/>
  <c r="J241" i="4"/>
  <c r="K241" i="4" s="1"/>
  <c r="H241" i="4"/>
  <c r="F241" i="4"/>
  <c r="G241" i="4" s="1"/>
  <c r="D241" i="4"/>
  <c r="C241" i="4"/>
  <c r="L224" i="4"/>
  <c r="J224" i="4"/>
  <c r="K224" i="4" s="1"/>
  <c r="H224" i="4"/>
  <c r="I224" i="4" s="1"/>
  <c r="F224" i="4"/>
  <c r="G224" i="4" s="1"/>
  <c r="D224" i="4"/>
  <c r="C224" i="4"/>
  <c r="L207" i="4"/>
  <c r="J207" i="4"/>
  <c r="H207" i="4"/>
  <c r="I207" i="4" s="1"/>
  <c r="F207" i="4"/>
  <c r="G207" i="4" s="1"/>
  <c r="D207" i="4"/>
  <c r="C207" i="4"/>
  <c r="L217" i="4"/>
  <c r="J217" i="4"/>
  <c r="H217" i="4"/>
  <c r="I217" i="4" s="1"/>
  <c r="F217" i="4"/>
  <c r="G217" i="4" s="1"/>
  <c r="D217" i="4"/>
  <c r="C217" i="4"/>
  <c r="L248" i="4"/>
  <c r="M248" i="4" s="1"/>
  <c r="J248" i="4"/>
  <c r="H248" i="4"/>
  <c r="I248" i="4" s="1"/>
  <c r="F248" i="4"/>
  <c r="G248" i="4" s="1"/>
  <c r="D248" i="4"/>
  <c r="C248" i="4"/>
  <c r="L227" i="4"/>
  <c r="M227" i="4" s="1"/>
  <c r="J227" i="4"/>
  <c r="K227" i="4" s="1"/>
  <c r="H227" i="4"/>
  <c r="I227" i="4" s="1"/>
  <c r="F227" i="4"/>
  <c r="D227" i="4"/>
  <c r="C227" i="4"/>
  <c r="L251" i="4"/>
  <c r="J251" i="4"/>
  <c r="K251" i="4" s="1"/>
  <c r="H251" i="4"/>
  <c r="I251" i="4" s="1"/>
  <c r="F251" i="4"/>
  <c r="G251" i="4" s="1"/>
  <c r="D251" i="4"/>
  <c r="C251" i="4"/>
  <c r="L216" i="4"/>
  <c r="J216" i="4"/>
  <c r="H216" i="4"/>
  <c r="I216" i="4" s="1"/>
  <c r="F216" i="4"/>
  <c r="G216" i="4" s="1"/>
  <c r="D216" i="4"/>
  <c r="C216" i="4"/>
  <c r="L174" i="4"/>
  <c r="M174" i="4" s="1"/>
  <c r="J174" i="4"/>
  <c r="H174" i="4"/>
  <c r="I174" i="4" s="1"/>
  <c r="F174" i="4"/>
  <c r="G174" i="4" s="1"/>
  <c r="D174" i="4"/>
  <c r="C174" i="4"/>
  <c r="L183" i="4"/>
  <c r="M183" i="4" s="1"/>
  <c r="J183" i="4"/>
  <c r="K183" i="4" s="1"/>
  <c r="H183" i="4"/>
  <c r="I183" i="4" s="1"/>
  <c r="F183" i="4"/>
  <c r="D183" i="4"/>
  <c r="C183" i="4"/>
  <c r="L240" i="4"/>
  <c r="M240" i="4" s="1"/>
  <c r="J240" i="4"/>
  <c r="K240" i="4" s="1"/>
  <c r="H240" i="4"/>
  <c r="F240" i="4"/>
  <c r="D240" i="4"/>
  <c r="C240" i="4"/>
  <c r="L106" i="4"/>
  <c r="J106" i="4"/>
  <c r="K106" i="4" s="1"/>
  <c r="H106" i="4"/>
  <c r="I106" i="4" s="1"/>
  <c r="F106" i="4"/>
  <c r="D106" i="4"/>
  <c r="C106" i="4"/>
  <c r="L239" i="4"/>
  <c r="J239" i="4"/>
  <c r="K239" i="4" s="1"/>
  <c r="H239" i="4"/>
  <c r="I239" i="4" s="1"/>
  <c r="F239" i="4"/>
  <c r="D239" i="4"/>
  <c r="C239" i="4"/>
  <c r="L215" i="4"/>
  <c r="M215" i="4" s="1"/>
  <c r="J215" i="4"/>
  <c r="H215" i="4"/>
  <c r="I215" i="4" s="1"/>
  <c r="F215" i="4"/>
  <c r="D215" i="4"/>
  <c r="C215" i="4"/>
  <c r="L191" i="4"/>
  <c r="J191" i="4"/>
  <c r="K191" i="4" s="1"/>
  <c r="H191" i="4"/>
  <c r="I191" i="4" s="1"/>
  <c r="F191" i="4"/>
  <c r="D191" i="4"/>
  <c r="C191" i="4"/>
  <c r="L220" i="4"/>
  <c r="J220" i="4"/>
  <c r="K220" i="4" s="1"/>
  <c r="H220" i="4"/>
  <c r="I220" i="4" s="1"/>
  <c r="F220" i="4"/>
  <c r="G220" i="4" s="1"/>
  <c r="D220" i="4"/>
  <c r="C220" i="4"/>
  <c r="L232" i="4"/>
  <c r="M232" i="4" s="1"/>
  <c r="J232" i="4"/>
  <c r="K232" i="4" s="1"/>
  <c r="H232" i="4"/>
  <c r="F232" i="4"/>
  <c r="D232" i="4"/>
  <c r="C232" i="4"/>
  <c r="L230" i="4"/>
  <c r="M230" i="4" s="1"/>
  <c r="J230" i="4"/>
  <c r="K230" i="4" s="1"/>
  <c r="H230" i="4"/>
  <c r="F230" i="4"/>
  <c r="D230" i="4"/>
  <c r="C230" i="4"/>
  <c r="L222" i="4"/>
  <c r="J222" i="4"/>
  <c r="K222" i="4" s="1"/>
  <c r="H222" i="4"/>
  <c r="I222" i="4" s="1"/>
  <c r="F222" i="4"/>
  <c r="D222" i="4"/>
  <c r="C222" i="4"/>
  <c r="L245" i="4"/>
  <c r="M245" i="4" s="1"/>
  <c r="J245" i="4"/>
  <c r="K245" i="4" s="1"/>
  <c r="H245" i="4"/>
  <c r="I245" i="4" s="1"/>
  <c r="F245" i="4"/>
  <c r="D245" i="4"/>
  <c r="C245" i="4"/>
  <c r="L186" i="4"/>
  <c r="J186" i="4"/>
  <c r="K186" i="4" s="1"/>
  <c r="H186" i="4"/>
  <c r="I186" i="4" s="1"/>
  <c r="F186" i="4"/>
  <c r="G186" i="4" s="1"/>
  <c r="D186" i="4"/>
  <c r="C186" i="4"/>
  <c r="L176" i="4"/>
  <c r="M176" i="4" s="1"/>
  <c r="J176" i="4"/>
  <c r="K176" i="4" s="1"/>
  <c r="H176" i="4"/>
  <c r="F176" i="4"/>
  <c r="D176" i="4"/>
  <c r="C176" i="4"/>
  <c r="L200" i="4"/>
  <c r="M200" i="4" s="1"/>
  <c r="J200" i="4"/>
  <c r="H200" i="4"/>
  <c r="I200" i="4" s="1"/>
  <c r="F200" i="4"/>
  <c r="G200" i="4" s="1"/>
  <c r="D200" i="4"/>
  <c r="C200" i="4"/>
  <c r="L209" i="4"/>
  <c r="M209" i="4" s="1"/>
  <c r="J209" i="4"/>
  <c r="H209" i="4"/>
  <c r="I209" i="4" s="1"/>
  <c r="F209" i="4"/>
  <c r="G209" i="4" s="1"/>
  <c r="D209" i="4"/>
  <c r="C209" i="4"/>
  <c r="L202" i="4"/>
  <c r="J202" i="4"/>
  <c r="K202" i="4" s="1"/>
  <c r="H202" i="4"/>
  <c r="I202" i="4" s="1"/>
  <c r="F202" i="4"/>
  <c r="G202" i="4" s="1"/>
  <c r="D202" i="4"/>
  <c r="C202" i="4"/>
  <c r="L213" i="4"/>
  <c r="M213" i="4" s="1"/>
  <c r="J213" i="4"/>
  <c r="H213" i="4"/>
  <c r="I213" i="4" s="1"/>
  <c r="F213" i="4"/>
  <c r="G213" i="4" s="1"/>
  <c r="D213" i="4"/>
  <c r="C213" i="4"/>
  <c r="L182" i="4"/>
  <c r="J182" i="4"/>
  <c r="K182" i="4" s="1"/>
  <c r="H182" i="4"/>
  <c r="F182" i="4"/>
  <c r="G182" i="4" s="1"/>
  <c r="D182" i="4"/>
  <c r="C182" i="4"/>
  <c r="L211" i="4"/>
  <c r="M211" i="4" s="1"/>
  <c r="J211" i="4"/>
  <c r="K211" i="4" s="1"/>
  <c r="H211" i="4"/>
  <c r="F211" i="4"/>
  <c r="G211" i="4" s="1"/>
  <c r="D211" i="4"/>
  <c r="C211" i="4"/>
  <c r="L208" i="4"/>
  <c r="J208" i="4"/>
  <c r="K208" i="4" s="1"/>
  <c r="H208" i="4"/>
  <c r="I208" i="4" s="1"/>
  <c r="F208" i="4"/>
  <c r="D208" i="4"/>
  <c r="C208" i="4"/>
  <c r="L225" i="4"/>
  <c r="M225" i="4" s="1"/>
  <c r="J225" i="4"/>
  <c r="K225" i="4" s="1"/>
  <c r="H225" i="4"/>
  <c r="I225" i="4" s="1"/>
  <c r="F225" i="4"/>
  <c r="D225" i="4"/>
  <c r="C225" i="4"/>
  <c r="L195" i="4"/>
  <c r="J195" i="4"/>
  <c r="K195" i="4" s="1"/>
  <c r="H195" i="4"/>
  <c r="I195" i="4" s="1"/>
  <c r="F195" i="4"/>
  <c r="D195" i="4"/>
  <c r="C195" i="4"/>
  <c r="L187" i="4"/>
  <c r="M187" i="4" s="1"/>
  <c r="J187" i="4"/>
  <c r="H187" i="4"/>
  <c r="F187" i="4"/>
  <c r="D187" i="4"/>
  <c r="C187" i="4"/>
  <c r="L198" i="4"/>
  <c r="J198" i="4"/>
  <c r="H198" i="4"/>
  <c r="I198" i="4" s="1"/>
  <c r="F198" i="4"/>
  <c r="G198" i="4" s="1"/>
  <c r="D198" i="4"/>
  <c r="C198" i="4"/>
  <c r="L259" i="4"/>
  <c r="M259" i="4" s="1"/>
  <c r="J259" i="4"/>
  <c r="K259" i="4" s="1"/>
  <c r="H259" i="4"/>
  <c r="F259" i="4"/>
  <c r="D259" i="4"/>
  <c r="C259" i="4"/>
  <c r="L231" i="4"/>
  <c r="M231" i="4" s="1"/>
  <c r="J231" i="4"/>
  <c r="K231" i="4" s="1"/>
  <c r="H231" i="4"/>
  <c r="I231" i="4" s="1"/>
  <c r="F231" i="4"/>
  <c r="D231" i="4"/>
  <c r="C231" i="4"/>
  <c r="L194" i="4"/>
  <c r="J194" i="4"/>
  <c r="K194" i="4" s="1"/>
  <c r="H194" i="4"/>
  <c r="F194" i="4"/>
  <c r="D194" i="4"/>
  <c r="C194" i="4"/>
  <c r="L214" i="4"/>
  <c r="J214" i="4"/>
  <c r="K214" i="4" s="1"/>
  <c r="H214" i="4"/>
  <c r="I214" i="4" s="1"/>
  <c r="F214" i="4"/>
  <c r="D214" i="4"/>
  <c r="C214" i="4"/>
  <c r="L201" i="4"/>
  <c r="J201" i="4"/>
  <c r="K201" i="4" s="1"/>
  <c r="H201" i="4"/>
  <c r="I201" i="4" s="1"/>
  <c r="F201" i="4"/>
  <c r="G201" i="4" s="1"/>
  <c r="D201" i="4"/>
  <c r="C201" i="4"/>
  <c r="L218" i="4"/>
  <c r="M218" i="4" s="1"/>
  <c r="J218" i="4"/>
  <c r="K218" i="4" s="1"/>
  <c r="H218" i="4"/>
  <c r="F218" i="4"/>
  <c r="D218" i="4"/>
  <c r="C218" i="4"/>
  <c r="L205" i="4"/>
  <c r="J205" i="4"/>
  <c r="K205" i="4" s="1"/>
  <c r="H205" i="4"/>
  <c r="I205" i="4" s="1"/>
  <c r="F205" i="4"/>
  <c r="G205" i="4" s="1"/>
  <c r="D205" i="4"/>
  <c r="C205" i="4"/>
  <c r="L210" i="4"/>
  <c r="M210" i="4" s="1"/>
  <c r="J210" i="4"/>
  <c r="K210" i="4" s="1"/>
  <c r="H210" i="4"/>
  <c r="I210" i="4" s="1"/>
  <c r="F210" i="4"/>
  <c r="D210" i="4"/>
  <c r="C210" i="4"/>
  <c r="L190" i="4"/>
  <c r="J190" i="4"/>
  <c r="K190" i="4" s="1"/>
  <c r="H190" i="4"/>
  <c r="I190" i="4" s="1"/>
  <c r="F190" i="4"/>
  <c r="G190" i="4" s="1"/>
  <c r="D190" i="4"/>
  <c r="C190" i="4"/>
  <c r="L189" i="4"/>
  <c r="J189" i="4"/>
  <c r="K189" i="4" s="1"/>
  <c r="H189" i="4"/>
  <c r="I189" i="4" s="1"/>
  <c r="F189" i="4"/>
  <c r="G189" i="4" s="1"/>
  <c r="D189" i="4"/>
  <c r="C189" i="4"/>
  <c r="L204" i="4"/>
  <c r="M204" i="4" s="1"/>
  <c r="J204" i="4"/>
  <c r="K204" i="4" s="1"/>
  <c r="H204" i="4"/>
  <c r="F204" i="4"/>
  <c r="G204" i="4" s="1"/>
  <c r="D204" i="4"/>
  <c r="C204" i="4"/>
  <c r="L255" i="4"/>
  <c r="M255" i="4" s="1"/>
  <c r="J255" i="4"/>
  <c r="K255" i="4" s="1"/>
  <c r="H255" i="4"/>
  <c r="I255" i="4" s="1"/>
  <c r="F255" i="4"/>
  <c r="D255" i="4"/>
  <c r="C255" i="4"/>
  <c r="L197" i="4"/>
  <c r="M197" i="4" s="1"/>
  <c r="J197" i="4"/>
  <c r="K197" i="4" s="1"/>
  <c r="H197" i="4"/>
  <c r="F197" i="4"/>
  <c r="D197" i="4"/>
  <c r="C197" i="4"/>
  <c r="L203" i="4"/>
  <c r="M203" i="4" s="1"/>
  <c r="J203" i="4"/>
  <c r="K203" i="4" s="1"/>
  <c r="H203" i="4"/>
  <c r="F203" i="4"/>
  <c r="G203" i="4" s="1"/>
  <c r="D203" i="4"/>
  <c r="C203" i="4"/>
  <c r="L154" i="4"/>
  <c r="J154" i="4"/>
  <c r="K154" i="4" s="1"/>
  <c r="H154" i="4"/>
  <c r="I154" i="4" s="1"/>
  <c r="F154" i="4"/>
  <c r="G154" i="4" s="1"/>
  <c r="D154" i="4"/>
  <c r="C154" i="4"/>
  <c r="L181" i="4"/>
  <c r="J181" i="4"/>
  <c r="K181" i="4" s="1"/>
  <c r="H181" i="4"/>
  <c r="I181" i="4" s="1"/>
  <c r="F181" i="4"/>
  <c r="G181" i="4" s="1"/>
  <c r="D181" i="4"/>
  <c r="C181" i="4"/>
  <c r="L166" i="4"/>
  <c r="J166" i="4"/>
  <c r="H166" i="4"/>
  <c r="I166" i="4" s="1"/>
  <c r="F166" i="4"/>
  <c r="G166" i="4" s="1"/>
  <c r="D166" i="4"/>
  <c r="C166" i="4"/>
  <c r="L180" i="4"/>
  <c r="J180" i="4"/>
  <c r="H180" i="4"/>
  <c r="I180" i="4" s="1"/>
  <c r="F180" i="4"/>
  <c r="G180" i="4" s="1"/>
  <c r="D180" i="4"/>
  <c r="C180" i="4"/>
  <c r="L193" i="4"/>
  <c r="J193" i="4"/>
  <c r="K193" i="4" s="1"/>
  <c r="H193" i="4"/>
  <c r="F193" i="4"/>
  <c r="G193" i="4" s="1"/>
  <c r="D193" i="4"/>
  <c r="C193" i="4"/>
  <c r="L178" i="4"/>
  <c r="M178" i="4" s="1"/>
  <c r="J178" i="4"/>
  <c r="H178" i="4"/>
  <c r="I178" i="4" s="1"/>
  <c r="F178" i="4"/>
  <c r="G178" i="4" s="1"/>
  <c r="D178" i="4"/>
  <c r="C178" i="4"/>
  <c r="L177" i="4"/>
  <c r="M177" i="4" s="1"/>
  <c r="J177" i="4"/>
  <c r="K177" i="4" s="1"/>
  <c r="H177" i="4"/>
  <c r="I177" i="4" s="1"/>
  <c r="F177" i="4"/>
  <c r="D177" i="4"/>
  <c r="C177" i="4"/>
  <c r="L199" i="4"/>
  <c r="M199" i="4" s="1"/>
  <c r="J199" i="4"/>
  <c r="K199" i="4" s="1"/>
  <c r="H199" i="4"/>
  <c r="I199" i="4" s="1"/>
  <c r="F199" i="4"/>
  <c r="D199" i="4"/>
  <c r="C199" i="4"/>
  <c r="L206" i="4"/>
  <c r="M206" i="4" s="1"/>
  <c r="J206" i="4"/>
  <c r="K206" i="4" s="1"/>
  <c r="H206" i="4"/>
  <c r="I206" i="4" s="1"/>
  <c r="F206" i="4"/>
  <c r="D206" i="4"/>
  <c r="C206" i="4"/>
  <c r="L185" i="4"/>
  <c r="M185" i="4" s="1"/>
  <c r="J185" i="4"/>
  <c r="K185" i="4" s="1"/>
  <c r="H185" i="4"/>
  <c r="I185" i="4" s="1"/>
  <c r="F185" i="4"/>
  <c r="D185" i="4"/>
  <c r="C185" i="4"/>
  <c r="L192" i="4"/>
  <c r="M192" i="4" s="1"/>
  <c r="J192" i="4"/>
  <c r="K192" i="4" s="1"/>
  <c r="H192" i="4"/>
  <c r="I192" i="4" s="1"/>
  <c r="F192" i="4"/>
  <c r="D192" i="4"/>
  <c r="C192" i="4"/>
  <c r="L179" i="4"/>
  <c r="J179" i="4"/>
  <c r="H179" i="4"/>
  <c r="I179" i="4" s="1"/>
  <c r="F179" i="4"/>
  <c r="G179" i="4" s="1"/>
  <c r="D179" i="4"/>
  <c r="C179" i="4"/>
  <c r="L162" i="4"/>
  <c r="J162" i="4"/>
  <c r="K162" i="4" s="1"/>
  <c r="H162" i="4"/>
  <c r="I162" i="4" s="1"/>
  <c r="F162" i="4"/>
  <c r="G162" i="4" s="1"/>
  <c r="D162" i="4"/>
  <c r="C162" i="4"/>
  <c r="L172" i="4"/>
  <c r="J172" i="4"/>
  <c r="H172" i="4"/>
  <c r="I172" i="4" s="1"/>
  <c r="F172" i="4"/>
  <c r="G172" i="4" s="1"/>
  <c r="D172" i="4"/>
  <c r="C172" i="4"/>
  <c r="L188" i="4"/>
  <c r="M188" i="4" s="1"/>
  <c r="J188" i="4"/>
  <c r="K188" i="4" s="1"/>
  <c r="H188" i="4"/>
  <c r="I188" i="4" s="1"/>
  <c r="F188" i="4"/>
  <c r="D188" i="4"/>
  <c r="C188" i="4"/>
  <c r="L156" i="4"/>
  <c r="M156" i="4" s="1"/>
  <c r="J156" i="4"/>
  <c r="K156" i="4" s="1"/>
  <c r="H156" i="4"/>
  <c r="I156" i="4" s="1"/>
  <c r="F156" i="4"/>
  <c r="D156" i="4"/>
  <c r="C156" i="4"/>
  <c r="L170" i="4"/>
  <c r="M170" i="4" s="1"/>
  <c r="J170" i="4"/>
  <c r="K170" i="4" s="1"/>
  <c r="H170" i="4"/>
  <c r="F170" i="4"/>
  <c r="D170" i="4"/>
  <c r="C170" i="4"/>
  <c r="L155" i="4"/>
  <c r="J155" i="4"/>
  <c r="H155" i="4"/>
  <c r="I155" i="4" s="1"/>
  <c r="F155" i="4"/>
  <c r="D155" i="4"/>
  <c r="C155" i="4"/>
  <c r="L169" i="4"/>
  <c r="J169" i="4"/>
  <c r="H169" i="4"/>
  <c r="I169" i="4" s="1"/>
  <c r="F169" i="4"/>
  <c r="G169" i="4" s="1"/>
  <c r="D169" i="4"/>
  <c r="C169" i="4"/>
  <c r="L105" i="4"/>
  <c r="J105" i="4"/>
  <c r="K105" i="4" s="1"/>
  <c r="H105" i="4"/>
  <c r="I105" i="4" s="1"/>
  <c r="F105" i="4"/>
  <c r="G105" i="4" s="1"/>
  <c r="D105" i="4"/>
  <c r="C105" i="4"/>
  <c r="L145" i="4"/>
  <c r="M145" i="4" s="1"/>
  <c r="J145" i="4"/>
  <c r="K145" i="4" s="1"/>
  <c r="H145" i="4"/>
  <c r="F145" i="4"/>
  <c r="G145" i="4" s="1"/>
  <c r="D145" i="4"/>
  <c r="C145" i="4"/>
  <c r="L165" i="4"/>
  <c r="M165" i="4" s="1"/>
  <c r="J165" i="4"/>
  <c r="H165" i="4"/>
  <c r="I165" i="4" s="1"/>
  <c r="F165" i="4"/>
  <c r="G165" i="4" s="1"/>
  <c r="D165" i="4"/>
  <c r="C165" i="4"/>
  <c r="L171" i="4"/>
  <c r="M171" i="4" s="1"/>
  <c r="J171" i="4"/>
  <c r="K171" i="4" s="1"/>
  <c r="H171" i="4"/>
  <c r="I171" i="4" s="1"/>
  <c r="F171" i="4"/>
  <c r="D171" i="4"/>
  <c r="C171" i="4"/>
  <c r="L134" i="4"/>
  <c r="M134" i="4" s="1"/>
  <c r="J134" i="4"/>
  <c r="K134" i="4" s="1"/>
  <c r="H134" i="4"/>
  <c r="F134" i="4"/>
  <c r="D134" i="4"/>
  <c r="C134" i="4"/>
  <c r="L164" i="4"/>
  <c r="M164" i="4" s="1"/>
  <c r="J164" i="4"/>
  <c r="K164" i="4" s="1"/>
  <c r="H164" i="4"/>
  <c r="I164" i="4" s="1"/>
  <c r="F164" i="4"/>
  <c r="D164" i="4"/>
  <c r="C164" i="4"/>
  <c r="L147" i="4"/>
  <c r="M147" i="4" s="1"/>
  <c r="J147" i="4"/>
  <c r="H147" i="4"/>
  <c r="I147" i="4" s="1"/>
  <c r="F147" i="4"/>
  <c r="G147" i="4" s="1"/>
  <c r="D147" i="4"/>
  <c r="C147" i="4"/>
  <c r="L148" i="4"/>
  <c r="J148" i="4"/>
  <c r="H148" i="4"/>
  <c r="I148" i="4" s="1"/>
  <c r="F148" i="4"/>
  <c r="G148" i="4" s="1"/>
  <c r="D148" i="4"/>
  <c r="C148" i="4"/>
  <c r="L158" i="4"/>
  <c r="J158" i="4"/>
  <c r="H158" i="4"/>
  <c r="I158" i="4" s="1"/>
  <c r="F158" i="4"/>
  <c r="G158" i="4" s="1"/>
  <c r="D158" i="4"/>
  <c r="C158" i="4"/>
  <c r="L161" i="4"/>
  <c r="J161" i="4"/>
  <c r="K161" i="4" s="1"/>
  <c r="H161" i="4"/>
  <c r="F161" i="4"/>
  <c r="G161" i="4" s="1"/>
  <c r="D161" i="4"/>
  <c r="C161" i="4"/>
  <c r="L168" i="4"/>
  <c r="J168" i="4"/>
  <c r="K168" i="4" s="1"/>
  <c r="H168" i="4"/>
  <c r="I168" i="4" s="1"/>
  <c r="F168" i="4"/>
  <c r="D168" i="4"/>
  <c r="C168" i="4"/>
  <c r="L167" i="4"/>
  <c r="M167" i="4" s="1"/>
  <c r="J167" i="4"/>
  <c r="K167" i="4" s="1"/>
  <c r="H167" i="4"/>
  <c r="I167" i="4" s="1"/>
  <c r="F167" i="4"/>
  <c r="D167" i="4"/>
  <c r="C167" i="4"/>
  <c r="L153" i="4"/>
  <c r="J153" i="4"/>
  <c r="K153" i="4" s="1"/>
  <c r="H153" i="4"/>
  <c r="F153" i="4"/>
  <c r="D153" i="4"/>
  <c r="C153" i="4"/>
  <c r="L143" i="4"/>
  <c r="M143" i="4" s="1"/>
  <c r="J143" i="4"/>
  <c r="H143" i="4"/>
  <c r="I143" i="4" s="1"/>
  <c r="F143" i="4"/>
  <c r="G143" i="4" s="1"/>
  <c r="D143" i="4"/>
  <c r="C143" i="4"/>
  <c r="L173" i="4"/>
  <c r="M173" i="4" s="1"/>
  <c r="J173" i="4"/>
  <c r="K173" i="4" s="1"/>
  <c r="H173" i="4"/>
  <c r="I173" i="4" s="1"/>
  <c r="F173" i="4"/>
  <c r="D173" i="4"/>
  <c r="C173" i="4"/>
  <c r="L159" i="4"/>
  <c r="J159" i="4"/>
  <c r="K159" i="4" s="1"/>
  <c r="H159" i="4"/>
  <c r="I159" i="4" s="1"/>
  <c r="F159" i="4"/>
  <c r="D159" i="4"/>
  <c r="C159" i="4"/>
  <c r="L160" i="4"/>
  <c r="J160" i="4"/>
  <c r="K160" i="4" s="1"/>
  <c r="H160" i="4"/>
  <c r="F160" i="4"/>
  <c r="G160" i="4" s="1"/>
  <c r="D160" i="4"/>
  <c r="C160" i="4"/>
  <c r="L138" i="4"/>
  <c r="M138" i="4" s="1"/>
  <c r="J138" i="4"/>
  <c r="H138" i="4"/>
  <c r="I138" i="4" s="1"/>
  <c r="F138" i="4"/>
  <c r="G138" i="4" s="1"/>
  <c r="D138" i="4"/>
  <c r="C138" i="4"/>
  <c r="L149" i="4"/>
  <c r="M149" i="4" s="1"/>
  <c r="J149" i="4"/>
  <c r="K149" i="4" s="1"/>
  <c r="H149" i="4"/>
  <c r="F149" i="4"/>
  <c r="D149" i="4"/>
  <c r="C149" i="4"/>
  <c r="L157" i="4"/>
  <c r="M157" i="4" s="1"/>
  <c r="J157" i="4"/>
  <c r="K157" i="4" s="1"/>
  <c r="H157" i="4"/>
  <c r="F157" i="4"/>
  <c r="D157" i="4"/>
  <c r="C157" i="4"/>
  <c r="L146" i="4"/>
  <c r="M146" i="4" s="1"/>
  <c r="J146" i="4"/>
  <c r="K146" i="4" s="1"/>
  <c r="H146" i="4"/>
  <c r="F146" i="4"/>
  <c r="G146" i="4" s="1"/>
  <c r="D146" i="4"/>
  <c r="C146" i="4"/>
  <c r="L151" i="4"/>
  <c r="J151" i="4"/>
  <c r="H151" i="4"/>
  <c r="F151" i="4"/>
  <c r="D151" i="4"/>
  <c r="C151" i="4"/>
  <c r="L141" i="4"/>
  <c r="M141" i="4" s="1"/>
  <c r="J141" i="4"/>
  <c r="H141" i="4"/>
  <c r="I141" i="4" s="1"/>
  <c r="F141" i="4"/>
  <c r="D141" i="4"/>
  <c r="C141" i="4"/>
  <c r="L152" i="4"/>
  <c r="J152" i="4"/>
  <c r="K152" i="4" s="1"/>
  <c r="H152" i="4"/>
  <c r="I152" i="4" s="1"/>
  <c r="F152" i="4"/>
  <c r="G152" i="4" s="1"/>
  <c r="D152" i="4"/>
  <c r="C152" i="4"/>
  <c r="L124" i="4"/>
  <c r="J124" i="4"/>
  <c r="K124" i="4" s="1"/>
  <c r="H124" i="4"/>
  <c r="I124" i="4" s="1"/>
  <c r="F124" i="4"/>
  <c r="G124" i="4" s="1"/>
  <c r="D124" i="4"/>
  <c r="C124" i="4"/>
  <c r="L135" i="4"/>
  <c r="J135" i="4"/>
  <c r="K135" i="4" s="1"/>
  <c r="H135" i="4"/>
  <c r="I135" i="4" s="1"/>
  <c r="F135" i="4"/>
  <c r="G135" i="4" s="1"/>
  <c r="D135" i="4"/>
  <c r="C135" i="4"/>
  <c r="L129" i="4"/>
  <c r="J129" i="4"/>
  <c r="H129" i="4"/>
  <c r="I129" i="4" s="1"/>
  <c r="F129" i="4"/>
  <c r="G129" i="4" s="1"/>
  <c r="D129" i="4"/>
  <c r="C129" i="4"/>
  <c r="L150" i="4"/>
  <c r="M150" i="4" s="1"/>
  <c r="J150" i="4"/>
  <c r="K150" i="4" s="1"/>
  <c r="H150" i="4"/>
  <c r="I150" i="4" s="1"/>
  <c r="F150" i="4"/>
  <c r="D150" i="4"/>
  <c r="C150" i="4"/>
  <c r="L120" i="4"/>
  <c r="J120" i="4"/>
  <c r="K120" i="4" s="1"/>
  <c r="H120" i="4"/>
  <c r="I120" i="4" s="1"/>
  <c r="F120" i="4"/>
  <c r="D120" i="4"/>
  <c r="C120" i="4"/>
  <c r="L130" i="4"/>
  <c r="M130" i="4" s="1"/>
  <c r="J130" i="4"/>
  <c r="H130" i="4"/>
  <c r="I130" i="4" s="1"/>
  <c r="F130" i="4"/>
  <c r="G130" i="4" s="1"/>
  <c r="D130" i="4"/>
  <c r="C130" i="4"/>
  <c r="L140" i="4"/>
  <c r="M140" i="4" s="1"/>
  <c r="J140" i="4"/>
  <c r="H140" i="4"/>
  <c r="I140" i="4" s="1"/>
  <c r="F140" i="4"/>
  <c r="G140" i="4" s="1"/>
  <c r="D140" i="4"/>
  <c r="C140" i="4"/>
  <c r="L163" i="4"/>
  <c r="M163" i="4" s="1"/>
  <c r="J163" i="4"/>
  <c r="K163" i="4" s="1"/>
  <c r="H163" i="4"/>
  <c r="I163" i="4" s="1"/>
  <c r="F163" i="4"/>
  <c r="D163" i="4"/>
  <c r="C163" i="4"/>
  <c r="L122" i="4"/>
  <c r="J122" i="4"/>
  <c r="K122" i="4" s="1"/>
  <c r="H122" i="4"/>
  <c r="I122" i="4" s="1"/>
  <c r="F122" i="4"/>
  <c r="G122" i="4" s="1"/>
  <c r="D122" i="4"/>
  <c r="C122" i="4"/>
  <c r="L131" i="4"/>
  <c r="M131" i="4" s="1"/>
  <c r="J131" i="4"/>
  <c r="K131" i="4" s="1"/>
  <c r="H131" i="4"/>
  <c r="I131" i="4" s="1"/>
  <c r="F131" i="4"/>
  <c r="D131" i="4"/>
  <c r="C131" i="4"/>
  <c r="L137" i="4"/>
  <c r="M137" i="4" s="1"/>
  <c r="J137" i="4"/>
  <c r="K137" i="4" s="1"/>
  <c r="H137" i="4"/>
  <c r="F137" i="4"/>
  <c r="G137" i="4" s="1"/>
  <c r="D137" i="4"/>
  <c r="C137" i="4"/>
  <c r="L144" i="4"/>
  <c r="J144" i="4"/>
  <c r="K144" i="4" s="1"/>
  <c r="H144" i="4"/>
  <c r="I144" i="4" s="1"/>
  <c r="F144" i="4"/>
  <c r="G144" i="4" s="1"/>
  <c r="D144" i="4"/>
  <c r="C144" i="4"/>
  <c r="L126" i="4"/>
  <c r="J126" i="4"/>
  <c r="H126" i="4"/>
  <c r="I126" i="4" s="1"/>
  <c r="F126" i="4"/>
  <c r="G126" i="4" s="1"/>
  <c r="D126" i="4"/>
  <c r="C126" i="4"/>
  <c r="L132" i="4"/>
  <c r="M132" i="4" s="1"/>
  <c r="J132" i="4"/>
  <c r="K132" i="4" s="1"/>
  <c r="H132" i="4"/>
  <c r="F132" i="4"/>
  <c r="G132" i="4" s="1"/>
  <c r="D132" i="4"/>
  <c r="C132" i="4"/>
  <c r="L142" i="4"/>
  <c r="M142" i="4" s="1"/>
  <c r="J142" i="4"/>
  <c r="K142" i="4" s="1"/>
  <c r="H142" i="4"/>
  <c r="F142" i="4"/>
  <c r="G142" i="4" s="1"/>
  <c r="D142" i="4"/>
  <c r="C142" i="4"/>
  <c r="L88" i="4"/>
  <c r="J88" i="4"/>
  <c r="K88" i="4" s="1"/>
  <c r="H88" i="4"/>
  <c r="I88" i="4" s="1"/>
  <c r="F88" i="4"/>
  <c r="D88" i="4"/>
  <c r="C88" i="4"/>
  <c r="L109" i="4"/>
  <c r="M109" i="4" s="1"/>
  <c r="J109" i="4"/>
  <c r="H109" i="4"/>
  <c r="I109" i="4" s="1"/>
  <c r="F109" i="4"/>
  <c r="D109" i="4"/>
  <c r="C109" i="4"/>
  <c r="L112" i="4"/>
  <c r="M112" i="4" s="1"/>
  <c r="J112" i="4"/>
  <c r="H112" i="4"/>
  <c r="I112" i="4" s="1"/>
  <c r="F112" i="4"/>
  <c r="G112" i="4" s="1"/>
  <c r="D112" i="4"/>
  <c r="C112" i="4"/>
  <c r="L121" i="4"/>
  <c r="M121" i="4" s="1"/>
  <c r="J121" i="4"/>
  <c r="K121" i="4" s="1"/>
  <c r="H121" i="4"/>
  <c r="I121" i="4" s="1"/>
  <c r="F121" i="4"/>
  <c r="D121" i="4"/>
  <c r="C121" i="4"/>
  <c r="L133" i="4"/>
  <c r="J133" i="4"/>
  <c r="H133" i="4"/>
  <c r="F133" i="4"/>
  <c r="G133" i="4" s="1"/>
  <c r="D133" i="4"/>
  <c r="C133" i="4"/>
  <c r="L113" i="4"/>
  <c r="J113" i="4"/>
  <c r="K113" i="4" s="1"/>
  <c r="H113" i="4"/>
  <c r="F113" i="4"/>
  <c r="G113" i="4" s="1"/>
  <c r="D113" i="4"/>
  <c r="C113" i="4"/>
  <c r="L139" i="4"/>
  <c r="J139" i="4"/>
  <c r="H139" i="4"/>
  <c r="F139" i="4"/>
  <c r="D139" i="4"/>
  <c r="C139" i="4"/>
  <c r="L96" i="4"/>
  <c r="J96" i="4"/>
  <c r="K96" i="4" s="1"/>
  <c r="H96" i="4"/>
  <c r="I96" i="4" s="1"/>
  <c r="F96" i="4"/>
  <c r="G96" i="4" s="1"/>
  <c r="D96" i="4"/>
  <c r="C96" i="4"/>
  <c r="L123" i="4"/>
  <c r="J123" i="4"/>
  <c r="K123" i="4" s="1"/>
  <c r="H123" i="4"/>
  <c r="I123" i="4" s="1"/>
  <c r="F123" i="4"/>
  <c r="G123" i="4" s="1"/>
  <c r="D123" i="4"/>
  <c r="C123" i="4"/>
  <c r="L104" i="4"/>
  <c r="M104" i="4" s="1"/>
  <c r="J104" i="4"/>
  <c r="H104" i="4"/>
  <c r="I104" i="4" s="1"/>
  <c r="F104" i="4"/>
  <c r="G104" i="4" s="1"/>
  <c r="D104" i="4"/>
  <c r="C104" i="4"/>
  <c r="L114" i="4"/>
  <c r="M114" i="4" s="1"/>
  <c r="J114" i="4"/>
  <c r="H114" i="4"/>
  <c r="I114" i="4" s="1"/>
  <c r="F114" i="4"/>
  <c r="G114" i="4" s="1"/>
  <c r="D114" i="4"/>
  <c r="C114" i="4"/>
  <c r="L119" i="4"/>
  <c r="M119" i="4" s="1"/>
  <c r="J119" i="4"/>
  <c r="K119" i="4" s="1"/>
  <c r="H119" i="4"/>
  <c r="I119" i="4" s="1"/>
  <c r="F119" i="4"/>
  <c r="D119" i="4"/>
  <c r="C119" i="4"/>
  <c r="L125" i="4"/>
  <c r="M125" i="4" s="1"/>
  <c r="J125" i="4"/>
  <c r="K125" i="4" s="1"/>
  <c r="H125" i="4"/>
  <c r="I125" i="4" s="1"/>
  <c r="F125" i="4"/>
  <c r="D125" i="4"/>
  <c r="C125" i="4"/>
  <c r="L97" i="4"/>
  <c r="M97" i="4" s="1"/>
  <c r="J97" i="4"/>
  <c r="H97" i="4"/>
  <c r="I97" i="4" s="1"/>
  <c r="F97" i="4"/>
  <c r="G97" i="4" s="1"/>
  <c r="D97" i="4"/>
  <c r="C97" i="4"/>
  <c r="L127" i="4"/>
  <c r="M127" i="4" s="1"/>
  <c r="J127" i="4"/>
  <c r="K127" i="4" s="1"/>
  <c r="H127" i="4"/>
  <c r="F127" i="4"/>
  <c r="D127" i="4"/>
  <c r="C127" i="4"/>
  <c r="L128" i="4"/>
  <c r="M128" i="4" s="1"/>
  <c r="J128" i="4"/>
  <c r="K128" i="4" s="1"/>
  <c r="H128" i="4"/>
  <c r="I128" i="4" s="1"/>
  <c r="F128" i="4"/>
  <c r="D128" i="4"/>
  <c r="C128" i="4"/>
  <c r="L108" i="4"/>
  <c r="J108" i="4"/>
  <c r="K108" i="4" s="1"/>
  <c r="H108" i="4"/>
  <c r="I108" i="4" s="1"/>
  <c r="F108" i="4"/>
  <c r="G108" i="4" s="1"/>
  <c r="D108" i="4"/>
  <c r="C108" i="4"/>
  <c r="L136" i="4"/>
  <c r="J136" i="4"/>
  <c r="K136" i="4" s="1"/>
  <c r="H136" i="4"/>
  <c r="F136" i="4"/>
  <c r="G136" i="4" s="1"/>
  <c r="D136" i="4"/>
  <c r="C136" i="4"/>
  <c r="L103" i="4"/>
  <c r="M103" i="4" s="1"/>
  <c r="J103" i="4"/>
  <c r="H103" i="4"/>
  <c r="I103" i="4" s="1"/>
  <c r="F103" i="4"/>
  <c r="G103" i="4" s="1"/>
  <c r="D103" i="4"/>
  <c r="C103" i="4"/>
  <c r="L101" i="4"/>
  <c r="J101" i="4"/>
  <c r="K101" i="4" s="1"/>
  <c r="H101" i="4"/>
  <c r="F101" i="4"/>
  <c r="D101" i="4"/>
  <c r="C101" i="4"/>
  <c r="L116" i="4"/>
  <c r="J116" i="4"/>
  <c r="K116" i="4" s="1"/>
  <c r="H116" i="4"/>
  <c r="I116" i="4" s="1"/>
  <c r="F116" i="4"/>
  <c r="G116" i="4" s="1"/>
  <c r="D116" i="4"/>
  <c r="C116" i="4"/>
  <c r="L118" i="4"/>
  <c r="M118" i="4" s="1"/>
  <c r="J118" i="4"/>
  <c r="K118" i="4" s="1"/>
  <c r="H118" i="4"/>
  <c r="I118" i="4" s="1"/>
  <c r="F118" i="4"/>
  <c r="D118" i="4"/>
  <c r="C118" i="4"/>
  <c r="L117" i="4"/>
  <c r="M117" i="4" s="1"/>
  <c r="J117" i="4"/>
  <c r="K117" i="4" s="1"/>
  <c r="H117" i="4"/>
  <c r="I117" i="4" s="1"/>
  <c r="F117" i="4"/>
  <c r="D117" i="4"/>
  <c r="C117" i="4"/>
  <c r="L102" i="4"/>
  <c r="M102" i="4" s="1"/>
  <c r="J102" i="4"/>
  <c r="H102" i="4"/>
  <c r="I102" i="4" s="1"/>
  <c r="F102" i="4"/>
  <c r="D102" i="4"/>
  <c r="C102" i="4"/>
  <c r="L91" i="4"/>
  <c r="M91" i="4" s="1"/>
  <c r="J91" i="4"/>
  <c r="K91" i="4" s="1"/>
  <c r="H91" i="4"/>
  <c r="I91" i="4" s="1"/>
  <c r="F91" i="4"/>
  <c r="D91" i="4"/>
  <c r="C91" i="4"/>
  <c r="L90" i="4"/>
  <c r="J90" i="4"/>
  <c r="H90" i="4"/>
  <c r="I90" i="4" s="1"/>
  <c r="F90" i="4"/>
  <c r="G90" i="4" s="1"/>
  <c r="D90" i="4"/>
  <c r="C90" i="4"/>
  <c r="L92" i="4"/>
  <c r="J92" i="4"/>
  <c r="H92" i="4"/>
  <c r="I92" i="4" s="1"/>
  <c r="F92" i="4"/>
  <c r="G92" i="4" s="1"/>
  <c r="D92" i="4"/>
  <c r="C92" i="4"/>
  <c r="L100" i="4"/>
  <c r="J100" i="4"/>
  <c r="H100" i="4"/>
  <c r="F100" i="4"/>
  <c r="D100" i="4"/>
  <c r="C100" i="4"/>
  <c r="L89" i="4"/>
  <c r="J89" i="4"/>
  <c r="H89" i="4"/>
  <c r="F89" i="4"/>
  <c r="D89" i="4"/>
  <c r="C89" i="4"/>
  <c r="L107" i="4"/>
  <c r="M107" i="4" s="1"/>
  <c r="J107" i="4"/>
  <c r="H107" i="4"/>
  <c r="I107" i="4" s="1"/>
  <c r="F107" i="4"/>
  <c r="D107" i="4"/>
  <c r="C107" i="4"/>
  <c r="L82" i="4"/>
  <c r="M82" i="4" s="1"/>
  <c r="J82" i="4"/>
  <c r="H82" i="4"/>
  <c r="F82" i="4"/>
  <c r="D82" i="4"/>
  <c r="C82" i="4"/>
  <c r="L111" i="4"/>
  <c r="M111" i="4" s="1"/>
  <c r="J111" i="4"/>
  <c r="K111" i="4" s="1"/>
  <c r="H111" i="4"/>
  <c r="I111" i="4" s="1"/>
  <c r="F111" i="4"/>
  <c r="D111" i="4"/>
  <c r="C111" i="4"/>
  <c r="L76" i="4"/>
  <c r="M76" i="4" s="1"/>
  <c r="J76" i="4"/>
  <c r="K76" i="4" s="1"/>
  <c r="H76" i="4"/>
  <c r="I76" i="4" s="1"/>
  <c r="F76" i="4"/>
  <c r="D76" i="4"/>
  <c r="C76" i="4"/>
  <c r="L86" i="4"/>
  <c r="M86" i="4" s="1"/>
  <c r="J86" i="4"/>
  <c r="K86" i="4" s="1"/>
  <c r="H86" i="4"/>
  <c r="I86" i="4" s="1"/>
  <c r="F86" i="4"/>
  <c r="D86" i="4"/>
  <c r="C86" i="4"/>
  <c r="L98" i="4"/>
  <c r="M98" i="4" s="1"/>
  <c r="J98" i="4"/>
  <c r="K98" i="4" s="1"/>
  <c r="H98" i="4"/>
  <c r="I98" i="4" s="1"/>
  <c r="F98" i="4"/>
  <c r="D98" i="4"/>
  <c r="C98" i="4"/>
  <c r="L110" i="4"/>
  <c r="M110" i="4" s="1"/>
  <c r="J110" i="4"/>
  <c r="K110" i="4" s="1"/>
  <c r="H110" i="4"/>
  <c r="I110" i="4" s="1"/>
  <c r="F110" i="4"/>
  <c r="D110" i="4"/>
  <c r="C110" i="4"/>
  <c r="L115" i="4"/>
  <c r="M115" i="4" s="1"/>
  <c r="J115" i="4"/>
  <c r="K115" i="4" s="1"/>
  <c r="H115" i="4"/>
  <c r="I115" i="4" s="1"/>
  <c r="F115" i="4"/>
  <c r="D115" i="4"/>
  <c r="C115" i="4"/>
  <c r="L95" i="4"/>
  <c r="J95" i="4"/>
  <c r="K95" i="4" s="1"/>
  <c r="H95" i="4"/>
  <c r="I95" i="4" s="1"/>
  <c r="F95" i="4"/>
  <c r="G95" i="4" s="1"/>
  <c r="D95" i="4"/>
  <c r="C95" i="4"/>
  <c r="L79" i="4"/>
  <c r="J79" i="4"/>
  <c r="H79" i="4"/>
  <c r="I79" i="4" s="1"/>
  <c r="F79" i="4"/>
  <c r="G79" i="4" s="1"/>
  <c r="D79" i="4"/>
  <c r="C79" i="4"/>
  <c r="L78" i="4"/>
  <c r="M78" i="4" s="1"/>
  <c r="J78" i="4"/>
  <c r="H78" i="4"/>
  <c r="I78" i="4" s="1"/>
  <c r="F78" i="4"/>
  <c r="G78" i="4" s="1"/>
  <c r="D78" i="4"/>
  <c r="C78" i="4"/>
  <c r="L81" i="4"/>
  <c r="J81" i="4"/>
  <c r="K81" i="4" s="1"/>
  <c r="H81" i="4"/>
  <c r="I81" i="4" s="1"/>
  <c r="F81" i="4"/>
  <c r="G81" i="4" s="1"/>
  <c r="D81" i="4"/>
  <c r="C81" i="4"/>
  <c r="L80" i="4"/>
  <c r="J80" i="4"/>
  <c r="K80" i="4" s="1"/>
  <c r="H80" i="4"/>
  <c r="I80" i="4" s="1"/>
  <c r="F80" i="4"/>
  <c r="G80" i="4" s="1"/>
  <c r="D80" i="4"/>
  <c r="C80" i="4"/>
  <c r="L94" i="4"/>
  <c r="M94" i="4" s="1"/>
  <c r="J94" i="4"/>
  <c r="K94" i="4" s="1"/>
  <c r="H94" i="4"/>
  <c r="I94" i="4" s="1"/>
  <c r="F94" i="4"/>
  <c r="D94" i="4"/>
  <c r="C94" i="4"/>
  <c r="L73" i="4"/>
  <c r="J73" i="4"/>
  <c r="K73" i="4" s="1"/>
  <c r="H73" i="4"/>
  <c r="I73" i="4" s="1"/>
  <c r="F73" i="4"/>
  <c r="G73" i="4" s="1"/>
  <c r="D73" i="4"/>
  <c r="C73" i="4"/>
  <c r="L83" i="4"/>
  <c r="J83" i="4"/>
  <c r="K83" i="4" s="1"/>
  <c r="H83" i="4"/>
  <c r="F83" i="4"/>
  <c r="D83" i="4"/>
  <c r="C83" i="4"/>
  <c r="L84" i="4"/>
  <c r="M84" i="4" s="1"/>
  <c r="J84" i="4"/>
  <c r="H84" i="4"/>
  <c r="I84" i="4" s="1"/>
  <c r="F84" i="4"/>
  <c r="G84" i="4" s="1"/>
  <c r="D84" i="4"/>
  <c r="C84" i="4"/>
  <c r="L87" i="4"/>
  <c r="J87" i="4"/>
  <c r="K87" i="4" s="1"/>
  <c r="H87" i="4"/>
  <c r="F87" i="4"/>
  <c r="G87" i="4" s="1"/>
  <c r="D87" i="4"/>
  <c r="C87" i="4"/>
  <c r="L93" i="4"/>
  <c r="M93" i="4" s="1"/>
  <c r="J93" i="4"/>
  <c r="K93" i="4" s="1"/>
  <c r="H93" i="4"/>
  <c r="I93" i="4" s="1"/>
  <c r="F93" i="4"/>
  <c r="D93" i="4"/>
  <c r="C93" i="4"/>
  <c r="L74" i="4"/>
  <c r="M74" i="4" s="1"/>
  <c r="J74" i="4"/>
  <c r="K74" i="4" s="1"/>
  <c r="H74" i="4"/>
  <c r="F74" i="4"/>
  <c r="G74" i="4" s="1"/>
  <c r="D74" i="4"/>
  <c r="C74" i="4"/>
  <c r="L68" i="4"/>
  <c r="J68" i="4"/>
  <c r="H68" i="4"/>
  <c r="I68" i="4" s="1"/>
  <c r="F68" i="4"/>
  <c r="G68" i="4" s="1"/>
  <c r="D68" i="4"/>
  <c r="C68" i="4"/>
  <c r="L72" i="4"/>
  <c r="J72" i="4"/>
  <c r="K72" i="4" s="1"/>
  <c r="H72" i="4"/>
  <c r="I72" i="4" s="1"/>
  <c r="F72" i="4"/>
  <c r="D72" i="4"/>
  <c r="C72" i="4"/>
  <c r="L85" i="4"/>
  <c r="J85" i="4"/>
  <c r="K85" i="4" s="1"/>
  <c r="H85" i="4"/>
  <c r="F85" i="4"/>
  <c r="D85" i="4"/>
  <c r="C85" i="4"/>
  <c r="L75" i="4"/>
  <c r="M75" i="4" s="1"/>
  <c r="J75" i="4"/>
  <c r="K75" i="4" s="1"/>
  <c r="H75" i="4"/>
  <c r="I75" i="4" s="1"/>
  <c r="F75" i="4"/>
  <c r="D75" i="4"/>
  <c r="C75" i="4"/>
  <c r="L77" i="4"/>
  <c r="M77" i="4" s="1"/>
  <c r="J77" i="4"/>
  <c r="K77" i="4" s="1"/>
  <c r="H77" i="4"/>
  <c r="I77" i="4" s="1"/>
  <c r="F77" i="4"/>
  <c r="D77" i="4"/>
  <c r="C77" i="4"/>
  <c r="L57" i="4"/>
  <c r="J57" i="4"/>
  <c r="K57" i="4" s="1"/>
  <c r="H57" i="4"/>
  <c r="I57" i="4" s="1"/>
  <c r="F57" i="4"/>
  <c r="G57" i="4" s="1"/>
  <c r="D57" i="4"/>
  <c r="C57" i="4"/>
  <c r="L64" i="4"/>
  <c r="M64" i="4" s="1"/>
  <c r="J64" i="4"/>
  <c r="H64" i="4"/>
  <c r="I64" i="4" s="1"/>
  <c r="F64" i="4"/>
  <c r="G64" i="4" s="1"/>
  <c r="D64" i="4"/>
  <c r="C64" i="4"/>
  <c r="L60" i="4"/>
  <c r="M60" i="4" s="1"/>
  <c r="J60" i="4"/>
  <c r="H60" i="4"/>
  <c r="I60" i="4" s="1"/>
  <c r="F60" i="4"/>
  <c r="G60" i="4" s="1"/>
  <c r="D60" i="4"/>
  <c r="C60" i="4"/>
  <c r="L71" i="4"/>
  <c r="M71" i="4" s="1"/>
  <c r="J71" i="4"/>
  <c r="H71" i="4"/>
  <c r="I71" i="4" s="1"/>
  <c r="F71" i="4"/>
  <c r="G71" i="4" s="1"/>
  <c r="D71" i="4"/>
  <c r="C71" i="4"/>
  <c r="L67" i="4"/>
  <c r="J67" i="4"/>
  <c r="K67" i="4" s="1"/>
  <c r="H67" i="4"/>
  <c r="I67" i="4" s="1"/>
  <c r="F67" i="4"/>
  <c r="D67" i="4"/>
  <c r="C67" i="4"/>
  <c r="L69" i="4"/>
  <c r="M69" i="4" s="1"/>
  <c r="J69" i="4"/>
  <c r="K69" i="4" s="1"/>
  <c r="H69" i="4"/>
  <c r="I69" i="4" s="1"/>
  <c r="F69" i="4"/>
  <c r="D69" i="4"/>
  <c r="C69" i="4"/>
  <c r="L62" i="4"/>
  <c r="J62" i="4"/>
  <c r="H62" i="4"/>
  <c r="I62" i="4" s="1"/>
  <c r="F62" i="4"/>
  <c r="G62" i="4" s="1"/>
  <c r="D62" i="4"/>
  <c r="C62" i="4"/>
  <c r="L66" i="4"/>
  <c r="M66" i="4" s="1"/>
  <c r="J66" i="4"/>
  <c r="K66" i="4" s="1"/>
  <c r="H66" i="4"/>
  <c r="F66" i="4"/>
  <c r="D66" i="4"/>
  <c r="C66" i="4"/>
  <c r="L70" i="4"/>
  <c r="M70" i="4" s="1"/>
  <c r="J70" i="4"/>
  <c r="K70" i="4" s="1"/>
  <c r="H70" i="4"/>
  <c r="I70" i="4" s="1"/>
  <c r="F70" i="4"/>
  <c r="D70" i="4"/>
  <c r="C70" i="4"/>
  <c r="L55" i="4"/>
  <c r="J55" i="4"/>
  <c r="K55" i="4" s="1"/>
  <c r="H55" i="4"/>
  <c r="I55" i="4" s="1"/>
  <c r="F55" i="4"/>
  <c r="G55" i="4" s="1"/>
  <c r="D55" i="4"/>
  <c r="C55" i="4"/>
  <c r="L99" i="4"/>
  <c r="M99" i="4" s="1"/>
  <c r="J99" i="4"/>
  <c r="K99" i="4" s="1"/>
  <c r="H99" i="4"/>
  <c r="I99" i="4" s="1"/>
  <c r="F99" i="4"/>
  <c r="D99" i="4"/>
  <c r="C99" i="4"/>
  <c r="L59" i="4"/>
  <c r="J59" i="4"/>
  <c r="H59" i="4"/>
  <c r="I59" i="4" s="1"/>
  <c r="F59" i="4"/>
  <c r="D59" i="4"/>
  <c r="C59" i="4"/>
  <c r="L58" i="4"/>
  <c r="J58" i="4"/>
  <c r="H58" i="4"/>
  <c r="I58" i="4" s="1"/>
  <c r="F58" i="4"/>
  <c r="G58" i="4" s="1"/>
  <c r="D58" i="4"/>
  <c r="C58" i="4"/>
  <c r="L53" i="4"/>
  <c r="J53" i="4"/>
  <c r="H53" i="4"/>
  <c r="I53" i="4" s="1"/>
  <c r="F53" i="4"/>
  <c r="G53" i="4" s="1"/>
  <c r="D53" i="4"/>
  <c r="C53" i="4"/>
  <c r="L51" i="4"/>
  <c r="J51" i="4"/>
  <c r="K51" i="4" s="1"/>
  <c r="H51" i="4"/>
  <c r="I51" i="4" s="1"/>
  <c r="F51" i="4"/>
  <c r="D51" i="4"/>
  <c r="C51" i="4"/>
  <c r="L50" i="4"/>
  <c r="M50" i="4" s="1"/>
  <c r="J50" i="4"/>
  <c r="H50" i="4"/>
  <c r="I50" i="4" s="1"/>
  <c r="F50" i="4"/>
  <c r="G50" i="4" s="1"/>
  <c r="D50" i="4"/>
  <c r="C50" i="4"/>
  <c r="L52" i="4"/>
  <c r="M52" i="4" s="1"/>
  <c r="J52" i="4"/>
  <c r="H52" i="4"/>
  <c r="I52" i="4" s="1"/>
  <c r="F52" i="4"/>
  <c r="G52" i="4" s="1"/>
  <c r="D52" i="4"/>
  <c r="C52" i="4"/>
  <c r="L65" i="4"/>
  <c r="J65" i="4"/>
  <c r="K65" i="4" s="1"/>
  <c r="H65" i="4"/>
  <c r="F65" i="4"/>
  <c r="G65" i="4" s="1"/>
  <c r="D65" i="4"/>
  <c r="C65" i="4"/>
  <c r="L48" i="4"/>
  <c r="M48" i="4" s="1"/>
  <c r="J48" i="4"/>
  <c r="H48" i="4"/>
  <c r="I48" i="4" s="1"/>
  <c r="F48" i="4"/>
  <c r="G48" i="4" s="1"/>
  <c r="D48" i="4"/>
  <c r="C48" i="4"/>
  <c r="L49" i="4"/>
  <c r="M49" i="4" s="1"/>
  <c r="J49" i="4"/>
  <c r="H49" i="4"/>
  <c r="I49" i="4" s="1"/>
  <c r="F49" i="4"/>
  <c r="G49" i="4" s="1"/>
  <c r="D49" i="4"/>
  <c r="C49" i="4"/>
  <c r="L42" i="4"/>
  <c r="J42" i="4"/>
  <c r="K42" i="4" s="1"/>
  <c r="H42" i="4"/>
  <c r="I42" i="4" s="1"/>
  <c r="F42" i="4"/>
  <c r="G42" i="4" s="1"/>
  <c r="D42" i="4"/>
  <c r="C42" i="4"/>
  <c r="L63" i="4"/>
  <c r="M63" i="4" s="1"/>
  <c r="J63" i="4"/>
  <c r="K63" i="4" s="1"/>
  <c r="H63" i="4"/>
  <c r="I63" i="4" s="1"/>
  <c r="F63" i="4"/>
  <c r="D63" i="4"/>
  <c r="C63" i="4"/>
  <c r="L61" i="4"/>
  <c r="M61" i="4" s="1"/>
  <c r="J61" i="4"/>
  <c r="H61" i="4"/>
  <c r="I61" i="4" s="1"/>
  <c r="F61" i="4"/>
  <c r="D61" i="4"/>
  <c r="C61" i="4"/>
  <c r="L56" i="4"/>
  <c r="M56" i="4" s="1"/>
  <c r="J56" i="4"/>
  <c r="K56" i="4" s="1"/>
  <c r="H56" i="4"/>
  <c r="I56" i="4" s="1"/>
  <c r="F56" i="4"/>
  <c r="D56" i="4"/>
  <c r="C56" i="4"/>
  <c r="L47" i="4"/>
  <c r="J47" i="4"/>
  <c r="H47" i="4"/>
  <c r="I47" i="4" s="1"/>
  <c r="F47" i="4"/>
  <c r="G47" i="4" s="1"/>
  <c r="D47" i="4"/>
  <c r="C47" i="4"/>
  <c r="L41" i="4"/>
  <c r="J41" i="4"/>
  <c r="H41" i="4"/>
  <c r="I41" i="4" s="1"/>
  <c r="F41" i="4"/>
  <c r="G41" i="4" s="1"/>
  <c r="D41" i="4"/>
  <c r="C41" i="4"/>
  <c r="L44" i="4"/>
  <c r="M44" i="4" s="1"/>
  <c r="J44" i="4"/>
  <c r="K44" i="4" s="1"/>
  <c r="H44" i="4"/>
  <c r="F44" i="4"/>
  <c r="G44" i="4" s="1"/>
  <c r="D44" i="4"/>
  <c r="C44" i="4"/>
  <c r="L46" i="4"/>
  <c r="J46" i="4"/>
  <c r="H46" i="4"/>
  <c r="I46" i="4" s="1"/>
  <c r="F46" i="4"/>
  <c r="G46" i="4" s="1"/>
  <c r="D46" i="4"/>
  <c r="C46" i="4"/>
  <c r="L54" i="4"/>
  <c r="M54" i="4" s="1"/>
  <c r="J54" i="4"/>
  <c r="K54" i="4" s="1"/>
  <c r="H54" i="4"/>
  <c r="I54" i="4" s="1"/>
  <c r="F54" i="4"/>
  <c r="D54" i="4"/>
  <c r="C54" i="4"/>
  <c r="L38" i="4"/>
  <c r="M38" i="4" s="1"/>
  <c r="J38" i="4"/>
  <c r="H38" i="4"/>
  <c r="I38" i="4" s="1"/>
  <c r="F38" i="4"/>
  <c r="G38" i="4" s="1"/>
  <c r="D38" i="4"/>
  <c r="C38" i="4"/>
  <c r="L43" i="4"/>
  <c r="J43" i="4"/>
  <c r="K43" i="4" s="1"/>
  <c r="H43" i="4"/>
  <c r="I43" i="4" s="1"/>
  <c r="F43" i="4"/>
  <c r="G43" i="4" s="1"/>
  <c r="D43" i="4"/>
  <c r="C43" i="4"/>
  <c r="L37" i="4"/>
  <c r="M37" i="4" s="1"/>
  <c r="J37" i="4"/>
  <c r="K37" i="4" s="1"/>
  <c r="H37" i="4"/>
  <c r="F37" i="4"/>
  <c r="G37" i="4" s="1"/>
  <c r="D37" i="4"/>
  <c r="C37" i="4"/>
  <c r="L32" i="4"/>
  <c r="J32" i="4"/>
  <c r="H32" i="4"/>
  <c r="I32" i="4" s="1"/>
  <c r="F32" i="4"/>
  <c r="G32" i="4" s="1"/>
  <c r="D32" i="4"/>
  <c r="C32" i="4"/>
  <c r="L33" i="4"/>
  <c r="M33" i="4" s="1"/>
  <c r="J33" i="4"/>
  <c r="H33" i="4"/>
  <c r="I33" i="4" s="1"/>
  <c r="F33" i="4"/>
  <c r="G33" i="4" s="1"/>
  <c r="D33" i="4"/>
  <c r="C33" i="4"/>
  <c r="L31" i="4"/>
  <c r="J31" i="4"/>
  <c r="H31" i="4"/>
  <c r="I31" i="4" s="1"/>
  <c r="F31" i="4"/>
  <c r="G31" i="4" s="1"/>
  <c r="D31" i="4"/>
  <c r="C31" i="4"/>
  <c r="L34" i="4"/>
  <c r="M34" i="4" s="1"/>
  <c r="J34" i="4"/>
  <c r="K34" i="4" s="1"/>
  <c r="H34" i="4"/>
  <c r="I34" i="4" s="1"/>
  <c r="F34" i="4"/>
  <c r="G34" i="4" s="1"/>
  <c r="D34" i="4"/>
  <c r="C34" i="4"/>
  <c r="L18" i="4"/>
  <c r="M18" i="4" s="1"/>
  <c r="J18" i="4"/>
  <c r="K18" i="4" s="1"/>
  <c r="H18" i="4"/>
  <c r="I18" i="4" s="1"/>
  <c r="F18" i="4"/>
  <c r="D18" i="4"/>
  <c r="C18" i="4"/>
  <c r="L29" i="4"/>
  <c r="J29" i="4"/>
  <c r="H29" i="4"/>
  <c r="I29" i="4" s="1"/>
  <c r="F29" i="4"/>
  <c r="G29" i="4" s="1"/>
  <c r="D29" i="4"/>
  <c r="C29" i="4"/>
  <c r="L40" i="4"/>
  <c r="M40" i="4" s="1"/>
  <c r="J40" i="4"/>
  <c r="K40" i="4" s="1"/>
  <c r="H40" i="4"/>
  <c r="F40" i="4"/>
  <c r="D40" i="4"/>
  <c r="C40" i="4"/>
  <c r="L45" i="4"/>
  <c r="M45" i="4" s="1"/>
  <c r="J45" i="4"/>
  <c r="K45" i="4" s="1"/>
  <c r="H45" i="4"/>
  <c r="F45" i="4"/>
  <c r="D45" i="4"/>
  <c r="C45" i="4"/>
  <c r="L36" i="4"/>
  <c r="M36" i="4" s="1"/>
  <c r="J36" i="4"/>
  <c r="K36" i="4" s="1"/>
  <c r="H36" i="4"/>
  <c r="F36" i="4"/>
  <c r="G36" i="4" s="1"/>
  <c r="D36" i="4"/>
  <c r="C36" i="4"/>
  <c r="L39" i="4"/>
  <c r="M39" i="4" s="1"/>
  <c r="J39" i="4"/>
  <c r="K39" i="4" s="1"/>
  <c r="H39" i="4"/>
  <c r="I39" i="4" s="1"/>
  <c r="F39" i="4"/>
  <c r="D39" i="4"/>
  <c r="C39" i="4"/>
  <c r="L30" i="4"/>
  <c r="J30" i="4"/>
  <c r="H30" i="4"/>
  <c r="I30" i="4" s="1"/>
  <c r="F30" i="4"/>
  <c r="G30" i="4" s="1"/>
  <c r="D30" i="4"/>
  <c r="C30" i="4"/>
  <c r="L35" i="4"/>
  <c r="J35" i="4"/>
  <c r="K35" i="4" s="1"/>
  <c r="H35" i="4"/>
  <c r="F35" i="4"/>
  <c r="D35" i="4"/>
  <c r="C35" i="4"/>
  <c r="L28" i="4"/>
  <c r="J28" i="4"/>
  <c r="H28" i="4"/>
  <c r="F28" i="4"/>
  <c r="D28" i="4"/>
  <c r="C28" i="4"/>
  <c r="L25" i="4"/>
  <c r="J25" i="4"/>
  <c r="H25" i="4"/>
  <c r="I25" i="4" s="1"/>
  <c r="F25" i="4"/>
  <c r="G25" i="4" s="1"/>
  <c r="D25" i="4"/>
  <c r="C25" i="4"/>
  <c r="L26" i="4"/>
  <c r="M26" i="4" s="1"/>
  <c r="J26" i="4"/>
  <c r="K26" i="4" s="1"/>
  <c r="H26" i="4"/>
  <c r="F26" i="4"/>
  <c r="D26" i="4"/>
  <c r="C26" i="4"/>
  <c r="L20" i="4"/>
  <c r="J20" i="4"/>
  <c r="H20" i="4"/>
  <c r="I20" i="4" s="1"/>
  <c r="F20" i="4"/>
  <c r="G20" i="4" s="1"/>
  <c r="D20" i="4"/>
  <c r="C20" i="4"/>
  <c r="L22" i="4"/>
  <c r="M22" i="4" s="1"/>
  <c r="J22" i="4"/>
  <c r="K22" i="4" s="1"/>
  <c r="H22" i="4"/>
  <c r="I22" i="4" s="1"/>
  <c r="F22" i="4"/>
  <c r="D22" i="4"/>
  <c r="C22" i="4"/>
  <c r="L27" i="4"/>
  <c r="M27" i="4" s="1"/>
  <c r="J27" i="4"/>
  <c r="K27" i="4" s="1"/>
  <c r="H27" i="4"/>
  <c r="I27" i="4" s="1"/>
  <c r="F27" i="4"/>
  <c r="D27" i="4"/>
  <c r="C27" i="4"/>
  <c r="L24" i="4"/>
  <c r="M24" i="4" s="1"/>
  <c r="J24" i="4"/>
  <c r="K24" i="4" s="1"/>
  <c r="H24" i="4"/>
  <c r="I24" i="4" s="1"/>
  <c r="F24" i="4"/>
  <c r="D24" i="4"/>
  <c r="C24" i="4"/>
  <c r="L15" i="4"/>
  <c r="J15" i="4"/>
  <c r="H15" i="4"/>
  <c r="I15" i="4" s="1"/>
  <c r="F15" i="4"/>
  <c r="G15" i="4" s="1"/>
  <c r="D15" i="4"/>
  <c r="C15" i="4"/>
  <c r="L21" i="4"/>
  <c r="M21" i="4" s="1"/>
  <c r="J21" i="4"/>
  <c r="K21" i="4" s="1"/>
  <c r="H21" i="4"/>
  <c r="I21" i="4" s="1"/>
  <c r="F21" i="4"/>
  <c r="D21" i="4"/>
  <c r="C21" i="4"/>
  <c r="L19" i="4"/>
  <c r="M19" i="4" s="1"/>
  <c r="J19" i="4"/>
  <c r="K19" i="4" s="1"/>
  <c r="H19" i="4"/>
  <c r="F19" i="4"/>
  <c r="D19" i="4"/>
  <c r="C19" i="4"/>
  <c r="L23" i="4"/>
  <c r="M23" i="4" s="1"/>
  <c r="J23" i="4"/>
  <c r="K23" i="4" s="1"/>
  <c r="H23" i="4"/>
  <c r="I23" i="4" s="1"/>
  <c r="F23" i="4"/>
  <c r="D23" i="4"/>
  <c r="C23" i="4"/>
  <c r="L17" i="4"/>
  <c r="M17" i="4" s="1"/>
  <c r="J17" i="4"/>
  <c r="K17" i="4" s="1"/>
  <c r="H17" i="4"/>
  <c r="I17" i="4" s="1"/>
  <c r="F17" i="4"/>
  <c r="D17" i="4"/>
  <c r="C17" i="4"/>
  <c r="L16" i="4"/>
  <c r="J16" i="4"/>
  <c r="K16" i="4" s="1"/>
  <c r="H16" i="4"/>
  <c r="I16" i="4" s="1"/>
  <c r="F16" i="4"/>
  <c r="D16" i="4"/>
  <c r="C16" i="4"/>
  <c r="L9" i="4"/>
  <c r="J9" i="4"/>
  <c r="H9" i="4"/>
  <c r="I9" i="4" s="1"/>
  <c r="F9" i="4"/>
  <c r="D9" i="4"/>
  <c r="C9" i="4"/>
  <c r="L14" i="4"/>
  <c r="M14" i="4" s="1"/>
  <c r="J14" i="4"/>
  <c r="K14" i="4" s="1"/>
  <c r="H14" i="4"/>
  <c r="F14" i="4"/>
  <c r="D14" i="4"/>
  <c r="C14" i="4"/>
  <c r="L11" i="4"/>
  <c r="M11" i="4" s="1"/>
  <c r="J11" i="4"/>
  <c r="K11" i="4" s="1"/>
  <c r="H11" i="4"/>
  <c r="I11" i="4" s="1"/>
  <c r="F11" i="4"/>
  <c r="D11" i="4"/>
  <c r="C11" i="4"/>
  <c r="L7" i="4"/>
  <c r="J7" i="4"/>
  <c r="K7" i="4" s="1"/>
  <c r="H7" i="4"/>
  <c r="I7" i="4" s="1"/>
  <c r="F7" i="4"/>
  <c r="D7" i="4"/>
  <c r="C7" i="4"/>
  <c r="L12" i="4"/>
  <c r="M12" i="4" s="1"/>
  <c r="J12" i="4"/>
  <c r="K12" i="4" s="1"/>
  <c r="H12" i="4"/>
  <c r="I12" i="4" s="1"/>
  <c r="F12" i="4"/>
  <c r="D12" i="4"/>
  <c r="C12" i="4"/>
  <c r="L13" i="4"/>
  <c r="M13" i="4" s="1"/>
  <c r="J13" i="4"/>
  <c r="K13" i="4" s="1"/>
  <c r="H13" i="4"/>
  <c r="I13" i="4" s="1"/>
  <c r="F13" i="4"/>
  <c r="D13" i="4"/>
  <c r="C13" i="4"/>
  <c r="L10" i="4"/>
  <c r="J10" i="4"/>
  <c r="H10" i="4"/>
  <c r="F10" i="4"/>
  <c r="D10" i="4"/>
  <c r="C10" i="4"/>
  <c r="L6" i="4"/>
  <c r="M6" i="4" s="1"/>
  <c r="J6" i="4"/>
  <c r="H6" i="4"/>
  <c r="I6" i="4" s="1"/>
  <c r="F6" i="4"/>
  <c r="D6" i="4"/>
  <c r="C6" i="4"/>
  <c r="L5" i="4"/>
  <c r="M5" i="4" s="1"/>
  <c r="J5" i="4"/>
  <c r="H5" i="4"/>
  <c r="I5" i="4" s="1"/>
  <c r="F5" i="4"/>
  <c r="D5" i="4"/>
  <c r="C5" i="4"/>
  <c r="L8" i="4"/>
  <c r="M8" i="4" s="1"/>
  <c r="J8" i="4"/>
  <c r="K8" i="4" s="1"/>
  <c r="H8" i="4"/>
  <c r="I8" i="4" s="1"/>
  <c r="F8" i="4"/>
  <c r="D8" i="4"/>
  <c r="C8" i="4"/>
  <c r="L4" i="4"/>
  <c r="J4" i="4"/>
  <c r="H4" i="4"/>
  <c r="F4" i="4"/>
  <c r="D4" i="4"/>
  <c r="C4" i="4"/>
  <c r="L3" i="4"/>
  <c r="J3" i="4"/>
  <c r="H3" i="4"/>
  <c r="F3" i="4"/>
  <c r="D3" i="4"/>
  <c r="C3" i="4"/>
  <c r="G601" i="17"/>
  <c r="E601" i="17"/>
  <c r="D601" i="17"/>
  <c r="F602" i="17"/>
  <c r="H603" i="17"/>
  <c r="E603" i="17"/>
  <c r="G600" i="17"/>
  <c r="E600" i="17"/>
  <c r="G590" i="17"/>
  <c r="F590" i="17"/>
  <c r="D590" i="17"/>
  <c r="H596" i="17"/>
  <c r="F596" i="17"/>
  <c r="E596" i="17"/>
  <c r="H595" i="17"/>
  <c r="G595" i="17"/>
  <c r="D595" i="17"/>
  <c r="F598" i="17"/>
  <c r="D598" i="17"/>
  <c r="H599" i="17"/>
  <c r="E599" i="17"/>
  <c r="H577" i="17"/>
  <c r="E577" i="17"/>
  <c r="D577" i="17"/>
  <c r="G597" i="17"/>
  <c r="F597" i="17"/>
  <c r="H587" i="17"/>
  <c r="F587" i="17"/>
  <c r="E587" i="17"/>
  <c r="H583" i="17"/>
  <c r="G583" i="17"/>
  <c r="E583" i="17"/>
  <c r="D583" i="17"/>
  <c r="F569" i="17"/>
  <c r="D569" i="17"/>
  <c r="H588" i="17"/>
  <c r="F588" i="17"/>
  <c r="E588" i="17"/>
  <c r="G558" i="17"/>
  <c r="E558" i="17"/>
  <c r="D558" i="17"/>
  <c r="G593" i="17"/>
  <c r="F593" i="17"/>
  <c r="D593" i="17"/>
  <c r="H589" i="17"/>
  <c r="F589" i="17"/>
  <c r="E589" i="17"/>
  <c r="G533" i="17"/>
  <c r="D533" i="17"/>
  <c r="F573" i="17"/>
  <c r="D573" i="17"/>
  <c r="H584" i="17"/>
  <c r="K582" i="5"/>
  <c r="E584" i="17"/>
  <c r="H523" i="17"/>
  <c r="G523" i="17"/>
  <c r="E523" i="17"/>
  <c r="D523" i="17"/>
  <c r="G580" i="17"/>
  <c r="F580" i="17"/>
  <c r="D580" i="17"/>
  <c r="H518" i="17"/>
  <c r="H543" i="17"/>
  <c r="G543" i="17"/>
  <c r="E543" i="17"/>
  <c r="D543" i="17"/>
  <c r="F594" i="17"/>
  <c r="D594" i="17"/>
  <c r="H527" i="17"/>
  <c r="F527" i="17"/>
  <c r="E527" i="17"/>
  <c r="H591" i="17"/>
  <c r="G591" i="17"/>
  <c r="E591" i="17"/>
  <c r="D591" i="17"/>
  <c r="F556" i="17"/>
  <c r="H517" i="17"/>
  <c r="F517" i="17"/>
  <c r="E517" i="17"/>
  <c r="H582" i="17"/>
  <c r="G582" i="17"/>
  <c r="D582" i="17"/>
  <c r="G576" i="17"/>
  <c r="H559" i="17"/>
  <c r="F559" i="17"/>
  <c r="E559" i="17"/>
  <c r="H586" i="17"/>
  <c r="G586" i="17"/>
  <c r="E586" i="17"/>
  <c r="D586" i="17"/>
  <c r="G553" i="17"/>
  <c r="F553" i="17"/>
  <c r="D553" i="17"/>
  <c r="H563" i="17"/>
  <c r="E563" i="17"/>
  <c r="G578" i="17"/>
  <c r="E578" i="17"/>
  <c r="D578" i="17"/>
  <c r="G579" i="17"/>
  <c r="F579" i="17"/>
  <c r="H575" i="17"/>
  <c r="F575" i="17"/>
  <c r="E575" i="17"/>
  <c r="H568" i="17"/>
  <c r="G568" i="17"/>
  <c r="E568" i="17"/>
  <c r="D568" i="17"/>
  <c r="F592" i="17"/>
  <c r="D592" i="17"/>
  <c r="H520" i="17"/>
  <c r="E520" i="17"/>
  <c r="H438" i="17"/>
  <c r="G438" i="17"/>
  <c r="D438" i="17"/>
  <c r="G548" i="17"/>
  <c r="F548" i="17"/>
  <c r="D548" i="17"/>
  <c r="H528" i="17"/>
  <c r="E528" i="17"/>
  <c r="H502" i="17"/>
  <c r="G502" i="17"/>
  <c r="D502" i="17"/>
  <c r="G539" i="17"/>
  <c r="F539" i="17"/>
  <c r="H565" i="17"/>
  <c r="F565" i="17"/>
  <c r="E565" i="17"/>
  <c r="E564" i="17"/>
  <c r="D564" i="17"/>
  <c r="G554" i="17"/>
  <c r="F554" i="17"/>
  <c r="D554" i="17"/>
  <c r="H572" i="17"/>
  <c r="E572" i="17"/>
  <c r="H442" i="17"/>
  <c r="G442" i="17"/>
  <c r="D442" i="17"/>
  <c r="G562" i="17"/>
  <c r="Q549" i="5"/>
  <c r="K549" i="5"/>
  <c r="E505" i="17"/>
  <c r="H545" i="17"/>
  <c r="G545" i="17"/>
  <c r="D545" i="17"/>
  <c r="G534" i="17"/>
  <c r="D534" i="17"/>
  <c r="H550" i="17"/>
  <c r="E550" i="17"/>
  <c r="H574" i="17"/>
  <c r="G574" i="17"/>
  <c r="D574" i="17"/>
  <c r="F567" i="17"/>
  <c r="D567" i="17"/>
  <c r="H585" i="17"/>
  <c r="E585" i="17"/>
  <c r="H437" i="17"/>
  <c r="G437" i="17"/>
  <c r="E437" i="17"/>
  <c r="D437" i="17"/>
  <c r="F566" i="17"/>
  <c r="H507" i="17"/>
  <c r="E507" i="17"/>
  <c r="G444" i="17"/>
  <c r="E444" i="17"/>
  <c r="D444" i="17"/>
  <c r="D412" i="17"/>
  <c r="H570" i="17"/>
  <c r="E570" i="17"/>
  <c r="H511" i="17"/>
  <c r="G511" i="17"/>
  <c r="E511" i="17"/>
  <c r="D511" i="17"/>
  <c r="G581" i="17"/>
  <c r="H555" i="17"/>
  <c r="G495" i="17"/>
  <c r="E495" i="17"/>
  <c r="D495" i="17"/>
  <c r="F571" i="17"/>
  <c r="H515" i="17"/>
  <c r="F515" i="17"/>
  <c r="E515" i="17"/>
  <c r="H493" i="17"/>
  <c r="G493" i="17"/>
  <c r="D493" i="17"/>
  <c r="G551" i="17"/>
  <c r="F551" i="17"/>
  <c r="D551" i="17"/>
  <c r="H496" i="17"/>
  <c r="F496" i="17"/>
  <c r="E496" i="17"/>
  <c r="H561" i="17"/>
  <c r="G561" i="17"/>
  <c r="E561" i="17"/>
  <c r="D561" i="17"/>
  <c r="D510" i="17"/>
  <c r="H488" i="17"/>
  <c r="F488" i="17"/>
  <c r="E488" i="17"/>
  <c r="H547" i="17"/>
  <c r="G547" i="17"/>
  <c r="E547" i="17"/>
  <c r="D547" i="17"/>
  <c r="G552" i="17"/>
  <c r="F552" i="17"/>
  <c r="D552" i="17"/>
  <c r="H492" i="17"/>
  <c r="E492" i="17"/>
  <c r="H549" i="17"/>
  <c r="G549" i="17"/>
  <c r="E549" i="17"/>
  <c r="D549" i="17"/>
  <c r="F542" i="17"/>
  <c r="D542" i="17"/>
  <c r="H560" i="17"/>
  <c r="F560" i="17"/>
  <c r="E560" i="17"/>
  <c r="H537" i="17"/>
  <c r="E537" i="17"/>
  <c r="D537" i="17"/>
  <c r="G506" i="17"/>
  <c r="F506" i="17"/>
  <c r="D506" i="17"/>
  <c r="H473" i="17"/>
  <c r="F473" i="17"/>
  <c r="E473" i="17"/>
  <c r="E409" i="17"/>
  <c r="D409" i="17"/>
  <c r="G529" i="17"/>
  <c r="F529" i="17"/>
  <c r="D529" i="17"/>
  <c r="H415" i="17"/>
  <c r="F415" i="17"/>
  <c r="E415" i="17"/>
  <c r="G544" i="17"/>
  <c r="E544" i="17"/>
  <c r="D544" i="17"/>
  <c r="G370" i="17"/>
  <c r="F370" i="17"/>
  <c r="D370" i="17"/>
  <c r="H389" i="17"/>
  <c r="F389" i="17"/>
  <c r="E389" i="17"/>
  <c r="H494" i="17"/>
  <c r="E494" i="17"/>
  <c r="D494" i="17"/>
  <c r="G540" i="17"/>
  <c r="F540" i="17"/>
  <c r="H508" i="17"/>
  <c r="E508" i="17"/>
  <c r="G519" i="17"/>
  <c r="E519" i="17"/>
  <c r="D519" i="17"/>
  <c r="F393" i="17"/>
  <c r="D393" i="17"/>
  <c r="H463" i="17"/>
  <c r="F463" i="17"/>
  <c r="E463" i="17"/>
  <c r="G513" i="17"/>
  <c r="D513" i="17"/>
  <c r="G476" i="17"/>
  <c r="F476" i="17"/>
  <c r="D476" i="17"/>
  <c r="H516" i="17"/>
  <c r="E516" i="17"/>
  <c r="G521" i="17"/>
  <c r="E521" i="17"/>
  <c r="D521" i="17"/>
  <c r="G454" i="17"/>
  <c r="F454" i="17"/>
  <c r="H536" i="17"/>
  <c r="E536" i="17"/>
  <c r="G535" i="17"/>
  <c r="E535" i="17"/>
  <c r="D535" i="17"/>
  <c r="G451" i="17"/>
  <c r="F451" i="17"/>
  <c r="D451" i="17"/>
  <c r="H371" i="17"/>
  <c r="F371" i="17"/>
  <c r="E371" i="17"/>
  <c r="E369" i="17"/>
  <c r="D369" i="17"/>
  <c r="D461" i="17"/>
  <c r="H420" i="17"/>
  <c r="F420" i="17"/>
  <c r="E420" i="17"/>
  <c r="H430" i="17"/>
  <c r="G430" i="17"/>
  <c r="E430" i="17"/>
  <c r="D430" i="17"/>
  <c r="G439" i="17"/>
  <c r="F439" i="17"/>
  <c r="D439" i="17"/>
  <c r="H365" i="17"/>
  <c r="F365" i="17"/>
  <c r="E365" i="17"/>
  <c r="H512" i="17"/>
  <c r="G512" i="17"/>
  <c r="E512" i="17"/>
  <c r="D512" i="17"/>
  <c r="G532" i="17"/>
  <c r="F532" i="17"/>
  <c r="E541" i="17"/>
  <c r="H465" i="17"/>
  <c r="G465" i="17"/>
  <c r="D465" i="17"/>
  <c r="G557" i="17"/>
  <c r="F557" i="17"/>
  <c r="D557" i="17"/>
  <c r="H524" i="17"/>
  <c r="E524" i="17"/>
  <c r="H462" i="17"/>
  <c r="G462" i="17"/>
  <c r="D462" i="17"/>
  <c r="G479" i="17"/>
  <c r="F479" i="17"/>
  <c r="D479" i="17"/>
  <c r="H500" i="17"/>
  <c r="F500" i="17"/>
  <c r="E500" i="17"/>
  <c r="H432" i="17"/>
  <c r="G432" i="17"/>
  <c r="E432" i="17"/>
  <c r="D432" i="17"/>
  <c r="G402" i="17"/>
  <c r="F402" i="17"/>
  <c r="D402" i="17"/>
  <c r="H429" i="17"/>
  <c r="F429" i="17"/>
  <c r="E429" i="17"/>
  <c r="H514" i="17"/>
  <c r="G514" i="17"/>
  <c r="E514" i="17"/>
  <c r="D514" i="17"/>
  <c r="D376" i="17"/>
  <c r="H456" i="17"/>
  <c r="F456" i="17"/>
  <c r="E456" i="17"/>
  <c r="H483" i="17"/>
  <c r="G483" i="17"/>
  <c r="D483" i="17"/>
  <c r="G531" i="17"/>
  <c r="F531" i="17"/>
  <c r="H503" i="17"/>
  <c r="F503" i="17"/>
  <c r="E503" i="17"/>
  <c r="H470" i="17"/>
  <c r="E470" i="17"/>
  <c r="D470" i="17"/>
  <c r="F372" i="17"/>
  <c r="D372" i="17"/>
  <c r="H448" i="17"/>
  <c r="F448" i="17"/>
  <c r="E448" i="17"/>
  <c r="H526" i="17"/>
  <c r="G526" i="17"/>
  <c r="D526" i="17"/>
  <c r="G504" i="17"/>
  <c r="F504" i="17"/>
  <c r="D504" i="17"/>
  <c r="H478" i="17"/>
  <c r="E478" i="17"/>
  <c r="G525" i="17"/>
  <c r="E525" i="17"/>
  <c r="D525" i="17"/>
  <c r="G319" i="17"/>
  <c r="F319" i="17"/>
  <c r="H335" i="17"/>
  <c r="E335" i="17"/>
  <c r="G546" i="17"/>
  <c r="D546" i="17"/>
  <c r="G357" i="17"/>
  <c r="F357" i="17"/>
  <c r="D357" i="17"/>
  <c r="H474" i="17"/>
  <c r="E474" i="17"/>
  <c r="G468" i="17"/>
  <c r="E468" i="17"/>
  <c r="D468" i="17"/>
  <c r="G407" i="17"/>
  <c r="F407" i="17"/>
  <c r="D407" i="17"/>
  <c r="H428" i="17"/>
  <c r="F428" i="17"/>
  <c r="E428" i="17"/>
  <c r="H498" i="17"/>
  <c r="G498" i="17"/>
  <c r="E498" i="17"/>
  <c r="G391" i="17"/>
  <c r="F391" i="17"/>
  <c r="D391" i="17"/>
  <c r="H392" i="17"/>
  <c r="F392" i="17"/>
  <c r="E392" i="17"/>
  <c r="H538" i="17"/>
  <c r="G538" i="17"/>
  <c r="E538" i="17"/>
  <c r="G323" i="17"/>
  <c r="F323" i="17"/>
  <c r="D323" i="17"/>
  <c r="H317" i="17"/>
  <c r="F317" i="17"/>
  <c r="E317" i="17"/>
  <c r="H453" i="17"/>
  <c r="G453" i="17"/>
  <c r="E453" i="17"/>
  <c r="D453" i="17"/>
  <c r="G381" i="17"/>
  <c r="F381" i="17"/>
  <c r="D381" i="17"/>
  <c r="H487" i="17"/>
  <c r="F487" i="17"/>
  <c r="E487" i="17"/>
  <c r="H475" i="17"/>
  <c r="G475" i="17"/>
  <c r="E475" i="17"/>
  <c r="D475" i="17"/>
  <c r="F411" i="17"/>
  <c r="D411" i="17"/>
  <c r="E433" i="17"/>
  <c r="G336" i="17"/>
  <c r="E336" i="17"/>
  <c r="D336" i="17"/>
  <c r="G472" i="17"/>
  <c r="F472" i="17"/>
  <c r="H497" i="17"/>
  <c r="E497" i="17"/>
  <c r="G359" i="17"/>
  <c r="E359" i="17"/>
  <c r="D359" i="17"/>
  <c r="F374" i="17"/>
  <c r="D374" i="17"/>
  <c r="H459" i="17"/>
  <c r="F459" i="17"/>
  <c r="E459" i="17"/>
  <c r="H501" i="17"/>
  <c r="G501" i="17"/>
  <c r="D501" i="17"/>
  <c r="G482" i="17"/>
  <c r="F482" i="17"/>
  <c r="D482" i="17"/>
  <c r="H446" i="17"/>
  <c r="F446" i="17"/>
  <c r="E446" i="17"/>
  <c r="H422" i="17"/>
  <c r="G422" i="17"/>
  <c r="E422" i="17"/>
  <c r="D422" i="17"/>
  <c r="G480" i="17"/>
  <c r="F480" i="17"/>
  <c r="H509" i="17"/>
  <c r="F509" i="17"/>
  <c r="E509" i="17"/>
  <c r="H466" i="17"/>
  <c r="G466" i="17"/>
  <c r="E466" i="17"/>
  <c r="F485" i="17"/>
  <c r="H390" i="17"/>
  <c r="F390" i="17"/>
  <c r="E390" i="17"/>
  <c r="H458" i="17"/>
  <c r="G458" i="17"/>
  <c r="E458" i="17"/>
  <c r="D458" i="17"/>
  <c r="F477" i="17"/>
  <c r="D477" i="17"/>
  <c r="H363" i="17"/>
  <c r="F363" i="17"/>
  <c r="E363" i="17"/>
  <c r="H416" i="17"/>
  <c r="G416" i="17"/>
  <c r="D416" i="17"/>
  <c r="G441" i="17"/>
  <c r="F441" i="17"/>
  <c r="H489" i="17"/>
  <c r="E489" i="17"/>
  <c r="D491" i="17"/>
  <c r="G349" i="17"/>
  <c r="F349" i="17"/>
  <c r="D349" i="17"/>
  <c r="H455" i="17"/>
  <c r="E455" i="17"/>
  <c r="H464" i="17"/>
  <c r="G464" i="17"/>
  <c r="E464" i="17"/>
  <c r="D464" i="17"/>
  <c r="G530" i="17"/>
  <c r="F530" i="17"/>
  <c r="D530" i="17"/>
  <c r="H486" i="17"/>
  <c r="E486" i="17"/>
  <c r="E401" i="17"/>
  <c r="D401" i="17"/>
  <c r="G248" i="17"/>
  <c r="F248" i="17"/>
  <c r="D248" i="17"/>
  <c r="H352" i="17"/>
  <c r="F352" i="17"/>
  <c r="E352" i="17"/>
  <c r="G338" i="17"/>
  <c r="E338" i="17"/>
  <c r="D338" i="17"/>
  <c r="G339" i="17"/>
  <c r="F339" i="17"/>
  <c r="D339" i="17"/>
  <c r="H404" i="17"/>
  <c r="F404" i="17"/>
  <c r="E404" i="17"/>
  <c r="H385" i="17"/>
  <c r="G385" i="17"/>
  <c r="E385" i="17"/>
  <c r="D385" i="17"/>
  <c r="G324" i="17"/>
  <c r="F324" i="17"/>
  <c r="H364" i="17"/>
  <c r="F364" i="17"/>
  <c r="E364" i="17"/>
  <c r="H321" i="17"/>
  <c r="G321" i="17"/>
  <c r="E321" i="17"/>
  <c r="D321" i="17"/>
  <c r="G460" i="17"/>
  <c r="F460" i="17"/>
  <c r="D460" i="17"/>
  <c r="H449" i="17"/>
  <c r="F449" i="17"/>
  <c r="E449" i="17"/>
  <c r="H425" i="17"/>
  <c r="G425" i="17"/>
  <c r="E425" i="17"/>
  <c r="D425" i="17"/>
  <c r="G499" i="17"/>
  <c r="F499" i="17"/>
  <c r="D499" i="17"/>
  <c r="H413" i="17"/>
  <c r="F413" i="17"/>
  <c r="E413" i="17"/>
  <c r="H457" i="17"/>
  <c r="G457" i="17"/>
  <c r="E457" i="17"/>
  <c r="D457" i="17"/>
  <c r="F384" i="17"/>
  <c r="H426" i="17"/>
  <c r="E426" i="17"/>
  <c r="G450" i="17"/>
  <c r="E450" i="17"/>
  <c r="D450" i="17"/>
  <c r="G418" i="17"/>
  <c r="F418" i="17"/>
  <c r="H406" i="17"/>
  <c r="F406" i="17"/>
  <c r="E406" i="17"/>
  <c r="G452" i="17"/>
  <c r="E452" i="17"/>
  <c r="D452" i="17"/>
  <c r="G362" i="17"/>
  <c r="F362" i="17"/>
  <c r="D362" i="17"/>
  <c r="H522" i="17"/>
  <c r="F522" i="17"/>
  <c r="E522" i="17"/>
  <c r="H424" i="17"/>
  <c r="G424" i="17"/>
  <c r="E424" i="17"/>
  <c r="D424" i="17"/>
  <c r="F440" i="17"/>
  <c r="D440" i="17"/>
  <c r="H403" i="17"/>
  <c r="F403" i="17"/>
  <c r="H471" i="17"/>
  <c r="G471" i="17"/>
  <c r="E471" i="17"/>
  <c r="D471" i="17"/>
  <c r="F366" i="17"/>
  <c r="D366" i="17"/>
  <c r="H301" i="17"/>
  <c r="F301" i="17"/>
  <c r="E301" i="17"/>
  <c r="N386" i="5"/>
  <c r="E227" i="17"/>
  <c r="D227" i="17"/>
  <c r="F213" i="17"/>
  <c r="D213" i="17"/>
  <c r="H490" i="17"/>
  <c r="F490" i="17"/>
  <c r="E490" i="17"/>
  <c r="H481" i="17"/>
  <c r="G481" i="17"/>
  <c r="D481" i="17"/>
  <c r="G190" i="17"/>
  <c r="F190" i="17"/>
  <c r="D190" i="17"/>
  <c r="H327" i="17"/>
  <c r="F327" i="17"/>
  <c r="E327" i="17"/>
  <c r="H315" i="17"/>
  <c r="G315" i="17"/>
  <c r="E315" i="17"/>
  <c r="D315" i="17"/>
  <c r="F354" i="17"/>
  <c r="D354" i="17"/>
  <c r="H331" i="17"/>
  <c r="F331" i="17"/>
  <c r="E331" i="17"/>
  <c r="H355" i="17"/>
  <c r="G355" i="17"/>
  <c r="E355" i="17"/>
  <c r="D355" i="17"/>
  <c r="F408" i="17"/>
  <c r="D408" i="17"/>
  <c r="H405" i="17"/>
  <c r="F405" i="17"/>
  <c r="E405" i="17"/>
  <c r="E423" i="17"/>
  <c r="D423" i="17"/>
  <c r="G275" i="17"/>
  <c r="F275" i="17"/>
  <c r="H410" i="17"/>
  <c r="E410" i="17"/>
  <c r="H467" i="17"/>
  <c r="G467" i="17"/>
  <c r="E467" i="17"/>
  <c r="D467" i="17"/>
  <c r="G332" i="17"/>
  <c r="F332" i="17"/>
  <c r="H445" i="17"/>
  <c r="F445" i="17"/>
  <c r="E445" i="17"/>
  <c r="G417" i="17"/>
  <c r="E417" i="17"/>
  <c r="D417" i="17"/>
  <c r="G320" i="17"/>
  <c r="F320" i="17"/>
  <c r="D320" i="17"/>
  <c r="H447" i="17"/>
  <c r="F447" i="17"/>
  <c r="E447" i="17"/>
  <c r="H378" i="17"/>
  <c r="G378" i="17"/>
  <c r="E378" i="17"/>
  <c r="D378" i="17"/>
  <c r="G328" i="17"/>
  <c r="F328" i="17"/>
  <c r="H419" i="17"/>
  <c r="F419" i="17"/>
  <c r="E419" i="17"/>
  <c r="H469" i="17"/>
  <c r="G469" i="17"/>
  <c r="E469" i="17"/>
  <c r="D469" i="17"/>
  <c r="G388" i="17"/>
  <c r="F388" i="17"/>
  <c r="D388" i="17"/>
  <c r="F254" i="17"/>
  <c r="E254" i="17"/>
  <c r="G421" i="17"/>
  <c r="E421" i="17"/>
  <c r="D421" i="17"/>
  <c r="G383" i="17"/>
  <c r="F383" i="17"/>
  <c r="D383" i="17"/>
  <c r="H346" i="17"/>
  <c r="F346" i="17"/>
  <c r="E346" i="17"/>
  <c r="H436" i="17"/>
  <c r="G436" i="17"/>
  <c r="D436" i="17"/>
  <c r="F434" i="17"/>
  <c r="D434" i="17"/>
  <c r="H305" i="17"/>
  <c r="F305" i="17"/>
  <c r="E305" i="17"/>
  <c r="H326" i="17"/>
  <c r="G326" i="17"/>
  <c r="E326" i="17"/>
  <c r="D326" i="17"/>
  <c r="G210" i="17"/>
  <c r="F210" i="17"/>
  <c r="D210" i="17"/>
  <c r="H289" i="17"/>
  <c r="E289" i="17"/>
  <c r="H345" i="17"/>
  <c r="G345" i="17"/>
  <c r="E345" i="17"/>
  <c r="D345" i="17"/>
  <c r="G398" i="17"/>
  <c r="F398" i="17"/>
  <c r="D398" i="17"/>
  <c r="F244" i="17"/>
  <c r="H236" i="17"/>
  <c r="G236" i="17"/>
  <c r="E236" i="17"/>
  <c r="D236" i="17"/>
  <c r="F397" i="17"/>
  <c r="D397" i="17"/>
  <c r="H284" i="17"/>
  <c r="F284" i="17"/>
  <c r="E284" i="17"/>
  <c r="H313" i="17"/>
  <c r="G313" i="17"/>
  <c r="E313" i="17"/>
  <c r="D313" i="17"/>
  <c r="G263" i="17"/>
  <c r="F263" i="17"/>
  <c r="D263" i="17"/>
  <c r="H333" i="17"/>
  <c r="E333" i="17"/>
  <c r="H310" i="17"/>
  <c r="G310" i="17"/>
  <c r="E310" i="17"/>
  <c r="G297" i="17"/>
  <c r="F297" i="17"/>
  <c r="D297" i="17"/>
  <c r="H343" i="17"/>
  <c r="F343" i="17"/>
  <c r="E343" i="17"/>
  <c r="H351" i="17"/>
  <c r="G351" i="17"/>
  <c r="E351" i="17"/>
  <c r="D351" i="17"/>
  <c r="G382" i="17"/>
  <c r="F382" i="17"/>
  <c r="D382" i="17"/>
  <c r="H298" i="17"/>
  <c r="F298" i="17"/>
  <c r="E298" i="17"/>
  <c r="H264" i="17"/>
  <c r="G264" i="17"/>
  <c r="D264" i="17"/>
  <c r="F269" i="17"/>
  <c r="D269" i="17"/>
  <c r="H396" i="17"/>
  <c r="F396" i="17"/>
  <c r="E396" i="17"/>
  <c r="H431" i="17"/>
  <c r="G431" i="17"/>
  <c r="E431" i="17"/>
  <c r="D431" i="17"/>
  <c r="F427" i="17"/>
  <c r="H353" i="17"/>
  <c r="F353" i="17"/>
  <c r="E353" i="17"/>
  <c r="H302" i="17"/>
  <c r="G302" i="17"/>
  <c r="E302" i="17"/>
  <c r="D302" i="17"/>
  <c r="G309" i="17"/>
  <c r="F309" i="17"/>
  <c r="D309" i="17"/>
  <c r="H294" i="17"/>
  <c r="E294" i="17"/>
  <c r="G400" i="17"/>
  <c r="E400" i="17"/>
  <c r="D400" i="17"/>
  <c r="G202" i="17"/>
  <c r="F202" i="17"/>
  <c r="D202" i="17"/>
  <c r="H368" i="17"/>
  <c r="F368" i="17"/>
  <c r="E368" i="17"/>
  <c r="H258" i="17"/>
  <c r="G258" i="17"/>
  <c r="E258" i="17"/>
  <c r="D258" i="17"/>
  <c r="F191" i="17"/>
  <c r="D191" i="17"/>
  <c r="H386" i="17"/>
  <c r="F386" i="17"/>
  <c r="E386" i="17"/>
  <c r="H373" i="17"/>
  <c r="G373" i="17"/>
  <c r="D373" i="17"/>
  <c r="G293" i="17"/>
  <c r="F293" i="17"/>
  <c r="D293" i="17"/>
  <c r="H395" i="17"/>
  <c r="E395" i="17"/>
  <c r="H260" i="17"/>
  <c r="G260" i="17"/>
  <c r="E260" i="17"/>
  <c r="D260" i="17"/>
  <c r="G435" i="17"/>
  <c r="F435" i="17"/>
  <c r="D435" i="17"/>
  <c r="H358" i="17"/>
  <c r="F358" i="17"/>
  <c r="E358" i="17"/>
  <c r="H288" i="17"/>
  <c r="G288" i="17"/>
  <c r="D288" i="17"/>
  <c r="G344" i="17"/>
  <c r="F344" i="17"/>
  <c r="D344" i="17"/>
  <c r="H341" i="17"/>
  <c r="F341" i="17"/>
  <c r="E341" i="17"/>
  <c r="H185" i="17"/>
  <c r="G185" i="17"/>
  <c r="E185" i="17"/>
  <c r="D185" i="17"/>
  <c r="G279" i="17"/>
  <c r="F279" i="17"/>
  <c r="D279" i="17"/>
  <c r="H360" i="17"/>
  <c r="F360" i="17"/>
  <c r="E360" i="17"/>
  <c r="H350" i="17"/>
  <c r="G350" i="17"/>
  <c r="D350" i="17"/>
  <c r="G253" i="17"/>
  <c r="F253" i="17"/>
  <c r="H348" i="17"/>
  <c r="F348" i="17"/>
  <c r="E348" i="17"/>
  <c r="G303" i="17"/>
  <c r="E303" i="17"/>
  <c r="D303" i="17"/>
  <c r="G278" i="17"/>
  <c r="F278" i="17"/>
  <c r="D278" i="17"/>
  <c r="H337" i="17"/>
  <c r="F337" i="17"/>
  <c r="E337" i="17"/>
  <c r="H356" i="17"/>
  <c r="G356" i="17"/>
  <c r="E356" i="17"/>
  <c r="D356" i="17"/>
  <c r="G296" i="17"/>
  <c r="F296" i="17"/>
  <c r="D296" i="17"/>
  <c r="H322" i="17"/>
  <c r="F322" i="17"/>
  <c r="E322" i="17"/>
  <c r="H307" i="17"/>
  <c r="G307" i="17"/>
  <c r="D307" i="17"/>
  <c r="G218" i="17"/>
  <c r="F218" i="17"/>
  <c r="F484" i="17"/>
  <c r="E484" i="17"/>
  <c r="H285" i="17"/>
  <c r="G285" i="17"/>
  <c r="D285" i="17"/>
  <c r="G379" i="17"/>
  <c r="F379" i="17"/>
  <c r="H399" i="17"/>
  <c r="F399" i="17"/>
  <c r="E399" i="17"/>
  <c r="H225" i="17"/>
  <c r="G225" i="17"/>
  <c r="D225" i="17"/>
  <c r="F180" i="17"/>
  <c r="D180" i="17"/>
  <c r="E169" i="17"/>
  <c r="H237" i="17"/>
  <c r="G237" i="17"/>
  <c r="E237" i="17"/>
  <c r="D237" i="17"/>
  <c r="G308" i="17"/>
  <c r="F308" i="17"/>
  <c r="D308" i="17"/>
  <c r="H292" i="17"/>
  <c r="F292" i="17"/>
  <c r="E292" i="17"/>
  <c r="H184" i="17"/>
  <c r="G184" i="17"/>
  <c r="E184" i="17"/>
  <c r="D184" i="17"/>
  <c r="G205" i="17"/>
  <c r="F205" i="17"/>
  <c r="D205" i="17"/>
  <c r="H242" i="17"/>
  <c r="F242" i="17"/>
  <c r="E242" i="17"/>
  <c r="H380" i="17"/>
  <c r="G380" i="17"/>
  <c r="E380" i="17"/>
  <c r="D380" i="17"/>
  <c r="G238" i="17"/>
  <c r="D238" i="17"/>
  <c r="H271" i="17"/>
  <c r="F271" i="17"/>
  <c r="E271" i="17"/>
  <c r="G342" i="17"/>
  <c r="E342" i="17"/>
  <c r="D342" i="17"/>
  <c r="G314" i="17"/>
  <c r="D314" i="17"/>
  <c r="H361" i="17"/>
  <c r="F361" i="17"/>
  <c r="E361" i="17"/>
  <c r="H265" i="17"/>
  <c r="G265" i="17"/>
  <c r="E265" i="17"/>
  <c r="D265" i="17"/>
  <c r="G330" i="17"/>
  <c r="F330" i="17"/>
  <c r="H280" i="17"/>
  <c r="F280" i="17"/>
  <c r="E280" i="17"/>
  <c r="G138" i="17"/>
  <c r="E138" i="17"/>
  <c r="D138" i="17"/>
  <c r="F197" i="17"/>
  <c r="D197" i="17"/>
  <c r="H304" i="17"/>
  <c r="F304" i="17"/>
  <c r="E304" i="17"/>
  <c r="H414" i="17"/>
  <c r="G414" i="17"/>
  <c r="E414" i="17"/>
  <c r="D414" i="17"/>
  <c r="G229" i="17"/>
  <c r="F229" i="17"/>
  <c r="D229" i="17"/>
  <c r="H325" i="17"/>
  <c r="F325" i="17"/>
  <c r="H286" i="17"/>
  <c r="G286" i="17"/>
  <c r="E286" i="17"/>
  <c r="D286" i="17"/>
  <c r="G291" i="17"/>
  <c r="F291" i="17"/>
  <c r="D291" i="17"/>
  <c r="H164" i="17"/>
  <c r="F164" i="17"/>
  <c r="E164" i="17"/>
  <c r="H270" i="17"/>
  <c r="G270" i="17"/>
  <c r="D270" i="17"/>
  <c r="G312" i="17"/>
  <c r="F312" i="17"/>
  <c r="D312" i="17"/>
  <c r="H281" i="17"/>
  <c r="E281" i="17"/>
  <c r="H208" i="17"/>
  <c r="G208" i="17"/>
  <c r="E208" i="17"/>
  <c r="D208" i="17"/>
  <c r="G367" i="17"/>
  <c r="F367" i="17"/>
  <c r="D367" i="17"/>
  <c r="H216" i="17"/>
  <c r="F216" i="17"/>
  <c r="E216" i="17"/>
  <c r="G255" i="17"/>
  <c r="E255" i="17"/>
  <c r="D255" i="17"/>
  <c r="G249" i="17"/>
  <c r="D249" i="17"/>
  <c r="H287" i="17"/>
  <c r="F287" i="17"/>
  <c r="E287" i="17"/>
  <c r="H153" i="17"/>
  <c r="G153" i="17"/>
  <c r="E153" i="17"/>
  <c r="D153" i="17"/>
  <c r="G266" i="17"/>
  <c r="F266" i="17"/>
  <c r="D266" i="17"/>
  <c r="H375" i="17"/>
  <c r="F375" i="17"/>
  <c r="E375" i="17"/>
  <c r="H268" i="17"/>
  <c r="G268" i="17"/>
  <c r="D268" i="17"/>
  <c r="G226" i="17"/>
  <c r="F226" i="17"/>
  <c r="H217" i="17"/>
  <c r="F217" i="17"/>
  <c r="E217" i="17"/>
  <c r="H241" i="17"/>
  <c r="G241" i="17"/>
  <c r="D241" i="17"/>
  <c r="F290" i="17"/>
  <c r="D290" i="17"/>
  <c r="H207" i="17"/>
  <c r="F207" i="17"/>
  <c r="E207" i="17"/>
  <c r="G387" i="17"/>
  <c r="E387" i="17"/>
  <c r="D387" i="17"/>
  <c r="H239" i="17"/>
  <c r="G239" i="17"/>
  <c r="F239" i="17"/>
  <c r="D239" i="17"/>
  <c r="H235" i="17"/>
  <c r="F235" i="17"/>
  <c r="E235" i="17"/>
  <c r="H150" i="17"/>
  <c r="G150" i="17"/>
  <c r="E150" i="17"/>
  <c r="D150" i="17"/>
  <c r="G282" i="17"/>
  <c r="F282" i="17"/>
  <c r="D282" i="17"/>
  <c r="H146" i="17"/>
  <c r="F146" i="17"/>
  <c r="E146" i="17"/>
  <c r="D146" i="17"/>
  <c r="H329" i="17"/>
  <c r="G329" i="17"/>
  <c r="E329" i="17"/>
  <c r="D329" i="17"/>
  <c r="G277" i="17"/>
  <c r="F277" i="17"/>
  <c r="D277" i="17"/>
  <c r="H199" i="17"/>
  <c r="D199" i="17"/>
  <c r="H223" i="17"/>
  <c r="G223" i="17"/>
  <c r="E223" i="17"/>
  <c r="D223" i="17"/>
  <c r="G394" i="17"/>
  <c r="F394" i="17"/>
  <c r="D394" i="17"/>
  <c r="H443" i="17"/>
  <c r="F443" i="17"/>
  <c r="E443" i="17"/>
  <c r="H234" i="17"/>
  <c r="G234" i="17"/>
  <c r="F234" i="17"/>
  <c r="E234" i="17"/>
  <c r="D234" i="17"/>
  <c r="G230" i="17"/>
  <c r="F230" i="17"/>
  <c r="D230" i="17"/>
  <c r="H257" i="17"/>
  <c r="F257" i="17"/>
  <c r="E257" i="17"/>
  <c r="H295" i="17"/>
  <c r="G295" i="17"/>
  <c r="E295" i="17"/>
  <c r="D295" i="17"/>
  <c r="H211" i="17"/>
  <c r="G211" i="17"/>
  <c r="F211" i="17"/>
  <c r="H209" i="17"/>
  <c r="G209" i="17"/>
  <c r="F209" i="17"/>
  <c r="E209" i="17"/>
  <c r="H232" i="17"/>
  <c r="G232" i="17"/>
  <c r="F232" i="17"/>
  <c r="E232" i="17"/>
  <c r="D232" i="17"/>
  <c r="G247" i="17"/>
  <c r="F247" i="17"/>
  <c r="H311" i="17"/>
  <c r="F311" i="17"/>
  <c r="E311" i="17"/>
  <c r="G233" i="17"/>
  <c r="E233" i="17"/>
  <c r="D233" i="17"/>
  <c r="F283" i="17"/>
  <c r="D283" i="17"/>
  <c r="H222" i="17"/>
  <c r="F222" i="17"/>
  <c r="E222" i="17"/>
  <c r="H178" i="17"/>
  <c r="G178" i="17"/>
  <c r="F178" i="17"/>
  <c r="D178" i="17"/>
  <c r="G212" i="17"/>
  <c r="F212" i="17"/>
  <c r="D212" i="17"/>
  <c r="H224" i="17"/>
  <c r="F224" i="17"/>
  <c r="E224" i="17"/>
  <c r="H112" i="17"/>
  <c r="G112" i="17"/>
  <c r="E112" i="17"/>
  <c r="D112" i="17"/>
  <c r="G200" i="17"/>
  <c r="F200" i="17"/>
  <c r="E200" i="17"/>
  <c r="D200" i="17"/>
  <c r="F140" i="17"/>
  <c r="E140" i="17"/>
  <c r="H161" i="17"/>
  <c r="G161" i="17"/>
  <c r="F161" i="17"/>
  <c r="E161" i="17"/>
  <c r="D161" i="17"/>
  <c r="G231" i="17"/>
  <c r="F231" i="17"/>
  <c r="E231" i="17"/>
  <c r="D231" i="17"/>
  <c r="H154" i="17"/>
  <c r="E154" i="17"/>
  <c r="H160" i="17"/>
  <c r="G160" i="17"/>
  <c r="E160" i="17"/>
  <c r="D160" i="17"/>
  <c r="G159" i="17"/>
  <c r="F159" i="17"/>
  <c r="H220" i="17"/>
  <c r="F220" i="17"/>
  <c r="E220" i="17"/>
  <c r="D220" i="17"/>
  <c r="E250" i="17"/>
  <c r="D250" i="17"/>
  <c r="G97" i="17"/>
  <c r="F97" i="17"/>
  <c r="D97" i="17"/>
  <c r="H152" i="17"/>
  <c r="G152" i="17"/>
  <c r="F152" i="17"/>
  <c r="E152" i="17"/>
  <c r="H103" i="17"/>
  <c r="G103" i="17"/>
  <c r="E103" i="17"/>
  <c r="D103" i="17"/>
  <c r="F340" i="17"/>
  <c r="D340" i="17"/>
  <c r="H167" i="17"/>
  <c r="G167" i="17"/>
  <c r="F167" i="17"/>
  <c r="E167" i="17"/>
  <c r="H243" i="17"/>
  <c r="G243" i="17"/>
  <c r="E243" i="17"/>
  <c r="D243" i="17"/>
  <c r="F251" i="17"/>
  <c r="D251" i="17"/>
  <c r="H163" i="17"/>
  <c r="F163" i="17"/>
  <c r="E163" i="17"/>
  <c r="H300" i="17"/>
  <c r="G300" i="17"/>
  <c r="E300" i="17"/>
  <c r="D300" i="17"/>
  <c r="G316" i="17"/>
  <c r="D316" i="17"/>
  <c r="H182" i="17"/>
  <c r="F182" i="17"/>
  <c r="E182" i="17"/>
  <c r="D182" i="17"/>
  <c r="G173" i="17"/>
  <c r="E173" i="17"/>
  <c r="D173" i="17"/>
  <c r="F318" i="17"/>
  <c r="H149" i="17"/>
  <c r="F149" i="17"/>
  <c r="E149" i="17"/>
  <c r="D149" i="17"/>
  <c r="H272" i="17"/>
  <c r="G272" i="17"/>
  <c r="F272" i="17"/>
  <c r="E272" i="17"/>
  <c r="D272" i="17"/>
  <c r="G168" i="17"/>
  <c r="F168" i="17"/>
  <c r="E168" i="17"/>
  <c r="D168" i="17"/>
  <c r="H183" i="17"/>
  <c r="F183" i="17"/>
  <c r="E183" i="17"/>
  <c r="D183" i="17"/>
  <c r="H170" i="17"/>
  <c r="G170" i="17"/>
  <c r="E170" i="17"/>
  <c r="D170" i="17"/>
  <c r="F215" i="17"/>
  <c r="D215" i="17"/>
  <c r="H201" i="17"/>
  <c r="G201" i="17"/>
  <c r="E201" i="17"/>
  <c r="H179" i="17"/>
  <c r="G179" i="17"/>
  <c r="E179" i="17"/>
  <c r="D179" i="17"/>
  <c r="G377" i="17"/>
  <c r="F377" i="17"/>
  <c r="D377" i="17"/>
  <c r="H171" i="17"/>
  <c r="G171" i="17"/>
  <c r="F171" i="17"/>
  <c r="E171" i="17"/>
  <c r="H204" i="17"/>
  <c r="G204" i="17"/>
  <c r="E204" i="17"/>
  <c r="D204" i="17"/>
  <c r="G174" i="17"/>
  <c r="F174" i="17"/>
  <c r="E174" i="17"/>
  <c r="D174" i="17"/>
  <c r="H299" i="17"/>
  <c r="H121" i="17"/>
  <c r="G121" i="17"/>
  <c r="D121" i="17"/>
  <c r="H158" i="17"/>
  <c r="G158" i="17"/>
  <c r="F158" i="17"/>
  <c r="D158" i="17"/>
  <c r="H137" i="17"/>
  <c r="G137" i="17"/>
  <c r="E137" i="17"/>
  <c r="H194" i="17"/>
  <c r="E194" i="17"/>
  <c r="D194" i="17"/>
  <c r="G246" i="17"/>
  <c r="F246" i="17"/>
  <c r="E246" i="17"/>
  <c r="D246" i="17"/>
  <c r="H274" i="17"/>
  <c r="F274" i="17"/>
  <c r="E274" i="17"/>
  <c r="H132" i="17"/>
  <c r="G132" i="17"/>
  <c r="E132" i="17"/>
  <c r="D132" i="17"/>
  <c r="H214" i="17"/>
  <c r="G214" i="17"/>
  <c r="F214" i="17"/>
  <c r="D214" i="17"/>
  <c r="H256" i="17"/>
  <c r="F256" i="17"/>
  <c r="E256" i="17"/>
  <c r="H203" i="17"/>
  <c r="G203" i="17"/>
  <c r="E203" i="17"/>
  <c r="D203" i="17"/>
  <c r="G187" i="17"/>
  <c r="F187" i="17"/>
  <c r="E187" i="17"/>
  <c r="D187" i="17"/>
  <c r="H306" i="17"/>
  <c r="E306" i="17"/>
  <c r="H334" i="17"/>
  <c r="G334" i="17"/>
  <c r="E334" i="17"/>
  <c r="D334" i="17"/>
  <c r="H273" i="17"/>
  <c r="G273" i="17"/>
  <c r="F273" i="17"/>
  <c r="H193" i="17"/>
  <c r="G193" i="17"/>
  <c r="F193" i="17"/>
  <c r="E193" i="17"/>
  <c r="H240" i="17"/>
  <c r="G240" i="17"/>
  <c r="E240" i="17"/>
  <c r="D240" i="17"/>
  <c r="G276" i="17"/>
  <c r="F276" i="17"/>
  <c r="D276" i="17"/>
  <c r="H262" i="17"/>
  <c r="E262" i="17"/>
  <c r="H261" i="17"/>
  <c r="G261" i="17"/>
  <c r="E261" i="17"/>
  <c r="D261" i="17"/>
  <c r="H129" i="17"/>
  <c r="G129" i="17"/>
  <c r="F129" i="17"/>
  <c r="D129" i="17"/>
  <c r="H196" i="17"/>
  <c r="F196" i="17"/>
  <c r="E196" i="17"/>
  <c r="H114" i="17"/>
  <c r="G114" i="17"/>
  <c r="F114" i="17"/>
  <c r="E114" i="17"/>
  <c r="D114" i="17"/>
  <c r="G139" i="17"/>
  <c r="F139" i="17"/>
  <c r="E139" i="17"/>
  <c r="D139" i="17"/>
  <c r="H133" i="17"/>
  <c r="G133" i="17"/>
  <c r="F133" i="17"/>
  <c r="E133" i="17"/>
  <c r="H189" i="17"/>
  <c r="G189" i="17"/>
  <c r="D189" i="17"/>
  <c r="G245" i="17"/>
  <c r="F245" i="17"/>
  <c r="E245" i="17"/>
  <c r="D245" i="17"/>
  <c r="H221" i="17"/>
  <c r="G221" i="17"/>
  <c r="F221" i="17"/>
  <c r="E221" i="17"/>
  <c r="H142" i="17"/>
  <c r="G142" i="17"/>
  <c r="E142" i="17"/>
  <c r="D142" i="17"/>
  <c r="G165" i="17"/>
  <c r="F165" i="17"/>
  <c r="E165" i="17"/>
  <c r="H127" i="17"/>
  <c r="G127" i="17"/>
  <c r="F127" i="17"/>
  <c r="E127" i="17"/>
  <c r="H92" i="17"/>
  <c r="G92" i="17"/>
  <c r="D92" i="17"/>
  <c r="H125" i="17"/>
  <c r="G125" i="17"/>
  <c r="F125" i="17"/>
  <c r="H104" i="17"/>
  <c r="G104" i="17"/>
  <c r="F104" i="17"/>
  <c r="E104" i="17"/>
  <c r="G181" i="17"/>
  <c r="F181" i="17"/>
  <c r="E181" i="17"/>
  <c r="D181" i="17"/>
  <c r="H206" i="17"/>
  <c r="G206" i="17"/>
  <c r="F206" i="17"/>
  <c r="H118" i="17"/>
  <c r="F118" i="17"/>
  <c r="E118" i="17"/>
  <c r="D118" i="17"/>
  <c r="H110" i="17"/>
  <c r="G110" i="17"/>
  <c r="E110" i="17"/>
  <c r="D110" i="17"/>
  <c r="H123" i="17"/>
  <c r="F123" i="17"/>
  <c r="D123" i="17"/>
  <c r="H109" i="17"/>
  <c r="F109" i="17"/>
  <c r="E109" i="17"/>
  <c r="D109" i="17"/>
  <c r="H192" i="17"/>
  <c r="G192" i="17"/>
  <c r="E192" i="17"/>
  <c r="D192" i="17"/>
  <c r="G166" i="17"/>
  <c r="F166" i="17"/>
  <c r="E166" i="17"/>
  <c r="D166" i="17"/>
  <c r="H141" i="17"/>
  <c r="G141" i="17"/>
  <c r="F141" i="17"/>
  <c r="E141" i="17"/>
  <c r="D141" i="17"/>
  <c r="H136" i="17"/>
  <c r="G136" i="17"/>
  <c r="F136" i="17"/>
  <c r="E136" i="17"/>
  <c r="D136" i="17"/>
  <c r="H130" i="17"/>
  <c r="G130" i="17"/>
  <c r="F130" i="17"/>
  <c r="D130" i="17"/>
  <c r="H106" i="17"/>
  <c r="F106" i="17"/>
  <c r="D106" i="17"/>
  <c r="H115" i="17"/>
  <c r="G115" i="17"/>
  <c r="F115" i="17"/>
  <c r="E115" i="17"/>
  <c r="D115" i="17"/>
  <c r="G188" i="17"/>
  <c r="F188" i="17"/>
  <c r="E188" i="17"/>
  <c r="D188" i="17"/>
  <c r="H186" i="17"/>
  <c r="F186" i="17"/>
  <c r="E186" i="17"/>
  <c r="D186" i="17"/>
  <c r="H176" i="17"/>
  <c r="G176" i="17"/>
  <c r="E176" i="17"/>
  <c r="D176" i="17"/>
  <c r="H143" i="17"/>
  <c r="G143" i="17"/>
  <c r="F143" i="17"/>
  <c r="D143" i="17"/>
  <c r="F100" i="17"/>
  <c r="E100" i="17"/>
  <c r="D100" i="17"/>
  <c r="G131" i="17"/>
  <c r="F131" i="17"/>
  <c r="E131" i="17"/>
  <c r="D131" i="17"/>
  <c r="H128" i="17"/>
  <c r="G128" i="17"/>
  <c r="F128" i="17"/>
  <c r="H219" i="17"/>
  <c r="K132" i="5"/>
  <c r="E219" i="17"/>
  <c r="H101" i="17"/>
  <c r="G101" i="17"/>
  <c r="E101" i="17"/>
  <c r="D101" i="17"/>
  <c r="G175" i="17"/>
  <c r="F175" i="17"/>
  <c r="E175" i="17"/>
  <c r="D175" i="17"/>
  <c r="H198" i="17"/>
  <c r="G198" i="17"/>
  <c r="F198" i="17"/>
  <c r="E198" i="17"/>
  <c r="H195" i="17"/>
  <c r="G195" i="17"/>
  <c r="F195" i="17"/>
  <c r="E195" i="17"/>
  <c r="D195" i="17"/>
  <c r="H155" i="17"/>
  <c r="G155" i="17"/>
  <c r="F155" i="17"/>
  <c r="D155" i="17"/>
  <c r="H76" i="17"/>
  <c r="G76" i="17"/>
  <c r="F76" i="17"/>
  <c r="E76" i="17"/>
  <c r="G252" i="17"/>
  <c r="F252" i="17"/>
  <c r="E252" i="17"/>
  <c r="D252" i="17"/>
  <c r="F126" i="17"/>
  <c r="E126" i="17"/>
  <c r="D126" i="17"/>
  <c r="H151" i="17"/>
  <c r="G151" i="17"/>
  <c r="F151" i="17"/>
  <c r="E151" i="17"/>
  <c r="D151" i="17"/>
  <c r="H119" i="17"/>
  <c r="G119" i="17"/>
  <c r="F119" i="17"/>
  <c r="E119" i="17"/>
  <c r="D119" i="17"/>
  <c r="G135" i="17"/>
  <c r="F135" i="17"/>
  <c r="E135" i="17"/>
  <c r="H147" i="17"/>
  <c r="F147" i="17"/>
  <c r="E147" i="17"/>
  <c r="D147" i="17"/>
  <c r="H145" i="17"/>
  <c r="G145" i="17"/>
  <c r="E145" i="17"/>
  <c r="D145" i="17"/>
  <c r="H98" i="17"/>
  <c r="G98" i="17"/>
  <c r="F98" i="17"/>
  <c r="D98" i="17"/>
  <c r="H157" i="17"/>
  <c r="E157" i="17"/>
  <c r="D157" i="17"/>
  <c r="H259" i="17"/>
  <c r="G259" i="17"/>
  <c r="F259" i="17"/>
  <c r="E259" i="17"/>
  <c r="D259" i="17"/>
  <c r="H84" i="17"/>
  <c r="G84" i="17"/>
  <c r="F84" i="17"/>
  <c r="D84" i="17"/>
  <c r="H134" i="17"/>
  <c r="F134" i="17"/>
  <c r="E134" i="17"/>
  <c r="D134" i="17"/>
  <c r="H347" i="17"/>
  <c r="G347" i="17"/>
  <c r="E347" i="17"/>
  <c r="D347" i="17"/>
  <c r="G86" i="17"/>
  <c r="F86" i="17"/>
  <c r="E86" i="17"/>
  <c r="D86" i="17"/>
  <c r="H267" i="17"/>
  <c r="F267" i="17"/>
  <c r="E267" i="17"/>
  <c r="H75" i="17"/>
  <c r="G75" i="17"/>
  <c r="E75" i="17"/>
  <c r="D75" i="17"/>
  <c r="G87" i="17"/>
  <c r="F87" i="17"/>
  <c r="E87" i="17"/>
  <c r="D87" i="17"/>
  <c r="H113" i="17"/>
  <c r="G113" i="17"/>
  <c r="F113" i="17"/>
  <c r="E113" i="17"/>
  <c r="D113" i="17"/>
  <c r="H95" i="17"/>
  <c r="G95" i="17"/>
  <c r="F95" i="17"/>
  <c r="E95" i="17"/>
  <c r="D95" i="17"/>
  <c r="G177" i="17"/>
  <c r="F177" i="17"/>
  <c r="E177" i="17"/>
  <c r="D177" i="17"/>
  <c r="H96" i="17"/>
  <c r="F96" i="17"/>
  <c r="E96" i="17"/>
  <c r="D96" i="17"/>
  <c r="H162" i="17"/>
  <c r="G162" i="17"/>
  <c r="E162" i="17"/>
  <c r="D162" i="17"/>
  <c r="H148" i="17"/>
  <c r="G148" i="17"/>
  <c r="F148" i="17"/>
  <c r="D148" i="17"/>
  <c r="H156" i="17"/>
  <c r="G156" i="17"/>
  <c r="F156" i="17"/>
  <c r="E156" i="17"/>
  <c r="H172" i="17"/>
  <c r="G172" i="17"/>
  <c r="E172" i="17"/>
  <c r="D172" i="17"/>
  <c r="H72" i="17"/>
  <c r="G72" i="17"/>
  <c r="F72" i="17"/>
  <c r="D72" i="17"/>
  <c r="H99" i="17"/>
  <c r="G99" i="17"/>
  <c r="F99" i="17"/>
  <c r="H88" i="17"/>
  <c r="G88" i="17"/>
  <c r="F88" i="17"/>
  <c r="D88" i="17"/>
  <c r="H120" i="17"/>
  <c r="G120" i="17"/>
  <c r="F120" i="17"/>
  <c r="E120" i="17"/>
  <c r="D120" i="17"/>
  <c r="H117" i="17"/>
  <c r="F117" i="17"/>
  <c r="E117" i="17"/>
  <c r="D117" i="17"/>
  <c r="H122" i="17"/>
  <c r="G122" i="17"/>
  <c r="F122" i="17"/>
  <c r="E122" i="17"/>
  <c r="D122" i="17"/>
  <c r="H107" i="17"/>
  <c r="G107" i="17"/>
  <c r="F107" i="17"/>
  <c r="D107" i="17"/>
  <c r="H116" i="17"/>
  <c r="G116" i="17"/>
  <c r="F116" i="17"/>
  <c r="E116" i="17"/>
  <c r="H93" i="17"/>
  <c r="F93" i="17"/>
  <c r="E93" i="17"/>
  <c r="D93" i="17"/>
  <c r="G77" i="17"/>
  <c r="F77" i="17"/>
  <c r="E77" i="17"/>
  <c r="D77" i="17"/>
  <c r="H228" i="17"/>
  <c r="G228" i="17"/>
  <c r="F228" i="17"/>
  <c r="E228" i="17"/>
  <c r="G82" i="17"/>
  <c r="F82" i="17"/>
  <c r="E82" i="17"/>
  <c r="D82" i="17"/>
  <c r="H102" i="17"/>
  <c r="F102" i="17"/>
  <c r="D102" i="17"/>
  <c r="H70" i="17"/>
  <c r="G70" i="17"/>
  <c r="F70" i="17"/>
  <c r="E70" i="17"/>
  <c r="D70" i="17"/>
  <c r="H90" i="17"/>
  <c r="G90" i="17"/>
  <c r="F90" i="17"/>
  <c r="E90" i="17"/>
  <c r="D90" i="17"/>
  <c r="H144" i="17"/>
  <c r="G144" i="17"/>
  <c r="F144" i="17"/>
  <c r="D144" i="17"/>
  <c r="H80" i="17"/>
  <c r="G80" i="17"/>
  <c r="F80" i="17"/>
  <c r="E80" i="17"/>
  <c r="H65" i="17"/>
  <c r="G65" i="17"/>
  <c r="E65" i="17"/>
  <c r="D65" i="17"/>
  <c r="H111" i="17"/>
  <c r="G111" i="17"/>
  <c r="F111" i="17"/>
  <c r="E111" i="17"/>
  <c r="D111" i="17"/>
  <c r="H91" i="17"/>
  <c r="G91" i="17"/>
  <c r="F91" i="17"/>
  <c r="E91" i="17"/>
  <c r="G61" i="17"/>
  <c r="F61" i="17"/>
  <c r="E61" i="17"/>
  <c r="D61" i="17"/>
  <c r="G74" i="17"/>
  <c r="F74" i="17"/>
  <c r="E74" i="17"/>
  <c r="D74" i="17"/>
  <c r="H105" i="17"/>
  <c r="F105" i="17"/>
  <c r="E105" i="17"/>
  <c r="D105" i="17"/>
  <c r="G108" i="17"/>
  <c r="F108" i="17"/>
  <c r="D108" i="17"/>
  <c r="H67" i="17"/>
  <c r="F67" i="17"/>
  <c r="D67" i="17"/>
  <c r="H73" i="17"/>
  <c r="G73" i="17"/>
  <c r="F73" i="17"/>
  <c r="E73" i="17"/>
  <c r="H81" i="17"/>
  <c r="G81" i="17"/>
  <c r="F81" i="17"/>
  <c r="E81" i="17"/>
  <c r="D81" i="17"/>
  <c r="G79" i="17"/>
  <c r="F79" i="17"/>
  <c r="E79" i="17"/>
  <c r="D79" i="17"/>
  <c r="H89" i="17"/>
  <c r="F89" i="17"/>
  <c r="E89" i="17"/>
  <c r="D89" i="17"/>
  <c r="G47" i="17"/>
  <c r="F47" i="17"/>
  <c r="E47" i="17"/>
  <c r="D47" i="17"/>
  <c r="H60" i="17"/>
  <c r="G60" i="17"/>
  <c r="F60" i="17"/>
  <c r="D60" i="17"/>
  <c r="H40" i="17"/>
  <c r="G40" i="17"/>
  <c r="F40" i="17"/>
  <c r="E40" i="17"/>
  <c r="D40" i="17"/>
  <c r="H78" i="17"/>
  <c r="G78" i="17"/>
  <c r="D78" i="17"/>
  <c r="H62" i="17"/>
  <c r="G62" i="17"/>
  <c r="F62" i="17"/>
  <c r="D62" i="17"/>
  <c r="H56" i="17"/>
  <c r="F56" i="17"/>
  <c r="E56" i="17"/>
  <c r="D56" i="17"/>
  <c r="G58" i="17"/>
  <c r="F58" i="17"/>
  <c r="E58" i="17"/>
  <c r="D58" i="17"/>
  <c r="H39" i="17"/>
  <c r="G39" i="17"/>
  <c r="F39" i="17"/>
  <c r="D39" i="17"/>
  <c r="H55" i="17"/>
  <c r="F55" i="17"/>
  <c r="E55" i="17"/>
  <c r="D55" i="17"/>
  <c r="F42" i="17"/>
  <c r="E42" i="17"/>
  <c r="D42" i="17"/>
  <c r="H64" i="17"/>
  <c r="G64" i="17"/>
  <c r="F64" i="17"/>
  <c r="D64" i="17"/>
  <c r="H66" i="17"/>
  <c r="F66" i="17"/>
  <c r="E66" i="17"/>
  <c r="D66" i="17"/>
  <c r="H63" i="17"/>
  <c r="G63" i="17"/>
  <c r="F63" i="17"/>
  <c r="E63" i="17"/>
  <c r="D63" i="17"/>
  <c r="H68" i="17"/>
  <c r="G68" i="17"/>
  <c r="F68" i="17"/>
  <c r="D68" i="17"/>
  <c r="H69" i="17"/>
  <c r="G69" i="17"/>
  <c r="F69" i="17"/>
  <c r="E69" i="17"/>
  <c r="D69" i="17"/>
  <c r="H46" i="17"/>
  <c r="G46" i="17"/>
  <c r="D46" i="17"/>
  <c r="H94" i="17"/>
  <c r="F94" i="17"/>
  <c r="E94" i="17"/>
  <c r="D94" i="17"/>
  <c r="H124" i="17"/>
  <c r="E124" i="17"/>
  <c r="D124" i="17"/>
  <c r="H52" i="17"/>
  <c r="G52" i="17"/>
  <c r="E52" i="17"/>
  <c r="D52" i="17"/>
  <c r="G48" i="17"/>
  <c r="F48" i="17"/>
  <c r="E48" i="17"/>
  <c r="D48" i="17"/>
  <c r="H59" i="17"/>
  <c r="F59" i="17"/>
  <c r="E59" i="17"/>
  <c r="D59" i="17"/>
  <c r="H54" i="17"/>
  <c r="G54" i="17"/>
  <c r="F54" i="17"/>
  <c r="E54" i="17"/>
  <c r="D54" i="17"/>
  <c r="H57" i="17"/>
  <c r="G57" i="17"/>
  <c r="F57" i="17"/>
  <c r="E57" i="17"/>
  <c r="D57" i="17"/>
  <c r="H85" i="17"/>
  <c r="G85" i="17"/>
  <c r="F85" i="17"/>
  <c r="E85" i="17"/>
  <c r="H83" i="17"/>
  <c r="G83" i="17"/>
  <c r="F83" i="17"/>
  <c r="E83" i="17"/>
  <c r="D83" i="17"/>
  <c r="H45" i="17"/>
  <c r="G45" i="17"/>
  <c r="F45" i="17"/>
  <c r="D45" i="17"/>
  <c r="H53" i="17"/>
  <c r="F53" i="17"/>
  <c r="E53" i="17"/>
  <c r="D53" i="17"/>
  <c r="H71" i="17"/>
  <c r="G71" i="17"/>
  <c r="F71" i="17"/>
  <c r="E71" i="17"/>
  <c r="D71" i="17"/>
  <c r="G38" i="17"/>
  <c r="F38" i="17"/>
  <c r="E38" i="17"/>
  <c r="D38" i="17"/>
  <c r="H44" i="17"/>
  <c r="F44" i="17"/>
  <c r="E44" i="17"/>
  <c r="D44" i="17"/>
  <c r="H51" i="17"/>
  <c r="G51" i="17"/>
  <c r="E51" i="17"/>
  <c r="D51" i="17"/>
  <c r="G41" i="17"/>
  <c r="F41" i="17"/>
  <c r="E41" i="17"/>
  <c r="D41" i="17"/>
  <c r="H25" i="17"/>
  <c r="F25" i="17"/>
  <c r="E25" i="17"/>
  <c r="D25" i="17"/>
  <c r="H36" i="17"/>
  <c r="G36" i="17"/>
  <c r="F36" i="17"/>
  <c r="E36" i="17"/>
  <c r="D36" i="17"/>
  <c r="H33" i="17"/>
  <c r="G33" i="17"/>
  <c r="F33" i="17"/>
  <c r="E33" i="17"/>
  <c r="D33" i="17"/>
  <c r="H43" i="17"/>
  <c r="G43" i="17"/>
  <c r="F43" i="17"/>
  <c r="E43" i="17"/>
  <c r="H50" i="17"/>
  <c r="G50" i="17"/>
  <c r="F50" i="17"/>
  <c r="E50" i="17"/>
  <c r="D50" i="17"/>
  <c r="H27" i="17"/>
  <c r="F27" i="17"/>
  <c r="E27" i="17"/>
  <c r="D27" i="17"/>
  <c r="H22" i="17"/>
  <c r="F22" i="17"/>
  <c r="E22" i="17"/>
  <c r="D22" i="17"/>
  <c r="H28" i="17"/>
  <c r="G28" i="17"/>
  <c r="F28" i="17"/>
  <c r="E28" i="17"/>
  <c r="D28" i="17"/>
  <c r="H35" i="17"/>
  <c r="G35" i="17"/>
  <c r="F35" i="17"/>
  <c r="H23" i="17"/>
  <c r="G23" i="17"/>
  <c r="H49" i="17"/>
  <c r="G49" i="17"/>
  <c r="F49" i="17"/>
  <c r="D49" i="17"/>
  <c r="H31" i="17"/>
  <c r="G31" i="17"/>
  <c r="F31" i="17"/>
  <c r="D31" i="17"/>
  <c r="H18" i="17"/>
  <c r="F18" i="17"/>
  <c r="E18" i="17"/>
  <c r="D18" i="17"/>
  <c r="H30" i="17"/>
  <c r="G30" i="17"/>
  <c r="E30" i="17"/>
  <c r="D30" i="17"/>
  <c r="H37" i="17"/>
  <c r="G37" i="17"/>
  <c r="F37" i="17"/>
  <c r="E37" i="17"/>
  <c r="H29" i="17"/>
  <c r="G29" i="17"/>
  <c r="F29" i="17"/>
  <c r="E29" i="17"/>
  <c r="D29" i="17"/>
  <c r="H20" i="17"/>
  <c r="G20" i="17"/>
  <c r="E20" i="17"/>
  <c r="D20" i="17"/>
  <c r="H32" i="17"/>
  <c r="G32" i="17"/>
  <c r="F32" i="17"/>
  <c r="E32" i="17"/>
  <c r="D32" i="17"/>
  <c r="G19" i="17"/>
  <c r="F19" i="17"/>
  <c r="E19" i="17"/>
  <c r="H34" i="17"/>
  <c r="G34" i="17"/>
  <c r="F34" i="17"/>
  <c r="E34" i="17"/>
  <c r="D34" i="17"/>
  <c r="G26" i="17"/>
  <c r="F26" i="17"/>
  <c r="E26" i="17"/>
  <c r="H21" i="17"/>
  <c r="F21" i="17"/>
  <c r="E21" i="17"/>
  <c r="D21" i="17"/>
  <c r="H17" i="17"/>
  <c r="G17" i="17"/>
  <c r="D17" i="17"/>
  <c r="G24" i="17"/>
  <c r="F24" i="17"/>
  <c r="E24" i="17"/>
  <c r="D24" i="17"/>
  <c r="H15" i="17"/>
  <c r="G15" i="17"/>
  <c r="F15" i="17"/>
  <c r="E15" i="17"/>
  <c r="H16" i="17"/>
  <c r="G16" i="17"/>
  <c r="F16" i="17"/>
  <c r="E16" i="17"/>
  <c r="D16" i="17"/>
  <c r="H13" i="17"/>
  <c r="G13" i="17"/>
  <c r="F13" i="17"/>
  <c r="E13" i="17"/>
  <c r="D13" i="17"/>
  <c r="F12" i="17"/>
  <c r="E12" i="17"/>
  <c r="D12" i="17"/>
  <c r="H11" i="17"/>
  <c r="G11" i="17"/>
  <c r="E11" i="17"/>
  <c r="D11" i="17"/>
  <c r="H10" i="17"/>
  <c r="G10" i="17"/>
  <c r="F10" i="17"/>
  <c r="E10" i="17"/>
  <c r="H9" i="17"/>
  <c r="G9" i="17"/>
  <c r="F9" i="17"/>
  <c r="E9" i="17"/>
  <c r="D9" i="17"/>
  <c r="F7" i="17"/>
  <c r="E7" i="17"/>
  <c r="D7" i="17"/>
  <c r="H8" i="17"/>
  <c r="G8" i="17"/>
  <c r="F8" i="17"/>
  <c r="E8" i="17"/>
  <c r="D8" i="17"/>
  <c r="Q6" i="5"/>
  <c r="F14" i="17"/>
  <c r="E14" i="17"/>
  <c r="D14" i="17"/>
  <c r="H6" i="17"/>
  <c r="G6" i="17"/>
  <c r="E6" i="17"/>
  <c r="D6" i="17"/>
  <c r="F5" i="17"/>
  <c r="E5" i="17"/>
  <c r="H4" i="17"/>
  <c r="E4" i="17"/>
  <c r="D5" i="17"/>
  <c r="G5" i="17"/>
  <c r="H5" i="17"/>
  <c r="F6" i="17"/>
  <c r="F11" i="17"/>
  <c r="G12" i="17"/>
  <c r="D10" i="17"/>
  <c r="D15" i="17"/>
  <c r="F17" i="17"/>
  <c r="G21" i="17"/>
  <c r="G18" i="17"/>
  <c r="D19" i="17"/>
  <c r="F20" i="17"/>
  <c r="G14" i="17"/>
  <c r="D26" i="17"/>
  <c r="H26" i="17"/>
  <c r="H24" i="17"/>
  <c r="D23" i="17"/>
  <c r="E23" i="17"/>
  <c r="F23" i="17"/>
  <c r="F30" i="17"/>
  <c r="G25" i="17"/>
  <c r="D37" i="17"/>
  <c r="E31" i="17"/>
  <c r="G22" i="17"/>
  <c r="H38" i="17"/>
  <c r="H41" i="17"/>
  <c r="D35" i="17"/>
  <c r="E35" i="17"/>
  <c r="G44" i="17"/>
  <c r="G55" i="17"/>
  <c r="D43" i="17"/>
  <c r="F52" i="17"/>
  <c r="E46" i="17"/>
  <c r="F46" i="17"/>
  <c r="G53" i="17"/>
  <c r="E39" i="17"/>
  <c r="E49" i="17"/>
  <c r="E45" i="17"/>
  <c r="H58" i="17"/>
  <c r="H48" i="17"/>
  <c r="E67" i="17"/>
  <c r="G67" i="17"/>
  <c r="G59" i="17"/>
  <c r="G56" i="17"/>
  <c r="H61" i="17"/>
  <c r="E68" i="17"/>
  <c r="E64" i="17"/>
  <c r="E60" i="17"/>
  <c r="G66" i="17"/>
  <c r="H47" i="17"/>
  <c r="E62" i="17"/>
  <c r="E78" i="17"/>
  <c r="F78" i="17"/>
  <c r="F51" i="17"/>
  <c r="F65" i="17"/>
  <c r="G93" i="17"/>
  <c r="D76" i="17"/>
  <c r="G89" i="17"/>
  <c r="H74" i="17"/>
  <c r="H77" i="17"/>
  <c r="D73" i="17"/>
  <c r="E98" i="17"/>
  <c r="F75" i="17"/>
  <c r="G94" i="17"/>
  <c r="G100" i="17"/>
  <c r="D85" i="17"/>
  <c r="D91" i="17"/>
  <c r="E102" i="17"/>
  <c r="G102" i="17"/>
  <c r="E84" i="17"/>
  <c r="G96" i="17"/>
  <c r="D80" i="17"/>
  <c r="E88" i="17"/>
  <c r="F101" i="17"/>
  <c r="E106" i="17"/>
  <c r="G106" i="17"/>
  <c r="H79" i="17"/>
  <c r="H86" i="17"/>
  <c r="H82" i="17"/>
  <c r="E72" i="17"/>
  <c r="G134" i="17"/>
  <c r="H87" i="17"/>
  <c r="D116" i="17"/>
  <c r="E158" i="17"/>
  <c r="E107" i="17"/>
  <c r="E97" i="17"/>
  <c r="H97" i="17"/>
  <c r="G109" i="17"/>
  <c r="G126" i="17"/>
  <c r="H126" i="17"/>
  <c r="D99" i="17"/>
  <c r="E99" i="17"/>
  <c r="E92" i="17"/>
  <c r="F92" i="17"/>
  <c r="G105" i="17"/>
  <c r="G117" i="17"/>
  <c r="E143" i="17"/>
  <c r="E130" i="17"/>
  <c r="G146" i="17"/>
  <c r="F110" i="17"/>
  <c r="D163" i="17"/>
  <c r="G163" i="17"/>
  <c r="D207" i="17"/>
  <c r="G207" i="17"/>
  <c r="D128" i="17"/>
  <c r="E128" i="17"/>
  <c r="F138" i="17"/>
  <c r="H138" i="17"/>
  <c r="H166" i="17"/>
  <c r="F112" i="17"/>
  <c r="H139" i="17"/>
  <c r="E148" i="17"/>
  <c r="D127" i="17"/>
  <c r="F162" i="17"/>
  <c r="F157" i="17"/>
  <c r="G157" i="17"/>
  <c r="H131" i="17"/>
  <c r="D135" i="17"/>
  <c r="H135" i="17"/>
  <c r="D104" i="17"/>
  <c r="E123" i="17"/>
  <c r="G123" i="17"/>
  <c r="F132" i="17"/>
  <c r="F173" i="17"/>
  <c r="H173" i="17"/>
  <c r="G118" i="17"/>
  <c r="D137" i="17"/>
  <c r="F137" i="17"/>
  <c r="F103" i="17"/>
  <c r="E121" i="17"/>
  <c r="F121" i="17"/>
  <c r="D201" i="17"/>
  <c r="F201" i="17"/>
  <c r="D140" i="17"/>
  <c r="G140" i="17"/>
  <c r="G124" i="17"/>
  <c r="G182" i="17"/>
  <c r="G147" i="17"/>
  <c r="D133" i="17"/>
  <c r="E108" i="17"/>
  <c r="H108" i="17"/>
  <c r="D125" i="17"/>
  <c r="E125" i="17"/>
  <c r="E129" i="17"/>
  <c r="E197" i="17"/>
  <c r="G197" i="17"/>
  <c r="H197" i="17"/>
  <c r="H175" i="17"/>
  <c r="D154" i="17"/>
  <c r="F154" i="17"/>
  <c r="G154" i="17"/>
  <c r="E189" i="17"/>
  <c r="F189" i="17"/>
  <c r="F203" i="17"/>
  <c r="H174" i="17"/>
  <c r="E191" i="17"/>
  <c r="G191" i="17"/>
  <c r="H191" i="17"/>
  <c r="D152" i="17"/>
  <c r="D211" i="17"/>
  <c r="E211" i="17"/>
  <c r="F170" i="17"/>
  <c r="F185" i="17"/>
  <c r="D159" i="17"/>
  <c r="E159" i="17"/>
  <c r="H159" i="17"/>
  <c r="F160" i="17"/>
  <c r="F172" i="17"/>
  <c r="F176" i="17"/>
  <c r="H177" i="17"/>
  <c r="H187" i="17"/>
  <c r="D226" i="17"/>
  <c r="E226" i="17"/>
  <c r="H226" i="17"/>
  <c r="D171" i="17"/>
  <c r="D206" i="17"/>
  <c r="E206" i="17"/>
  <c r="E199" i="17"/>
  <c r="F199" i="17"/>
  <c r="G199" i="17"/>
  <c r="D244" i="17"/>
  <c r="G244" i="17"/>
  <c r="D169" i="17"/>
  <c r="F169" i="17"/>
  <c r="G169" i="17"/>
  <c r="D156" i="17"/>
  <c r="F150" i="17"/>
  <c r="F145" i="17"/>
  <c r="F237" i="17"/>
  <c r="H168" i="17"/>
  <c r="E178" i="17"/>
  <c r="E214" i="17"/>
  <c r="E144" i="17"/>
  <c r="G186" i="17"/>
  <c r="G149" i="17"/>
  <c r="H188" i="17"/>
  <c r="E180" i="17"/>
  <c r="G180" i="17"/>
  <c r="H180" i="17"/>
  <c r="F258" i="17"/>
  <c r="F250" i="17"/>
  <c r="G250" i="17"/>
  <c r="H250" i="17"/>
  <c r="F142" i="17"/>
  <c r="F179" i="17"/>
  <c r="D218" i="17"/>
  <c r="E218" i="17"/>
  <c r="H218" i="17"/>
  <c r="D193" i="17"/>
  <c r="E251" i="17"/>
  <c r="G251" i="17"/>
  <c r="H251" i="17"/>
  <c r="E239" i="17"/>
  <c r="G183" i="17"/>
  <c r="D217" i="17"/>
  <c r="G217" i="17"/>
  <c r="H181" i="17"/>
  <c r="E205" i="17"/>
  <c r="H205" i="17"/>
  <c r="D224" i="17"/>
  <c r="G224" i="17"/>
  <c r="F243" i="17"/>
  <c r="E229" i="17"/>
  <c r="H229" i="17"/>
  <c r="D235" i="17"/>
  <c r="G235" i="17"/>
  <c r="D221" i="17"/>
  <c r="D219" i="17"/>
  <c r="F219" i="17"/>
  <c r="G219" i="17"/>
  <c r="E202" i="17"/>
  <c r="H202" i="17"/>
  <c r="D216" i="17"/>
  <c r="G216" i="17"/>
  <c r="H200" i="17"/>
  <c r="F184" i="17"/>
  <c r="E238" i="17"/>
  <c r="F238" i="17"/>
  <c r="H238" i="17"/>
  <c r="E225" i="17"/>
  <c r="F225" i="17"/>
  <c r="F208" i="17"/>
  <c r="H252" i="17"/>
  <c r="E263" i="17"/>
  <c r="H263" i="17"/>
  <c r="D167" i="17"/>
  <c r="D335" i="17"/>
  <c r="F335" i="17"/>
  <c r="G335" i="17"/>
  <c r="D327" i="17"/>
  <c r="G327" i="17"/>
  <c r="E278" i="17"/>
  <c r="H278" i="17"/>
  <c r="E269" i="17"/>
  <c r="G269" i="17"/>
  <c r="H269" i="17"/>
  <c r="E288" i="17"/>
  <c r="F288" i="17"/>
  <c r="F194" i="17"/>
  <c r="G194" i="17"/>
  <c r="D198" i="17"/>
  <c r="F240" i="17"/>
  <c r="D253" i="17"/>
  <c r="E253" i="17"/>
  <c r="H253" i="17"/>
  <c r="D271" i="17"/>
  <c r="G271" i="17"/>
  <c r="D209" i="17"/>
  <c r="D242" i="17"/>
  <c r="G242" i="17"/>
  <c r="E213" i="17"/>
  <c r="G213" i="17"/>
  <c r="H213" i="17"/>
  <c r="F255" i="17"/>
  <c r="H255" i="17"/>
  <c r="F315" i="17"/>
  <c r="E264" i="17"/>
  <c r="F264" i="17"/>
  <c r="D196" i="17"/>
  <c r="G196" i="17"/>
  <c r="F192" i="17"/>
  <c r="D222" i="17"/>
  <c r="G222" i="17"/>
  <c r="E314" i="17"/>
  <c r="F314" i="17"/>
  <c r="H314" i="17"/>
  <c r="D164" i="17"/>
  <c r="G164" i="17"/>
  <c r="D165" i="17"/>
  <c r="H165" i="17"/>
  <c r="E212" i="17"/>
  <c r="H212" i="17"/>
  <c r="E210" i="17"/>
  <c r="H210" i="17"/>
  <c r="D281" i="17"/>
  <c r="F281" i="17"/>
  <c r="G281" i="17"/>
  <c r="E215" i="17"/>
  <c r="G215" i="17"/>
  <c r="H215" i="17"/>
  <c r="E293" i="17"/>
  <c r="H293" i="17"/>
  <c r="E270" i="17"/>
  <c r="F270" i="17"/>
  <c r="E248" i="17"/>
  <c r="H248" i="17"/>
  <c r="E155" i="17"/>
  <c r="E241" i="17"/>
  <c r="F241" i="17"/>
  <c r="E296" i="17"/>
  <c r="H296" i="17"/>
  <c r="F204" i="17"/>
  <c r="E249" i="17"/>
  <c r="F249" i="17"/>
  <c r="H249" i="17"/>
  <c r="F295" i="17"/>
  <c r="F233" i="17"/>
  <c r="H233" i="17"/>
  <c r="E277" i="17"/>
  <c r="H277" i="17"/>
  <c r="E266" i="17"/>
  <c r="H266" i="17"/>
  <c r="H231" i="17"/>
  <c r="D274" i="17"/>
  <c r="G274" i="17"/>
  <c r="F265" i="17"/>
  <c r="F303" i="17"/>
  <c r="H303" i="17"/>
  <c r="E285" i="17"/>
  <c r="F285" i="17"/>
  <c r="G220" i="17"/>
  <c r="D294" i="17"/>
  <c r="F294" i="17"/>
  <c r="G294" i="17"/>
  <c r="E276" i="17"/>
  <c r="H276" i="17"/>
  <c r="E230" i="17"/>
  <c r="H230" i="17"/>
  <c r="E307" i="17"/>
  <c r="F307" i="17"/>
  <c r="E279" i="17"/>
  <c r="H279" i="17"/>
  <c r="D262" i="17"/>
  <c r="G262" i="17"/>
  <c r="D256" i="17"/>
  <c r="G256" i="17"/>
  <c r="F236" i="17"/>
  <c r="D228" i="17"/>
  <c r="E268" i="17"/>
  <c r="F268" i="17"/>
  <c r="H245" i="17"/>
  <c r="D310" i="17"/>
  <c r="F310" i="17"/>
  <c r="E291" i="17"/>
  <c r="H291" i="17"/>
  <c r="D343" i="17"/>
  <c r="G343" i="17"/>
  <c r="F223" i="17"/>
  <c r="D247" i="17"/>
  <c r="E247" i="17"/>
  <c r="H247" i="17"/>
  <c r="F260" i="17"/>
  <c r="H246" i="17"/>
  <c r="F300" i="17"/>
  <c r="D257" i="17"/>
  <c r="G257" i="17"/>
  <c r="D280" i="17"/>
  <c r="G280" i="17"/>
  <c r="E283" i="17"/>
  <c r="G283" i="17"/>
  <c r="H283" i="17"/>
  <c r="D254" i="17"/>
  <c r="G254" i="17"/>
  <c r="D324" i="17"/>
  <c r="E324" i="17"/>
  <c r="H324" i="17"/>
  <c r="D332" i="17"/>
  <c r="E332" i="17"/>
  <c r="H332" i="17"/>
  <c r="D363" i="17"/>
  <c r="G363" i="17"/>
  <c r="E282" i="17"/>
  <c r="H282" i="17"/>
  <c r="E309" i="17"/>
  <c r="H309" i="17"/>
  <c r="E297" i="17"/>
  <c r="H297" i="17"/>
  <c r="F227" i="17"/>
  <c r="G227" i="17"/>
  <c r="E312" i="17"/>
  <c r="H312" i="17"/>
  <c r="D273" i="17"/>
  <c r="E273" i="17"/>
  <c r="D287" i="17"/>
  <c r="G287" i="17"/>
  <c r="D267" i="17"/>
  <c r="G267" i="17"/>
  <c r="F286" i="17"/>
  <c r="D299" i="17"/>
  <c r="E299" i="17"/>
  <c r="F299" i="17"/>
  <c r="G299" i="17"/>
  <c r="E308" i="17"/>
  <c r="H308" i="17"/>
  <c r="F356" i="17"/>
  <c r="D322" i="17"/>
  <c r="G322" i="17"/>
  <c r="D305" i="17"/>
  <c r="G305" i="17"/>
  <c r="E350" i="17"/>
  <c r="F350" i="17"/>
  <c r="D292" i="17"/>
  <c r="G292" i="17"/>
  <c r="D348" i="17"/>
  <c r="G348" i="17"/>
  <c r="E190" i="17"/>
  <c r="H190" i="17"/>
  <c r="E339" i="17"/>
  <c r="H339" i="17"/>
  <c r="D301" i="17"/>
  <c r="G301" i="17"/>
  <c r="D311" i="17"/>
  <c r="G311" i="17"/>
  <c r="E316" i="17"/>
  <c r="H316" i="17"/>
  <c r="D319" i="17"/>
  <c r="E319" i="17"/>
  <c r="H319" i="17"/>
  <c r="F326" i="17"/>
  <c r="F338" i="17"/>
  <c r="H338" i="17"/>
  <c r="F334" i="17"/>
  <c r="D337" i="17"/>
  <c r="G337" i="17"/>
  <c r="D358" i="17"/>
  <c r="G358" i="17"/>
  <c r="D330" i="17"/>
  <c r="E330" i="17"/>
  <c r="H330" i="17"/>
  <c r="D284" i="17"/>
  <c r="G284" i="17"/>
  <c r="D289" i="17"/>
  <c r="F289" i="17"/>
  <c r="G289" i="17"/>
  <c r="F347" i="17"/>
  <c r="E320" i="17"/>
  <c r="H320" i="17"/>
  <c r="E354" i="17"/>
  <c r="G354" i="17"/>
  <c r="H354" i="17"/>
  <c r="E290" i="17"/>
  <c r="G290" i="17"/>
  <c r="H290" i="17"/>
  <c r="E349" i="17"/>
  <c r="H349" i="17"/>
  <c r="F313" i="17"/>
  <c r="D352" i="17"/>
  <c r="G352" i="17"/>
  <c r="D306" i="17"/>
  <c r="F306" i="17"/>
  <c r="G306" i="17"/>
  <c r="E340" i="17"/>
  <c r="G340" i="17"/>
  <c r="H340" i="17"/>
  <c r="F342" i="17"/>
  <c r="H342" i="17"/>
  <c r="D331" i="17"/>
  <c r="G331" i="17"/>
  <c r="E381" i="17"/>
  <c r="H381" i="17"/>
  <c r="E366" i="17"/>
  <c r="G366" i="17"/>
  <c r="H366" i="17"/>
  <c r="E367" i="17"/>
  <c r="H367" i="17"/>
  <c r="D353" i="17"/>
  <c r="G353" i="17"/>
  <c r="D379" i="17"/>
  <c r="E379" i="17"/>
  <c r="H379" i="17"/>
  <c r="D318" i="17"/>
  <c r="E318" i="17"/>
  <c r="G318" i="17"/>
  <c r="H318" i="17"/>
  <c r="F355" i="17"/>
  <c r="F302" i="17"/>
  <c r="D325" i="17"/>
  <c r="E325" i="17"/>
  <c r="G325" i="17"/>
  <c r="D333" i="17"/>
  <c r="F333" i="17"/>
  <c r="G333" i="17"/>
  <c r="D341" i="17"/>
  <c r="G341" i="17"/>
  <c r="D304" i="17"/>
  <c r="G304" i="17"/>
  <c r="E344" i="17"/>
  <c r="H344" i="17"/>
  <c r="F329" i="17"/>
  <c r="D384" i="17"/>
  <c r="E384" i="17"/>
  <c r="G384" i="17"/>
  <c r="H384" i="17"/>
  <c r="D429" i="17"/>
  <c r="G429" i="17"/>
  <c r="E357" i="17"/>
  <c r="H357" i="17"/>
  <c r="D328" i="17"/>
  <c r="E328" i="17"/>
  <c r="H328" i="17"/>
  <c r="D360" i="17"/>
  <c r="G360" i="17"/>
  <c r="E373" i="17"/>
  <c r="F373" i="17"/>
  <c r="D386" i="17"/>
  <c r="G386" i="17"/>
  <c r="D375" i="17"/>
  <c r="G375" i="17"/>
  <c r="F321" i="17"/>
  <c r="F387" i="17"/>
  <c r="H387" i="17"/>
  <c r="E362" i="17"/>
  <c r="H362" i="17"/>
  <c r="D364" i="17"/>
  <c r="G364" i="17"/>
  <c r="E391" i="17"/>
  <c r="H391" i="17"/>
  <c r="F153" i="17"/>
  <c r="D406" i="17"/>
  <c r="G406" i="17"/>
  <c r="D298" i="17"/>
  <c r="G298" i="17"/>
  <c r="D413" i="17"/>
  <c r="G413" i="17"/>
  <c r="D426" i="17"/>
  <c r="F426" i="17"/>
  <c r="G426" i="17"/>
  <c r="F351" i="17"/>
  <c r="D368" i="17"/>
  <c r="G368" i="17"/>
  <c r="E372" i="17"/>
  <c r="G372" i="17"/>
  <c r="H372" i="17"/>
  <c r="E411" i="17"/>
  <c r="G411" i="17"/>
  <c r="H411" i="17"/>
  <c r="E383" i="17"/>
  <c r="H383" i="17"/>
  <c r="F345" i="17"/>
  <c r="D473" i="17"/>
  <c r="G473" i="17"/>
  <c r="F380" i="17"/>
  <c r="E376" i="17"/>
  <c r="H376" i="17"/>
  <c r="E398" i="17"/>
  <c r="H398" i="17"/>
  <c r="E402" i="17"/>
  <c r="H402" i="17"/>
  <c r="D317" i="17"/>
  <c r="G317" i="17"/>
  <c r="D403" i="17"/>
  <c r="E403" i="17"/>
  <c r="G403" i="17"/>
  <c r="E408" i="17"/>
  <c r="G408" i="17"/>
  <c r="H408" i="17"/>
  <c r="D418" i="17"/>
  <c r="E418" i="17"/>
  <c r="H418" i="17"/>
  <c r="F458" i="17"/>
  <c r="E388" i="17"/>
  <c r="H388" i="17"/>
  <c r="F359" i="17"/>
  <c r="H359" i="17"/>
  <c r="F453" i="17"/>
  <c r="D448" i="17"/>
  <c r="G448" i="17"/>
  <c r="E477" i="17"/>
  <c r="G477" i="17"/>
  <c r="H477" i="17"/>
  <c r="D361" i="17"/>
  <c r="G361" i="17"/>
  <c r="D405" i="17"/>
  <c r="G405" i="17"/>
  <c r="D346" i="17"/>
  <c r="G346" i="17"/>
  <c r="D410" i="17"/>
  <c r="F410" i="17"/>
  <c r="G410" i="17"/>
  <c r="E382" i="17"/>
  <c r="H382" i="17"/>
  <c r="F432" i="17"/>
  <c r="D484" i="17"/>
  <c r="G484" i="17"/>
  <c r="H484" i="17"/>
  <c r="D396" i="17"/>
  <c r="G396" i="17"/>
  <c r="E323" i="17"/>
  <c r="H323" i="17"/>
  <c r="E439" i="17"/>
  <c r="H439" i="17"/>
  <c r="F424" i="17"/>
  <c r="F431" i="17"/>
  <c r="E393" i="17"/>
  <c r="G393" i="17"/>
  <c r="H393" i="17"/>
  <c r="D404" i="17"/>
  <c r="G404" i="17"/>
  <c r="D489" i="17"/>
  <c r="F489" i="17"/>
  <c r="G489" i="17"/>
  <c r="E436" i="17"/>
  <c r="F436" i="17"/>
  <c r="E416" i="17"/>
  <c r="F416" i="17"/>
  <c r="D472" i="17"/>
  <c r="E472" i="17"/>
  <c r="H472" i="17"/>
  <c r="E374" i="17"/>
  <c r="G374" i="17"/>
  <c r="H374" i="17"/>
  <c r="F425" i="17"/>
  <c r="D392" i="17"/>
  <c r="G392" i="17"/>
  <c r="D420" i="17"/>
  <c r="G420" i="17"/>
  <c r="F521" i="17"/>
  <c r="H521" i="17"/>
  <c r="D390" i="17"/>
  <c r="G390" i="17"/>
  <c r="D275" i="17"/>
  <c r="E275" i="17"/>
  <c r="H275" i="17"/>
  <c r="F401" i="17"/>
  <c r="G401" i="17"/>
  <c r="H401" i="17"/>
  <c r="E479" i="17"/>
  <c r="H479" i="17"/>
  <c r="F467" i="17"/>
  <c r="D463" i="17"/>
  <c r="G463" i="17"/>
  <c r="D395" i="17"/>
  <c r="F395" i="17"/>
  <c r="G395" i="17"/>
  <c r="D441" i="17"/>
  <c r="E441" i="17"/>
  <c r="H441" i="17"/>
  <c r="F400" i="17"/>
  <c r="H400" i="17"/>
  <c r="D365" i="17"/>
  <c r="G365" i="17"/>
  <c r="D419" i="17"/>
  <c r="G419" i="17"/>
  <c r="E394" i="17"/>
  <c r="H394" i="17"/>
  <c r="E397" i="17"/>
  <c r="G397" i="17"/>
  <c r="H397" i="17"/>
  <c r="D428" i="17"/>
  <c r="G428" i="17"/>
  <c r="F336" i="17"/>
  <c r="H336" i="17"/>
  <c r="F421" i="17"/>
  <c r="H421" i="17"/>
  <c r="F378" i="17"/>
  <c r="F452" i="17"/>
  <c r="H452" i="17"/>
  <c r="D371" i="17"/>
  <c r="G371" i="17"/>
  <c r="D399" i="17"/>
  <c r="G399" i="17"/>
  <c r="F464" i="17"/>
  <c r="F414" i="17"/>
  <c r="E434" i="17"/>
  <c r="G434" i="17"/>
  <c r="H434" i="17"/>
  <c r="D415" i="17"/>
  <c r="G415" i="17"/>
  <c r="E377" i="17"/>
  <c r="H377" i="17"/>
  <c r="E460" i="17"/>
  <c r="H460" i="17"/>
  <c r="D488" i="17"/>
  <c r="G488" i="17"/>
  <c r="F444" i="17"/>
  <c r="H444" i="17"/>
  <c r="E462" i="17"/>
  <c r="F462" i="17"/>
  <c r="F475" i="17"/>
  <c r="D433" i="17"/>
  <c r="F433" i="17"/>
  <c r="G433" i="17"/>
  <c r="H433" i="17"/>
  <c r="E476" i="17"/>
  <c r="H476" i="17"/>
  <c r="E506" i="17"/>
  <c r="H506" i="17"/>
  <c r="D449" i="17"/>
  <c r="G449" i="17"/>
  <c r="D516" i="17"/>
  <c r="F516" i="17"/>
  <c r="G516" i="17"/>
  <c r="E407" i="17"/>
  <c r="H407" i="17"/>
  <c r="D455" i="17"/>
  <c r="F455" i="17"/>
  <c r="G455" i="17"/>
  <c r="D456" i="17"/>
  <c r="G456" i="17"/>
  <c r="D498" i="17"/>
  <c r="F498" i="17"/>
  <c r="D459" i="17"/>
  <c r="G459" i="17"/>
  <c r="F470" i="17"/>
  <c r="G470" i="17"/>
  <c r="F409" i="17"/>
  <c r="H409" i="17"/>
  <c r="F519" i="17"/>
  <c r="H519" i="17"/>
  <c r="F471" i="17"/>
  <c r="D486" i="17"/>
  <c r="F486" i="17"/>
  <c r="G486" i="17"/>
  <c r="D389" i="17"/>
  <c r="G389" i="17"/>
  <c r="E440" i="17"/>
  <c r="G440" i="17"/>
  <c r="H440" i="17"/>
  <c r="F369" i="17"/>
  <c r="G369" i="17"/>
  <c r="H369" i="17"/>
  <c r="E451" i="17"/>
  <c r="H451" i="17"/>
  <c r="D528" i="17"/>
  <c r="F528" i="17"/>
  <c r="G528" i="17"/>
  <c r="F385" i="17"/>
  <c r="D443" i="17"/>
  <c r="G443" i="17"/>
  <c r="D466" i="17"/>
  <c r="F466" i="17"/>
  <c r="D492" i="17"/>
  <c r="F492" i="17"/>
  <c r="G492" i="17"/>
  <c r="F430" i="17"/>
  <c r="D496" i="17"/>
  <c r="G496" i="17"/>
  <c r="F422" i="17"/>
  <c r="F417" i="17"/>
  <c r="H417" i="17"/>
  <c r="D480" i="17"/>
  <c r="E480" i="17"/>
  <c r="H480" i="17"/>
  <c r="E465" i="17"/>
  <c r="F465" i="17"/>
  <c r="D446" i="17"/>
  <c r="G446" i="17"/>
  <c r="F423" i="17"/>
  <c r="G423" i="17"/>
  <c r="H423" i="17"/>
  <c r="D509" i="17"/>
  <c r="G509" i="17"/>
  <c r="D427" i="17"/>
  <c r="E427" i="17"/>
  <c r="G427" i="17"/>
  <c r="H427" i="17"/>
  <c r="D522" i="17"/>
  <c r="G522" i="17"/>
  <c r="E483" i="17"/>
  <c r="F483" i="17"/>
  <c r="E435" i="17"/>
  <c r="H435" i="17"/>
  <c r="D454" i="17"/>
  <c r="E454" i="17"/>
  <c r="H454" i="17"/>
  <c r="D490" i="17"/>
  <c r="G490" i="17"/>
  <c r="D524" i="17"/>
  <c r="F524" i="17"/>
  <c r="G524" i="17"/>
  <c r="E499" i="17"/>
  <c r="H499" i="17"/>
  <c r="D538" i="17"/>
  <c r="F538" i="17"/>
  <c r="D474" i="17"/>
  <c r="F474" i="17"/>
  <c r="G474" i="17"/>
  <c r="D447" i="17"/>
  <c r="G447" i="17"/>
  <c r="E438" i="17"/>
  <c r="F438" i="17"/>
  <c r="E461" i="17"/>
  <c r="F461" i="17"/>
  <c r="G461" i="17"/>
  <c r="H461" i="17"/>
  <c r="E552" i="17"/>
  <c r="H552" i="17"/>
  <c r="E530" i="17"/>
  <c r="H530" i="17"/>
  <c r="D500" i="17"/>
  <c r="G500" i="17"/>
  <c r="F494" i="17"/>
  <c r="G494" i="17"/>
  <c r="E370" i="17"/>
  <c r="H370" i="17"/>
  <c r="E502" i="17"/>
  <c r="F502" i="17"/>
  <c r="D532" i="17"/>
  <c r="E532" i="17"/>
  <c r="H532" i="17"/>
  <c r="E412" i="17"/>
  <c r="G412" i="17"/>
  <c r="H412" i="17"/>
  <c r="E553" i="17"/>
  <c r="H553" i="17"/>
  <c r="D531" i="17"/>
  <c r="E531" i="17"/>
  <c r="H531" i="17"/>
  <c r="F437" i="17"/>
  <c r="D515" i="17"/>
  <c r="G515" i="17"/>
  <c r="D478" i="17"/>
  <c r="F478" i="17"/>
  <c r="G478" i="17"/>
  <c r="F450" i="17"/>
  <c r="H450" i="17"/>
  <c r="E493" i="17"/>
  <c r="F493" i="17"/>
  <c r="D497" i="17"/>
  <c r="F497" i="17"/>
  <c r="G497" i="17"/>
  <c r="E504" i="17"/>
  <c r="H504" i="17"/>
  <c r="D445" i="17"/>
  <c r="G445" i="17"/>
  <c r="E442" i="17"/>
  <c r="F442" i="17"/>
  <c r="D487" i="17"/>
  <c r="G487" i="17"/>
  <c r="E501" i="17"/>
  <c r="F501" i="17"/>
  <c r="E510" i="17"/>
  <c r="F510" i="17"/>
  <c r="G510" i="17"/>
  <c r="H510" i="17"/>
  <c r="F514" i="17"/>
  <c r="D485" i="17"/>
  <c r="E485" i="17"/>
  <c r="G485" i="17"/>
  <c r="H485" i="17"/>
  <c r="F457" i="17"/>
  <c r="E482" i="17"/>
  <c r="H482" i="17"/>
  <c r="F495" i="17"/>
  <c r="H495" i="17"/>
  <c r="F468" i="17"/>
  <c r="H468" i="17"/>
  <c r="F469" i="17"/>
  <c r="E546" i="17"/>
  <c r="F546" i="17"/>
  <c r="H546" i="17"/>
  <c r="E548" i="17"/>
  <c r="H548" i="17"/>
  <c r="D508" i="17"/>
  <c r="F508" i="17"/>
  <c r="G508" i="17"/>
  <c r="F549" i="17"/>
  <c r="D536" i="17"/>
  <c r="F536" i="17"/>
  <c r="G536" i="17"/>
  <c r="D539" i="17"/>
  <c r="E539" i="17"/>
  <c r="H539" i="17"/>
  <c r="D565" i="17"/>
  <c r="G565" i="17"/>
  <c r="D527" i="17"/>
  <c r="G527" i="17"/>
  <c r="F543" i="17"/>
  <c r="E481" i="17"/>
  <c r="F481" i="17"/>
  <c r="F544" i="17"/>
  <c r="H544" i="17"/>
  <c r="F535" i="17"/>
  <c r="H535" i="17"/>
  <c r="D540" i="17"/>
  <c r="E540" i="17"/>
  <c r="H540" i="17"/>
  <c r="D550" i="17"/>
  <c r="F550" i="17"/>
  <c r="G550" i="17"/>
  <c r="F568" i="17"/>
  <c r="D541" i="17"/>
  <c r="F541" i="17"/>
  <c r="G541" i="17"/>
  <c r="H541" i="17"/>
  <c r="F512" i="17"/>
  <c r="E513" i="17"/>
  <c r="F513" i="17"/>
  <c r="H513" i="17"/>
  <c r="D566" i="17"/>
  <c r="E566" i="17"/>
  <c r="G566" i="17"/>
  <c r="H566" i="17"/>
  <c r="F547" i="17"/>
  <c r="F525" i="17"/>
  <c r="H525" i="17"/>
  <c r="E545" i="17"/>
  <c r="F545" i="17"/>
  <c r="F537" i="17"/>
  <c r="G537" i="17"/>
  <c r="D563" i="17"/>
  <c r="F563" i="17"/>
  <c r="G563" i="17"/>
  <c r="E534" i="17"/>
  <c r="F534" i="17"/>
  <c r="H534" i="17"/>
  <c r="D517" i="17"/>
  <c r="G517" i="17"/>
  <c r="E526" i="17"/>
  <c r="F526" i="17"/>
  <c r="E529" i="17"/>
  <c r="H529" i="17"/>
  <c r="E554" i="17"/>
  <c r="H554" i="17"/>
  <c r="F564" i="17"/>
  <c r="G564" i="17"/>
  <c r="H564" i="17"/>
  <c r="E542" i="17"/>
  <c r="G542" i="17"/>
  <c r="H542" i="17"/>
  <c r="D560" i="17"/>
  <c r="G560" i="17"/>
  <c r="D503" i="17"/>
  <c r="G503" i="17"/>
  <c r="E491" i="17"/>
  <c r="F491" i="17"/>
  <c r="G491" i="17"/>
  <c r="H491" i="17"/>
  <c r="F511" i="17"/>
  <c r="D581" i="17"/>
  <c r="E581" i="17"/>
  <c r="F581" i="17"/>
  <c r="H581" i="17"/>
  <c r="D507" i="17"/>
  <c r="F507" i="17"/>
  <c r="G507" i="17"/>
  <c r="E574" i="17"/>
  <c r="F574" i="17"/>
  <c r="D572" i="17"/>
  <c r="F572" i="17"/>
  <c r="G572" i="17"/>
  <c r="D587" i="17"/>
  <c r="G587" i="17"/>
  <c r="E533" i="17"/>
  <c r="F533" i="17"/>
  <c r="H533" i="17"/>
  <c r="D575" i="17"/>
  <c r="G575" i="17"/>
  <c r="D555" i="17"/>
  <c r="E555" i="17"/>
  <c r="F555" i="17"/>
  <c r="G555" i="17"/>
  <c r="F561" i="17"/>
  <c r="D562" i="17"/>
  <c r="E562" i="17"/>
  <c r="H562" i="17"/>
  <c r="D559" i="17"/>
  <c r="G559" i="17"/>
  <c r="D520" i="17"/>
  <c r="F520" i="17"/>
  <c r="G520" i="17"/>
  <c r="D505" i="17"/>
  <c r="F505" i="17"/>
  <c r="G505" i="17"/>
  <c r="F591" i="17"/>
  <c r="E551" i="17"/>
  <c r="H551" i="17"/>
  <c r="E582" i="17"/>
  <c r="F582" i="17"/>
  <c r="D570" i="17"/>
  <c r="F570" i="17"/>
  <c r="G570" i="17"/>
  <c r="E580" i="17"/>
  <c r="H580" i="17"/>
  <c r="D556" i="17"/>
  <c r="E556" i="17"/>
  <c r="G556" i="17"/>
  <c r="H556" i="17"/>
  <c r="F586" i="17"/>
  <c r="D576" i="17"/>
  <c r="E576" i="17"/>
  <c r="F576" i="17"/>
  <c r="H576" i="17"/>
  <c r="E567" i="17"/>
  <c r="G567" i="17"/>
  <c r="H567" i="17"/>
  <c r="F578" i="17"/>
  <c r="H578" i="17"/>
  <c r="D579" i="17"/>
  <c r="E579" i="17"/>
  <c r="H579" i="17"/>
  <c r="F583" i="17"/>
  <c r="D518" i="17"/>
  <c r="E518" i="17"/>
  <c r="F518" i="17"/>
  <c r="G518" i="17"/>
  <c r="D585" i="17"/>
  <c r="F585" i="17"/>
  <c r="G585" i="17"/>
  <c r="E595" i="17"/>
  <c r="F595" i="17"/>
  <c r="E573" i="17"/>
  <c r="G573" i="17"/>
  <c r="H573" i="17"/>
  <c r="E557" i="17"/>
  <c r="H557" i="17"/>
  <c r="D571" i="17"/>
  <c r="E571" i="17"/>
  <c r="G571" i="17"/>
  <c r="H571" i="17"/>
  <c r="F558" i="17"/>
  <c r="H558" i="17"/>
  <c r="F523" i="17"/>
  <c r="E592" i="17"/>
  <c r="G592" i="17"/>
  <c r="H592" i="17"/>
  <c r="D588" i="17"/>
  <c r="G588" i="17"/>
  <c r="F577" i="17"/>
  <c r="G577" i="17"/>
  <c r="E593" i="17"/>
  <c r="H593" i="17"/>
  <c r="D589" i="17"/>
  <c r="G589" i="17"/>
  <c r="E594" i="17"/>
  <c r="G594" i="17"/>
  <c r="H594" i="17"/>
  <c r="E590" i="17"/>
  <c r="H590" i="17"/>
  <c r="E569" i="17"/>
  <c r="G569" i="17"/>
  <c r="H569" i="17"/>
  <c r="D584" i="17"/>
  <c r="G584" i="17"/>
  <c r="D596" i="17"/>
  <c r="G596" i="17"/>
  <c r="D597" i="17"/>
  <c r="E597" i="17"/>
  <c r="H597" i="17"/>
  <c r="D599" i="17"/>
  <c r="F599" i="17"/>
  <c r="G599" i="17"/>
  <c r="E598" i="17"/>
  <c r="G598" i="17"/>
  <c r="H598" i="17"/>
  <c r="D600" i="17"/>
  <c r="F600" i="17"/>
  <c r="H600" i="17"/>
  <c r="D602" i="17"/>
  <c r="E602" i="17"/>
  <c r="G602" i="17"/>
  <c r="H602" i="17"/>
  <c r="D603" i="17"/>
  <c r="F603" i="17"/>
  <c r="G603" i="17"/>
  <c r="F601" i="17"/>
  <c r="H601" i="17"/>
  <c r="G4" i="17"/>
  <c r="F4" i="17"/>
  <c r="D4" i="17"/>
  <c r="K600" i="5"/>
  <c r="N598" i="5"/>
  <c r="K581" i="5"/>
  <c r="K596" i="5"/>
  <c r="N561" i="5"/>
  <c r="Q584" i="5"/>
  <c r="K591" i="5"/>
  <c r="K554" i="5"/>
  <c r="K488" i="5"/>
  <c r="K452" i="5"/>
  <c r="K389" i="5"/>
  <c r="N502" i="5"/>
  <c r="Q190" i="5"/>
  <c r="K504" i="5"/>
  <c r="Q373" i="5"/>
  <c r="N373" i="5"/>
  <c r="Q440" i="5"/>
  <c r="Q475" i="5"/>
  <c r="N460" i="5"/>
  <c r="K377" i="5"/>
  <c r="K281" i="5"/>
  <c r="Q382" i="5"/>
  <c r="N382" i="5"/>
  <c r="K306" i="5"/>
  <c r="K186" i="5"/>
  <c r="K269" i="5"/>
  <c r="N360" i="5"/>
  <c r="K227" i="5"/>
  <c r="K266" i="5"/>
  <c r="Q385" i="5"/>
  <c r="N385" i="5"/>
  <c r="H298" i="5"/>
  <c r="K128" i="5"/>
  <c r="N291" i="5"/>
  <c r="N348" i="5"/>
  <c r="K348" i="5"/>
  <c r="Q311" i="5"/>
  <c r="N219" i="5"/>
  <c r="Q211" i="5"/>
  <c r="N211" i="5"/>
  <c r="N135" i="5"/>
  <c r="N126" i="5"/>
  <c r="K126" i="5"/>
  <c r="Q71" i="5"/>
  <c r="N33" i="5"/>
  <c r="Q34" i="5"/>
  <c r="N6" i="5"/>
  <c r="N21" i="5"/>
  <c r="Q10" i="5"/>
  <c r="N10" i="5"/>
  <c r="I567" i="4"/>
  <c r="M615" i="4"/>
  <c r="K615" i="4"/>
  <c r="M614" i="4"/>
  <c r="K614" i="4"/>
  <c r="K613" i="4"/>
  <c r="I613" i="4"/>
  <c r="G613" i="4"/>
  <c r="M599" i="4"/>
  <c r="I612" i="4"/>
  <c r="M611" i="4"/>
  <c r="I611" i="4"/>
  <c r="M592" i="4"/>
  <c r="K590" i="4"/>
  <c r="I590" i="4"/>
  <c r="I589" i="4"/>
  <c r="G589" i="4"/>
  <c r="K610" i="4"/>
  <c r="I610" i="4"/>
  <c r="I558" i="4"/>
  <c r="I608" i="4"/>
  <c r="G608" i="4"/>
  <c r="I606" i="4"/>
  <c r="K605" i="4"/>
  <c r="K604" i="4"/>
  <c r="I604" i="4"/>
  <c r="K550" i="4"/>
  <c r="K565" i="4"/>
  <c r="K574" i="4"/>
  <c r="I574" i="4"/>
  <c r="K600" i="4"/>
  <c r="I600" i="4"/>
  <c r="K547" i="4"/>
  <c r="M598" i="4"/>
  <c r="G562" i="4"/>
  <c r="M597" i="4"/>
  <c r="M596" i="4"/>
  <c r="K596" i="4"/>
  <c r="K523" i="4"/>
  <c r="I523" i="4"/>
  <c r="M482" i="4"/>
  <c r="K482" i="4"/>
  <c r="M571" i="4"/>
  <c r="K571" i="4"/>
  <c r="K569" i="4"/>
  <c r="I569" i="4"/>
  <c r="K586" i="4"/>
  <c r="I586" i="4"/>
  <c r="M585" i="4"/>
  <c r="K585" i="4"/>
  <c r="M607" i="4"/>
  <c r="K607" i="4"/>
  <c r="K582" i="4"/>
  <c r="I582" i="4"/>
  <c r="M553" i="4"/>
  <c r="K553" i="4"/>
  <c r="G579" i="4"/>
  <c r="K578" i="4"/>
  <c r="I602" i="4"/>
  <c r="G602" i="4"/>
  <c r="M545" i="4"/>
  <c r="G545" i="4"/>
  <c r="G540" i="4"/>
  <c r="K521" i="4"/>
  <c r="M538" i="4"/>
  <c r="K500" i="4"/>
  <c r="I593" i="4"/>
  <c r="G593" i="4"/>
  <c r="G570" i="4"/>
  <c r="I535" i="4"/>
  <c r="I533" i="4"/>
  <c r="M531" i="4"/>
  <c r="M557" i="4"/>
  <c r="I557" i="4"/>
  <c r="M584" i="4"/>
  <c r="K584" i="4"/>
  <c r="M441" i="4"/>
  <c r="I441" i="4"/>
  <c r="I575" i="4"/>
  <c r="G575" i="4"/>
  <c r="I451" i="4"/>
  <c r="G451" i="4"/>
  <c r="M326" i="4"/>
  <c r="K326" i="4"/>
  <c r="G449" i="4"/>
  <c r="G279" i="4"/>
  <c r="K522" i="4"/>
  <c r="I522" i="4"/>
  <c r="G560" i="4"/>
  <c r="M537" i="4"/>
  <c r="K459" i="4"/>
  <c r="G459" i="4"/>
  <c r="I496" i="4"/>
  <c r="M495" i="4"/>
  <c r="M513" i="4"/>
  <c r="K513" i="4"/>
  <c r="I513" i="4"/>
  <c r="M581" i="4"/>
  <c r="K528" i="4"/>
  <c r="I528" i="4"/>
  <c r="M527" i="4"/>
  <c r="M510" i="4"/>
  <c r="M504" i="4"/>
  <c r="K450" i="4"/>
  <c r="K425" i="4"/>
  <c r="I502" i="4"/>
  <c r="G539" i="4"/>
  <c r="I458" i="4"/>
  <c r="M518" i="4"/>
  <c r="M471" i="4"/>
  <c r="K514" i="4"/>
  <c r="M491" i="4"/>
  <c r="K491" i="4"/>
  <c r="M469" i="4"/>
  <c r="I469" i="4"/>
  <c r="M379" i="4"/>
  <c r="I464" i="4"/>
  <c r="I534" i="4"/>
  <c r="I444" i="4"/>
  <c r="M455" i="4"/>
  <c r="G455" i="4"/>
  <c r="K198" i="4"/>
  <c r="K509" i="4"/>
  <c r="I487" i="4"/>
  <c r="M409" i="4"/>
  <c r="K408" i="4"/>
  <c r="M465" i="4"/>
  <c r="K465" i="4"/>
  <c r="M390" i="4"/>
  <c r="I390" i="4"/>
  <c r="M342" i="4"/>
  <c r="K387" i="4"/>
  <c r="G466" i="4"/>
  <c r="M447" i="4"/>
  <c r="K447" i="4"/>
  <c r="G447" i="4"/>
  <c r="M431" i="4"/>
  <c r="I431" i="4"/>
  <c r="M343" i="4"/>
  <c r="M439" i="4"/>
  <c r="G426" i="4"/>
  <c r="K351" i="4"/>
  <c r="K432" i="4"/>
  <c r="G432" i="4"/>
  <c r="G331" i="4"/>
  <c r="G472" i="4"/>
  <c r="M507" i="4"/>
  <c r="G507" i="4"/>
  <c r="G327" i="4"/>
  <c r="M348" i="4"/>
  <c r="M393" i="4"/>
  <c r="M405" i="4"/>
  <c r="M366" i="4"/>
  <c r="K361" i="4"/>
  <c r="K396" i="4"/>
  <c r="M263" i="4"/>
  <c r="I456" i="4"/>
  <c r="K442" i="4"/>
  <c r="I442" i="4"/>
  <c r="K370" i="4"/>
  <c r="I298" i="4"/>
  <c r="I341" i="4"/>
  <c r="M406" i="4"/>
  <c r="K406" i="4"/>
  <c r="I406" i="4"/>
  <c r="M374" i="4"/>
  <c r="G357" i="4"/>
  <c r="M287" i="4"/>
  <c r="I417" i="4"/>
  <c r="G417" i="4"/>
  <c r="G392" i="4"/>
  <c r="G233" i="4"/>
  <c r="M239" i="4"/>
  <c r="M334" i="4"/>
  <c r="M345" i="4"/>
  <c r="M356" i="4"/>
  <c r="G214" i="4"/>
  <c r="G427" i="4"/>
  <c r="M316" i="4"/>
  <c r="K215" i="4"/>
  <c r="M191" i="4"/>
  <c r="M264" i="4"/>
  <c r="M344" i="4"/>
  <c r="G309" i="4"/>
  <c r="M384" i="4"/>
  <c r="M398" i="4"/>
  <c r="I398" i="4"/>
  <c r="M270" i="4"/>
  <c r="G371" i="4"/>
  <c r="G301" i="4"/>
  <c r="K187" i="4"/>
  <c r="I187" i="4"/>
  <c r="M254" i="4"/>
  <c r="M292" i="4"/>
  <c r="G250" i="4"/>
  <c r="M237" i="4"/>
  <c r="K237" i="4"/>
  <c r="M222" i="4"/>
  <c r="G106" i="4"/>
  <c r="M182" i="4"/>
  <c r="M193" i="4"/>
  <c r="M470" i="4"/>
  <c r="G196" i="4"/>
  <c r="M194" i="4"/>
  <c r="M153" i="4"/>
  <c r="G153" i="4"/>
  <c r="M160" i="4"/>
  <c r="G252" i="4"/>
  <c r="M85" i="4"/>
  <c r="M268" i="4"/>
  <c r="G229" i="4"/>
  <c r="M89" i="4"/>
  <c r="K89" i="4"/>
  <c r="G247" i="4"/>
  <c r="K275" i="4"/>
  <c r="M161" i="4"/>
  <c r="M139" i="4"/>
  <c r="K139" i="4"/>
  <c r="M120" i="4"/>
  <c r="M100" i="4"/>
  <c r="K100" i="4"/>
  <c r="M88" i="4"/>
  <c r="G159" i="4"/>
  <c r="G149" i="4"/>
  <c r="M67" i="4"/>
  <c r="M151" i="4"/>
  <c r="K151" i="4"/>
  <c r="M136" i="4"/>
  <c r="G141" i="4"/>
  <c r="G195" i="4"/>
  <c r="K82" i="4"/>
  <c r="G82" i="4"/>
  <c r="M87" i="4"/>
  <c r="I101" i="4"/>
  <c r="G101" i="4"/>
  <c r="K107" i="4"/>
  <c r="G72" i="4"/>
  <c r="K61" i="4"/>
  <c r="M68" i="4"/>
  <c r="M65" i="4"/>
  <c r="G59" i="4"/>
  <c r="M35" i="4"/>
  <c r="M28" i="4"/>
  <c r="K28" i="4"/>
  <c r="G28" i="4"/>
  <c r="G51" i="4"/>
  <c r="M20" i="4"/>
  <c r="M16" i="4"/>
  <c r="K10" i="4"/>
  <c r="I65" i="4" l="1"/>
  <c r="G5" i="4"/>
  <c r="H12" i="17"/>
  <c r="Q12" i="5"/>
  <c r="N515" i="5"/>
  <c r="G409" i="17"/>
  <c r="K10" i="5"/>
  <c r="K457" i="5"/>
  <c r="K163" i="5"/>
  <c r="Q360" i="5"/>
  <c r="H254" i="17"/>
  <c r="H14" i="17"/>
  <c r="K4" i="5"/>
  <c r="N311" i="5"/>
  <c r="N62" i="5"/>
  <c r="G42" i="17"/>
  <c r="H169" i="17"/>
  <c r="Q291" i="5"/>
  <c r="G7" i="17"/>
  <c r="N8" i="5"/>
  <c r="H7" i="17"/>
  <c r="Q8" i="5"/>
  <c r="E17" i="17"/>
  <c r="J261" i="17" s="1"/>
  <c r="H17" i="5"/>
  <c r="K475" i="5"/>
  <c r="F376" i="17"/>
  <c r="N584" i="5"/>
  <c r="H42" i="17"/>
  <c r="Q62" i="5"/>
  <c r="N71" i="5"/>
  <c r="H100" i="17"/>
  <c r="Q135" i="5"/>
  <c r="E244" i="17"/>
  <c r="H348" i="5"/>
  <c r="K151" i="5"/>
  <c r="K54" i="5"/>
  <c r="F124" i="17"/>
  <c r="Q21" i="5"/>
  <c r="H19" i="17"/>
  <c r="H140" i="17"/>
  <c r="Q219" i="5"/>
  <c r="K502" i="5"/>
  <c r="H244" i="17"/>
  <c r="Q348" i="5"/>
  <c r="K538" i="5"/>
  <c r="F412" i="17"/>
  <c r="F316" i="17"/>
  <c r="K202" i="5"/>
  <c r="F562" i="17"/>
  <c r="K550" i="5"/>
  <c r="K298" i="5"/>
  <c r="K448" i="5"/>
  <c r="H505" i="17"/>
  <c r="G27" i="17"/>
  <c r="N34" i="5"/>
  <c r="K336" i="5"/>
  <c r="F584" i="17"/>
  <c r="Q386" i="5"/>
  <c r="H227" i="17"/>
  <c r="G376" i="17"/>
  <c r="N475" i="5"/>
  <c r="H8" i="5"/>
  <c r="N190" i="5"/>
  <c r="N325" i="5"/>
  <c r="F262" i="17"/>
  <c r="F261" i="17"/>
  <c r="I261" i="17"/>
  <c r="E77" i="4"/>
  <c r="K38" i="4"/>
  <c r="Q50" i="5"/>
  <c r="K29" i="5"/>
  <c r="H35" i="5"/>
  <c r="E80" i="5"/>
  <c r="K57" i="5"/>
  <c r="N15" i="5"/>
  <c r="H21" i="5"/>
  <c r="K23" i="5"/>
  <c r="N24" i="5"/>
  <c r="E25" i="5"/>
  <c r="H38" i="5"/>
  <c r="E40" i="5"/>
  <c r="Q60" i="5"/>
  <c r="E21" i="5"/>
  <c r="K15" i="5"/>
  <c r="E19" i="5"/>
  <c r="E18" i="5"/>
  <c r="H27" i="5"/>
  <c r="Q23" i="5"/>
  <c r="N30" i="5"/>
  <c r="H39" i="5"/>
  <c r="E45" i="5"/>
  <c r="N28" i="5"/>
  <c r="N9" i="5"/>
  <c r="K39" i="5"/>
  <c r="K12" i="5"/>
  <c r="N16" i="5"/>
  <c r="H11" i="5"/>
  <c r="N43" i="5"/>
  <c r="H56" i="5"/>
  <c r="E29" i="5"/>
  <c r="Q49" i="5"/>
  <c r="N87" i="5"/>
  <c r="Q9" i="5"/>
  <c r="E7" i="5"/>
  <c r="H5" i="5"/>
  <c r="E76" i="5"/>
  <c r="Q25" i="5"/>
  <c r="K5" i="5"/>
  <c r="H13" i="5"/>
  <c r="H19" i="5"/>
  <c r="Q43" i="5"/>
  <c r="H69" i="5"/>
  <c r="N65" i="5"/>
  <c r="K51" i="5"/>
  <c r="Q92" i="5"/>
  <c r="Q75" i="5"/>
  <c r="H12" i="5"/>
  <c r="E13" i="5"/>
  <c r="Q16" i="5"/>
  <c r="H41" i="5"/>
  <c r="Q19" i="5"/>
  <c r="E36" i="5"/>
  <c r="K124" i="5"/>
  <c r="N5" i="5"/>
  <c r="K13" i="5"/>
  <c r="K7" i="5"/>
  <c r="E12" i="5"/>
  <c r="E14" i="5"/>
  <c r="K26" i="5"/>
  <c r="H25" i="5"/>
  <c r="E33" i="5"/>
  <c r="E69" i="5"/>
  <c r="E50" i="5"/>
  <c r="E22" i="5"/>
  <c r="H62" i="5"/>
  <c r="Q76" i="5"/>
  <c r="N67" i="5"/>
  <c r="Q68" i="5"/>
  <c r="K88" i="5"/>
  <c r="N115" i="5"/>
  <c r="K141" i="5"/>
  <c r="K109" i="5"/>
  <c r="E140" i="5"/>
  <c r="E204" i="5"/>
  <c r="Q145" i="5"/>
  <c r="E163" i="5"/>
  <c r="Q134" i="5"/>
  <c r="N200" i="5"/>
  <c r="E95" i="5"/>
  <c r="K97" i="5"/>
  <c r="H219" i="5"/>
  <c r="N569" i="5"/>
  <c r="N565" i="5"/>
  <c r="N548" i="5"/>
  <c r="N508" i="5"/>
  <c r="N507" i="5"/>
  <c r="N401" i="5"/>
  <c r="N434" i="5"/>
  <c r="N558" i="5"/>
  <c r="N506" i="5"/>
  <c r="N326" i="5"/>
  <c r="N442" i="5"/>
  <c r="N498" i="5"/>
  <c r="N534" i="5"/>
  <c r="N398" i="5"/>
  <c r="N384" i="5"/>
  <c r="N374" i="5"/>
  <c r="N491" i="5"/>
  <c r="N419" i="5"/>
  <c r="N456" i="5"/>
  <c r="N318" i="5"/>
  <c r="N557" i="5"/>
  <c r="N560" i="5"/>
  <c r="N437" i="5"/>
  <c r="N435" i="5"/>
  <c r="N522" i="5"/>
  <c r="N391" i="5"/>
  <c r="N346" i="5"/>
  <c r="N504" i="5"/>
  <c r="N492" i="5"/>
  <c r="N467" i="5"/>
  <c r="N541" i="5"/>
  <c r="N458" i="5"/>
  <c r="N497" i="5"/>
  <c r="N449" i="5"/>
  <c r="N450" i="5"/>
  <c r="N358" i="5"/>
  <c r="N427" i="5"/>
  <c r="N355" i="5"/>
  <c r="N404" i="5"/>
  <c r="N337" i="5"/>
  <c r="N445" i="5"/>
  <c r="N568" i="5"/>
  <c r="N361" i="5"/>
  <c r="N466" i="5"/>
  <c r="N418" i="5"/>
  <c r="N420" i="5"/>
  <c r="N403" i="5"/>
  <c r="N474" i="5"/>
  <c r="N416" i="5"/>
  <c r="N428" i="5"/>
  <c r="N332" i="5"/>
  <c r="N397" i="5"/>
  <c r="N505" i="5"/>
  <c r="N446" i="5"/>
  <c r="N444" i="5"/>
  <c r="N329" i="5"/>
  <c r="N257" i="5"/>
  <c r="N202" i="5"/>
  <c r="N308" i="5"/>
  <c r="N111" i="5"/>
  <c r="N378" i="5"/>
  <c r="N234" i="5"/>
  <c r="N268" i="5"/>
  <c r="N168" i="5"/>
  <c r="N217" i="5"/>
  <c r="N390" i="5"/>
  <c r="N199" i="5"/>
  <c r="N338" i="5"/>
  <c r="N408" i="5"/>
  <c r="N273" i="5"/>
  <c r="N295" i="5"/>
  <c r="N208" i="5"/>
  <c r="N172" i="5"/>
  <c r="N370" i="5"/>
  <c r="N399" i="5"/>
  <c r="N330" i="5"/>
  <c r="N174" i="5"/>
  <c r="N113" i="5"/>
  <c r="N409" i="5"/>
  <c r="N317" i="5"/>
  <c r="N284" i="5"/>
  <c r="N477" i="5"/>
  <c r="N270" i="5"/>
  <c r="N388" i="5"/>
  <c r="N421" i="5"/>
  <c r="N186" i="5"/>
  <c r="N165" i="5"/>
  <c r="N282" i="5"/>
  <c r="N334" i="5"/>
  <c r="N292" i="5"/>
  <c r="N181" i="5"/>
  <c r="N327" i="5"/>
  <c r="N328" i="5"/>
  <c r="N307" i="5"/>
  <c r="N304" i="5"/>
  <c r="N293" i="5"/>
  <c r="N290" i="5"/>
  <c r="N340" i="5"/>
  <c r="N305" i="5"/>
  <c r="N266" i="5"/>
  <c r="N157" i="5"/>
  <c r="N380" i="5"/>
  <c r="N152" i="5"/>
  <c r="N298" i="5"/>
  <c r="N198" i="5"/>
  <c r="N276" i="5"/>
  <c r="N226" i="5"/>
  <c r="N245" i="5"/>
  <c r="N180" i="5"/>
  <c r="N188" i="5"/>
  <c r="N319" i="5"/>
  <c r="N287" i="5"/>
  <c r="N246" i="5"/>
  <c r="N252" i="5"/>
  <c r="N182" i="5"/>
  <c r="N207" i="5"/>
  <c r="N85" i="5"/>
  <c r="N102" i="5"/>
  <c r="N253" i="5"/>
  <c r="N214" i="5"/>
  <c r="N232" i="5"/>
  <c r="N187" i="5"/>
  <c r="N216" i="5"/>
  <c r="N339" i="5"/>
  <c r="N254" i="5"/>
  <c r="N51" i="5"/>
  <c r="N314" i="5"/>
  <c r="N343" i="5"/>
  <c r="N261" i="5"/>
  <c r="N101" i="5"/>
  <c r="N215" i="5"/>
  <c r="N95" i="5"/>
  <c r="N121" i="5"/>
  <c r="N221" i="5"/>
  <c r="N98" i="5"/>
  <c r="N48" i="5"/>
  <c r="N91" i="5"/>
  <c r="N36" i="5"/>
  <c r="N196" i="5"/>
  <c r="N90" i="5"/>
  <c r="N134" i="5"/>
  <c r="N145" i="5"/>
  <c r="N243" i="5"/>
  <c r="N47" i="5"/>
  <c r="N210" i="5"/>
  <c r="N218" i="5"/>
  <c r="N150" i="5"/>
  <c r="N184" i="5"/>
  <c r="N89" i="5"/>
  <c r="N105" i="5"/>
  <c r="N74" i="5"/>
  <c r="N275" i="5"/>
  <c r="N142" i="5"/>
  <c r="N99" i="5"/>
  <c r="N72" i="5"/>
  <c r="N68" i="5"/>
  <c r="N58" i="5"/>
  <c r="N143" i="5"/>
  <c r="N136" i="5"/>
  <c r="N124" i="5"/>
  <c r="N107" i="5"/>
  <c r="N52" i="5"/>
  <c r="N128" i="5"/>
  <c r="N448" i="5"/>
  <c r="N256" i="5"/>
  <c r="N175" i="5"/>
  <c r="N77" i="5"/>
  <c r="K8" i="5"/>
  <c r="K17" i="5"/>
  <c r="E23" i="5"/>
  <c r="E24" i="5"/>
  <c r="N32" i="5"/>
  <c r="H43" i="5"/>
  <c r="E42" i="5"/>
  <c r="H53" i="5"/>
  <c r="H61" i="5"/>
  <c r="K60" i="5"/>
  <c r="E92" i="5"/>
  <c r="H57" i="5"/>
  <c r="H72" i="5"/>
  <c r="N118" i="5"/>
  <c r="E47" i="5"/>
  <c r="E84" i="5"/>
  <c r="H98" i="5"/>
  <c r="H100" i="5"/>
  <c r="K82" i="5"/>
  <c r="Q142" i="5"/>
  <c r="K133" i="5"/>
  <c r="K156" i="5"/>
  <c r="N104" i="5"/>
  <c r="K137" i="5"/>
  <c r="N106" i="5"/>
  <c r="H151" i="5"/>
  <c r="E9" i="5"/>
  <c r="N13" i="5"/>
  <c r="K18" i="5"/>
  <c r="H14" i="5"/>
  <c r="E6" i="5"/>
  <c r="N37" i="5"/>
  <c r="K25" i="5"/>
  <c r="K38" i="5"/>
  <c r="H34" i="5"/>
  <c r="H22" i="5"/>
  <c r="H36" i="5"/>
  <c r="K62" i="5"/>
  <c r="N64" i="5"/>
  <c r="N46" i="5"/>
  <c r="E51" i="5"/>
  <c r="H87" i="5"/>
  <c r="H58" i="5"/>
  <c r="H44" i="5"/>
  <c r="K81" i="5"/>
  <c r="N88" i="5"/>
  <c r="K131" i="5"/>
  <c r="N141" i="5"/>
  <c r="N109" i="5"/>
  <c r="E94" i="5"/>
  <c r="H211" i="5"/>
  <c r="N108" i="5"/>
  <c r="E78" i="5"/>
  <c r="E149" i="5"/>
  <c r="Q275" i="5"/>
  <c r="E221" i="5"/>
  <c r="Q117" i="5"/>
  <c r="E121" i="5"/>
  <c r="K148" i="5"/>
  <c r="N179" i="5"/>
  <c r="E183" i="5"/>
  <c r="H95" i="5"/>
  <c r="K209" i="5"/>
  <c r="N97" i="5"/>
  <c r="E218" i="5"/>
  <c r="H192" i="5"/>
  <c r="Q15" i="5"/>
  <c r="N26" i="5"/>
  <c r="K28" i="5"/>
  <c r="H33" i="5"/>
  <c r="H63" i="5"/>
  <c r="K53" i="5"/>
  <c r="K45" i="5"/>
  <c r="Q65" i="5"/>
  <c r="K61" i="5"/>
  <c r="N60" i="5"/>
  <c r="N59" i="5"/>
  <c r="E83" i="5"/>
  <c r="E55" i="5"/>
  <c r="H47" i="5"/>
  <c r="H84" i="5"/>
  <c r="E89" i="5"/>
  <c r="H164" i="5"/>
  <c r="E184" i="5"/>
  <c r="E155" i="5"/>
  <c r="N133" i="5"/>
  <c r="N156" i="5"/>
  <c r="N54" i="5"/>
  <c r="Q201" i="5"/>
  <c r="E162" i="5"/>
  <c r="K154" i="5"/>
  <c r="N166" i="5"/>
  <c r="Q274" i="5"/>
  <c r="H143" i="5"/>
  <c r="K161" i="5"/>
  <c r="N176" i="5"/>
  <c r="Q187" i="5"/>
  <c r="E322" i="5"/>
  <c r="H210" i="5"/>
  <c r="K232" i="5"/>
  <c r="N194" i="5"/>
  <c r="E214" i="5"/>
  <c r="H215" i="5"/>
  <c r="H189" i="5"/>
  <c r="N240" i="5"/>
  <c r="Q597" i="5"/>
  <c r="Q570" i="5"/>
  <c r="Q543" i="5"/>
  <c r="Q576" i="5"/>
  <c r="Q546" i="5"/>
  <c r="Q555" i="5"/>
  <c r="Q556" i="5"/>
  <c r="Q476" i="5"/>
  <c r="Q493" i="5"/>
  <c r="Q384" i="5"/>
  <c r="Q374" i="5"/>
  <c r="Q539" i="5"/>
  <c r="Q419" i="5"/>
  <c r="Q456" i="5"/>
  <c r="Q357" i="5"/>
  <c r="Q531" i="5"/>
  <c r="Q511" i="5"/>
  <c r="Q366" i="5"/>
  <c r="Q438" i="5"/>
  <c r="Q517" i="5"/>
  <c r="Q406" i="5"/>
  <c r="Q447" i="5"/>
  <c r="Q485" i="5"/>
  <c r="Q431" i="5"/>
  <c r="Q551" i="5"/>
  <c r="Q542" i="5"/>
  <c r="Q509" i="5"/>
  <c r="Q459" i="5"/>
  <c r="Q473" i="5"/>
  <c r="Q502" i="5"/>
  <c r="Q395" i="5"/>
  <c r="Q297" i="5"/>
  <c r="Q452" i="5"/>
  <c r="Q362" i="5"/>
  <c r="Q458" i="5"/>
  <c r="Q530" i="5"/>
  <c r="Q333" i="5"/>
  <c r="Q430" i="5"/>
  <c r="Q528" i="5"/>
  <c r="Q496" i="5"/>
  <c r="Q429" i="5"/>
  <c r="Q428" i="5"/>
  <c r="Q515" i="5"/>
  <c r="Q423" i="5"/>
  <c r="Q425" i="5"/>
  <c r="Q424" i="5"/>
  <c r="Q450" i="5"/>
  <c r="Q454" i="5"/>
  <c r="Q320" i="5"/>
  <c r="Q313" i="5"/>
  <c r="Q281" i="5"/>
  <c r="Q379" i="5"/>
  <c r="Q303" i="5"/>
  <c r="Q203" i="5"/>
  <c r="Q309" i="5"/>
  <c r="Q273" i="5"/>
  <c r="Q300" i="5"/>
  <c r="Q172" i="5"/>
  <c r="Q370" i="5"/>
  <c r="Q256" i="5"/>
  <c r="Q326" i="5"/>
  <c r="Q427" i="5"/>
  <c r="Q279" i="5"/>
  <c r="Q402" i="5"/>
  <c r="Q460" i="5"/>
  <c r="Q413" i="5"/>
  <c r="Q289" i="5"/>
  <c r="Q350" i="5"/>
  <c r="Q407" i="5"/>
  <c r="Q477" i="5"/>
  <c r="Q270" i="5"/>
  <c r="Q306" i="5"/>
  <c r="Q186" i="5"/>
  <c r="Q340" i="5"/>
  <c r="Q257" i="5"/>
  <c r="Q321" i="5"/>
  <c r="Q277" i="5"/>
  <c r="Q228" i="5"/>
  <c r="Q233" i="5"/>
  <c r="Q266" i="5"/>
  <c r="Q157" i="5"/>
  <c r="Q159" i="5"/>
  <c r="Q152" i="5"/>
  <c r="Q298" i="5"/>
  <c r="Q202" i="5"/>
  <c r="Q4" i="5"/>
  <c r="Q236" i="5"/>
  <c r="Q267" i="5"/>
  <c r="Q260" i="5"/>
  <c r="Q197" i="5"/>
  <c r="Q191" i="5"/>
  <c r="Q138" i="5"/>
  <c r="Q354" i="5"/>
  <c r="Q180" i="5"/>
  <c r="Q188" i="5"/>
  <c r="Q462" i="5"/>
  <c r="Q287" i="5"/>
  <c r="Q246" i="5"/>
  <c r="Q308" i="5"/>
  <c r="Q271" i="5"/>
  <c r="Q195" i="5"/>
  <c r="Q258" i="5"/>
  <c r="Q341" i="5"/>
  <c r="Q285" i="5"/>
  <c r="Q314" i="5"/>
  <c r="Q343" i="5"/>
  <c r="Q178" i="5"/>
  <c r="Q128" i="5"/>
  <c r="Q175" i="5"/>
  <c r="Q251" i="5"/>
  <c r="Q264" i="5"/>
  <c r="Q146" i="5"/>
  <c r="Q206" i="5"/>
  <c r="Q247" i="5"/>
  <c r="Q323" i="5"/>
  <c r="Q123" i="5"/>
  <c r="Q210" i="5"/>
  <c r="Q176" i="5"/>
  <c r="Q130" i="5"/>
  <c r="Q167" i="5"/>
  <c r="Q299" i="5"/>
  <c r="Q292" i="5"/>
  <c r="Q196" i="5"/>
  <c r="Q22" i="5"/>
  <c r="Q232" i="5"/>
  <c r="Q218" i="5"/>
  <c r="Q155" i="5"/>
  <c r="Q184" i="5"/>
  <c r="Q89" i="5"/>
  <c r="Q61" i="5"/>
  <c r="Q35" i="5"/>
  <c r="Q20" i="5"/>
  <c r="Q122" i="5"/>
  <c r="Q200" i="5"/>
  <c r="Q93" i="5"/>
  <c r="Q112" i="5"/>
  <c r="Q86" i="5"/>
  <c r="Q161" i="5"/>
  <c r="Q144" i="5"/>
  <c r="Q136" i="5"/>
  <c r="Q124" i="5"/>
  <c r="Q57" i="5"/>
  <c r="Q67" i="5"/>
  <c r="Q216" i="5"/>
  <c r="Q185" i="5"/>
  <c r="Q179" i="5"/>
  <c r="Q156" i="5"/>
  <c r="Q73" i="5"/>
  <c r="Q115" i="5"/>
  <c r="Q110" i="5"/>
  <c r="Q352" i="5"/>
  <c r="Q165" i="5"/>
  <c r="Q240" i="5"/>
  <c r="Q282" i="5"/>
  <c r="Q154" i="5"/>
  <c r="Q148" i="5"/>
  <c r="Q103" i="5"/>
  <c r="Q249" i="5"/>
  <c r="Q88" i="5"/>
  <c r="Q118" i="5"/>
  <c r="Q189" i="5"/>
  <c r="Q169" i="5"/>
  <c r="Q205" i="5"/>
  <c r="Q95" i="5"/>
  <c r="Q121" i="5"/>
  <c r="K11" i="5"/>
  <c r="E10" i="5"/>
  <c r="N17" i="5"/>
  <c r="K27" i="5"/>
  <c r="K14" i="5"/>
  <c r="K21" i="5"/>
  <c r="H24" i="5"/>
  <c r="E16" i="5"/>
  <c r="Q32" i="5"/>
  <c r="N39" i="5"/>
  <c r="N25" i="5"/>
  <c r="H31" i="5"/>
  <c r="K36" i="5"/>
  <c r="N20" i="5"/>
  <c r="Q46" i="5"/>
  <c r="E49" i="5"/>
  <c r="H51" i="5"/>
  <c r="H66" i="5"/>
  <c r="K58" i="5"/>
  <c r="N70" i="5"/>
  <c r="K44" i="5"/>
  <c r="N79" i="5"/>
  <c r="N81" i="5"/>
  <c r="E86" i="5"/>
  <c r="N131" i="5"/>
  <c r="N114" i="5"/>
  <c r="Q109" i="5"/>
  <c r="Q108" i="5"/>
  <c r="E145" i="5"/>
  <c r="E134" i="5"/>
  <c r="K153" i="5"/>
  <c r="H183" i="5"/>
  <c r="N209" i="5"/>
  <c r="E122" i="5"/>
  <c r="N7" i="5"/>
  <c r="E599" i="5"/>
  <c r="E529" i="5"/>
  <c r="E464" i="5"/>
  <c r="E532" i="5"/>
  <c r="E554" i="5"/>
  <c r="E541" i="5"/>
  <c r="E497" i="5"/>
  <c r="E465" i="5"/>
  <c r="E557" i="5"/>
  <c r="E494" i="5"/>
  <c r="E470" i="5"/>
  <c r="E405" i="5"/>
  <c r="E500" i="5"/>
  <c r="E356" i="5"/>
  <c r="E451" i="5"/>
  <c r="E503" i="5"/>
  <c r="E383" i="5"/>
  <c r="E485" i="5"/>
  <c r="E431" i="5"/>
  <c r="E510" i="5"/>
  <c r="E238" i="5"/>
  <c r="E371" i="5"/>
  <c r="E512" i="5"/>
  <c r="E551" i="5"/>
  <c r="E509" i="5"/>
  <c r="E459" i="5"/>
  <c r="E473" i="5"/>
  <c r="E472" i="5"/>
  <c r="E237" i="5"/>
  <c r="E417" i="5"/>
  <c r="E474" i="5"/>
  <c r="E481" i="5"/>
  <c r="E404" i="5"/>
  <c r="E505" i="5"/>
  <c r="E521" i="5"/>
  <c r="E507" i="5"/>
  <c r="E466" i="5"/>
  <c r="E568" i="5"/>
  <c r="E418" i="5"/>
  <c r="E401" i="5"/>
  <c r="E496" i="5"/>
  <c r="E456" i="5"/>
  <c r="E349" i="5"/>
  <c r="E469" i="5"/>
  <c r="E428" i="5"/>
  <c r="E539" i="5"/>
  <c r="E392" i="5"/>
  <c r="E324" i="5"/>
  <c r="E425" i="5"/>
  <c r="E376" i="5"/>
  <c r="E493" i="5"/>
  <c r="E419" i="5"/>
  <c r="E384" i="5"/>
  <c r="E374" i="5"/>
  <c r="E272" i="5"/>
  <c r="E357" i="5"/>
  <c r="E450" i="5"/>
  <c r="E453" i="5"/>
  <c r="E454" i="5"/>
  <c r="E338" i="5"/>
  <c r="E309" i="5"/>
  <c r="E295" i="5"/>
  <c r="E300" i="5"/>
  <c r="E172" i="5"/>
  <c r="E370" i="5"/>
  <c r="E445" i="5"/>
  <c r="E399" i="5"/>
  <c r="E394" i="5"/>
  <c r="E412" i="5"/>
  <c r="E160" i="5"/>
  <c r="E310" i="5"/>
  <c r="E305" i="5"/>
  <c r="E256" i="5"/>
  <c r="E516" i="5"/>
  <c r="E350" i="5"/>
  <c r="E402" i="5"/>
  <c r="E248" i="5"/>
  <c r="E262" i="5"/>
  <c r="E414" i="5"/>
  <c r="E351" i="5"/>
  <c r="E360" i="5"/>
  <c r="E440" i="5"/>
  <c r="E478" i="5"/>
  <c r="E396" i="5"/>
  <c r="E344" i="5"/>
  <c r="E345" i="5"/>
  <c r="E463" i="5"/>
  <c r="E239" i="5"/>
  <c r="E377" i="5"/>
  <c r="E378" i="5"/>
  <c r="E281" i="5"/>
  <c r="E278" i="5"/>
  <c r="E170" i="5"/>
  <c r="E381" i="5"/>
  <c r="E283" i="5"/>
  <c r="E4" i="5"/>
  <c r="E379" i="5"/>
  <c r="E180" i="5"/>
  <c r="E188" i="5"/>
  <c r="E462" i="5"/>
  <c r="E287" i="5"/>
  <c r="E246" i="5"/>
  <c r="E250" i="5"/>
  <c r="E268" i="5"/>
  <c r="E280" i="5"/>
  <c r="E385" i="5"/>
  <c r="E182" i="5"/>
  <c r="E158" i="5"/>
  <c r="E85" i="5"/>
  <c r="E102" i="5"/>
  <c r="E303" i="5"/>
  <c r="E341" i="5"/>
  <c r="E301" i="5"/>
  <c r="E229" i="5"/>
  <c r="E90" i="5"/>
  <c r="E347" i="5"/>
  <c r="E343" i="5"/>
  <c r="E251" i="5"/>
  <c r="E264" i="5"/>
  <c r="E146" i="5"/>
  <c r="E206" i="5"/>
  <c r="E247" i="5"/>
  <c r="E323" i="5"/>
  <c r="E244" i="5"/>
  <c r="E169" i="5"/>
  <c r="E241" i="5"/>
  <c r="E230" i="5"/>
  <c r="E125" i="5"/>
  <c r="E325" i="5"/>
  <c r="E291" i="5"/>
  <c r="E106" i="5"/>
  <c r="E123" i="5"/>
  <c r="E210" i="5"/>
  <c r="E176" i="5"/>
  <c r="E203" i="5"/>
  <c r="E227" i="5"/>
  <c r="E415" i="5"/>
  <c r="E35" i="5"/>
  <c r="E20" i="5"/>
  <c r="E187" i="5"/>
  <c r="E117" i="5"/>
  <c r="E275" i="5"/>
  <c r="E142" i="5"/>
  <c r="E135" i="5"/>
  <c r="E72" i="5"/>
  <c r="E68" i="5"/>
  <c r="E216" i="5"/>
  <c r="E144" i="5"/>
  <c r="E136" i="5"/>
  <c r="E124" i="5"/>
  <c r="E263" i="5"/>
  <c r="E132" i="5"/>
  <c r="E286" i="5"/>
  <c r="E128" i="5"/>
  <c r="E274" i="5"/>
  <c r="E185" i="5"/>
  <c r="E179" i="5"/>
  <c r="E156" i="5"/>
  <c r="E73" i="5"/>
  <c r="E115" i="5"/>
  <c r="E110" i="5"/>
  <c r="E151" i="5"/>
  <c r="E154" i="5"/>
  <c r="E82" i="5"/>
  <c r="E108" i="5"/>
  <c r="E109" i="5"/>
  <c r="E71" i="5"/>
  <c r="E87" i="5"/>
  <c r="E65" i="5"/>
  <c r="E234" i="5"/>
  <c r="E119" i="5"/>
  <c r="E189" i="5"/>
  <c r="E175" i="5"/>
  <c r="E126" i="5"/>
  <c r="E201" i="5"/>
  <c r="E209" i="5"/>
  <c r="E147" i="5"/>
  <c r="E114" i="5"/>
  <c r="E131" i="5"/>
  <c r="E66" i="5"/>
  <c r="E46" i="5"/>
  <c r="E53" i="5"/>
  <c r="E311" i="5"/>
  <c r="Q7" i="5"/>
  <c r="H6" i="5"/>
  <c r="E30" i="5"/>
  <c r="E32" i="5"/>
  <c r="K34" i="5"/>
  <c r="K33" i="5"/>
  <c r="Q29" i="5"/>
  <c r="E52" i="5"/>
  <c r="K80" i="5"/>
  <c r="N61" i="5"/>
  <c r="H83" i="5"/>
  <c r="K92" i="5"/>
  <c r="E118" i="5"/>
  <c r="H55" i="5"/>
  <c r="H135" i="5"/>
  <c r="H105" i="5"/>
  <c r="E112" i="5"/>
  <c r="H89" i="5"/>
  <c r="E93" i="5"/>
  <c r="H184" i="5"/>
  <c r="H155" i="5"/>
  <c r="N96" i="5"/>
  <c r="Q82" i="5"/>
  <c r="H243" i="5"/>
  <c r="N249" i="5"/>
  <c r="N103" i="5"/>
  <c r="Q137" i="5"/>
  <c r="Q26" i="5"/>
  <c r="Q37" i="5"/>
  <c r="H10" i="5"/>
  <c r="Q17" i="5"/>
  <c r="N14" i="5"/>
  <c r="K24" i="5"/>
  <c r="H16" i="5"/>
  <c r="K31" i="5"/>
  <c r="K69" i="5"/>
  <c r="H49" i="5"/>
  <c r="Q70" i="5"/>
  <c r="E67" i="5"/>
  <c r="N44" i="5"/>
  <c r="Q79" i="5"/>
  <c r="E75" i="5"/>
  <c r="Q131" i="5"/>
  <c r="Q114" i="5"/>
  <c r="Q147" i="5"/>
  <c r="N140" i="5"/>
  <c r="N204" i="5"/>
  <c r="H134" i="5"/>
  <c r="N153" i="5"/>
  <c r="E200" i="5"/>
  <c r="Q209" i="5"/>
  <c r="H122" i="5"/>
  <c r="N192" i="5"/>
  <c r="H9" i="5"/>
  <c r="E15" i="5"/>
  <c r="Q13" i="5"/>
  <c r="N18" i="5"/>
  <c r="N38" i="5"/>
  <c r="K40" i="5"/>
  <c r="K50" i="5"/>
  <c r="K63" i="5"/>
  <c r="K22" i="5"/>
  <c r="N53" i="5"/>
  <c r="N56" i="5"/>
  <c r="H602" i="5"/>
  <c r="H548" i="5"/>
  <c r="H464" i="5"/>
  <c r="H556" i="5"/>
  <c r="H580" i="5"/>
  <c r="H316" i="5"/>
  <c r="H485" i="5"/>
  <c r="H431" i="5"/>
  <c r="H495" i="5"/>
  <c r="H238" i="5"/>
  <c r="H371" i="5"/>
  <c r="H369" i="5"/>
  <c r="H480" i="5"/>
  <c r="H452" i="5"/>
  <c r="H393" i="5"/>
  <c r="H444" i="5"/>
  <c r="H513" i="5"/>
  <c r="H365" i="5"/>
  <c r="H458" i="5"/>
  <c r="H568" i="5"/>
  <c r="H410" i="5"/>
  <c r="H533" i="5"/>
  <c r="H436" i="5"/>
  <c r="H403" i="5"/>
  <c r="H331" i="5"/>
  <c r="H434" i="5"/>
  <c r="H355" i="5"/>
  <c r="H359" i="5"/>
  <c r="H326" i="5"/>
  <c r="H498" i="5"/>
  <c r="H563" i="5"/>
  <c r="H430" i="5"/>
  <c r="H530" i="5"/>
  <c r="H547" i="5"/>
  <c r="H438" i="5"/>
  <c r="H531" i="5"/>
  <c r="H397" i="5"/>
  <c r="H447" i="5"/>
  <c r="H511" i="5"/>
  <c r="H338" i="5"/>
  <c r="H356" i="5"/>
  <c r="H423" i="5"/>
  <c r="H516" i="5"/>
  <c r="H517" i="5"/>
  <c r="H357" i="5"/>
  <c r="H375" i="5"/>
  <c r="H468" i="5"/>
  <c r="H449" i="5"/>
  <c r="H391" i="5"/>
  <c r="H492" i="5"/>
  <c r="H479" i="5"/>
  <c r="H440" i="5"/>
  <c r="H494" i="5"/>
  <c r="H346" i="5"/>
  <c r="H500" i="5"/>
  <c r="H333" i="5"/>
  <c r="H364" i="5"/>
  <c r="H312" i="5"/>
  <c r="H113" i="5"/>
  <c r="H413" i="5"/>
  <c r="H382" i="5"/>
  <c r="H342" i="5"/>
  <c r="H262" i="5"/>
  <c r="H414" i="5"/>
  <c r="H386" i="5"/>
  <c r="H360" i="5"/>
  <c r="H229" i="5"/>
  <c r="H278" i="5"/>
  <c r="H241" i="5"/>
  <c r="H336" i="5"/>
  <c r="H478" i="5"/>
  <c r="H255" i="5"/>
  <c r="H400" i="5"/>
  <c r="H329" i="5"/>
  <c r="H288" i="5"/>
  <c r="H269" i="5"/>
  <c r="H328" i="5"/>
  <c r="H242" i="5"/>
  <c r="H377" i="5"/>
  <c r="H378" i="5"/>
  <c r="H111" i="5"/>
  <c r="H244" i="5"/>
  <c r="H234" i="5"/>
  <c r="H408" i="5"/>
  <c r="H309" i="5"/>
  <c r="H273" i="5"/>
  <c r="H265" i="5"/>
  <c r="H172" i="5"/>
  <c r="H409" i="5"/>
  <c r="H319" i="5"/>
  <c r="H280" i="5"/>
  <c r="H385" i="5"/>
  <c r="H252" i="5"/>
  <c r="H158" i="5"/>
  <c r="H85" i="5"/>
  <c r="H254" i="5"/>
  <c r="H225" i="5"/>
  <c r="H285" i="5"/>
  <c r="H314" i="5"/>
  <c r="H212" i="5"/>
  <c r="H178" i="5"/>
  <c r="H168" i="5"/>
  <c r="H310" i="5"/>
  <c r="H256" i="5"/>
  <c r="H251" i="5"/>
  <c r="H264" i="5"/>
  <c r="H261" i="5"/>
  <c r="H206" i="5"/>
  <c r="H247" i="5"/>
  <c r="H299" i="5"/>
  <c r="H387" i="5"/>
  <c r="H222" i="5"/>
  <c r="H205" i="5"/>
  <c r="H330" i="5"/>
  <c r="H227" i="5"/>
  <c r="H334" i="5"/>
  <c r="H263" i="5"/>
  <c r="H132" i="5"/>
  <c r="H302" i="5"/>
  <c r="H213" i="5"/>
  <c r="H223" i="5"/>
  <c r="H335" i="5"/>
  <c r="H307" i="5"/>
  <c r="H171" i="5"/>
  <c r="H139" i="5"/>
  <c r="H290" i="5"/>
  <c r="H311" i="5"/>
  <c r="H322" i="5"/>
  <c r="H161" i="5"/>
  <c r="H300" i="5"/>
  <c r="H128" i="5"/>
  <c r="H130" i="5"/>
  <c r="H185" i="5"/>
  <c r="H179" i="5"/>
  <c r="H107" i="5"/>
  <c r="H73" i="5"/>
  <c r="H115" i="5"/>
  <c r="H52" i="5"/>
  <c r="H45" i="5"/>
  <c r="H42" i="5"/>
  <c r="H198" i="5"/>
  <c r="H119" i="5"/>
  <c r="H245" i="5"/>
  <c r="H77" i="5"/>
  <c r="H97" i="5"/>
  <c r="H148" i="5"/>
  <c r="H103" i="5"/>
  <c r="H141" i="5"/>
  <c r="H88" i="5"/>
  <c r="H106" i="5"/>
  <c r="H120" i="5"/>
  <c r="H96" i="5"/>
  <c r="H147" i="5"/>
  <c r="H114" i="5"/>
  <c r="H59" i="5"/>
  <c r="H137" i="5"/>
  <c r="H54" i="5"/>
  <c r="H153" i="5"/>
  <c r="H163" i="5"/>
  <c r="H204" i="5"/>
  <c r="H81" i="5"/>
  <c r="H75" i="5"/>
  <c r="H92" i="5"/>
  <c r="H123" i="5"/>
  <c r="H221" i="5"/>
  <c r="H149" i="5"/>
  <c r="H78" i="5"/>
  <c r="H91" i="5"/>
  <c r="H70" i="5"/>
  <c r="H380" i="5"/>
  <c r="H170" i="5"/>
  <c r="H381" i="5"/>
  <c r="H74" i="5"/>
  <c r="H150" i="5"/>
  <c r="N11" i="5"/>
  <c r="K9" i="5"/>
  <c r="H15" i="5"/>
  <c r="N27" i="5"/>
  <c r="H30" i="5"/>
  <c r="E26" i="5"/>
  <c r="E37" i="5"/>
  <c r="E39" i="5"/>
  <c r="N42" i="5"/>
  <c r="N50" i="5"/>
  <c r="N22" i="5"/>
  <c r="Q53" i="5"/>
  <c r="N80" i="5"/>
  <c r="N92" i="5"/>
  <c r="Q72" i="5"/>
  <c r="H112" i="5"/>
  <c r="N164" i="5"/>
  <c r="H93" i="5"/>
  <c r="H99" i="5"/>
  <c r="K155" i="5"/>
  <c r="K243" i="5"/>
  <c r="E8" i="5"/>
  <c r="Q18" i="5"/>
  <c r="N40" i="5"/>
  <c r="N31" i="5"/>
  <c r="N69" i="5"/>
  <c r="N63" i="5"/>
  <c r="Q45" i="5"/>
  <c r="H65" i="5"/>
  <c r="K49" i="5"/>
  <c r="Q58" i="5"/>
  <c r="E60" i="5"/>
  <c r="H67" i="5"/>
  <c r="K68" i="5"/>
  <c r="E91" i="5"/>
  <c r="H118" i="5"/>
  <c r="K55" i="5"/>
  <c r="Q48" i="5"/>
  <c r="E88" i="5"/>
  <c r="K86" i="5"/>
  <c r="Q98" i="5"/>
  <c r="Q100" i="5"/>
  <c r="N94" i="5"/>
  <c r="N78" i="5"/>
  <c r="Q140" i="5"/>
  <c r="Q204" i="5"/>
  <c r="H275" i="5"/>
  <c r="Q163" i="5"/>
  <c r="H117" i="5"/>
  <c r="N4" i="5"/>
  <c r="H4" i="5"/>
  <c r="Q5" i="5"/>
  <c r="E17" i="5"/>
  <c r="Q14" i="5"/>
  <c r="K6" i="5"/>
  <c r="K19" i="5"/>
  <c r="H32" i="5"/>
  <c r="Q38" i="5"/>
  <c r="H7" i="5"/>
  <c r="Q11" i="5"/>
  <c r="N23" i="5"/>
  <c r="Q33" i="5"/>
  <c r="Q36" i="5"/>
  <c r="H29" i="5"/>
  <c r="Q87" i="5"/>
  <c r="H71" i="5"/>
  <c r="E79" i="5"/>
  <c r="K110" i="5"/>
  <c r="Q47" i="5"/>
  <c r="Q84" i="5"/>
  <c r="K93" i="5"/>
  <c r="K99" i="5"/>
  <c r="H136" i="5"/>
  <c r="K142" i="5"/>
  <c r="H144" i="5"/>
  <c r="H104" i="5"/>
  <c r="E137" i="5"/>
  <c r="E240" i="5"/>
  <c r="Q27" i="5"/>
  <c r="K16" i="5"/>
  <c r="K30" i="5"/>
  <c r="H37" i="5"/>
  <c r="E38" i="5"/>
  <c r="Q28" i="5"/>
  <c r="K413" i="5"/>
  <c r="E5" i="5"/>
  <c r="E11" i="5"/>
  <c r="E27" i="5"/>
  <c r="H26" i="5"/>
  <c r="Q31" i="5"/>
  <c r="Q69" i="5"/>
  <c r="Q42" i="5"/>
  <c r="E62" i="5"/>
  <c r="H64" i="5"/>
  <c r="H46" i="5"/>
  <c r="K65" i="5"/>
  <c r="K52" i="5"/>
  <c r="N76" i="5"/>
  <c r="Q66" i="5"/>
  <c r="Q80" i="5"/>
  <c r="E61" i="5"/>
  <c r="E70" i="5"/>
  <c r="K67" i="5"/>
  <c r="N41" i="5"/>
  <c r="Q126" i="5"/>
  <c r="K75" i="5"/>
  <c r="N55" i="5"/>
  <c r="N86" i="5"/>
  <c r="Q94" i="5"/>
  <c r="H108" i="5"/>
  <c r="Q78" i="5"/>
  <c r="Q149" i="5"/>
  <c r="E249" i="5"/>
  <c r="E103" i="5"/>
  <c r="E148" i="5"/>
  <c r="K200" i="5"/>
  <c r="Q183" i="5"/>
  <c r="N122" i="5"/>
  <c r="E219" i="5"/>
  <c r="Q24" i="5"/>
  <c r="N19" i="5"/>
  <c r="K32" i="5"/>
  <c r="K37" i="5"/>
  <c r="E28" i="5"/>
  <c r="E34" i="5"/>
  <c r="E43" i="5"/>
  <c r="Q40" i="5"/>
  <c r="H20" i="5"/>
  <c r="N35" i="5"/>
  <c r="Q51" i="5"/>
  <c r="K71" i="5"/>
  <c r="Q83" i="5"/>
  <c r="E57" i="5"/>
  <c r="H79" i="5"/>
  <c r="N110" i="5"/>
  <c r="E48" i="5"/>
  <c r="E98" i="5"/>
  <c r="K73" i="5"/>
  <c r="N112" i="5"/>
  <c r="E100" i="5"/>
  <c r="K107" i="5"/>
  <c r="H82" i="5"/>
  <c r="K136" i="5"/>
  <c r="H133" i="5"/>
  <c r="K144" i="5"/>
  <c r="K104" i="5"/>
  <c r="K201" i="5"/>
  <c r="N120" i="5"/>
  <c r="Q162" i="5"/>
  <c r="H166" i="5"/>
  <c r="K274" i="5"/>
  <c r="N130" i="5"/>
  <c r="E161" i="5"/>
  <c r="H176" i="5"/>
  <c r="K187" i="5"/>
  <c r="Q322" i="5"/>
  <c r="E232" i="5"/>
  <c r="H194" i="5"/>
  <c r="N123" i="5"/>
  <c r="Q214" i="5"/>
  <c r="N148" i="5"/>
  <c r="K185" i="5"/>
  <c r="H218" i="5"/>
  <c r="Q54" i="5"/>
  <c r="N154" i="5"/>
  <c r="K216" i="5"/>
  <c r="N151" i="5"/>
  <c r="Q139" i="5"/>
  <c r="E195" i="5"/>
  <c r="N286" i="5"/>
  <c r="Q222" i="5"/>
  <c r="E271" i="5"/>
  <c r="N132" i="5"/>
  <c r="Q325" i="5"/>
  <c r="Q125" i="5"/>
  <c r="Q230" i="5"/>
  <c r="E260" i="5"/>
  <c r="N146" i="5"/>
  <c r="N264" i="5"/>
  <c r="Q193" i="5"/>
  <c r="Q301" i="5"/>
  <c r="K167" i="5"/>
  <c r="Q177" i="5"/>
  <c r="E328" i="5"/>
  <c r="Q81" i="5"/>
  <c r="K112" i="5"/>
  <c r="E211" i="5"/>
  <c r="N82" i="5"/>
  <c r="H145" i="5"/>
  <c r="Q153" i="5"/>
  <c r="K122" i="5"/>
  <c r="Q120" i="5"/>
  <c r="N274" i="5"/>
  <c r="K176" i="5"/>
  <c r="H232" i="5"/>
  <c r="E215" i="5"/>
  <c r="E101" i="5"/>
  <c r="Q106" i="5"/>
  <c r="Q253" i="5"/>
  <c r="Q119" i="5"/>
  <c r="E196" i="5"/>
  <c r="N138" i="5"/>
  <c r="E220" i="5"/>
  <c r="H287" i="5"/>
  <c r="H462" i="5"/>
  <c r="H129" i="5"/>
  <c r="K335" i="5"/>
  <c r="E267" i="5"/>
  <c r="H157" i="5"/>
  <c r="K223" i="5"/>
  <c r="E236" i="5"/>
  <c r="H266" i="5"/>
  <c r="H233" i="5"/>
  <c r="Q217" i="5"/>
  <c r="H305" i="5"/>
  <c r="K296" i="5"/>
  <c r="Q327" i="5"/>
  <c r="N341" i="5"/>
  <c r="Q268" i="5"/>
  <c r="E228" i="5"/>
  <c r="E330" i="5"/>
  <c r="E31" i="5"/>
  <c r="N45" i="5"/>
  <c r="H76" i="5"/>
  <c r="Q59" i="5"/>
  <c r="K72" i="5"/>
  <c r="E81" i="5"/>
  <c r="N73" i="5"/>
  <c r="H94" i="5"/>
  <c r="Q96" i="5"/>
  <c r="K275" i="5"/>
  <c r="E153" i="5"/>
  <c r="N185" i="5"/>
  <c r="E54" i="5"/>
  <c r="Q77" i="5"/>
  <c r="Q151" i="5"/>
  <c r="Q102" i="5"/>
  <c r="E292" i="5"/>
  <c r="K158" i="5"/>
  <c r="N191" i="5"/>
  <c r="Q286" i="5"/>
  <c r="H271" i="5"/>
  <c r="Q132" i="5"/>
  <c r="Q263" i="5"/>
  <c r="E314" i="5"/>
  <c r="K415" i="5"/>
  <c r="N127" i="5"/>
  <c r="N241" i="5"/>
  <c r="K360" i="5"/>
  <c r="N306" i="5"/>
  <c r="H208" i="5"/>
  <c r="H40" i="5"/>
  <c r="Q56" i="5"/>
  <c r="K20" i="5"/>
  <c r="K35" i="5"/>
  <c r="E59" i="5"/>
  <c r="N57" i="5"/>
  <c r="K135" i="5"/>
  <c r="H48" i="5"/>
  <c r="K105" i="5"/>
  <c r="Q141" i="5"/>
  <c r="K89" i="5"/>
  <c r="K184" i="5"/>
  <c r="E96" i="5"/>
  <c r="N144" i="5"/>
  <c r="K117" i="5"/>
  <c r="H121" i="5"/>
  <c r="K150" i="5"/>
  <c r="Q97" i="5"/>
  <c r="K218" i="5"/>
  <c r="E120" i="5"/>
  <c r="Q166" i="5"/>
  <c r="N161" i="5"/>
  <c r="K322" i="5"/>
  <c r="K210" i="5"/>
  <c r="H214" i="5"/>
  <c r="H101" i="5"/>
  <c r="E290" i="5"/>
  <c r="H224" i="5"/>
  <c r="K178" i="5"/>
  <c r="K212" i="5"/>
  <c r="E205" i="5"/>
  <c r="K252" i="5"/>
  <c r="K246" i="5"/>
  <c r="N116" i="5"/>
  <c r="H220" i="5"/>
  <c r="K287" i="5"/>
  <c r="N283" i="5"/>
  <c r="H207" i="5"/>
  <c r="K462" i="5"/>
  <c r="K129" i="5"/>
  <c r="E285" i="5"/>
  <c r="H267" i="5"/>
  <c r="N223" i="5"/>
  <c r="H236" i="5"/>
  <c r="H259" i="5"/>
  <c r="K233" i="5"/>
  <c r="K305" i="5"/>
  <c r="Q213" i="5"/>
  <c r="K254" i="5"/>
  <c r="K308" i="5"/>
  <c r="H18" i="5"/>
  <c r="Q30" i="5"/>
  <c r="K43" i="5"/>
  <c r="E56" i="5"/>
  <c r="N49" i="5"/>
  <c r="H60" i="5"/>
  <c r="K41" i="5"/>
  <c r="Q44" i="5"/>
  <c r="K79" i="5"/>
  <c r="K47" i="5"/>
  <c r="E141" i="5"/>
  <c r="N93" i="5"/>
  <c r="H140" i="5"/>
  <c r="Q133" i="5"/>
  <c r="K145" i="5"/>
  <c r="K134" i="5"/>
  <c r="E97" i="5"/>
  <c r="E77" i="5"/>
  <c r="E253" i="5"/>
  <c r="E245" i="5"/>
  <c r="E139" i="5"/>
  <c r="H292" i="5"/>
  <c r="K195" i="5"/>
  <c r="N381" i="5"/>
  <c r="Q304" i="5"/>
  <c r="Q307" i="5"/>
  <c r="K260" i="5"/>
  <c r="E193" i="5"/>
  <c r="N415" i="5"/>
  <c r="Q127" i="5"/>
  <c r="N227" i="5"/>
  <c r="Q241" i="5"/>
  <c r="K299" i="5"/>
  <c r="E177" i="5"/>
  <c r="N250" i="5"/>
  <c r="K64" i="5"/>
  <c r="Q52" i="5"/>
  <c r="K76" i="5"/>
  <c r="K70" i="5"/>
  <c r="E44" i="5"/>
  <c r="K84" i="5"/>
  <c r="H131" i="5"/>
  <c r="K164" i="5"/>
  <c r="Q107" i="5"/>
  <c r="K94" i="5"/>
  <c r="K78" i="5"/>
  <c r="E133" i="5"/>
  <c r="N117" i="5"/>
  <c r="K183" i="5"/>
  <c r="H209" i="5"/>
  <c r="K192" i="5"/>
  <c r="H201" i="5"/>
  <c r="E166" i="5"/>
  <c r="Q143" i="5"/>
  <c r="N322" i="5"/>
  <c r="K311" i="5"/>
  <c r="K123" i="5"/>
  <c r="K224" i="5"/>
  <c r="N178" i="5"/>
  <c r="Q85" i="5"/>
  <c r="K323" i="5"/>
  <c r="N212" i="5"/>
  <c r="K220" i="5"/>
  <c r="Q283" i="5"/>
  <c r="K182" i="5"/>
  <c r="N129" i="5"/>
  <c r="Q335" i="5"/>
  <c r="E217" i="5"/>
  <c r="H180" i="5"/>
  <c r="E327" i="5"/>
  <c r="K83" i="5"/>
  <c r="H126" i="5"/>
  <c r="K91" i="5"/>
  <c r="Q55" i="5"/>
  <c r="K48" i="5"/>
  <c r="K98" i="5"/>
  <c r="E107" i="5"/>
  <c r="N155" i="5"/>
  <c r="K149" i="5"/>
  <c r="H249" i="5"/>
  <c r="K221" i="5"/>
  <c r="Q104" i="5"/>
  <c r="K121" i="5"/>
  <c r="K95" i="5"/>
  <c r="H162" i="5"/>
  <c r="E130" i="5"/>
  <c r="K214" i="5"/>
  <c r="K101" i="5"/>
  <c r="H175" i="5"/>
  <c r="H253" i="5"/>
  <c r="E348" i="5"/>
  <c r="Q158" i="5"/>
  <c r="E298" i="5"/>
  <c r="N195" i="5"/>
  <c r="N271" i="5"/>
  <c r="H125" i="5"/>
  <c r="Q381" i="5"/>
  <c r="E334" i="5"/>
  <c r="H230" i="5"/>
  <c r="Q170" i="5"/>
  <c r="E282" i="5"/>
  <c r="N260" i="5"/>
  <c r="Q415" i="5"/>
  <c r="H301" i="5"/>
  <c r="Q227" i="5"/>
  <c r="Q310" i="5"/>
  <c r="K367" i="5"/>
  <c r="N84" i="5"/>
  <c r="K100" i="5"/>
  <c r="H109" i="5"/>
  <c r="K211" i="5"/>
  <c r="Q99" i="5"/>
  <c r="K140" i="5"/>
  <c r="K204" i="5"/>
  <c r="E104" i="5"/>
  <c r="N183" i="5"/>
  <c r="K219" i="5"/>
  <c r="H154" i="5"/>
  <c r="E143" i="5"/>
  <c r="Q74" i="5"/>
  <c r="N224" i="5"/>
  <c r="E138" i="5"/>
  <c r="N323" i="5"/>
  <c r="E152" i="5"/>
  <c r="E159" i="5"/>
  <c r="H231" i="5"/>
  <c r="K285" i="5"/>
  <c r="E165" i="5"/>
  <c r="K280" i="5"/>
  <c r="N267" i="5"/>
  <c r="E352" i="5"/>
  <c r="K319" i="5"/>
  <c r="K188" i="5"/>
  <c r="N259" i="5"/>
  <c r="H217" i="5"/>
  <c r="N278" i="5"/>
  <c r="E213" i="5"/>
  <c r="Q229" i="5"/>
  <c r="Q269" i="5"/>
  <c r="H28" i="5"/>
  <c r="Q63" i="5"/>
  <c r="K46" i="5"/>
  <c r="E58" i="5"/>
  <c r="N83" i="5"/>
  <c r="H110" i="5"/>
  <c r="Q105" i="5"/>
  <c r="K114" i="5"/>
  <c r="E99" i="5"/>
  <c r="N149" i="5"/>
  <c r="H156" i="5"/>
  <c r="Q150" i="5"/>
  <c r="K120" i="5"/>
  <c r="H274" i="5"/>
  <c r="K106" i="5"/>
  <c r="K139" i="5"/>
  <c r="E191" i="5"/>
  <c r="N247" i="5"/>
  <c r="E304" i="5"/>
  <c r="K230" i="5"/>
  <c r="E307" i="5"/>
  <c r="K225" i="5"/>
  <c r="K193" i="5"/>
  <c r="N235" i="5"/>
  <c r="E167" i="5"/>
  <c r="N347" i="5"/>
  <c r="N258" i="5"/>
  <c r="E63" i="5"/>
  <c r="N29" i="5"/>
  <c r="K66" i="5"/>
  <c r="H80" i="5"/>
  <c r="K59" i="5"/>
  <c r="Q41" i="5"/>
  <c r="K118" i="5"/>
  <c r="E105" i="5"/>
  <c r="N100" i="5"/>
  <c r="K147" i="5"/>
  <c r="H124" i="5"/>
  <c r="K96" i="5"/>
  <c r="Q243" i="5"/>
  <c r="K249" i="5"/>
  <c r="K103" i="5"/>
  <c r="E150" i="5"/>
  <c r="K162" i="5"/>
  <c r="K77" i="5"/>
  <c r="H216" i="5"/>
  <c r="E74" i="5"/>
  <c r="Q194" i="5"/>
  <c r="K175" i="5"/>
  <c r="K253" i="5"/>
  <c r="K189" i="5"/>
  <c r="H291" i="5"/>
  <c r="K245" i="5"/>
  <c r="K171" i="5"/>
  <c r="E197" i="5"/>
  <c r="H152" i="5"/>
  <c r="H159" i="5"/>
  <c r="Q220" i="5"/>
  <c r="H293" i="5"/>
  <c r="Q182" i="5"/>
  <c r="K231" i="5"/>
  <c r="N285" i="5"/>
  <c r="E335" i="5"/>
  <c r="H165" i="5"/>
  <c r="H352" i="5"/>
  <c r="K217" i="5"/>
  <c r="Q278" i="5"/>
  <c r="N169" i="5"/>
  <c r="H341" i="5"/>
  <c r="H50" i="5"/>
  <c r="K56" i="5"/>
  <c r="Q64" i="5"/>
  <c r="K87" i="5"/>
  <c r="E41" i="5"/>
  <c r="N75" i="5"/>
  <c r="H86" i="5"/>
  <c r="Q164" i="5"/>
  <c r="K108" i="5"/>
  <c r="E243" i="5"/>
  <c r="N163" i="5"/>
  <c r="H200" i="5"/>
  <c r="Q192" i="5"/>
  <c r="N201" i="5"/>
  <c r="K166" i="5"/>
  <c r="K240" i="5"/>
  <c r="K102" i="5"/>
  <c r="H191" i="5"/>
  <c r="K286" i="5"/>
  <c r="N222" i="5"/>
  <c r="N125" i="5"/>
  <c r="K146" i="5"/>
  <c r="N225" i="5"/>
  <c r="N193" i="5"/>
  <c r="H127" i="5"/>
  <c r="N301" i="5"/>
  <c r="Q235" i="5"/>
  <c r="N173" i="5"/>
  <c r="K537" i="5"/>
  <c r="K541" i="5"/>
  <c r="K383" i="5"/>
  <c r="K486" i="5"/>
  <c r="K578" i="5"/>
  <c r="K369" i="5"/>
  <c r="K472" i="5"/>
  <c r="K480" i="5"/>
  <c r="K474" i="5"/>
  <c r="K444" i="5"/>
  <c r="K513" i="5"/>
  <c r="K505" i="5"/>
  <c r="K479" i="5"/>
  <c r="K464" i="5"/>
  <c r="K461" i="5"/>
  <c r="K362" i="5"/>
  <c r="K559" i="5"/>
  <c r="K401" i="5"/>
  <c r="K558" i="5"/>
  <c r="K506" i="5"/>
  <c r="K373" i="5"/>
  <c r="K518" i="5"/>
  <c r="K530" i="5"/>
  <c r="K483" i="5"/>
  <c r="K432" i="5"/>
  <c r="K528" i="5"/>
  <c r="K476" i="5"/>
  <c r="K487" i="5"/>
  <c r="K493" i="5"/>
  <c r="K515" i="5"/>
  <c r="K501" i="5"/>
  <c r="K539" i="5"/>
  <c r="K425" i="5"/>
  <c r="K490" i="5"/>
  <c r="K357" i="5"/>
  <c r="K571" i="5"/>
  <c r="K526" i="5"/>
  <c r="K465" i="5"/>
  <c r="K557" i="5"/>
  <c r="K560" i="5"/>
  <c r="K576" i="5"/>
  <c r="K473" i="5"/>
  <c r="K433" i="5"/>
  <c r="K237" i="5"/>
  <c r="K376" i="5"/>
  <c r="K395" i="5"/>
  <c r="K442" i="5"/>
  <c r="K468" i="5"/>
  <c r="K363" i="5"/>
  <c r="K440" i="5"/>
  <c r="K238" i="5"/>
  <c r="K297" i="5"/>
  <c r="K349" i="5"/>
  <c r="K455" i="5"/>
  <c r="K406" i="5"/>
  <c r="K481" i="5"/>
  <c r="K392" i="5"/>
  <c r="K407" i="5"/>
  <c r="K284" i="5"/>
  <c r="K270" i="5"/>
  <c r="K388" i="5"/>
  <c r="K344" i="5"/>
  <c r="K340" i="5"/>
  <c r="K226" i="5"/>
  <c r="K239" i="5"/>
  <c r="K396" i="5"/>
  <c r="K255" i="5"/>
  <c r="K400" i="5"/>
  <c r="K463" i="5"/>
  <c r="K169" i="5"/>
  <c r="K180" i="5"/>
  <c r="K250" i="5"/>
  <c r="K315" i="5"/>
  <c r="K228" i="5"/>
  <c r="K324" i="5"/>
  <c r="K338" i="5"/>
  <c r="K408" i="5"/>
  <c r="K309" i="5"/>
  <c r="K303" i="5"/>
  <c r="K387" i="5"/>
  <c r="K300" i="5"/>
  <c r="K445" i="5"/>
  <c r="K402" i="5"/>
  <c r="K268" i="5"/>
  <c r="K207" i="5"/>
  <c r="K90" i="5"/>
  <c r="K168" i="5"/>
  <c r="K256" i="5"/>
  <c r="K251" i="5"/>
  <c r="K343" i="5"/>
  <c r="K261" i="5"/>
  <c r="K206" i="5"/>
  <c r="K317" i="5"/>
  <c r="K235" i="5"/>
  <c r="K241" i="5"/>
  <c r="K127" i="5"/>
  <c r="K352" i="5"/>
  <c r="K325" i="5"/>
  <c r="K222" i="5"/>
  <c r="K205" i="5"/>
  <c r="K282" i="5"/>
  <c r="K334" i="5"/>
  <c r="K263" i="5"/>
  <c r="K196" i="5"/>
  <c r="K213" i="5"/>
  <c r="K174" i="5"/>
  <c r="K304" i="5"/>
  <c r="K293" i="5"/>
  <c r="K159" i="5"/>
  <c r="K351" i="5"/>
  <c r="K157" i="5"/>
  <c r="K380" i="5"/>
  <c r="K170" i="5"/>
  <c r="K198" i="5"/>
  <c r="K119" i="5"/>
  <c r="K113" i="5"/>
  <c r="K278" i="5"/>
  <c r="K259" i="5"/>
  <c r="K236" i="5"/>
  <c r="K283" i="5"/>
  <c r="K116" i="5"/>
  <c r="K197" i="5"/>
  <c r="K215" i="5"/>
  <c r="K194" i="5"/>
  <c r="K74" i="5"/>
  <c r="K143" i="5"/>
  <c r="K353" i="5"/>
  <c r="N12" i="5"/>
  <c r="H23" i="5"/>
  <c r="Q39" i="5"/>
  <c r="K42" i="5"/>
  <c r="E64" i="5"/>
  <c r="N66" i="5"/>
  <c r="H68" i="5"/>
  <c r="Q91" i="5"/>
  <c r="K115" i="5"/>
  <c r="E164" i="5"/>
  <c r="N147" i="5"/>
  <c r="H142" i="5"/>
  <c r="Q221" i="5"/>
  <c r="K179" i="5"/>
  <c r="E192" i="5"/>
  <c r="N162" i="5"/>
  <c r="K130" i="5"/>
  <c r="H187" i="5"/>
  <c r="E194" i="5"/>
  <c r="Q215" i="5"/>
  <c r="Q101" i="5"/>
  <c r="K291" i="5"/>
  <c r="Q290" i="5"/>
  <c r="E178" i="5"/>
  <c r="K138" i="5"/>
  <c r="N171" i="5"/>
  <c r="H197" i="5"/>
  <c r="H116" i="5"/>
  <c r="N231" i="5"/>
  <c r="Q280" i="5"/>
  <c r="E157" i="5"/>
  <c r="E266" i="5"/>
  <c r="E233" i="5"/>
  <c r="H296" i="5"/>
  <c r="H160" i="5"/>
  <c r="H240" i="5"/>
  <c r="Q224" i="5"/>
  <c r="K191" i="5"/>
  <c r="E222" i="5"/>
  <c r="N220" i="5"/>
  <c r="H304" i="5"/>
  <c r="Q231" i="5"/>
  <c r="K267" i="5"/>
  <c r="E127" i="5"/>
  <c r="Q168" i="5"/>
  <c r="Q347" i="5"/>
  <c r="Q239" i="5"/>
  <c r="K265" i="5"/>
  <c r="E289" i="5"/>
  <c r="N288" i="5"/>
  <c r="H202" i="5"/>
  <c r="E277" i="5"/>
  <c r="N379" i="5"/>
  <c r="Q421" i="5"/>
  <c r="K199" i="5"/>
  <c r="Q329" i="5"/>
  <c r="N313" i="5"/>
  <c r="E477" i="5"/>
  <c r="K364" i="5"/>
  <c r="H407" i="5"/>
  <c r="N394" i="5"/>
  <c r="E257" i="5"/>
  <c r="E224" i="5"/>
  <c r="N158" i="5"/>
  <c r="H286" i="5"/>
  <c r="Q261" i="5"/>
  <c r="K381" i="5"/>
  <c r="E231" i="5"/>
  <c r="N280" i="5"/>
  <c r="H415" i="5"/>
  <c r="E299" i="5"/>
  <c r="Q90" i="5"/>
  <c r="Q160" i="5"/>
  <c r="E317" i="5"/>
  <c r="K276" i="5"/>
  <c r="K386" i="5"/>
  <c r="E186" i="5"/>
  <c r="H228" i="5"/>
  <c r="Q173" i="5"/>
  <c r="H345" i="5"/>
  <c r="Q250" i="5"/>
  <c r="K208" i="5"/>
  <c r="Q448" i="5"/>
  <c r="Q399" i="5"/>
  <c r="N189" i="5"/>
  <c r="H196" i="5"/>
  <c r="Q212" i="5"/>
  <c r="K152" i="5"/>
  <c r="E261" i="5"/>
  <c r="N462" i="5"/>
  <c r="H282" i="5"/>
  <c r="Q225" i="5"/>
  <c r="H327" i="5"/>
  <c r="E168" i="5"/>
  <c r="Q254" i="5"/>
  <c r="Q339" i="5"/>
  <c r="H181" i="5"/>
  <c r="H203" i="5"/>
  <c r="Q409" i="5"/>
  <c r="E426" i="5"/>
  <c r="E269" i="5"/>
  <c r="N354" i="5"/>
  <c r="N353" i="5"/>
  <c r="H277" i="5"/>
  <c r="Q378" i="5"/>
  <c r="K295" i="5"/>
  <c r="Q377" i="5"/>
  <c r="E270" i="5"/>
  <c r="K312" i="5"/>
  <c r="E400" i="5"/>
  <c r="H477" i="5"/>
  <c r="K460" i="5"/>
  <c r="N364" i="5"/>
  <c r="E321" i="5"/>
  <c r="N248" i="5"/>
  <c r="Q394" i="5"/>
  <c r="H257" i="5"/>
  <c r="K290" i="5"/>
  <c r="E212" i="5"/>
  <c r="N197" i="5"/>
  <c r="H325" i="5"/>
  <c r="Q207" i="5"/>
  <c r="K307" i="5"/>
  <c r="E225" i="5"/>
  <c r="N236" i="5"/>
  <c r="H169" i="5"/>
  <c r="H235" i="5"/>
  <c r="K234" i="5"/>
  <c r="H186" i="5"/>
  <c r="K302" i="5"/>
  <c r="E382" i="5"/>
  <c r="N463" i="5"/>
  <c r="Q367" i="5"/>
  <c r="N336" i="5"/>
  <c r="N119" i="5"/>
  <c r="H323" i="5"/>
  <c r="Q252" i="5"/>
  <c r="E207" i="5"/>
  <c r="N170" i="5"/>
  <c r="H146" i="5"/>
  <c r="Q319" i="5"/>
  <c r="H167" i="5"/>
  <c r="K181" i="5"/>
  <c r="K203" i="5"/>
  <c r="H426" i="5"/>
  <c r="Q265" i="5"/>
  <c r="E111" i="5"/>
  <c r="K289" i="5"/>
  <c r="E306" i="5"/>
  <c r="H412" i="5"/>
  <c r="H315" i="5"/>
  <c r="K277" i="5"/>
  <c r="N351" i="5"/>
  <c r="H344" i="5"/>
  <c r="K414" i="5"/>
  <c r="E448" i="5"/>
  <c r="E329" i="5"/>
  <c r="K342" i="5"/>
  <c r="E320" i="5"/>
  <c r="Q248" i="5"/>
  <c r="H454" i="5"/>
  <c r="N396" i="5"/>
  <c r="Q245" i="5"/>
  <c r="K292" i="5"/>
  <c r="E252" i="5"/>
  <c r="N159" i="5"/>
  <c r="H343" i="5"/>
  <c r="Q129" i="5"/>
  <c r="K165" i="5"/>
  <c r="E319" i="5"/>
  <c r="N233" i="5"/>
  <c r="N296" i="5"/>
  <c r="H177" i="5"/>
  <c r="H347" i="5"/>
  <c r="E339" i="5"/>
  <c r="E409" i="5"/>
  <c r="K244" i="5"/>
  <c r="E258" i="5"/>
  <c r="N302" i="5"/>
  <c r="Q463" i="5"/>
  <c r="E173" i="5"/>
  <c r="N345" i="5"/>
  <c r="H421" i="5"/>
  <c r="H388" i="5"/>
  <c r="K262" i="5"/>
  <c r="N139" i="5"/>
  <c r="H195" i="5"/>
  <c r="Q116" i="5"/>
  <c r="K125" i="5"/>
  <c r="E129" i="5"/>
  <c r="N335" i="5"/>
  <c r="H193" i="5"/>
  <c r="Q259" i="5"/>
  <c r="H239" i="5"/>
  <c r="Q276" i="5"/>
  <c r="K426" i="5"/>
  <c r="N289" i="5"/>
  <c r="H306" i="5"/>
  <c r="K412" i="5"/>
  <c r="E413" i="5"/>
  <c r="H303" i="5"/>
  <c r="Q351" i="5"/>
  <c r="N414" i="5"/>
  <c r="Q295" i="5"/>
  <c r="N342" i="5"/>
  <c r="Q312" i="5"/>
  <c r="E313" i="5"/>
  <c r="H320" i="5"/>
  <c r="K321" i="5"/>
  <c r="N255" i="5"/>
  <c r="K454" i="5"/>
  <c r="Q396" i="5"/>
  <c r="N137" i="5"/>
  <c r="H102" i="5"/>
  <c r="Q198" i="5"/>
  <c r="K247" i="5"/>
  <c r="E116" i="5"/>
  <c r="N263" i="5"/>
  <c r="H182" i="5"/>
  <c r="Q380" i="5"/>
  <c r="K264" i="5"/>
  <c r="E259" i="5"/>
  <c r="Q305" i="5"/>
  <c r="K310" i="5"/>
  <c r="K177" i="5"/>
  <c r="H339" i="5"/>
  <c r="K229" i="5"/>
  <c r="Q234" i="5"/>
  <c r="E265" i="5"/>
  <c r="E308" i="5"/>
  <c r="N387" i="5"/>
  <c r="H173" i="5"/>
  <c r="Q345" i="5"/>
  <c r="E367" i="5"/>
  <c r="K421" i="5"/>
  <c r="Q174" i="5"/>
  <c r="H399" i="5"/>
  <c r="E198" i="5"/>
  <c r="N205" i="5"/>
  <c r="H246" i="5"/>
  <c r="Q293" i="5"/>
  <c r="K314" i="5"/>
  <c r="E380" i="5"/>
  <c r="N352" i="5"/>
  <c r="H188" i="5"/>
  <c r="K370" i="5"/>
  <c r="N426" i="5"/>
  <c r="Q328" i="5"/>
  <c r="K111" i="5"/>
  <c r="E354" i="5"/>
  <c r="N412" i="5"/>
  <c r="N315" i="5"/>
  <c r="H379" i="5"/>
  <c r="Q414" i="5"/>
  <c r="Q330" i="5"/>
  <c r="E199" i="5"/>
  <c r="E273" i="5"/>
  <c r="K242" i="5"/>
  <c r="N321" i="5"/>
  <c r="H138" i="5"/>
  <c r="Q171" i="5"/>
  <c r="K271" i="5"/>
  <c r="E293" i="5"/>
  <c r="N230" i="5"/>
  <c r="H260" i="5"/>
  <c r="Q223" i="5"/>
  <c r="K301" i="5"/>
  <c r="E296" i="5"/>
  <c r="N299" i="5"/>
  <c r="N310" i="5"/>
  <c r="N167" i="5"/>
  <c r="N177" i="5"/>
  <c r="K160" i="5"/>
  <c r="K341" i="5"/>
  <c r="K339" i="5"/>
  <c r="N229" i="5"/>
  <c r="E276" i="5"/>
  <c r="Q244" i="5"/>
  <c r="K258" i="5"/>
  <c r="N269" i="5"/>
  <c r="H353" i="5"/>
  <c r="H367" i="5"/>
  <c r="Q262" i="5"/>
  <c r="H402" i="5"/>
  <c r="K85" i="5"/>
  <c r="E171" i="5"/>
  <c r="N206" i="5"/>
  <c r="H283" i="5"/>
  <c r="Q334" i="5"/>
  <c r="K385" i="5"/>
  <c r="E223" i="5"/>
  <c r="N251" i="5"/>
  <c r="N239" i="5"/>
  <c r="Q317" i="5"/>
  <c r="H226" i="5"/>
  <c r="K409" i="5"/>
  <c r="E340" i="5"/>
  <c r="H354" i="5"/>
  <c r="K288" i="5"/>
  <c r="Q412" i="5"/>
  <c r="E202" i="5"/>
  <c r="N303" i="5"/>
  <c r="Q315" i="5"/>
  <c r="Q344" i="5"/>
  <c r="E174" i="5"/>
  <c r="H281" i="5"/>
  <c r="H199" i="5"/>
  <c r="E312" i="5"/>
  <c r="K313" i="5"/>
  <c r="N242" i="5"/>
  <c r="Q400" i="5"/>
  <c r="E460" i="5"/>
  <c r="N320" i="5"/>
  <c r="E407" i="5"/>
  <c r="H248" i="5"/>
  <c r="K394" i="5"/>
  <c r="K330" i="5"/>
  <c r="E242" i="5"/>
  <c r="N407" i="5"/>
  <c r="H324" i="5"/>
  <c r="N516" i="5"/>
  <c r="Q349" i="5"/>
  <c r="Q478" i="5"/>
  <c r="E390" i="5"/>
  <c r="Q372" i="5"/>
  <c r="K411" i="5"/>
  <c r="E429" i="5"/>
  <c r="H416" i="5"/>
  <c r="E424" i="5"/>
  <c r="H470" i="5"/>
  <c r="Q389" i="5"/>
  <c r="E483" i="5"/>
  <c r="H258" i="5"/>
  <c r="Q288" i="5"/>
  <c r="K173" i="5"/>
  <c r="E421" i="5"/>
  <c r="N262" i="5"/>
  <c r="H313" i="5"/>
  <c r="Q255" i="5"/>
  <c r="K399" i="5"/>
  <c r="K469" i="5"/>
  <c r="H376" i="5"/>
  <c r="K397" i="5"/>
  <c r="K279" i="5"/>
  <c r="N365" i="5"/>
  <c r="H268" i="5"/>
  <c r="Q226" i="5"/>
  <c r="K172" i="5"/>
  <c r="E288" i="5"/>
  <c r="N413" i="5"/>
  <c r="H250" i="5"/>
  <c r="Q388" i="5"/>
  <c r="K273" i="5"/>
  <c r="E255" i="5"/>
  <c r="N402" i="5"/>
  <c r="Q516" i="5"/>
  <c r="Q284" i="5"/>
  <c r="H390" i="5"/>
  <c r="E449" i="5"/>
  <c r="H525" i="5"/>
  <c r="E226" i="5"/>
  <c r="N265" i="5"/>
  <c r="H308" i="5"/>
  <c r="Q353" i="5"/>
  <c r="K379" i="5"/>
  <c r="E388" i="5"/>
  <c r="N312" i="5"/>
  <c r="H321" i="5"/>
  <c r="Q336" i="5"/>
  <c r="N469" i="5"/>
  <c r="Q358" i="5"/>
  <c r="N489" i="5"/>
  <c r="H294" i="5"/>
  <c r="E235" i="5"/>
  <c r="N160" i="5"/>
  <c r="H276" i="5"/>
  <c r="K354" i="5"/>
  <c r="E353" i="5"/>
  <c r="N367" i="5"/>
  <c r="H448" i="5"/>
  <c r="Q342" i="5"/>
  <c r="K320" i="5"/>
  <c r="E336" i="5"/>
  <c r="E284" i="5"/>
  <c r="K390" i="5"/>
  <c r="E372" i="5"/>
  <c r="H318" i="5"/>
  <c r="Q482" i="5"/>
  <c r="Q457" i="5"/>
  <c r="K510" i="5"/>
  <c r="K368" i="5"/>
  <c r="K551" i="5"/>
  <c r="E386" i="5"/>
  <c r="N300" i="5"/>
  <c r="H463" i="5"/>
  <c r="Q113" i="5"/>
  <c r="K378" i="5"/>
  <c r="E342" i="5"/>
  <c r="N309" i="5"/>
  <c r="H396" i="5"/>
  <c r="Q469" i="5"/>
  <c r="Q445" i="5"/>
  <c r="Q397" i="5"/>
  <c r="Q359" i="5"/>
  <c r="Q272" i="5"/>
  <c r="E513" i="5"/>
  <c r="H190" i="5"/>
  <c r="K327" i="5"/>
  <c r="E254" i="5"/>
  <c r="N203" i="5"/>
  <c r="H340" i="5"/>
  <c r="Q302" i="5"/>
  <c r="E113" i="5"/>
  <c r="N281" i="5"/>
  <c r="H270" i="5"/>
  <c r="Q364" i="5"/>
  <c r="K257" i="5"/>
  <c r="H475" i="5"/>
  <c r="H349" i="5"/>
  <c r="K450" i="5"/>
  <c r="N479" i="5"/>
  <c r="K410" i="5"/>
  <c r="N213" i="5"/>
  <c r="H90" i="5"/>
  <c r="Q181" i="5"/>
  <c r="K328" i="5"/>
  <c r="E302" i="5"/>
  <c r="N228" i="5"/>
  <c r="H351" i="5"/>
  <c r="Q208" i="5"/>
  <c r="K329" i="5"/>
  <c r="E364" i="5"/>
  <c r="N454" i="5"/>
  <c r="Q324" i="5"/>
  <c r="Q376" i="5"/>
  <c r="H361" i="5"/>
  <c r="K495" i="5"/>
  <c r="E457" i="5"/>
  <c r="Q296" i="5"/>
  <c r="K347" i="5"/>
  <c r="E181" i="5"/>
  <c r="N244" i="5"/>
  <c r="H289" i="5"/>
  <c r="Q387" i="5"/>
  <c r="K345" i="5"/>
  <c r="E208" i="5"/>
  <c r="N377" i="5"/>
  <c r="H460" i="5"/>
  <c r="Q408" i="5"/>
  <c r="Q338" i="5"/>
  <c r="H350" i="5"/>
  <c r="Q468" i="5"/>
  <c r="E482" i="5"/>
  <c r="E515" i="5"/>
  <c r="N417" i="5"/>
  <c r="H317" i="5"/>
  <c r="Q426" i="5"/>
  <c r="E387" i="5"/>
  <c r="N277" i="5"/>
  <c r="H174" i="5"/>
  <c r="Q199" i="5"/>
  <c r="K477" i="5"/>
  <c r="E408" i="5"/>
  <c r="H358" i="5"/>
  <c r="E397" i="5"/>
  <c r="K361" i="5"/>
  <c r="Q294" i="5"/>
  <c r="E501" i="5"/>
  <c r="K509" i="5"/>
  <c r="N400" i="5"/>
  <c r="H394" i="5"/>
  <c r="H445" i="5"/>
  <c r="K350" i="5"/>
  <c r="N478" i="5"/>
  <c r="Q449" i="5"/>
  <c r="E297" i="5"/>
  <c r="Q392" i="5"/>
  <c r="N356" i="5"/>
  <c r="K453" i="5"/>
  <c r="K371" i="5"/>
  <c r="H370" i="5"/>
  <c r="Q111" i="5"/>
  <c r="K382" i="5"/>
  <c r="E315" i="5"/>
  <c r="N344" i="5"/>
  <c r="H295" i="5"/>
  <c r="Q242" i="5"/>
  <c r="K248" i="5"/>
  <c r="H469" i="5"/>
  <c r="K358" i="5"/>
  <c r="K428" i="5"/>
  <c r="N395" i="5"/>
  <c r="K459" i="5"/>
  <c r="N366" i="5"/>
  <c r="E358" i="5"/>
  <c r="N376" i="5"/>
  <c r="E337" i="5"/>
  <c r="H451" i="5"/>
  <c r="N411" i="5"/>
  <c r="Q442" i="5"/>
  <c r="H429" i="5"/>
  <c r="H456" i="5"/>
  <c r="K443" i="5"/>
  <c r="K525" i="5"/>
  <c r="N482" i="5"/>
  <c r="H457" i="5"/>
  <c r="H420" i="5"/>
  <c r="K438" i="5"/>
  <c r="H496" i="5"/>
  <c r="H528" i="5"/>
  <c r="N433" i="5"/>
  <c r="N473" i="5"/>
  <c r="E523" i="5"/>
  <c r="N511" i="5"/>
  <c r="Q557" i="5"/>
  <c r="E538" i="5"/>
  <c r="K542" i="5"/>
  <c r="E441" i="5"/>
  <c r="Q437" i="5"/>
  <c r="E476" i="5"/>
  <c r="Q498" i="5"/>
  <c r="E555" i="5"/>
  <c r="Q390" i="5"/>
  <c r="E468" i="5"/>
  <c r="E427" i="5"/>
  <c r="E279" i="5"/>
  <c r="H297" i="5"/>
  <c r="Q356" i="5"/>
  <c r="K416" i="5"/>
  <c r="N371" i="5"/>
  <c r="Q504" i="5"/>
  <c r="E489" i="5"/>
  <c r="K190" i="5"/>
  <c r="H501" i="5"/>
  <c r="N470" i="5"/>
  <c r="Q506" i="5"/>
  <c r="N410" i="5"/>
  <c r="N368" i="5"/>
  <c r="H432" i="5"/>
  <c r="K331" i="5"/>
  <c r="N393" i="5"/>
  <c r="K403" i="5"/>
  <c r="N459" i="5"/>
  <c r="N531" i="5"/>
  <c r="Q465" i="5"/>
  <c r="E530" i="5"/>
  <c r="Q533" i="5"/>
  <c r="K451" i="5"/>
  <c r="N490" i="5"/>
  <c r="E439" i="5"/>
  <c r="H404" i="5"/>
  <c r="E326" i="5"/>
  <c r="H363" i="5"/>
  <c r="K456" i="5"/>
  <c r="N443" i="5"/>
  <c r="Q365" i="5"/>
  <c r="E294" i="5"/>
  <c r="N525" i="5"/>
  <c r="Q446" i="5"/>
  <c r="E517" i="5"/>
  <c r="Q237" i="5"/>
  <c r="E522" i="5"/>
  <c r="H491" i="5"/>
  <c r="E435" i="5"/>
  <c r="E499" i="5"/>
  <c r="H523" i="5"/>
  <c r="K418" i="5"/>
  <c r="E487" i="5"/>
  <c r="H538" i="5"/>
  <c r="K466" i="5"/>
  <c r="Q521" i="5"/>
  <c r="N324" i="5"/>
  <c r="H450" i="5"/>
  <c r="H427" i="5"/>
  <c r="H372" i="5"/>
  <c r="K333" i="5"/>
  <c r="Q505" i="5"/>
  <c r="E442" i="5"/>
  <c r="K500" i="5"/>
  <c r="N481" i="5"/>
  <c r="Q371" i="5"/>
  <c r="N406" i="5"/>
  <c r="E502" i="5"/>
  <c r="H405" i="5"/>
  <c r="N455" i="5"/>
  <c r="Q470" i="5"/>
  <c r="E389" i="5"/>
  <c r="H417" i="5"/>
  <c r="K494" i="5"/>
  <c r="Q368" i="5"/>
  <c r="Q393" i="5"/>
  <c r="H384" i="5"/>
  <c r="N480" i="5"/>
  <c r="N369" i="5"/>
  <c r="Q436" i="5"/>
  <c r="K478" i="5"/>
  <c r="K337" i="5"/>
  <c r="N451" i="5"/>
  <c r="Q332" i="5"/>
  <c r="E423" i="5"/>
  <c r="H439" i="5"/>
  <c r="K492" i="5"/>
  <c r="N429" i="5"/>
  <c r="Q443" i="5"/>
  <c r="E395" i="5"/>
  <c r="H419" i="5"/>
  <c r="K355" i="5"/>
  <c r="K391" i="5"/>
  <c r="N496" i="5"/>
  <c r="H522" i="5"/>
  <c r="K491" i="5"/>
  <c r="H435" i="5"/>
  <c r="H499" i="5"/>
  <c r="H493" i="5"/>
  <c r="H487" i="5"/>
  <c r="N472" i="5"/>
  <c r="E437" i="5"/>
  <c r="H526" i="5"/>
  <c r="N430" i="5"/>
  <c r="N464" i="5"/>
  <c r="Q548" i="5"/>
  <c r="N349" i="5"/>
  <c r="K427" i="5"/>
  <c r="N333" i="5"/>
  <c r="H442" i="5"/>
  <c r="Q481" i="5"/>
  <c r="E504" i="5"/>
  <c r="H424" i="5"/>
  <c r="K489" i="5"/>
  <c r="E365" i="5"/>
  <c r="K272" i="5"/>
  <c r="N513" i="5"/>
  <c r="E446" i="5"/>
  <c r="H502" i="5"/>
  <c r="K405" i="5"/>
  <c r="N501" i="5"/>
  <c r="E506" i="5"/>
  <c r="H389" i="5"/>
  <c r="Q558" i="5"/>
  <c r="Q434" i="5"/>
  <c r="K374" i="5"/>
  <c r="N432" i="5"/>
  <c r="Q331" i="5"/>
  <c r="N483" i="5"/>
  <c r="E366" i="5"/>
  <c r="H560" i="5"/>
  <c r="E511" i="5"/>
  <c r="H398" i="5"/>
  <c r="E447" i="5"/>
  <c r="E533" i="5"/>
  <c r="K449" i="5"/>
  <c r="K375" i="5"/>
  <c r="Q451" i="5"/>
  <c r="K439" i="5"/>
  <c r="E359" i="5"/>
  <c r="Q474" i="5"/>
  <c r="K522" i="5"/>
  <c r="K499" i="5"/>
  <c r="N523" i="5"/>
  <c r="Q472" i="5"/>
  <c r="E531" i="5"/>
  <c r="N441" i="5"/>
  <c r="H437" i="5"/>
  <c r="N461" i="5"/>
  <c r="H503" i="5"/>
  <c r="E475" i="5"/>
  <c r="N440" i="5"/>
  <c r="N372" i="5"/>
  <c r="E332" i="5"/>
  <c r="H411" i="5"/>
  <c r="N453" i="5"/>
  <c r="Q500" i="5"/>
  <c r="H504" i="5"/>
  <c r="K424" i="5"/>
  <c r="N363" i="5"/>
  <c r="Q346" i="5"/>
  <c r="K294" i="5"/>
  <c r="N272" i="5"/>
  <c r="Q513" i="5"/>
  <c r="K517" i="5"/>
  <c r="N405" i="5"/>
  <c r="Q420" i="5"/>
  <c r="E438" i="5"/>
  <c r="H506" i="5"/>
  <c r="N510" i="5"/>
  <c r="Q494" i="5"/>
  <c r="H237" i="5"/>
  <c r="E368" i="5"/>
  <c r="H433" i="5"/>
  <c r="Q432" i="5"/>
  <c r="E393" i="5"/>
  <c r="Q483" i="5"/>
  <c r="Q418" i="5"/>
  <c r="K398" i="5"/>
  <c r="Q466" i="5"/>
  <c r="E486" i="5"/>
  <c r="H488" i="5"/>
  <c r="H284" i="5"/>
  <c r="Q361" i="5"/>
  <c r="N279" i="5"/>
  <c r="N375" i="5"/>
  <c r="N357" i="5"/>
  <c r="E490" i="5"/>
  <c r="H505" i="5"/>
  <c r="N439" i="5"/>
  <c r="Q492" i="5"/>
  <c r="K318" i="5"/>
  <c r="Q238" i="5"/>
  <c r="E443" i="5"/>
  <c r="E406" i="5"/>
  <c r="H482" i="5"/>
  <c r="K485" i="5"/>
  <c r="K316" i="5"/>
  <c r="E452" i="5"/>
  <c r="Q523" i="5"/>
  <c r="N487" i="5"/>
  <c r="Q568" i="5"/>
  <c r="Q441" i="5"/>
  <c r="K437" i="5"/>
  <c r="N526" i="5"/>
  <c r="N362" i="5"/>
  <c r="K516" i="5"/>
  <c r="E361" i="5"/>
  <c r="N468" i="5"/>
  <c r="Q337" i="5"/>
  <c r="H392" i="5"/>
  <c r="H332" i="5"/>
  <c r="K423" i="5"/>
  <c r="Q404" i="5"/>
  <c r="Q453" i="5"/>
  <c r="E373" i="5"/>
  <c r="Q355" i="5"/>
  <c r="E190" i="5"/>
  <c r="H539" i="5"/>
  <c r="K446" i="5"/>
  <c r="N517" i="5"/>
  <c r="Q405" i="5"/>
  <c r="N389" i="5"/>
  <c r="Q510" i="5"/>
  <c r="E558" i="5"/>
  <c r="E434" i="5"/>
  <c r="E331" i="5"/>
  <c r="H459" i="5"/>
  <c r="K366" i="5"/>
  <c r="H509" i="5"/>
  <c r="Q538" i="5"/>
  <c r="H551" i="5"/>
  <c r="K533" i="5"/>
  <c r="N350" i="5"/>
  <c r="H428" i="5"/>
  <c r="E333" i="5"/>
  <c r="H490" i="5"/>
  <c r="N425" i="5"/>
  <c r="Q439" i="5"/>
  <c r="H481" i="5"/>
  <c r="Q489" i="5"/>
  <c r="E346" i="5"/>
  <c r="H443" i="5"/>
  <c r="K359" i="5"/>
  <c r="N495" i="5"/>
  <c r="E420" i="5"/>
  <c r="H455" i="5"/>
  <c r="Q417" i="5"/>
  <c r="N431" i="5"/>
  <c r="Q522" i="5"/>
  <c r="E528" i="5"/>
  <c r="Q435" i="5"/>
  <c r="N316" i="5"/>
  <c r="Q499" i="5"/>
  <c r="H542" i="5"/>
  <c r="K431" i="5"/>
  <c r="E432" i="5"/>
  <c r="N452" i="5"/>
  <c r="H557" i="5"/>
  <c r="H465" i="5"/>
  <c r="E430" i="5"/>
  <c r="Q401" i="5"/>
  <c r="Q559" i="5"/>
  <c r="Q507" i="5"/>
  <c r="N512" i="5"/>
  <c r="E563" i="5"/>
  <c r="N524" i="5"/>
  <c r="K583" i="5"/>
  <c r="N484" i="5"/>
  <c r="N237" i="5"/>
  <c r="H374" i="5"/>
  <c r="Q403" i="5"/>
  <c r="K511" i="5"/>
  <c r="K531" i="5"/>
  <c r="K447" i="5"/>
  <c r="E556" i="5"/>
  <c r="H555" i="5"/>
  <c r="Q497" i="5"/>
  <c r="Q464" i="5"/>
  <c r="K573" i="5"/>
  <c r="N297" i="5"/>
  <c r="H425" i="5"/>
  <c r="Q416" i="5"/>
  <c r="K346" i="5"/>
  <c r="E355" i="5"/>
  <c r="H515" i="5"/>
  <c r="Q410" i="5"/>
  <c r="K435" i="5"/>
  <c r="E403" i="5"/>
  <c r="N509" i="5"/>
  <c r="N542" i="5"/>
  <c r="N551" i="5"/>
  <c r="H476" i="5"/>
  <c r="E436" i="5"/>
  <c r="N578" i="5"/>
  <c r="Q512" i="5"/>
  <c r="E546" i="5"/>
  <c r="H567" i="5"/>
  <c r="H540" i="5"/>
  <c r="N566" i="5"/>
  <c r="N583" i="5"/>
  <c r="Q479" i="5"/>
  <c r="K356" i="5"/>
  <c r="E416" i="5"/>
  <c r="N238" i="5"/>
  <c r="H272" i="5"/>
  <c r="Q444" i="5"/>
  <c r="K470" i="5"/>
  <c r="E410" i="5"/>
  <c r="N485" i="5"/>
  <c r="H483" i="5"/>
  <c r="Q480" i="5"/>
  <c r="Q369" i="5"/>
  <c r="N447" i="5"/>
  <c r="E458" i="5"/>
  <c r="E559" i="5"/>
  <c r="K555" i="5"/>
  <c r="Q383" i="5"/>
  <c r="N503" i="5"/>
  <c r="E548" i="5"/>
  <c r="K547" i="5"/>
  <c r="N573" i="5"/>
  <c r="N572" i="5"/>
  <c r="Q537" i="5"/>
  <c r="E479" i="5"/>
  <c r="N423" i="5"/>
  <c r="H373" i="5"/>
  <c r="Q363" i="5"/>
  <c r="K419" i="5"/>
  <c r="E444" i="5"/>
  <c r="N438" i="5"/>
  <c r="H558" i="5"/>
  <c r="Q433" i="5"/>
  <c r="K384" i="5"/>
  <c r="E480" i="5"/>
  <c r="H441" i="5"/>
  <c r="H401" i="5"/>
  <c r="E362" i="5"/>
  <c r="E461" i="5"/>
  <c r="N576" i="5"/>
  <c r="H546" i="5"/>
  <c r="N488" i="5"/>
  <c r="Q541" i="5"/>
  <c r="K567" i="5"/>
  <c r="Q566" i="5"/>
  <c r="H337" i="5"/>
  <c r="Q411" i="5"/>
  <c r="K429" i="5"/>
  <c r="E363" i="5"/>
  <c r="N294" i="5"/>
  <c r="H446" i="5"/>
  <c r="Q455" i="5"/>
  <c r="K496" i="5"/>
  <c r="E433" i="5"/>
  <c r="N499" i="5"/>
  <c r="H418" i="5"/>
  <c r="N465" i="5"/>
  <c r="H466" i="5"/>
  <c r="K430" i="5"/>
  <c r="H559" i="5"/>
  <c r="H507" i="5"/>
  <c r="H521" i="5"/>
  <c r="K556" i="5"/>
  <c r="N555" i="5"/>
  <c r="H508" i="5"/>
  <c r="K563" i="5"/>
  <c r="N486" i="5"/>
  <c r="Q503" i="5"/>
  <c r="Q573" i="5"/>
  <c r="N527" i="5"/>
  <c r="Q550" i="5"/>
  <c r="Q572" i="5"/>
  <c r="K372" i="5"/>
  <c r="E411" i="5"/>
  <c r="N500" i="5"/>
  <c r="H489" i="5"/>
  <c r="Q495" i="5"/>
  <c r="K482" i="5"/>
  <c r="E455" i="5"/>
  <c r="N494" i="5"/>
  <c r="H368" i="5"/>
  <c r="Q316" i="5"/>
  <c r="K523" i="5"/>
  <c r="E542" i="5"/>
  <c r="K441" i="5"/>
  <c r="H461" i="5"/>
  <c r="K498" i="5"/>
  <c r="K546" i="5"/>
  <c r="N520" i="5"/>
  <c r="E422" i="5"/>
  <c r="N540" i="5"/>
  <c r="Q545" i="5"/>
  <c r="E591" i="5"/>
  <c r="K326" i="5"/>
  <c r="E495" i="5"/>
  <c r="N539" i="5"/>
  <c r="H474" i="5"/>
  <c r="Q391" i="5"/>
  <c r="K434" i="5"/>
  <c r="E316" i="5"/>
  <c r="N493" i="5"/>
  <c r="H472" i="5"/>
  <c r="N476" i="5"/>
  <c r="K436" i="5"/>
  <c r="K521" i="5"/>
  <c r="K508" i="5"/>
  <c r="N563" i="5"/>
  <c r="Q486" i="5"/>
  <c r="E570" i="5"/>
  <c r="Q375" i="5"/>
  <c r="K332" i="5"/>
  <c r="E492" i="5"/>
  <c r="N424" i="5"/>
  <c r="H395" i="5"/>
  <c r="Q525" i="5"/>
  <c r="K420" i="5"/>
  <c r="E391" i="5"/>
  <c r="N528" i="5"/>
  <c r="H473" i="5"/>
  <c r="Q560" i="5"/>
  <c r="K568" i="5"/>
  <c r="N530" i="5"/>
  <c r="H512" i="5"/>
  <c r="K497" i="5"/>
  <c r="H524" i="5"/>
  <c r="N518" i="5"/>
  <c r="Q520" i="5"/>
  <c r="E471" i="5"/>
  <c r="E552" i="5"/>
  <c r="E375" i="5"/>
  <c r="N392" i="5"/>
  <c r="H453" i="5"/>
  <c r="Q318" i="5"/>
  <c r="K365" i="5"/>
  <c r="E525" i="5"/>
  <c r="N457" i="5"/>
  <c r="H510" i="5"/>
  <c r="Q491" i="5"/>
  <c r="K393" i="5"/>
  <c r="E560" i="5"/>
  <c r="N538" i="5"/>
  <c r="Q398" i="5"/>
  <c r="Q526" i="5"/>
  <c r="N436" i="5"/>
  <c r="N521" i="5"/>
  <c r="E576" i="5"/>
  <c r="H383" i="5"/>
  <c r="Q563" i="5"/>
  <c r="E488" i="5"/>
  <c r="H279" i="5"/>
  <c r="Q490" i="5"/>
  <c r="K404" i="5"/>
  <c r="E318" i="5"/>
  <c r="N359" i="5"/>
  <c r="H406" i="5"/>
  <c r="Q501" i="5"/>
  <c r="K417" i="5"/>
  <c r="E491" i="5"/>
  <c r="N331" i="5"/>
  <c r="H366" i="5"/>
  <c r="Q487" i="5"/>
  <c r="E398" i="5"/>
  <c r="E526" i="5"/>
  <c r="N559" i="5"/>
  <c r="H578" i="5"/>
  <c r="Q518" i="5"/>
  <c r="K514" i="5"/>
  <c r="Q554" i="5"/>
  <c r="E519" i="5"/>
  <c r="H471" i="5"/>
  <c r="N556" i="5"/>
  <c r="H486" i="5"/>
  <c r="K548" i="5"/>
  <c r="N514" i="5"/>
  <c r="Q553" i="5"/>
  <c r="H422" i="5"/>
  <c r="N535" i="5"/>
  <c r="H584" i="5"/>
  <c r="E574" i="5"/>
  <c r="Q532" i="5"/>
  <c r="H562" i="5"/>
  <c r="N593" i="5"/>
  <c r="E577" i="5"/>
  <c r="H598" i="5"/>
  <c r="K589" i="5"/>
  <c r="H595" i="5"/>
  <c r="N601" i="5"/>
  <c r="Q600" i="5"/>
  <c r="E498" i="5"/>
  <c r="N546" i="5"/>
  <c r="Q524" i="5"/>
  <c r="Q514" i="5"/>
  <c r="E520" i="5"/>
  <c r="K422" i="5"/>
  <c r="N536" i="5"/>
  <c r="Q535" i="5"/>
  <c r="K584" i="5"/>
  <c r="N564" i="5"/>
  <c r="N575" i="5"/>
  <c r="K569" i="5"/>
  <c r="H579" i="5"/>
  <c r="K543" i="5"/>
  <c r="H577" i="5"/>
  <c r="Q508" i="5"/>
  <c r="N547" i="5"/>
  <c r="Q467" i="5"/>
  <c r="H519" i="5"/>
  <c r="K471" i="5"/>
  <c r="E545" i="5"/>
  <c r="H552" i="5"/>
  <c r="Q529" i="5"/>
  <c r="N596" i="5"/>
  <c r="K507" i="5"/>
  <c r="E508" i="5"/>
  <c r="E524" i="5"/>
  <c r="N567" i="5"/>
  <c r="E553" i="5"/>
  <c r="H520" i="5"/>
  <c r="Q536" i="5"/>
  <c r="Q564" i="5"/>
  <c r="N549" i="5"/>
  <c r="K579" i="5"/>
  <c r="Q588" i="5"/>
  <c r="E586" i="5"/>
  <c r="H585" i="5"/>
  <c r="E597" i="5"/>
  <c r="K594" i="5"/>
  <c r="N595" i="5"/>
  <c r="Q599" i="5"/>
  <c r="H497" i="5"/>
  <c r="H541" i="5"/>
  <c r="Q547" i="5"/>
  <c r="E514" i="5"/>
  <c r="H554" i="5"/>
  <c r="K519" i="5"/>
  <c r="N471" i="5"/>
  <c r="H545" i="5"/>
  <c r="K552" i="5"/>
  <c r="H550" i="5"/>
  <c r="K570" i="5"/>
  <c r="H537" i="5"/>
  <c r="E566" i="5"/>
  <c r="H565" i="5"/>
  <c r="E484" i="5"/>
  <c r="Q461" i="5"/>
  <c r="K512" i="5"/>
  <c r="K503" i="5"/>
  <c r="Q567" i="5"/>
  <c r="E467" i="5"/>
  <c r="H553" i="5"/>
  <c r="Q422" i="5"/>
  <c r="E535" i="5"/>
  <c r="K590" i="5"/>
  <c r="E593" i="5"/>
  <c r="N383" i="5"/>
  <c r="E573" i="5"/>
  <c r="N519" i="5"/>
  <c r="N552" i="5"/>
  <c r="H566" i="5"/>
  <c r="H484" i="5"/>
  <c r="H362" i="5"/>
  <c r="Q578" i="5"/>
  <c r="E518" i="5"/>
  <c r="H467" i="5"/>
  <c r="K553" i="5"/>
  <c r="E536" i="5"/>
  <c r="H535" i="5"/>
  <c r="E564" i="5"/>
  <c r="H534" i="5"/>
  <c r="E575" i="5"/>
  <c r="Q574" i="5"/>
  <c r="E571" i="5"/>
  <c r="Q579" i="5"/>
  <c r="N587" i="5"/>
  <c r="Q581" i="5"/>
  <c r="E588" i="5"/>
  <c r="K586" i="5"/>
  <c r="Q577" i="5"/>
  <c r="H582" i="5"/>
  <c r="K597" i="5"/>
  <c r="N592" i="5"/>
  <c r="K458" i="5"/>
  <c r="E578" i="5"/>
  <c r="K524" i="5"/>
  <c r="E567" i="5"/>
  <c r="H573" i="5"/>
  <c r="N554" i="5"/>
  <c r="Q519" i="5"/>
  <c r="K527" i="5"/>
  <c r="H544" i="5"/>
  <c r="E369" i="5"/>
  <c r="N533" i="5"/>
  <c r="H576" i="5"/>
  <c r="Q488" i="5"/>
  <c r="H518" i="5"/>
  <c r="K467" i="5"/>
  <c r="N553" i="5"/>
  <c r="H536" i="5"/>
  <c r="K535" i="5"/>
  <c r="H564" i="5"/>
  <c r="H575" i="5"/>
  <c r="E569" i="5"/>
  <c r="E543" i="5"/>
  <c r="Q587" i="5"/>
  <c r="N594" i="5"/>
  <c r="Q601" i="5"/>
  <c r="Q471" i="5"/>
  <c r="E540" i="5"/>
  <c r="H591" i="5"/>
  <c r="K534" i="5"/>
  <c r="N570" i="5"/>
  <c r="Q575" i="5"/>
  <c r="E580" i="5"/>
  <c r="H571" i="5"/>
  <c r="K565" i="5"/>
  <c r="N543" i="5"/>
  <c r="Q484" i="5"/>
  <c r="E562" i="5"/>
  <c r="H586" i="5"/>
  <c r="K598" i="5"/>
  <c r="N597" i="5"/>
  <c r="Q595" i="5"/>
  <c r="E602" i="5"/>
  <c r="K564" i="5"/>
  <c r="N550" i="5"/>
  <c r="E537" i="5"/>
  <c r="H569" i="5"/>
  <c r="K566" i="5"/>
  <c r="N579" i="5"/>
  <c r="Q583" i="5"/>
  <c r="E581" i="5"/>
  <c r="H593" i="5"/>
  <c r="K577" i="5"/>
  <c r="N582" i="5"/>
  <c r="Q594" i="5"/>
  <c r="E600" i="5"/>
  <c r="Q561" i="5"/>
  <c r="E572" i="5"/>
  <c r="H574" i="5"/>
  <c r="K544" i="5"/>
  <c r="N590" i="5"/>
  <c r="Q596" i="5"/>
  <c r="E587" i="5"/>
  <c r="H588" i="5"/>
  <c r="K585" i="5"/>
  <c r="N589" i="5"/>
  <c r="Q592" i="5"/>
  <c r="E601" i="5"/>
  <c r="H581" i="5"/>
  <c r="K593" i="5"/>
  <c r="N577" i="5"/>
  <c r="Q582" i="5"/>
  <c r="E595" i="5"/>
  <c r="H600" i="5"/>
  <c r="K545" i="5"/>
  <c r="Q527" i="5"/>
  <c r="E549" i="5"/>
  <c r="H572" i="5"/>
  <c r="K574" i="5"/>
  <c r="N544" i="5"/>
  <c r="Q590" i="5"/>
  <c r="E583" i="5"/>
  <c r="H587" i="5"/>
  <c r="K588" i="5"/>
  <c r="N585" i="5"/>
  <c r="Q589" i="5"/>
  <c r="E594" i="5"/>
  <c r="H601" i="5"/>
  <c r="K540" i="5"/>
  <c r="N591" i="5"/>
  <c r="Q534" i="5"/>
  <c r="E561" i="5"/>
  <c r="H529" i="5"/>
  <c r="K580" i="5"/>
  <c r="N571" i="5"/>
  <c r="Q565" i="5"/>
  <c r="E596" i="5"/>
  <c r="H532" i="5"/>
  <c r="K562" i="5"/>
  <c r="N586" i="5"/>
  <c r="Q598" i="5"/>
  <c r="E592" i="5"/>
  <c r="H599" i="5"/>
  <c r="K602" i="5"/>
  <c r="K536" i="5"/>
  <c r="N545" i="5"/>
  <c r="E550" i="5"/>
  <c r="H549" i="5"/>
  <c r="K572" i="5"/>
  <c r="N574" i="5"/>
  <c r="Q544" i="5"/>
  <c r="E579" i="5"/>
  <c r="H583" i="5"/>
  <c r="K587" i="5"/>
  <c r="N588" i="5"/>
  <c r="Q585" i="5"/>
  <c r="E582" i="5"/>
  <c r="H594" i="5"/>
  <c r="K601" i="5"/>
  <c r="Q591" i="5"/>
  <c r="E527" i="5"/>
  <c r="H561" i="5"/>
  <c r="K529" i="5"/>
  <c r="N580" i="5"/>
  <c r="Q571" i="5"/>
  <c r="E590" i="5"/>
  <c r="H596" i="5"/>
  <c r="K532" i="5"/>
  <c r="N562" i="5"/>
  <c r="Q586" i="5"/>
  <c r="E589" i="5"/>
  <c r="H592" i="5"/>
  <c r="K599" i="5"/>
  <c r="N602" i="5"/>
  <c r="Q552" i="5"/>
  <c r="E534" i="5"/>
  <c r="H570" i="5"/>
  <c r="K575" i="5"/>
  <c r="N537" i="5"/>
  <c r="Q569" i="5"/>
  <c r="E565" i="5"/>
  <c r="H543" i="5"/>
  <c r="K484" i="5"/>
  <c r="N581" i="5"/>
  <c r="Q593" i="5"/>
  <c r="E598" i="5"/>
  <c r="H597" i="5"/>
  <c r="K595" i="5"/>
  <c r="N600" i="5"/>
  <c r="E547" i="5"/>
  <c r="H514" i="5"/>
  <c r="K520" i="5"/>
  <c r="N422" i="5"/>
  <c r="Q540" i="5"/>
  <c r="E584" i="5"/>
  <c r="H527" i="5"/>
  <c r="K561" i="5"/>
  <c r="N529" i="5"/>
  <c r="Q580" i="5"/>
  <c r="E544" i="5"/>
  <c r="H590" i="5"/>
  <c r="N532" i="5"/>
  <c r="Q562" i="5"/>
  <c r="E585" i="5"/>
  <c r="H589" i="5"/>
  <c r="K592" i="5"/>
  <c r="N599" i="5"/>
  <c r="Q602" i="5"/>
  <c r="M126" i="4"/>
  <c r="G26" i="4"/>
  <c r="E49" i="4"/>
  <c r="E35" i="4"/>
  <c r="E16" i="4"/>
  <c r="E15" i="4"/>
  <c r="K30" i="4"/>
  <c r="I26" i="4"/>
  <c r="E25" i="4"/>
  <c r="M29" i="4"/>
  <c r="I4" i="4"/>
  <c r="E6" i="4"/>
  <c r="G77" i="4"/>
  <c r="G17" i="4"/>
  <c r="E29" i="4"/>
  <c r="M30" i="4"/>
  <c r="K31" i="4"/>
  <c r="K32" i="4"/>
  <c r="E22" i="4"/>
  <c r="K52" i="4"/>
  <c r="G45" i="4"/>
  <c r="E7" i="4"/>
  <c r="K25" i="4"/>
  <c r="I14" i="4"/>
  <c r="E30" i="4"/>
  <c r="K9" i="4"/>
  <c r="E5" i="4"/>
  <c r="M31" i="4"/>
  <c r="E19" i="4"/>
  <c r="M32" i="4"/>
  <c r="K41" i="4"/>
  <c r="G22" i="4"/>
  <c r="K112" i="4"/>
  <c r="E180" i="4"/>
  <c r="M9" i="4"/>
  <c r="G19" i="4"/>
  <c r="M41" i="4"/>
  <c r="E10" i="4"/>
  <c r="E23" i="4"/>
  <c r="E42" i="4"/>
  <c r="E53" i="4"/>
  <c r="E92" i="4"/>
  <c r="M116" i="4"/>
  <c r="E20" i="4"/>
  <c r="E36" i="4"/>
  <c r="E4" i="4"/>
  <c r="K15" i="4"/>
  <c r="G63" i="4"/>
  <c r="E8" i="4"/>
  <c r="M15" i="4"/>
  <c r="G10" i="4"/>
  <c r="G13" i="4"/>
  <c r="K46" i="4"/>
  <c r="E59" i="4"/>
  <c r="E60" i="4"/>
  <c r="I10" i="4"/>
  <c r="G18" i="4"/>
  <c r="I36" i="4"/>
  <c r="G16" i="4"/>
  <c r="E28" i="4"/>
  <c r="M47" i="4"/>
  <c r="G131" i="4"/>
  <c r="K29" i="4"/>
  <c r="G6" i="4"/>
  <c r="G14" i="4"/>
  <c r="E24" i="4"/>
  <c r="M42" i="4"/>
  <c r="K53" i="4"/>
  <c r="E40" i="4"/>
  <c r="M25" i="4"/>
  <c r="G21" i="4"/>
  <c r="E41" i="4"/>
  <c r="I28" i="4"/>
  <c r="I40" i="4"/>
  <c r="G151" i="4"/>
  <c r="E44" i="4"/>
  <c r="K78" i="4"/>
  <c r="G107" i="4"/>
  <c r="E141" i="4"/>
  <c r="G39" i="4"/>
  <c r="K59" i="4"/>
  <c r="K114" i="4"/>
  <c r="G7" i="4"/>
  <c r="E21" i="4"/>
  <c r="K49" i="4"/>
  <c r="E86" i="4"/>
  <c r="E70" i="4"/>
  <c r="G12" i="4"/>
  <c r="E11" i="4"/>
  <c r="E31" i="4"/>
  <c r="E32" i="4"/>
  <c r="E50" i="4"/>
  <c r="E90" i="4"/>
  <c r="E99" i="4"/>
  <c r="E123" i="4"/>
  <c r="G8" i="4"/>
  <c r="G206" i="4"/>
  <c r="K5" i="4"/>
  <c r="M10" i="4"/>
  <c r="G164" i="4"/>
  <c r="I113" i="4"/>
  <c r="E163" i="4"/>
  <c r="E146" i="4"/>
  <c r="G85" i="4"/>
  <c r="M252" i="4"/>
  <c r="G4" i="4"/>
  <c r="K6" i="4"/>
  <c r="G35" i="4"/>
  <c r="E79" i="4"/>
  <c r="G75" i="4"/>
  <c r="K92" i="4"/>
  <c r="E126" i="4"/>
  <c r="E133" i="4"/>
  <c r="E190" i="4"/>
  <c r="E158" i="4"/>
  <c r="I151" i="4"/>
  <c r="E179" i="4"/>
  <c r="G88" i="4"/>
  <c r="E217" i="4"/>
  <c r="E265" i="4"/>
  <c r="E243" i="4"/>
  <c r="G194" i="4"/>
  <c r="E280" i="4"/>
  <c r="E289" i="4"/>
  <c r="I253" i="4"/>
  <c r="E103" i="4"/>
  <c r="I82" i="4"/>
  <c r="I232" i="4"/>
  <c r="E45" i="4"/>
  <c r="K104" i="4"/>
  <c r="G118" i="4"/>
  <c r="M7" i="4"/>
  <c r="I411" i="4"/>
  <c r="I184" i="4"/>
  <c r="I482" i="4"/>
  <c r="I363" i="4"/>
  <c r="I321" i="4"/>
  <c r="I538" i="4"/>
  <c r="I514" i="4"/>
  <c r="I540" i="4"/>
  <c r="I562" i="4"/>
  <c r="I279" i="4"/>
  <c r="I383" i="4"/>
  <c r="I536" i="4"/>
  <c r="I327" i="4"/>
  <c r="I330" i="4"/>
  <c r="I430" i="4"/>
  <c r="I437" i="4"/>
  <c r="I291" i="4"/>
  <c r="I262" i="4"/>
  <c r="I240" i="4"/>
  <c r="I294" i="4"/>
  <c r="I285" i="4"/>
  <c r="I295" i="4"/>
  <c r="I182" i="4"/>
  <c r="I365" i="4"/>
  <c r="I447" i="4"/>
  <c r="I193" i="4"/>
  <c r="I132" i="4"/>
  <c r="I230" i="4"/>
  <c r="I153" i="4"/>
  <c r="I85" i="4"/>
  <c r="I100" i="4"/>
  <c r="I160" i="4"/>
  <c r="I241" i="4"/>
  <c r="I83" i="4"/>
  <c r="I386" i="4"/>
  <c r="I197" i="4"/>
  <c r="I145" i="4"/>
  <c r="I161" i="4"/>
  <c r="I302" i="4"/>
  <c r="I316" i="4"/>
  <c r="I146" i="4"/>
  <c r="I305" i="4"/>
  <c r="E34" i="4"/>
  <c r="E94" i="4"/>
  <c r="E87" i="4"/>
  <c r="E178" i="4"/>
  <c r="K143" i="4"/>
  <c r="K155" i="4"/>
  <c r="E149" i="4"/>
  <c r="M113" i="4"/>
  <c r="K213" i="4"/>
  <c r="K207" i="4"/>
  <c r="G157" i="4"/>
  <c r="E145" i="4"/>
  <c r="E234" i="4"/>
  <c r="M298" i="4"/>
  <c r="I19" i="4"/>
  <c r="K20" i="4"/>
  <c r="E57" i="4"/>
  <c r="K50" i="4"/>
  <c r="E247" i="4"/>
  <c r="E13" i="4"/>
  <c r="G23" i="4"/>
  <c r="E52" i="4"/>
  <c r="M46" i="4"/>
  <c r="E81" i="4"/>
  <c r="I35" i="4"/>
  <c r="M59" i="4"/>
  <c r="E62" i="4"/>
  <c r="E71" i="4"/>
  <c r="I44" i="4"/>
  <c r="K58" i="4"/>
  <c r="E63" i="4"/>
  <c r="K84" i="4"/>
  <c r="E97" i="4"/>
  <c r="M92" i="4"/>
  <c r="E74" i="4"/>
  <c r="M152" i="4"/>
  <c r="E202" i="4"/>
  <c r="M155" i="4"/>
  <c r="E188" i="4"/>
  <c r="E148" i="4"/>
  <c r="E172" i="4"/>
  <c r="K209" i="4"/>
  <c r="G76" i="4"/>
  <c r="E185" i="4"/>
  <c r="K247" i="4"/>
  <c r="I137" i="4"/>
  <c r="M205" i="4"/>
  <c r="K64" i="4"/>
  <c r="M124" i="4"/>
  <c r="I45" i="4"/>
  <c r="M58" i="4"/>
  <c r="G94" i="4"/>
  <c r="E72" i="4"/>
  <c r="G98" i="4"/>
  <c r="E135" i="4"/>
  <c r="G121" i="4"/>
  <c r="K103" i="4"/>
  <c r="M129" i="4"/>
  <c r="I133" i="4"/>
  <c r="E130" i="4"/>
  <c r="E195" i="4"/>
  <c r="M189" i="4"/>
  <c r="G110" i="4"/>
  <c r="I149" i="4"/>
  <c r="M159" i="4"/>
  <c r="K169" i="4"/>
  <c r="E161" i="4"/>
  <c r="I157" i="4"/>
  <c r="E125" i="4"/>
  <c r="E406" i="4"/>
  <c r="E503" i="4"/>
  <c r="E399" i="4"/>
  <c r="E51" i="4"/>
  <c r="M201" i="4"/>
  <c r="E33" i="4"/>
  <c r="E47" i="4"/>
  <c r="K4" i="4"/>
  <c r="M43" i="4"/>
  <c r="E38" i="4"/>
  <c r="E68" i="4"/>
  <c r="E69" i="4"/>
  <c r="I87" i="4"/>
  <c r="E111" i="4"/>
  <c r="K126" i="4"/>
  <c r="E147" i="4"/>
  <c r="E122" i="4"/>
  <c r="E109" i="4"/>
  <c r="K200" i="4"/>
  <c r="E139" i="4"/>
  <c r="M217" i="4"/>
  <c r="E297" i="4"/>
  <c r="E260" i="4"/>
  <c r="G238" i="4"/>
  <c r="M96" i="4"/>
  <c r="M442" i="4"/>
  <c r="G554" i="4"/>
  <c r="G326" i="4"/>
  <c r="G529" i="4"/>
  <c r="G412" i="4"/>
  <c r="G458" i="4"/>
  <c r="G319" i="4"/>
  <c r="G490" i="4"/>
  <c r="G520" i="4"/>
  <c r="G582" i="4"/>
  <c r="G572" i="4"/>
  <c r="G583" i="4"/>
  <c r="G468" i="4"/>
  <c r="G513" i="4"/>
  <c r="G281" i="4"/>
  <c r="G476" i="4"/>
  <c r="G444" i="4"/>
  <c r="G506" i="4"/>
  <c r="G573" i="4"/>
  <c r="G530" i="4"/>
  <c r="G480" i="4"/>
  <c r="G555" i="4"/>
  <c r="G524" i="4"/>
  <c r="G522" i="4"/>
  <c r="G527" i="4"/>
  <c r="G511" i="4"/>
  <c r="G499" i="4"/>
  <c r="G544" i="4"/>
  <c r="G585" i="4"/>
  <c r="G577" i="4"/>
  <c r="G538" i="4"/>
  <c r="G557" i="4"/>
  <c r="G541" i="4"/>
  <c r="G517" i="4"/>
  <c r="G452" i="4"/>
  <c r="G565" i="4"/>
  <c r="G596" i="4"/>
  <c r="G586" i="4"/>
  <c r="G531" i="4"/>
  <c r="G526" i="4"/>
  <c r="G542" i="4"/>
  <c r="G495" i="4"/>
  <c r="G389" i="4"/>
  <c r="G471" i="4"/>
  <c r="G496" i="4"/>
  <c r="G425" i="4"/>
  <c r="G416" i="4"/>
  <c r="G379" i="4"/>
  <c r="G414" i="4"/>
  <c r="G591" i="4"/>
  <c r="G561" i="4"/>
  <c r="G581" i="4"/>
  <c r="G323" i="4"/>
  <c r="G481" i="4"/>
  <c r="G396" i="4"/>
  <c r="G365" i="4"/>
  <c r="G569" i="4"/>
  <c r="G504" i="4"/>
  <c r="G493" i="4"/>
  <c r="G397" i="4"/>
  <c r="G299" i="4"/>
  <c r="G393" i="4"/>
  <c r="G271" i="4"/>
  <c r="G329" i="4"/>
  <c r="G337" i="4"/>
  <c r="G428" i="4"/>
  <c r="G518" i="4"/>
  <c r="G465" i="4"/>
  <c r="G336" i="4"/>
  <c r="G492" i="4"/>
  <c r="G419" i="4"/>
  <c r="G366" i="4"/>
  <c r="G543" i="4"/>
  <c r="G611" i="4"/>
  <c r="G399" i="4"/>
  <c r="G368" i="4"/>
  <c r="G535" i="4"/>
  <c r="G469" i="4"/>
  <c r="G437" i="4"/>
  <c r="G372" i="4"/>
  <c r="G212" i="4"/>
  <c r="G422" i="4"/>
  <c r="G314" i="4"/>
  <c r="G424" i="4"/>
  <c r="G192" i="4"/>
  <c r="G197" i="4"/>
  <c r="G467" i="4"/>
  <c r="G358" i="4"/>
  <c r="G377" i="4"/>
  <c r="G300" i="4"/>
  <c r="G274" i="4"/>
  <c r="G254" i="4"/>
  <c r="G225" i="4"/>
  <c r="G514" i="4"/>
  <c r="G413" i="4"/>
  <c r="G191" i="4"/>
  <c r="G242" i="4"/>
  <c r="G240" i="4"/>
  <c r="G335" i="4"/>
  <c r="G286" i="4"/>
  <c r="G387" i="4"/>
  <c r="G351" i="4"/>
  <c r="G430" i="4"/>
  <c r="G407" i="4"/>
  <c r="G484" i="4"/>
  <c r="G498" i="4"/>
  <c r="G273" i="4"/>
  <c r="G232" i="4"/>
  <c r="G199" i="4"/>
  <c r="G350" i="4"/>
  <c r="G91" i="4"/>
  <c r="G296" i="4"/>
  <c r="G210" i="4"/>
  <c r="G67" i="4"/>
  <c r="G155" i="4"/>
  <c r="G111" i="4"/>
  <c r="G265" i="4"/>
  <c r="G278" i="4"/>
  <c r="G325" i="4"/>
  <c r="G345" i="4"/>
  <c r="G245" i="4"/>
  <c r="G230" i="4"/>
  <c r="G470" i="4"/>
  <c r="G102" i="4"/>
  <c r="G177" i="4"/>
  <c r="G100" i="4"/>
  <c r="G188" i="4"/>
  <c r="G185" i="4"/>
  <c r="G70" i="4"/>
  <c r="G93" i="4"/>
  <c r="G69" i="4"/>
  <c r="G277" i="4"/>
  <c r="G231" i="4"/>
  <c r="G316" i="4"/>
  <c r="G89" i="4"/>
  <c r="K79" i="4"/>
  <c r="M123" i="4"/>
  <c r="E107" i="4"/>
  <c r="E116" i="4"/>
  <c r="M190" i="4"/>
  <c r="M162" i="4"/>
  <c r="M158" i="4"/>
  <c r="G99" i="4"/>
  <c r="K216" i="4"/>
  <c r="G109" i="4"/>
  <c r="G139" i="4"/>
  <c r="E166" i="4"/>
  <c r="M106" i="4"/>
  <c r="M367" i="4"/>
  <c r="E189" i="4"/>
  <c r="G9" i="4"/>
  <c r="G11" i="4"/>
  <c r="K602" i="4"/>
  <c r="K401" i="4"/>
  <c r="K575" i="4"/>
  <c r="K568" i="4"/>
  <c r="K402" i="4"/>
  <c r="K503" i="4"/>
  <c r="K454" i="4"/>
  <c r="K492" i="4"/>
  <c r="K418" i="4"/>
  <c r="K362" i="4"/>
  <c r="K477" i="4"/>
  <c r="K507" i="4"/>
  <c r="K466" i="4"/>
  <c r="K344" i="4"/>
  <c r="K367" i="4"/>
  <c r="K481" i="4"/>
  <c r="K439" i="4"/>
  <c r="K356" i="4"/>
  <c r="K347" i="4"/>
  <c r="K266" i="4"/>
  <c r="K325" i="4"/>
  <c r="K498" i="4"/>
  <c r="K265" i="4"/>
  <c r="K129" i="4"/>
  <c r="K48" i="4"/>
  <c r="K174" i="4"/>
  <c r="K179" i="4"/>
  <c r="K138" i="4"/>
  <c r="K133" i="4"/>
  <c r="K354" i="4"/>
  <c r="K180" i="4"/>
  <c r="K141" i="4"/>
  <c r="K60" i="4"/>
  <c r="K380" i="4"/>
  <c r="K243" i="4"/>
  <c r="K217" i="4"/>
  <c r="K472" i="4"/>
  <c r="K234" i="4"/>
  <c r="K338" i="4"/>
  <c r="K260" i="4"/>
  <c r="K229" i="4"/>
  <c r="K158" i="4"/>
  <c r="K341" i="4"/>
  <c r="K292" i="4"/>
  <c r="K440" i="4"/>
  <c r="M4" i="4"/>
  <c r="E18" i="4"/>
  <c r="M57" i="4"/>
  <c r="E46" i="4"/>
  <c r="G40" i="4"/>
  <c r="E56" i="4"/>
  <c r="G86" i="4"/>
  <c r="K71" i="4"/>
  <c r="E80" i="4"/>
  <c r="G66" i="4"/>
  <c r="M55" i="4"/>
  <c r="K97" i="4"/>
  <c r="M95" i="4"/>
  <c r="E93" i="4"/>
  <c r="I74" i="4"/>
  <c r="E108" i="4"/>
  <c r="K178" i="4"/>
  <c r="G127" i="4"/>
  <c r="E83" i="4"/>
  <c r="K148" i="4"/>
  <c r="E119" i="4"/>
  <c r="G117" i="4"/>
  <c r="M179" i="4"/>
  <c r="K172" i="4"/>
  <c r="E128" i="4"/>
  <c r="E100" i="4"/>
  <c r="I139" i="4"/>
  <c r="E102" i="4"/>
  <c r="M331" i="4"/>
  <c r="I37" i="4"/>
  <c r="M451" i="4"/>
  <c r="M452" i="4"/>
  <c r="M464" i="4"/>
  <c r="M589" i="4"/>
  <c r="M586" i="4"/>
  <c r="M578" i="4"/>
  <c r="M521" i="4"/>
  <c r="M438" i="4"/>
  <c r="M448" i="4"/>
  <c r="M198" i="4"/>
  <c r="M604" i="4"/>
  <c r="M568" i="4"/>
  <c r="M313" i="4"/>
  <c r="M583" i="4"/>
  <c r="M519" i="4"/>
  <c r="M508" i="4"/>
  <c r="M477" i="4"/>
  <c r="M486" i="4"/>
  <c r="M370" i="4"/>
  <c r="M461" i="4"/>
  <c r="M293" i="4"/>
  <c r="M595" i="4"/>
  <c r="M501" i="4"/>
  <c r="M282" i="4"/>
  <c r="M498" i="4"/>
  <c r="M539" i="4"/>
  <c r="M479" i="4"/>
  <c r="M505" i="4"/>
  <c r="M481" i="4"/>
  <c r="M410" i="4"/>
  <c r="M378" i="4"/>
  <c r="M233" i="4"/>
  <c r="M503" i="4"/>
  <c r="M288" i="4"/>
  <c r="M403" i="4"/>
  <c r="M208" i="4"/>
  <c r="M256" i="4"/>
  <c r="M224" i="4"/>
  <c r="M196" i="4"/>
  <c r="M418" i="4"/>
  <c r="M427" i="4"/>
  <c r="M462" i="4"/>
  <c r="M423" i="4"/>
  <c r="M133" i="4"/>
  <c r="M101" i="4"/>
  <c r="M72" i="4"/>
  <c r="M80" i="4"/>
  <c r="M308" i="4"/>
  <c r="M456" i="4"/>
  <c r="M310" i="4"/>
  <c r="M354" i="4"/>
  <c r="M246" i="4"/>
  <c r="M266" i="4"/>
  <c r="M297" i="4"/>
  <c r="M180" i="4"/>
  <c r="M83" i="4"/>
  <c r="M417" i="4"/>
  <c r="M380" i="4"/>
  <c r="M247" i="4"/>
  <c r="M275" i="4"/>
  <c r="M73" i="4"/>
  <c r="M144" i="4"/>
  <c r="M400" i="4"/>
  <c r="M249" i="4"/>
  <c r="M207" i="4"/>
  <c r="M216" i="4"/>
  <c r="M202" i="4"/>
  <c r="M108" i="4"/>
  <c r="M135" i="4"/>
  <c r="M525" i="4"/>
  <c r="M440" i="4"/>
  <c r="M166" i="4"/>
  <c r="M265" i="4"/>
  <c r="M51" i="4"/>
  <c r="E27" i="4"/>
  <c r="K62" i="4"/>
  <c r="G56" i="4"/>
  <c r="K90" i="4"/>
  <c r="M79" i="4"/>
  <c r="E54" i="4"/>
  <c r="I66" i="4"/>
  <c r="E112" i="4"/>
  <c r="K130" i="4"/>
  <c r="E138" i="4"/>
  <c r="I127" i="4"/>
  <c r="G83" i="4"/>
  <c r="M148" i="4"/>
  <c r="M172" i="4"/>
  <c r="I142" i="4"/>
  <c r="M220" i="4"/>
  <c r="G150" i="4"/>
  <c r="G167" i="4"/>
  <c r="K268" i="4"/>
  <c r="M311" i="4"/>
  <c r="E17" i="4"/>
  <c r="E164" i="4"/>
  <c r="E209" i="4"/>
  <c r="E48" i="4"/>
  <c r="E55" i="4"/>
  <c r="E75" i="4"/>
  <c r="K140" i="4"/>
  <c r="E95" i="4"/>
  <c r="E12" i="4"/>
  <c r="M53" i="4"/>
  <c r="M90" i="4"/>
  <c r="K68" i="4"/>
  <c r="E61" i="4"/>
  <c r="E115" i="4"/>
  <c r="K147" i="4"/>
  <c r="G119" i="4"/>
  <c r="E113" i="4"/>
  <c r="G128" i="4"/>
  <c r="E207" i="4"/>
  <c r="K166" i="4"/>
  <c r="E105" i="4"/>
  <c r="E229" i="4"/>
  <c r="G227" i="4"/>
  <c r="K352" i="4"/>
  <c r="K346" i="4"/>
  <c r="I434" i="4"/>
  <c r="E421" i="4"/>
  <c r="E552" i="4"/>
  <c r="E459" i="4"/>
  <c r="E568" i="4"/>
  <c r="E467" i="4"/>
  <c r="E313" i="4"/>
  <c r="E362" i="4"/>
  <c r="E443" i="4"/>
  <c r="E611" i="4"/>
  <c r="E605" i="4"/>
  <c r="E564" i="4"/>
  <c r="E569" i="4"/>
  <c r="E580" i="4"/>
  <c r="E561" i="4"/>
  <c r="E535" i="4"/>
  <c r="E428" i="4"/>
  <c r="E484" i="4"/>
  <c r="E402" i="4"/>
  <c r="E581" i="4"/>
  <c r="E504" i="4"/>
  <c r="E518" i="4"/>
  <c r="E469" i="4"/>
  <c r="E493" i="4"/>
  <c r="E394" i="4"/>
  <c r="E608" i="4"/>
  <c r="E593" i="4"/>
  <c r="E584" i="4"/>
  <c r="E411" i="4"/>
  <c r="E184" i="4"/>
  <c r="E548" i="4"/>
  <c r="E534" i="4"/>
  <c r="E573" i="4"/>
  <c r="E523" i="4"/>
  <c r="E530" i="4"/>
  <c r="E602" i="4"/>
  <c r="E480" i="4"/>
  <c r="E555" i="4"/>
  <c r="E524" i="4"/>
  <c r="E522" i="4"/>
  <c r="E401" i="4"/>
  <c r="E527" i="4"/>
  <c r="E615" i="4"/>
  <c r="E610" i="4"/>
  <c r="E574" i="4"/>
  <c r="E595" i="4"/>
  <c r="E515" i="4"/>
  <c r="E551" i="4"/>
  <c r="E500" i="4"/>
  <c r="E453" i="4"/>
  <c r="E525" i="4"/>
  <c r="E501" i="4"/>
  <c r="E532" i="4"/>
  <c r="E236" i="4"/>
  <c r="E502" i="4"/>
  <c r="E491" i="4"/>
  <c r="E479" i="4"/>
  <c r="E517" i="4"/>
  <c r="E452" i="4"/>
  <c r="E543" i="4"/>
  <c r="E514" i="4"/>
  <c r="E464" i="4"/>
  <c r="E296" i="4"/>
  <c r="E591" i="4"/>
  <c r="E579" i="4"/>
  <c r="E409" i="4"/>
  <c r="E475" i="4"/>
  <c r="E539" i="4"/>
  <c r="E387" i="4"/>
  <c r="E286" i="4"/>
  <c r="E351" i="4"/>
  <c r="E282" i="4"/>
  <c r="E498" i="4"/>
  <c r="E358" i="4"/>
  <c r="E407" i="4"/>
  <c r="E305" i="4"/>
  <c r="E603" i="4"/>
  <c r="E460" i="4"/>
  <c r="E388" i="4"/>
  <c r="E279" i="4"/>
  <c r="E485" i="4"/>
  <c r="E505" i="4"/>
  <c r="E323" i="4"/>
  <c r="E481" i="4"/>
  <c r="E396" i="4"/>
  <c r="E440" i="4"/>
  <c r="E365" i="4"/>
  <c r="E423" i="4"/>
  <c r="E511" i="4"/>
  <c r="E562" i="4"/>
  <c r="E436" i="4"/>
  <c r="E290" i="4"/>
  <c r="E308" i="4"/>
  <c r="E299" i="4"/>
  <c r="E383" i="4"/>
  <c r="E472" i="4"/>
  <c r="E393" i="4"/>
  <c r="E271" i="4"/>
  <c r="E329" i="4"/>
  <c r="E298" i="4"/>
  <c r="E559" i="4"/>
  <c r="E385" i="4"/>
  <c r="E465" i="4"/>
  <c r="E336" i="4"/>
  <c r="E492" i="4"/>
  <c r="E419" i="4"/>
  <c r="E327" i="4"/>
  <c r="E450" i="4"/>
  <c r="E499" i="4"/>
  <c r="E418" i="4"/>
  <c r="E277" i="4"/>
  <c r="E322" i="4"/>
  <c r="E427" i="4"/>
  <c r="E316" i="4"/>
  <c r="E231" i="4"/>
  <c r="E384" i="4"/>
  <c r="E230" i="4"/>
  <c r="E437" i="4"/>
  <c r="E366" i="4"/>
  <c r="E212" i="4"/>
  <c r="E214" i="4"/>
  <c r="E267" i="4"/>
  <c r="E218" i="4"/>
  <c r="E309" i="4"/>
  <c r="E269" i="4"/>
  <c r="E187" i="4"/>
  <c r="E340" i="4"/>
  <c r="E171" i="4"/>
  <c r="E507" i="4"/>
  <c r="E314" i="4"/>
  <c r="E424" i="4"/>
  <c r="E293" i="4"/>
  <c r="E377" i="4"/>
  <c r="E253" i="4"/>
  <c r="E300" i="4"/>
  <c r="E274" i="4"/>
  <c r="E270" i="4"/>
  <c r="E311" i="4"/>
  <c r="E254" i="4"/>
  <c r="E225" i="4"/>
  <c r="E203" i="4"/>
  <c r="E248" i="4"/>
  <c r="E473" i="4"/>
  <c r="E373" i="4"/>
  <c r="E417" i="4"/>
  <c r="E497" i="4"/>
  <c r="E330" i="4"/>
  <c r="E191" i="4"/>
  <c r="E456" i="4"/>
  <c r="E294" i="4"/>
  <c r="E283" i="4"/>
  <c r="E488" i="4"/>
  <c r="E461" i="4"/>
  <c r="E318" i="4"/>
  <c r="E287" i="4"/>
  <c r="E408" i="4"/>
  <c r="E238" i="4"/>
  <c r="E223" i="4"/>
  <c r="E89" i="4"/>
  <c r="E150" i="4"/>
  <c r="E142" i="4"/>
  <c r="E127" i="4"/>
  <c r="E82" i="4"/>
  <c r="E114" i="4"/>
  <c r="E98" i="4"/>
  <c r="E66" i="4"/>
  <c r="E64" i="4"/>
  <c r="E378" i="4"/>
  <c r="E186" i="4"/>
  <c r="E232" i="4"/>
  <c r="E167" i="4"/>
  <c r="E169" i="4"/>
  <c r="E216" i="4"/>
  <c r="E110" i="4"/>
  <c r="E73" i="4"/>
  <c r="E144" i="4"/>
  <c r="E91" i="4"/>
  <c r="E140" i="4"/>
  <c r="E512" i="4"/>
  <c r="E337" i="4"/>
  <c r="E346" i="4"/>
  <c r="E194" i="4"/>
  <c r="E268" i="4"/>
  <c r="E106" i="4"/>
  <c r="E154" i="4"/>
  <c r="E168" i="4"/>
  <c r="E120" i="4"/>
  <c r="E213" i="4"/>
  <c r="E67" i="4"/>
  <c r="E155" i="4"/>
  <c r="E78" i="4"/>
  <c r="E410" i="4"/>
  <c r="E134" i="4"/>
  <c r="E325" i="4"/>
  <c r="E345" i="4"/>
  <c r="E403" i="4"/>
  <c r="E156" i="4"/>
  <c r="E245" i="4"/>
  <c r="E200" i="4"/>
  <c r="E159" i="4"/>
  <c r="E132" i="4"/>
  <c r="E124" i="4"/>
  <c r="E246" i="4"/>
  <c r="E251" i="4"/>
  <c r="E219" i="4"/>
  <c r="E174" i="4"/>
  <c r="E220" i="4"/>
  <c r="E221" i="4"/>
  <c r="E88" i="4"/>
  <c r="E117" i="4"/>
  <c r="E136" i="4"/>
  <c r="E162" i="4"/>
  <c r="E96" i="4"/>
  <c r="E121" i="4"/>
  <c r="E104" i="4"/>
  <c r="E84" i="4"/>
  <c r="E37" i="4"/>
  <c r="E257" i="4"/>
  <c r="E252" i="4"/>
  <c r="E177" i="4"/>
  <c r="E432" i="4"/>
  <c r="E272" i="4"/>
  <c r="E233" i="4"/>
  <c r="E244" i="4"/>
  <c r="E201" i="4"/>
  <c r="E9" i="4"/>
  <c r="E14" i="4"/>
  <c r="G24" i="4"/>
  <c r="E26" i="4"/>
  <c r="K33" i="4"/>
  <c r="E39" i="4"/>
  <c r="G27" i="4"/>
  <c r="K47" i="4"/>
  <c r="M81" i="4"/>
  <c r="M62" i="4"/>
  <c r="E43" i="4"/>
  <c r="E58" i="4"/>
  <c r="E65" i="4"/>
  <c r="G54" i="4"/>
  <c r="G61" i="4"/>
  <c r="E118" i="4"/>
  <c r="G115" i="4"/>
  <c r="E101" i="4"/>
  <c r="E129" i="4"/>
  <c r="M195" i="4"/>
  <c r="E152" i="4"/>
  <c r="E143" i="4"/>
  <c r="M122" i="4"/>
  <c r="I136" i="4"/>
  <c r="E151" i="4"/>
  <c r="E131" i="4"/>
  <c r="E165" i="4"/>
  <c r="K102" i="4"/>
  <c r="E170" i="4"/>
  <c r="G312" i="4"/>
  <c r="E263" i="4"/>
  <c r="M168" i="4"/>
  <c r="M105" i="4"/>
  <c r="M154" i="4"/>
  <c r="M352" i="4"/>
  <c r="E241" i="4"/>
  <c r="I250" i="4"/>
  <c r="E204" i="4"/>
  <c r="M346" i="4"/>
  <c r="M303" i="4"/>
  <c r="E347" i="4"/>
  <c r="E197" i="4"/>
  <c r="E284" i="4"/>
  <c r="E380" i="4"/>
  <c r="E307" i="4"/>
  <c r="E376" i="4"/>
  <c r="K392" i="4"/>
  <c r="E435" i="4"/>
  <c r="K293" i="4"/>
  <c r="G324" i="4"/>
  <c r="G373" i="4"/>
  <c r="I405" i="4"/>
  <c r="I89" i="4"/>
  <c r="E222" i="4"/>
  <c r="E354" i="4"/>
  <c r="E371" i="4"/>
  <c r="I269" i="4"/>
  <c r="E255" i="4"/>
  <c r="G284" i="4"/>
  <c r="G215" i="4"/>
  <c r="I287" i="4"/>
  <c r="I358" i="4"/>
  <c r="G391" i="4"/>
  <c r="G533" i="4"/>
  <c r="M608" i="4"/>
  <c r="E588" i="4"/>
  <c r="K589" i="4"/>
  <c r="E160" i="4"/>
  <c r="M186" i="4"/>
  <c r="E266" i="4"/>
  <c r="E470" i="4"/>
  <c r="G222" i="4"/>
  <c r="E315" i="4"/>
  <c r="K289" i="4"/>
  <c r="I204" i="4"/>
  <c r="E256" i="4"/>
  <c r="M181" i="4"/>
  <c r="G255" i="4"/>
  <c r="E291" i="4"/>
  <c r="K242" i="4"/>
  <c r="M382" i="4"/>
  <c r="I283" i="4"/>
  <c r="E433" i="4"/>
  <c r="M369" i="4"/>
  <c r="M169" i="4"/>
  <c r="E85" i="4"/>
  <c r="G170" i="4"/>
  <c r="E237" i="4"/>
  <c r="G256" i="4"/>
  <c r="K301" i="4"/>
  <c r="E258" i="4"/>
  <c r="K384" i="4"/>
  <c r="K376" i="4"/>
  <c r="I233" i="4"/>
  <c r="E259" i="4"/>
  <c r="G420" i="4"/>
  <c r="G359" i="4"/>
  <c r="E205" i="4"/>
  <c r="E153" i="4"/>
  <c r="I170" i="4"/>
  <c r="M260" i="4"/>
  <c r="K280" i="4"/>
  <c r="M244" i="4"/>
  <c r="M223" i="4"/>
  <c r="G237" i="4"/>
  <c r="M338" i="4"/>
  <c r="M301" i="4"/>
  <c r="G258" i="4"/>
  <c r="E288" i="4"/>
  <c r="E239" i="4"/>
  <c r="K233" i="4"/>
  <c r="M381" i="4"/>
  <c r="E278" i="4"/>
  <c r="E477" i="4"/>
  <c r="G395" i="4"/>
  <c r="I355" i="4"/>
  <c r="E528" i="4"/>
  <c r="K165" i="4"/>
  <c r="K248" i="4"/>
  <c r="E175" i="4"/>
  <c r="M280" i="4"/>
  <c r="E295" i="4"/>
  <c r="M272" i="4"/>
  <c r="K340" i="4"/>
  <c r="G156" i="4"/>
  <c r="G187" i="4"/>
  <c r="E226" i="4"/>
  <c r="E303" i="4"/>
  <c r="I258" i="4"/>
  <c r="E344" i="4"/>
  <c r="G239" i="4"/>
  <c r="E372" i="4"/>
  <c r="E494" i="4"/>
  <c r="M386" i="4"/>
  <c r="G339" i="4"/>
  <c r="M472" i="4"/>
  <c r="E431" i="4"/>
  <c r="M328" i="4"/>
  <c r="G409" i="4"/>
  <c r="I221" i="4"/>
  <c r="G163" i="4"/>
  <c r="M243" i="4"/>
  <c r="E193" i="4"/>
  <c r="I203" i="4"/>
  <c r="E352" i="4"/>
  <c r="K246" i="4"/>
  <c r="E224" i="4"/>
  <c r="E173" i="4"/>
  <c r="E210" i="4"/>
  <c r="M340" i="4"/>
  <c r="E240" i="4"/>
  <c r="E367" i="4"/>
  <c r="G226" i="4"/>
  <c r="K270" i="4"/>
  <c r="E262" i="4"/>
  <c r="G134" i="4"/>
  <c r="E192" i="4"/>
  <c r="G318" i="4"/>
  <c r="E375" i="4"/>
  <c r="M433" i="4"/>
  <c r="E457" i="4"/>
  <c r="I539" i="4"/>
  <c r="G120" i="4"/>
  <c r="G168" i="4"/>
  <c r="E157" i="4"/>
  <c r="E137" i="4"/>
  <c r="G125" i="4"/>
  <c r="E196" i="4"/>
  <c r="G173" i="4"/>
  <c r="K315" i="4"/>
  <c r="E211" i="4"/>
  <c r="E235" i="4"/>
  <c r="M371" i="4"/>
  <c r="M257" i="4"/>
  <c r="I134" i="4"/>
  <c r="E264" i="4"/>
  <c r="G375" i="4"/>
  <c r="E306" i="4"/>
  <c r="E176" i="4"/>
  <c r="E379" i="4"/>
  <c r="K485" i="4"/>
  <c r="E76" i="4"/>
  <c r="K219" i="4"/>
  <c r="E350" i="4"/>
  <c r="E199" i="4"/>
  <c r="M315" i="4"/>
  <c r="E292" i="4"/>
  <c r="G235" i="4"/>
  <c r="E181" i="4"/>
  <c r="I309" i="4"/>
  <c r="E400" i="4"/>
  <c r="K415" i="4"/>
  <c r="E356" i="4"/>
  <c r="E334" i="4"/>
  <c r="E374" i="4"/>
  <c r="G306" i="4"/>
  <c r="E368" i="4"/>
  <c r="G176" i="4"/>
  <c r="E275" i="4"/>
  <c r="M251" i="4"/>
  <c r="E249" i="4"/>
  <c r="I211" i="4"/>
  <c r="I311" i="4"/>
  <c r="E208" i="4"/>
  <c r="E398" i="4"/>
  <c r="E285" i="4"/>
  <c r="I264" i="4"/>
  <c r="G218" i="4"/>
  <c r="E382" i="4"/>
  <c r="E273" i="4"/>
  <c r="E370" i="4"/>
  <c r="E430" i="4"/>
  <c r="M383" i="4"/>
  <c r="K109" i="4"/>
  <c r="K175" i="4"/>
  <c r="I194" i="4"/>
  <c r="E227" i="4"/>
  <c r="E182" i="4"/>
  <c r="G171" i="4"/>
  <c r="E250" i="4"/>
  <c r="E206" i="4"/>
  <c r="E312" i="4"/>
  <c r="E338" i="4"/>
  <c r="E301" i="4"/>
  <c r="G208" i="4"/>
  <c r="G398" i="4"/>
  <c r="G285" i="4"/>
  <c r="E242" i="4"/>
  <c r="I218" i="4"/>
  <c r="I334" i="4"/>
  <c r="M322" i="4"/>
  <c r="G333" i="4"/>
  <c r="G228" i="4"/>
  <c r="E405" i="4"/>
  <c r="E486" i="4"/>
  <c r="K322" i="4"/>
  <c r="E349" i="4"/>
  <c r="E324" i="4"/>
  <c r="E339" i="4"/>
  <c r="E391" i="4"/>
  <c r="G388" i="4"/>
  <c r="E420" i="4"/>
  <c r="I455" i="4"/>
  <c r="E441" i="4"/>
  <c r="K583" i="4"/>
  <c r="E533" i="4"/>
  <c r="E215" i="4"/>
  <c r="G259" i="4"/>
  <c r="K435" i="4"/>
  <c r="K357" i="4"/>
  <c r="G374" i="4"/>
  <c r="M341" i="4"/>
  <c r="E183" i="4"/>
  <c r="G263" i="4"/>
  <c r="M494" i="4"/>
  <c r="I306" i="4"/>
  <c r="K426" i="4"/>
  <c r="E439" i="4"/>
  <c r="G503" i="4"/>
  <c r="I176" i="4"/>
  <c r="G394" i="4"/>
  <c r="E487" i="4"/>
  <c r="E445" i="4"/>
  <c r="E446" i="4"/>
  <c r="E449" i="4"/>
  <c r="E468" i="4"/>
  <c r="G563" i="4"/>
  <c r="E600" i="4"/>
  <c r="E550" i="4"/>
  <c r="M214" i="4"/>
  <c r="I259" i="4"/>
  <c r="E333" i="4"/>
  <c r="M435" i="4"/>
  <c r="E335" i="4"/>
  <c r="E360" i="4"/>
  <c r="I349" i="4"/>
  <c r="G183" i="4"/>
  <c r="E353" i="4"/>
  <c r="E478" i="4"/>
  <c r="E348" i="4"/>
  <c r="M426" i="4"/>
  <c r="G431" i="4"/>
  <c r="E414" i="4"/>
  <c r="G362" i="4"/>
  <c r="E458" i="4"/>
  <c r="G445" i="4"/>
  <c r="E415" i="4"/>
  <c r="G360" i="4"/>
  <c r="G353" i="4"/>
  <c r="E317" i="4"/>
  <c r="G348" i="4"/>
  <c r="E413" i="4"/>
  <c r="M463" i="4"/>
  <c r="E425" i="4"/>
  <c r="E513" i="4"/>
  <c r="I446" i="4"/>
  <c r="E381" i="4"/>
  <c r="I360" i="4"/>
  <c r="E261" i="4"/>
  <c r="E228" i="4"/>
  <c r="G317" i="4"/>
  <c r="E429" i="4"/>
  <c r="E331" i="4"/>
  <c r="M432" i="4"/>
  <c r="E395" i="4"/>
  <c r="E466" i="4"/>
  <c r="G457" i="4"/>
  <c r="E444" i="4"/>
  <c r="M307" i="4"/>
  <c r="K348" i="4"/>
  <c r="E343" i="4"/>
  <c r="E328" i="4"/>
  <c r="E390" i="4"/>
  <c r="K487" i="4"/>
  <c r="G473" i="4"/>
  <c r="E389" i="4"/>
  <c r="E586" i="4"/>
  <c r="E332" i="4"/>
  <c r="E442" i="4"/>
  <c r="K478" i="4"/>
  <c r="E434" i="4"/>
  <c r="E304" i="4"/>
  <c r="I413" i="4"/>
  <c r="G343" i="4"/>
  <c r="E422" i="4"/>
  <c r="E447" i="4"/>
  <c r="G342" i="4"/>
  <c r="G443" i="4"/>
  <c r="G321" i="4"/>
  <c r="E281" i="4"/>
  <c r="E577" i="4"/>
  <c r="E607" i="4"/>
  <c r="K382" i="4"/>
  <c r="E310" i="4"/>
  <c r="G406" i="4"/>
  <c r="G332" i="4"/>
  <c r="G433" i="4"/>
  <c r="E361" i="4"/>
  <c r="K429" i="4"/>
  <c r="G304" i="4"/>
  <c r="E386" i="4"/>
  <c r="I343" i="4"/>
  <c r="E416" i="4"/>
  <c r="E483" i="4"/>
  <c r="G267" i="4"/>
  <c r="I377" i="4"/>
  <c r="E392" i="4"/>
  <c r="G310" i="4"/>
  <c r="E341" i="4"/>
  <c r="G361" i="4"/>
  <c r="M429" i="4"/>
  <c r="E369" i="4"/>
  <c r="E355" i="4"/>
  <c r="I570" i="4"/>
  <c r="G500" i="4"/>
  <c r="G483" i="4"/>
  <c r="E357" i="4"/>
  <c r="M261" i="4"/>
  <c r="E302" i="4"/>
  <c r="K433" i="4"/>
  <c r="G369" i="4"/>
  <c r="M395" i="4"/>
  <c r="E426" i="4"/>
  <c r="E454" i="4"/>
  <c r="G460" i="4"/>
  <c r="G600" i="4"/>
  <c r="G550" i="4"/>
  <c r="K609" i="4"/>
  <c r="G588" i="4"/>
  <c r="E613" i="4"/>
  <c r="G408" i="4"/>
  <c r="M509" i="4"/>
  <c r="E455" i="4"/>
  <c r="E448" i="4"/>
  <c r="G548" i="4"/>
  <c r="E412" i="4"/>
  <c r="M528" i="4"/>
  <c r="G497" i="4"/>
  <c r="M459" i="4"/>
  <c r="E451" i="4"/>
  <c r="G488" i="4"/>
  <c r="G453" i="4"/>
  <c r="E521" i="4"/>
  <c r="E549" i="4"/>
  <c r="M602" i="4"/>
  <c r="E566" i="4"/>
  <c r="K579" i="4"/>
  <c r="G607" i="4"/>
  <c r="E571" i="4"/>
  <c r="E596" i="4"/>
  <c r="E546" i="4"/>
  <c r="K598" i="4"/>
  <c r="I550" i="4"/>
  <c r="E558" i="4"/>
  <c r="G390" i="4"/>
  <c r="E506" i="4"/>
  <c r="G491" i="4"/>
  <c r="G450" i="4"/>
  <c r="E537" i="4"/>
  <c r="E542" i="4"/>
  <c r="I449" i="4"/>
  <c r="G549" i="4"/>
  <c r="G566" i="4"/>
  <c r="M579" i="4"/>
  <c r="G571" i="4"/>
  <c r="G546" i="4"/>
  <c r="G574" i="4"/>
  <c r="E604" i="4"/>
  <c r="M605" i="4"/>
  <c r="G558" i="4"/>
  <c r="E590" i="4"/>
  <c r="G385" i="4"/>
  <c r="I499" i="4"/>
  <c r="M473" i="4"/>
  <c r="E510" i="4"/>
  <c r="E529" i="4"/>
  <c r="G537" i="4"/>
  <c r="M560" i="4"/>
  <c r="E363" i="4"/>
  <c r="K441" i="4"/>
  <c r="G584" i="4"/>
  <c r="E536" i="4"/>
  <c r="E545" i="4"/>
  <c r="I580" i="4"/>
  <c r="G559" i="4"/>
  <c r="G604" i="4"/>
  <c r="G590" i="4"/>
  <c r="E599" i="4"/>
  <c r="E576" i="4"/>
  <c r="E462" i="4"/>
  <c r="E397" i="4"/>
  <c r="E463" i="4"/>
  <c r="E508" i="4"/>
  <c r="G510" i="4"/>
  <c r="E516" i="4"/>
  <c r="E496" i="4"/>
  <c r="E326" i="4"/>
  <c r="G363" i="4"/>
  <c r="E575" i="4"/>
  <c r="E531" i="4"/>
  <c r="G421" i="4"/>
  <c r="G551" i="4"/>
  <c r="E553" i="4"/>
  <c r="E582" i="4"/>
  <c r="E585" i="4"/>
  <c r="E594" i="4"/>
  <c r="E565" i="4"/>
  <c r="E606" i="4"/>
  <c r="G610" i="4"/>
  <c r="G599" i="4"/>
  <c r="M613" i="4"/>
  <c r="G576" i="4"/>
  <c r="E342" i="4"/>
  <c r="M512" i="4"/>
  <c r="K448" i="4"/>
  <c r="E471" i="4"/>
  <c r="K543" i="4"/>
  <c r="G290" i="4"/>
  <c r="G516" i="4"/>
  <c r="M593" i="4"/>
  <c r="G436" i="4"/>
  <c r="I545" i="4"/>
  <c r="G553" i="4"/>
  <c r="E474" i="4"/>
  <c r="E547" i="4"/>
  <c r="G606" i="4"/>
  <c r="E592" i="4"/>
  <c r="G502" i="4"/>
  <c r="E364" i="4"/>
  <c r="E519" i="4"/>
  <c r="E538" i="4"/>
  <c r="E320" i="4"/>
  <c r="E578" i="4"/>
  <c r="E556" i="4"/>
  <c r="G474" i="4"/>
  <c r="G523" i="4"/>
  <c r="G547" i="4"/>
  <c r="G592" i="4"/>
  <c r="E614" i="4"/>
  <c r="E567" i="4"/>
  <c r="E509" i="4"/>
  <c r="E198" i="4"/>
  <c r="E319" i="4"/>
  <c r="E476" i="4"/>
  <c r="G364" i="4"/>
  <c r="G532" i="4"/>
  <c r="E541" i="4"/>
  <c r="E583" i="4"/>
  <c r="E570" i="4"/>
  <c r="E404" i="4"/>
  <c r="G320" i="4"/>
  <c r="G556" i="4"/>
  <c r="E544" i="4"/>
  <c r="K606" i="4"/>
  <c r="E589" i="4"/>
  <c r="G614" i="4"/>
  <c r="G567" i="4"/>
  <c r="G509" i="4"/>
  <c r="G534" i="4"/>
  <c r="E276" i="4"/>
  <c r="E557" i="4"/>
  <c r="G404" i="4"/>
  <c r="E540" i="4"/>
  <c r="E489" i="4"/>
  <c r="E520" i="4"/>
  <c r="M594" i="4"/>
  <c r="E597" i="4"/>
  <c r="I564" i="4"/>
  <c r="E598" i="4"/>
  <c r="G603" i="4"/>
  <c r="K462" i="4"/>
  <c r="E321" i="4"/>
  <c r="E438" i="4"/>
  <c r="I236" i="4"/>
  <c r="G276" i="4"/>
  <c r="E495" i="4"/>
  <c r="E560" i="4"/>
  <c r="E359" i="4"/>
  <c r="G411" i="4"/>
  <c r="E526" i="4"/>
  <c r="M575" i="4"/>
  <c r="I552" i="4"/>
  <c r="E554" i="4"/>
  <c r="G475" i="4"/>
  <c r="G515" i="4"/>
  <c r="E587" i="4"/>
  <c r="G597" i="4"/>
  <c r="E601" i="4"/>
  <c r="E609" i="4"/>
  <c r="E612" i="4"/>
  <c r="E572" i="4"/>
  <c r="I489" i="4"/>
  <c r="G587" i="4"/>
  <c r="E482" i="4"/>
  <c r="E563" i="4"/>
  <c r="G601" i="4"/>
  <c r="E490" i="4"/>
  <c r="K608" i="4"/>
  <c r="G609" i="4"/>
  <c r="G612" i="4"/>
  <c r="G615" i="4"/>
  <c r="L261" i="17" l="1"/>
  <c r="M261" i="17"/>
  <c r="K261" i="17"/>
  <c r="T5" i="17"/>
  <c r="U5" i="17" s="1"/>
  <c r="T8" i="17"/>
  <c r="U8" i="17" s="1"/>
  <c r="T7" i="17"/>
  <c r="U7" i="17" s="1"/>
  <c r="T6" i="17"/>
  <c r="U6" i="17" s="1"/>
  <c r="T11" i="17"/>
  <c r="U11" i="17" s="1"/>
  <c r="T12" i="17"/>
  <c r="U12" i="17" s="1"/>
  <c r="T9" i="17"/>
  <c r="U9" i="17" s="1"/>
  <c r="T10" i="17"/>
  <c r="U10" i="17" s="1"/>
  <c r="T15" i="17"/>
  <c r="U15" i="17" s="1"/>
  <c r="T13" i="17"/>
  <c r="U13" i="17" s="1"/>
  <c r="T17" i="17"/>
  <c r="U17" i="17" s="1"/>
  <c r="T21" i="17"/>
  <c r="U21" i="17" s="1"/>
  <c r="T18" i="17"/>
  <c r="U18" i="17" s="1"/>
  <c r="T16" i="17"/>
  <c r="U16" i="17" s="1"/>
  <c r="T19" i="17"/>
  <c r="U19" i="17" s="1"/>
  <c r="T20" i="17"/>
  <c r="U20" i="17" s="1"/>
  <c r="T29" i="17"/>
  <c r="U29" i="17" s="1"/>
  <c r="T14" i="17"/>
  <c r="U14" i="17" s="1"/>
  <c r="T26" i="17"/>
  <c r="U26" i="17" s="1"/>
  <c r="T24" i="17"/>
  <c r="U24" i="17" s="1"/>
  <c r="T23" i="17"/>
  <c r="U23" i="17" s="1"/>
  <c r="T28" i="17"/>
  <c r="U28" i="17" s="1"/>
  <c r="T30" i="17"/>
  <c r="U30" i="17" s="1"/>
  <c r="T33" i="17"/>
  <c r="U33" i="17" s="1"/>
  <c r="T25" i="17"/>
  <c r="U25" i="17" s="1"/>
  <c r="T37" i="17"/>
  <c r="U37" i="17" s="1"/>
  <c r="T36" i="17"/>
  <c r="U36" i="17" s="1"/>
  <c r="T31" i="17"/>
  <c r="U31" i="17" s="1"/>
  <c r="T27" i="17"/>
  <c r="U27" i="17" s="1"/>
  <c r="T22" i="17"/>
  <c r="U22" i="17" s="1"/>
  <c r="T38" i="17"/>
  <c r="U38" i="17" s="1"/>
  <c r="T41" i="17"/>
  <c r="U41" i="17" s="1"/>
  <c r="T35" i="17"/>
  <c r="U35" i="17" s="1"/>
  <c r="T40" i="17"/>
  <c r="U40" i="17" s="1"/>
  <c r="T44" i="17"/>
  <c r="U44" i="17" s="1"/>
  <c r="T54" i="17"/>
  <c r="U54" i="17" s="1"/>
  <c r="T55" i="17"/>
  <c r="U55" i="17" s="1"/>
  <c r="T32" i="17"/>
  <c r="U32" i="17" s="1"/>
  <c r="T43" i="17"/>
  <c r="U43" i="17" s="1"/>
  <c r="T52" i="17"/>
  <c r="U52" i="17" s="1"/>
  <c r="T46" i="17"/>
  <c r="U46" i="17" s="1"/>
  <c r="T53" i="17"/>
  <c r="U53" i="17" s="1"/>
  <c r="T42" i="17"/>
  <c r="U42" i="17" s="1"/>
  <c r="T34" i="17"/>
  <c r="U34" i="17" s="1"/>
  <c r="T39" i="17"/>
  <c r="U39" i="17" s="1"/>
  <c r="T49" i="17"/>
  <c r="U49" i="17" s="1"/>
  <c r="T45" i="17"/>
  <c r="U45" i="17" s="1"/>
  <c r="T58" i="17"/>
  <c r="U58" i="17" s="1"/>
  <c r="T48" i="17"/>
  <c r="U48" i="17" s="1"/>
  <c r="T57" i="17"/>
  <c r="U57" i="17" s="1"/>
  <c r="T50" i="17"/>
  <c r="U50" i="17" s="1"/>
  <c r="T67" i="17"/>
  <c r="U67" i="17" s="1"/>
  <c r="T59" i="17"/>
  <c r="U59" i="17" s="1"/>
  <c r="T56" i="17"/>
  <c r="U56" i="17" s="1"/>
  <c r="T70" i="17"/>
  <c r="U70" i="17" s="1"/>
  <c r="T61" i="17"/>
  <c r="U61" i="17" s="1"/>
  <c r="T68" i="17"/>
  <c r="U68" i="17" s="1"/>
  <c r="T64" i="17"/>
  <c r="U64" i="17" s="1"/>
  <c r="T60" i="17"/>
  <c r="U60" i="17" s="1"/>
  <c r="T66" i="17"/>
  <c r="U66" i="17" s="1"/>
  <c r="T63" i="17"/>
  <c r="U63" i="17" s="1"/>
  <c r="T47" i="17"/>
  <c r="U47" i="17" s="1"/>
  <c r="T62" i="17"/>
  <c r="U62" i="17" s="1"/>
  <c r="T78" i="17"/>
  <c r="U78" i="17" s="1"/>
  <c r="T51" i="17"/>
  <c r="U51" i="17" s="1"/>
  <c r="T65" i="17"/>
  <c r="U65" i="17" s="1"/>
  <c r="T93" i="17"/>
  <c r="U93" i="17" s="1"/>
  <c r="T76" i="17"/>
  <c r="U76" i="17" s="1"/>
  <c r="T71" i="17"/>
  <c r="U71" i="17" s="1"/>
  <c r="T69" i="17"/>
  <c r="U69" i="17" s="1"/>
  <c r="T89" i="17"/>
  <c r="U89" i="17" s="1"/>
  <c r="T74" i="17"/>
  <c r="U74" i="17" s="1"/>
  <c r="T77" i="17"/>
  <c r="U77" i="17" s="1"/>
  <c r="T73" i="17"/>
  <c r="U73" i="17" s="1"/>
  <c r="T98" i="17"/>
  <c r="U98" i="17" s="1"/>
  <c r="T75" i="17"/>
  <c r="U75" i="17" s="1"/>
  <c r="T94" i="17"/>
  <c r="U94" i="17" s="1"/>
  <c r="T100" i="17"/>
  <c r="U100" i="17" s="1"/>
  <c r="T83" i="17"/>
  <c r="U83" i="17" s="1"/>
  <c r="T85" i="17"/>
  <c r="U85" i="17" s="1"/>
  <c r="T91" i="17"/>
  <c r="U91" i="17" s="1"/>
  <c r="T102" i="17"/>
  <c r="U102" i="17" s="1"/>
  <c r="T84" i="17"/>
  <c r="U84" i="17" s="1"/>
  <c r="T90" i="17"/>
  <c r="U90" i="17" s="1"/>
  <c r="T96" i="17"/>
  <c r="U96" i="17" s="1"/>
  <c r="T80" i="17"/>
  <c r="U80" i="17" s="1"/>
  <c r="T88" i="17"/>
  <c r="U88" i="17" s="1"/>
  <c r="T101" i="17"/>
  <c r="U101" i="17" s="1"/>
  <c r="T106" i="17"/>
  <c r="U106" i="17" s="1"/>
  <c r="T79" i="17"/>
  <c r="U79" i="17" s="1"/>
  <c r="T86" i="17"/>
  <c r="U86" i="17" s="1"/>
  <c r="T82" i="17"/>
  <c r="U82" i="17" s="1"/>
  <c r="T114" i="17"/>
  <c r="U114" i="17" s="1"/>
  <c r="T72" i="17"/>
  <c r="U72" i="17" s="1"/>
  <c r="T134" i="17"/>
  <c r="U134" i="17" s="1"/>
  <c r="T87" i="17"/>
  <c r="U87" i="17" s="1"/>
  <c r="T95" i="17"/>
  <c r="U95" i="17" s="1"/>
  <c r="T116" i="17"/>
  <c r="U116" i="17" s="1"/>
  <c r="T158" i="17"/>
  <c r="U158" i="17" s="1"/>
  <c r="T107" i="17"/>
  <c r="U107" i="17" s="1"/>
  <c r="T97" i="17"/>
  <c r="U97" i="17" s="1"/>
  <c r="T109" i="17"/>
  <c r="U109" i="17" s="1"/>
  <c r="T113" i="17"/>
  <c r="U113" i="17" s="1"/>
  <c r="T126" i="17"/>
  <c r="U126" i="17" s="1"/>
  <c r="T99" i="17"/>
  <c r="U99" i="17" s="1"/>
  <c r="T92" i="17"/>
  <c r="U92" i="17" s="1"/>
  <c r="T105" i="17"/>
  <c r="U105" i="17" s="1"/>
  <c r="T115" i="17"/>
  <c r="U115" i="17" s="1"/>
  <c r="T117" i="17"/>
  <c r="U117" i="17" s="1"/>
  <c r="T111" i="17"/>
  <c r="U111" i="17" s="1"/>
  <c r="T143" i="17"/>
  <c r="U143" i="17" s="1"/>
  <c r="T130" i="17"/>
  <c r="U130" i="17" s="1"/>
  <c r="T146" i="17"/>
  <c r="U146" i="17" s="1"/>
  <c r="T110" i="17"/>
  <c r="U110" i="17" s="1"/>
  <c r="T163" i="17"/>
  <c r="U163" i="17" s="1"/>
  <c r="T207" i="17"/>
  <c r="U207" i="17" s="1"/>
  <c r="T128" i="17"/>
  <c r="U128" i="17" s="1"/>
  <c r="T141" i="17"/>
  <c r="U141" i="17" s="1"/>
  <c r="T138" i="17"/>
  <c r="U138" i="17" s="1"/>
  <c r="T166" i="17"/>
  <c r="U166" i="17" s="1"/>
  <c r="T112" i="17"/>
  <c r="U112" i="17" s="1"/>
  <c r="T139" i="17"/>
  <c r="U139" i="17" s="1"/>
  <c r="T148" i="17"/>
  <c r="U148" i="17" s="1"/>
  <c r="T127" i="17"/>
  <c r="U127" i="17" s="1"/>
  <c r="T162" i="17"/>
  <c r="U162" i="17" s="1"/>
  <c r="T157" i="17"/>
  <c r="U157" i="17" s="1"/>
  <c r="T131" i="17"/>
  <c r="U131" i="17" s="1"/>
  <c r="T135" i="17"/>
  <c r="U135" i="17" s="1"/>
  <c r="T104" i="17"/>
  <c r="U104" i="17" s="1"/>
  <c r="T123" i="17"/>
  <c r="U123" i="17" s="1"/>
  <c r="T132" i="17"/>
  <c r="U132" i="17" s="1"/>
  <c r="T173" i="17"/>
  <c r="U173" i="17" s="1"/>
  <c r="T118" i="17"/>
  <c r="U118" i="17" s="1"/>
  <c r="T137" i="17"/>
  <c r="U137" i="17" s="1"/>
  <c r="T122" i="17"/>
  <c r="U122" i="17" s="1"/>
  <c r="T103" i="17"/>
  <c r="U103" i="17" s="1"/>
  <c r="T120" i="17"/>
  <c r="U120" i="17" s="1"/>
  <c r="T121" i="17"/>
  <c r="U121" i="17" s="1"/>
  <c r="T119" i="17"/>
  <c r="U119" i="17" s="1"/>
  <c r="T161" i="17"/>
  <c r="U161" i="17" s="1"/>
  <c r="T201" i="17"/>
  <c r="U201" i="17" s="1"/>
  <c r="T140" i="17"/>
  <c r="U140" i="17" s="1"/>
  <c r="T124" i="17"/>
  <c r="U124" i="17" s="1"/>
  <c r="T182" i="17"/>
  <c r="U182" i="17" s="1"/>
  <c r="T147" i="17"/>
  <c r="U147" i="17" s="1"/>
  <c r="T133" i="17"/>
  <c r="U133" i="17" s="1"/>
  <c r="T108" i="17"/>
  <c r="U108" i="17" s="1"/>
  <c r="T125" i="17"/>
  <c r="U125" i="17" s="1"/>
  <c r="T129" i="17"/>
  <c r="U129" i="17" s="1"/>
  <c r="T197" i="17"/>
  <c r="U197" i="17" s="1"/>
  <c r="T175" i="17"/>
  <c r="U175" i="17" s="1"/>
  <c r="T154" i="17"/>
  <c r="U154" i="17" s="1"/>
  <c r="T136" i="17"/>
  <c r="U136" i="17" s="1"/>
  <c r="T189" i="17"/>
  <c r="U189" i="17" s="1"/>
  <c r="T203" i="17"/>
  <c r="U203" i="17" s="1"/>
  <c r="T174" i="17"/>
  <c r="U174" i="17" s="1"/>
  <c r="T81" i="17"/>
  <c r="U81" i="17" s="1"/>
  <c r="T191" i="17"/>
  <c r="U191" i="17" s="1"/>
  <c r="T152" i="17"/>
  <c r="U152" i="17" s="1"/>
  <c r="T211" i="17"/>
  <c r="U211" i="17" s="1"/>
  <c r="T170" i="17"/>
  <c r="U170" i="17" s="1"/>
  <c r="T185" i="17"/>
  <c r="U185" i="17" s="1"/>
  <c r="T151" i="17"/>
  <c r="U151" i="17" s="1"/>
  <c r="T159" i="17"/>
  <c r="U159" i="17" s="1"/>
  <c r="T160" i="17"/>
  <c r="U160" i="17" s="1"/>
  <c r="T172" i="17"/>
  <c r="U172" i="17" s="1"/>
  <c r="T176" i="17"/>
  <c r="U176" i="17" s="1"/>
  <c r="T177" i="17"/>
  <c r="U177" i="17" s="1"/>
  <c r="T187" i="17"/>
  <c r="U187" i="17" s="1"/>
  <c r="T226" i="17"/>
  <c r="U226" i="17" s="1"/>
  <c r="T171" i="17"/>
  <c r="U171" i="17" s="1"/>
  <c r="T206" i="17"/>
  <c r="U206" i="17" s="1"/>
  <c r="T199" i="17"/>
  <c r="U199" i="17" s="1"/>
  <c r="T244" i="17"/>
  <c r="U244" i="17" s="1"/>
  <c r="T169" i="17"/>
  <c r="U169" i="17" s="1"/>
  <c r="T195" i="17"/>
  <c r="U195" i="17" s="1"/>
  <c r="T156" i="17"/>
  <c r="U156" i="17" s="1"/>
  <c r="T150" i="17"/>
  <c r="U150" i="17" s="1"/>
  <c r="T145" i="17"/>
  <c r="U145" i="17" s="1"/>
  <c r="T237" i="17"/>
  <c r="U237" i="17" s="1"/>
  <c r="T168" i="17"/>
  <c r="U168" i="17" s="1"/>
  <c r="T178" i="17"/>
  <c r="U178" i="17" s="1"/>
  <c r="T214" i="17"/>
  <c r="U214" i="17" s="1"/>
  <c r="T144" i="17"/>
  <c r="U144" i="17" s="1"/>
  <c r="T186" i="17"/>
  <c r="U186" i="17" s="1"/>
  <c r="T149" i="17"/>
  <c r="U149" i="17" s="1"/>
  <c r="T188" i="17"/>
  <c r="U188" i="17" s="1"/>
  <c r="T180" i="17"/>
  <c r="U180" i="17" s="1"/>
  <c r="T258" i="17"/>
  <c r="U258" i="17" s="1"/>
  <c r="T250" i="17"/>
  <c r="U250" i="17" s="1"/>
  <c r="T142" i="17"/>
  <c r="U142" i="17" s="1"/>
  <c r="T179" i="17"/>
  <c r="U179" i="17" s="1"/>
  <c r="T218" i="17"/>
  <c r="U218" i="17" s="1"/>
  <c r="T193" i="17"/>
  <c r="U193" i="17" s="1"/>
  <c r="T251" i="17"/>
  <c r="U251" i="17" s="1"/>
  <c r="T239" i="17"/>
  <c r="U239" i="17" s="1"/>
  <c r="T183" i="17"/>
  <c r="U183" i="17" s="1"/>
  <c r="T217" i="17"/>
  <c r="U217" i="17" s="1"/>
  <c r="T272" i="17"/>
  <c r="U272" i="17" s="1"/>
  <c r="T181" i="17"/>
  <c r="U181" i="17" s="1"/>
  <c r="T205" i="17"/>
  <c r="U205" i="17" s="1"/>
  <c r="T224" i="17"/>
  <c r="U224" i="17" s="1"/>
  <c r="T243" i="17"/>
  <c r="U243" i="17" s="1"/>
  <c r="T229" i="17"/>
  <c r="U229" i="17" s="1"/>
  <c r="T235" i="17"/>
  <c r="U235" i="17" s="1"/>
  <c r="T259" i="17"/>
  <c r="U259" i="17" s="1"/>
  <c r="T221" i="17"/>
  <c r="U221" i="17" s="1"/>
  <c r="T219" i="17"/>
  <c r="U219" i="17" s="1"/>
  <c r="T202" i="17"/>
  <c r="U202" i="17" s="1"/>
  <c r="T216" i="17"/>
  <c r="U216" i="17" s="1"/>
  <c r="T200" i="17"/>
  <c r="U200" i="17" s="1"/>
  <c r="T184" i="17"/>
  <c r="U184" i="17" s="1"/>
  <c r="T238" i="17"/>
  <c r="U238" i="17" s="1"/>
  <c r="T225" i="17"/>
  <c r="U225" i="17" s="1"/>
  <c r="T208" i="17"/>
  <c r="U208" i="17" s="1"/>
  <c r="T252" i="17"/>
  <c r="U252" i="17" s="1"/>
  <c r="T263" i="17"/>
  <c r="U263" i="17" s="1"/>
  <c r="T167" i="17"/>
  <c r="U167" i="17" s="1"/>
  <c r="T335" i="17"/>
  <c r="U335" i="17" s="1"/>
  <c r="T327" i="17"/>
  <c r="U327" i="17" s="1"/>
  <c r="T278" i="17"/>
  <c r="U278" i="17" s="1"/>
  <c r="T269" i="17"/>
  <c r="U269" i="17" s="1"/>
  <c r="T232" i="17"/>
  <c r="U232" i="17" s="1"/>
  <c r="T288" i="17"/>
  <c r="U288" i="17" s="1"/>
  <c r="T194" i="17"/>
  <c r="U194" i="17" s="1"/>
  <c r="T198" i="17"/>
  <c r="U198" i="17" s="1"/>
  <c r="T240" i="17"/>
  <c r="U240" i="17" s="1"/>
  <c r="T253" i="17"/>
  <c r="U253" i="17" s="1"/>
  <c r="T271" i="17"/>
  <c r="U271" i="17" s="1"/>
  <c r="T209" i="17"/>
  <c r="U209" i="17" s="1"/>
  <c r="T242" i="17"/>
  <c r="U242" i="17" s="1"/>
  <c r="T213" i="17"/>
  <c r="U213" i="17" s="1"/>
  <c r="T255" i="17"/>
  <c r="U255" i="17" s="1"/>
  <c r="T315" i="17"/>
  <c r="U315" i="17" s="1"/>
  <c r="T264" i="17"/>
  <c r="U264" i="17" s="1"/>
  <c r="T196" i="17"/>
  <c r="U196" i="17" s="1"/>
  <c r="T192" i="17"/>
  <c r="U192" i="17" s="1"/>
  <c r="T222" i="17"/>
  <c r="U222" i="17" s="1"/>
  <c r="T314" i="17"/>
  <c r="U314" i="17" s="1"/>
  <c r="T164" i="17"/>
  <c r="U164" i="17" s="1"/>
  <c r="T165" i="17"/>
  <c r="U165" i="17" s="1"/>
  <c r="T212" i="17"/>
  <c r="U212" i="17" s="1"/>
  <c r="T210" i="17"/>
  <c r="U210" i="17" s="1"/>
  <c r="T281" i="17"/>
  <c r="U281" i="17" s="1"/>
  <c r="T215" i="17"/>
  <c r="U215" i="17" s="1"/>
  <c r="T293" i="17"/>
  <c r="U293" i="17" s="1"/>
  <c r="T234" i="17"/>
  <c r="U234" i="17" s="1"/>
  <c r="T270" i="17"/>
  <c r="U270" i="17" s="1"/>
  <c r="T248" i="17"/>
  <c r="U248" i="17" s="1"/>
  <c r="T155" i="17"/>
  <c r="U155" i="17" s="1"/>
  <c r="T241" i="17"/>
  <c r="U241" i="17" s="1"/>
  <c r="T296" i="17"/>
  <c r="U296" i="17" s="1"/>
  <c r="T204" i="17"/>
  <c r="U204" i="17" s="1"/>
  <c r="T249" i="17"/>
  <c r="U249" i="17" s="1"/>
  <c r="T295" i="17"/>
  <c r="U295" i="17" s="1"/>
  <c r="T233" i="17"/>
  <c r="U233" i="17" s="1"/>
  <c r="T277" i="17"/>
  <c r="U277" i="17" s="1"/>
  <c r="T266" i="17"/>
  <c r="U266" i="17" s="1"/>
  <c r="T231" i="17"/>
  <c r="U231" i="17" s="1"/>
  <c r="T274" i="17"/>
  <c r="U274" i="17" s="1"/>
  <c r="T265" i="17"/>
  <c r="U265" i="17" s="1"/>
  <c r="T303" i="17"/>
  <c r="U303" i="17" s="1"/>
  <c r="T285" i="17"/>
  <c r="U285" i="17" s="1"/>
  <c r="T220" i="17"/>
  <c r="U220" i="17" s="1"/>
  <c r="T294" i="17"/>
  <c r="U294" i="17" s="1"/>
  <c r="T276" i="17"/>
  <c r="U276" i="17" s="1"/>
  <c r="T230" i="17"/>
  <c r="U230" i="17" s="1"/>
  <c r="T307" i="17"/>
  <c r="U307" i="17" s="1"/>
  <c r="T279" i="17"/>
  <c r="U279" i="17" s="1"/>
  <c r="T262" i="17"/>
  <c r="U262" i="17" s="1"/>
  <c r="T256" i="17"/>
  <c r="U256" i="17" s="1"/>
  <c r="T236" i="17"/>
  <c r="U236" i="17" s="1"/>
  <c r="T228" i="17"/>
  <c r="U228" i="17" s="1"/>
  <c r="T268" i="17"/>
  <c r="U268" i="17" s="1"/>
  <c r="T245" i="17"/>
  <c r="U245" i="17" s="1"/>
  <c r="T310" i="17"/>
  <c r="U310" i="17" s="1"/>
  <c r="T291" i="17"/>
  <c r="U291" i="17" s="1"/>
  <c r="T343" i="17"/>
  <c r="U343" i="17" s="1"/>
  <c r="T223" i="17"/>
  <c r="U223" i="17" s="1"/>
  <c r="T247" i="17"/>
  <c r="U247" i="17" s="1"/>
  <c r="T260" i="17"/>
  <c r="U260" i="17" s="1"/>
  <c r="T246" i="17"/>
  <c r="U246" i="17" s="1"/>
  <c r="T300" i="17"/>
  <c r="U300" i="17" s="1"/>
  <c r="T257" i="17"/>
  <c r="U257" i="17" s="1"/>
  <c r="T280" i="17"/>
  <c r="U280" i="17" s="1"/>
  <c r="T283" i="17"/>
  <c r="U283" i="17" s="1"/>
  <c r="T254" i="17"/>
  <c r="U254" i="17" s="1"/>
  <c r="T324" i="17"/>
  <c r="U324" i="17" s="1"/>
  <c r="T332" i="17"/>
  <c r="U332" i="17" s="1"/>
  <c r="T363" i="17"/>
  <c r="U363" i="17" s="1"/>
  <c r="T282" i="17"/>
  <c r="U282" i="17" s="1"/>
  <c r="T309" i="17"/>
  <c r="U309" i="17" s="1"/>
  <c r="T297" i="17"/>
  <c r="U297" i="17" s="1"/>
  <c r="T227" i="17"/>
  <c r="U227" i="17" s="1"/>
  <c r="T312" i="17"/>
  <c r="U312" i="17" s="1"/>
  <c r="T273" i="17"/>
  <c r="U273" i="17" s="1"/>
  <c r="T287" i="17"/>
  <c r="U287" i="17" s="1"/>
  <c r="T267" i="17"/>
  <c r="U267" i="17" s="1"/>
  <c r="T286" i="17"/>
  <c r="U286" i="17" s="1"/>
  <c r="T299" i="17"/>
  <c r="U299" i="17" s="1"/>
  <c r="T308" i="17"/>
  <c r="U308" i="17" s="1"/>
  <c r="T356" i="17"/>
  <c r="U356" i="17" s="1"/>
  <c r="T322" i="17"/>
  <c r="U322" i="17" s="1"/>
  <c r="T305" i="17"/>
  <c r="U305" i="17" s="1"/>
  <c r="T350" i="17"/>
  <c r="U350" i="17" s="1"/>
  <c r="T292" i="17"/>
  <c r="U292" i="17" s="1"/>
  <c r="T348" i="17"/>
  <c r="U348" i="17" s="1"/>
  <c r="T190" i="17"/>
  <c r="U190" i="17" s="1"/>
  <c r="T339" i="17"/>
  <c r="U339" i="17" s="1"/>
  <c r="T301" i="17"/>
  <c r="U301" i="17" s="1"/>
  <c r="T311" i="17"/>
  <c r="U311" i="17" s="1"/>
  <c r="T316" i="17"/>
  <c r="U316" i="17" s="1"/>
  <c r="T319" i="17"/>
  <c r="U319" i="17" s="1"/>
  <c r="T326" i="17"/>
  <c r="U326" i="17" s="1"/>
  <c r="T338" i="17"/>
  <c r="U338" i="17" s="1"/>
  <c r="T334" i="17"/>
  <c r="U334" i="17" s="1"/>
  <c r="T337" i="17"/>
  <c r="U337" i="17" s="1"/>
  <c r="T358" i="17"/>
  <c r="U358" i="17" s="1"/>
  <c r="T330" i="17"/>
  <c r="U330" i="17" s="1"/>
  <c r="T284" i="17"/>
  <c r="U284" i="17" s="1"/>
  <c r="T289" i="17"/>
  <c r="U289" i="17" s="1"/>
  <c r="T347" i="17"/>
  <c r="U347" i="17" s="1"/>
  <c r="T320" i="17"/>
  <c r="U320" i="17" s="1"/>
  <c r="T354" i="17"/>
  <c r="U354" i="17" s="1"/>
  <c r="T290" i="17"/>
  <c r="U290" i="17" s="1"/>
  <c r="T349" i="17"/>
  <c r="U349" i="17" s="1"/>
  <c r="T313" i="17"/>
  <c r="U313" i="17" s="1"/>
  <c r="T352" i="17"/>
  <c r="U352" i="17" s="1"/>
  <c r="T306" i="17"/>
  <c r="U306" i="17" s="1"/>
  <c r="T340" i="17"/>
  <c r="U340" i="17" s="1"/>
  <c r="T342" i="17"/>
  <c r="U342" i="17" s="1"/>
  <c r="T331" i="17"/>
  <c r="U331" i="17" s="1"/>
  <c r="T381" i="17"/>
  <c r="U381" i="17" s="1"/>
  <c r="T366" i="17"/>
  <c r="U366" i="17" s="1"/>
  <c r="T367" i="17"/>
  <c r="U367" i="17" s="1"/>
  <c r="T353" i="17"/>
  <c r="U353" i="17" s="1"/>
  <c r="T379" i="17"/>
  <c r="U379" i="17" s="1"/>
  <c r="T318" i="17"/>
  <c r="U318" i="17" s="1"/>
  <c r="T355" i="17"/>
  <c r="U355" i="17" s="1"/>
  <c r="T302" i="17"/>
  <c r="U302" i="17" s="1"/>
  <c r="T325" i="17"/>
  <c r="U325" i="17" s="1"/>
  <c r="T333" i="17"/>
  <c r="U333" i="17" s="1"/>
  <c r="T341" i="17"/>
  <c r="U341" i="17" s="1"/>
  <c r="T304" i="17"/>
  <c r="U304" i="17" s="1"/>
  <c r="T344" i="17"/>
  <c r="U344" i="17" s="1"/>
  <c r="T329" i="17"/>
  <c r="U329" i="17" s="1"/>
  <c r="T384" i="17"/>
  <c r="U384" i="17" s="1"/>
  <c r="T429" i="17"/>
  <c r="U429" i="17" s="1"/>
  <c r="T357" i="17"/>
  <c r="U357" i="17" s="1"/>
  <c r="T328" i="17"/>
  <c r="U328" i="17" s="1"/>
  <c r="T360" i="17"/>
  <c r="U360" i="17" s="1"/>
  <c r="T373" i="17"/>
  <c r="U373" i="17" s="1"/>
  <c r="T386" i="17"/>
  <c r="U386" i="17" s="1"/>
  <c r="T375" i="17"/>
  <c r="U375" i="17" s="1"/>
  <c r="T321" i="17"/>
  <c r="U321" i="17" s="1"/>
  <c r="T387" i="17"/>
  <c r="U387" i="17" s="1"/>
  <c r="T362" i="17"/>
  <c r="U362" i="17" s="1"/>
  <c r="T364" i="17"/>
  <c r="U364" i="17" s="1"/>
  <c r="T391" i="17"/>
  <c r="U391" i="17" s="1"/>
  <c r="T153" i="17"/>
  <c r="U153" i="17" s="1"/>
  <c r="T406" i="17"/>
  <c r="U406" i="17" s="1"/>
  <c r="T298" i="17"/>
  <c r="U298" i="17" s="1"/>
  <c r="T413" i="17"/>
  <c r="U413" i="17" s="1"/>
  <c r="T426" i="17"/>
  <c r="U426" i="17" s="1"/>
  <c r="T351" i="17"/>
  <c r="U351" i="17" s="1"/>
  <c r="T368" i="17"/>
  <c r="U368" i="17" s="1"/>
  <c r="T372" i="17"/>
  <c r="U372" i="17" s="1"/>
  <c r="T411" i="17"/>
  <c r="U411" i="17" s="1"/>
  <c r="T383" i="17"/>
  <c r="U383" i="17" s="1"/>
  <c r="T345" i="17"/>
  <c r="U345" i="17" s="1"/>
  <c r="T473" i="17"/>
  <c r="U473" i="17" s="1"/>
  <c r="T380" i="17"/>
  <c r="U380" i="17" s="1"/>
  <c r="T376" i="17"/>
  <c r="U376" i="17" s="1"/>
  <c r="T398" i="17"/>
  <c r="U398" i="17" s="1"/>
  <c r="T402" i="17"/>
  <c r="U402" i="17" s="1"/>
  <c r="T317" i="17"/>
  <c r="U317" i="17" s="1"/>
  <c r="T403" i="17"/>
  <c r="U403" i="17" s="1"/>
  <c r="T408" i="17"/>
  <c r="U408" i="17" s="1"/>
  <c r="T418" i="17"/>
  <c r="U418" i="17" s="1"/>
  <c r="T458" i="17"/>
  <c r="U458" i="17" s="1"/>
  <c r="T388" i="17"/>
  <c r="U388" i="17" s="1"/>
  <c r="T359" i="17"/>
  <c r="U359" i="17" s="1"/>
  <c r="T453" i="17"/>
  <c r="U453" i="17" s="1"/>
  <c r="T448" i="17"/>
  <c r="U448" i="17" s="1"/>
  <c r="T477" i="17"/>
  <c r="U477" i="17" s="1"/>
  <c r="T361" i="17"/>
  <c r="U361" i="17" s="1"/>
  <c r="T405" i="17"/>
  <c r="U405" i="17" s="1"/>
  <c r="T346" i="17"/>
  <c r="U346" i="17" s="1"/>
  <c r="T410" i="17"/>
  <c r="U410" i="17" s="1"/>
  <c r="T382" i="17"/>
  <c r="U382" i="17" s="1"/>
  <c r="T432" i="17"/>
  <c r="U432" i="17" s="1"/>
  <c r="T484" i="17"/>
  <c r="U484" i="17" s="1"/>
  <c r="T396" i="17"/>
  <c r="U396" i="17" s="1"/>
  <c r="T323" i="17"/>
  <c r="U323" i="17" s="1"/>
  <c r="T439" i="17"/>
  <c r="U439" i="17" s="1"/>
  <c r="T424" i="17"/>
  <c r="U424" i="17" s="1"/>
  <c r="T431" i="17"/>
  <c r="U431" i="17" s="1"/>
  <c r="T393" i="17"/>
  <c r="U393" i="17" s="1"/>
  <c r="T404" i="17"/>
  <c r="U404" i="17" s="1"/>
  <c r="T489" i="17"/>
  <c r="U489" i="17" s="1"/>
  <c r="T436" i="17"/>
  <c r="U436" i="17" s="1"/>
  <c r="T416" i="17"/>
  <c r="U416" i="17" s="1"/>
  <c r="T472" i="17"/>
  <c r="U472" i="17" s="1"/>
  <c r="T374" i="17"/>
  <c r="U374" i="17" s="1"/>
  <c r="T425" i="17"/>
  <c r="U425" i="17" s="1"/>
  <c r="T392" i="17"/>
  <c r="U392" i="17" s="1"/>
  <c r="T420" i="17"/>
  <c r="U420" i="17" s="1"/>
  <c r="T521" i="17"/>
  <c r="U521" i="17" s="1"/>
  <c r="T390" i="17"/>
  <c r="U390" i="17" s="1"/>
  <c r="T275" i="17"/>
  <c r="U275" i="17" s="1"/>
  <c r="T401" i="17"/>
  <c r="U401" i="17" s="1"/>
  <c r="T479" i="17"/>
  <c r="U479" i="17" s="1"/>
  <c r="T467" i="17"/>
  <c r="U467" i="17" s="1"/>
  <c r="T463" i="17"/>
  <c r="U463" i="17" s="1"/>
  <c r="T395" i="17"/>
  <c r="U395" i="17" s="1"/>
  <c r="T441" i="17"/>
  <c r="U441" i="17" s="1"/>
  <c r="T400" i="17"/>
  <c r="U400" i="17" s="1"/>
  <c r="T365" i="17"/>
  <c r="U365" i="17" s="1"/>
  <c r="T419" i="17"/>
  <c r="U419" i="17" s="1"/>
  <c r="T394" i="17"/>
  <c r="U394" i="17" s="1"/>
  <c r="T397" i="17"/>
  <c r="U397" i="17" s="1"/>
  <c r="T428" i="17"/>
  <c r="U428" i="17" s="1"/>
  <c r="T336" i="17"/>
  <c r="U336" i="17" s="1"/>
  <c r="T421" i="17"/>
  <c r="U421" i="17" s="1"/>
  <c r="T378" i="17"/>
  <c r="U378" i="17" s="1"/>
  <c r="T452" i="17"/>
  <c r="U452" i="17" s="1"/>
  <c r="T371" i="17"/>
  <c r="U371" i="17" s="1"/>
  <c r="T399" i="17"/>
  <c r="U399" i="17" s="1"/>
  <c r="T464" i="17"/>
  <c r="U464" i="17" s="1"/>
  <c r="T414" i="17"/>
  <c r="U414" i="17" s="1"/>
  <c r="T434" i="17"/>
  <c r="U434" i="17" s="1"/>
  <c r="T415" i="17"/>
  <c r="U415" i="17" s="1"/>
  <c r="T377" i="17"/>
  <c r="U377" i="17" s="1"/>
  <c r="T460" i="17"/>
  <c r="U460" i="17" s="1"/>
  <c r="T488" i="17"/>
  <c r="U488" i="17" s="1"/>
  <c r="T444" i="17"/>
  <c r="U444" i="17" s="1"/>
  <c r="T462" i="17"/>
  <c r="U462" i="17" s="1"/>
  <c r="T475" i="17"/>
  <c r="U475" i="17" s="1"/>
  <c r="T433" i="17"/>
  <c r="U433" i="17" s="1"/>
  <c r="T476" i="17"/>
  <c r="U476" i="17" s="1"/>
  <c r="T506" i="17"/>
  <c r="U506" i="17" s="1"/>
  <c r="T449" i="17"/>
  <c r="U449" i="17" s="1"/>
  <c r="T516" i="17"/>
  <c r="U516" i="17" s="1"/>
  <c r="T407" i="17"/>
  <c r="U407" i="17" s="1"/>
  <c r="T455" i="17"/>
  <c r="U455" i="17" s="1"/>
  <c r="T456" i="17"/>
  <c r="U456" i="17" s="1"/>
  <c r="T498" i="17"/>
  <c r="U498" i="17" s="1"/>
  <c r="T459" i="17"/>
  <c r="U459" i="17" s="1"/>
  <c r="T470" i="17"/>
  <c r="U470" i="17" s="1"/>
  <c r="T409" i="17"/>
  <c r="U409" i="17" s="1"/>
  <c r="T519" i="17"/>
  <c r="U519" i="17" s="1"/>
  <c r="T471" i="17"/>
  <c r="U471" i="17" s="1"/>
  <c r="T486" i="17"/>
  <c r="U486" i="17" s="1"/>
  <c r="T389" i="17"/>
  <c r="U389" i="17" s="1"/>
  <c r="T440" i="17"/>
  <c r="U440" i="17" s="1"/>
  <c r="T369" i="17"/>
  <c r="U369" i="17" s="1"/>
  <c r="T451" i="17"/>
  <c r="U451" i="17" s="1"/>
  <c r="T528" i="17"/>
  <c r="U528" i="17" s="1"/>
  <c r="T385" i="17"/>
  <c r="U385" i="17" s="1"/>
  <c r="T443" i="17"/>
  <c r="U443" i="17" s="1"/>
  <c r="T466" i="17"/>
  <c r="U466" i="17" s="1"/>
  <c r="T492" i="17"/>
  <c r="U492" i="17" s="1"/>
  <c r="T430" i="17"/>
  <c r="U430" i="17" s="1"/>
  <c r="T496" i="17"/>
  <c r="U496" i="17" s="1"/>
  <c r="T422" i="17"/>
  <c r="U422" i="17" s="1"/>
  <c r="T417" i="17"/>
  <c r="U417" i="17" s="1"/>
  <c r="T480" i="17"/>
  <c r="U480" i="17" s="1"/>
  <c r="T465" i="17"/>
  <c r="U465" i="17" s="1"/>
  <c r="T446" i="17"/>
  <c r="U446" i="17" s="1"/>
  <c r="T423" i="17"/>
  <c r="U423" i="17" s="1"/>
  <c r="T509" i="17"/>
  <c r="U509" i="17" s="1"/>
  <c r="T427" i="17"/>
  <c r="U427" i="17" s="1"/>
  <c r="T522" i="17"/>
  <c r="U522" i="17" s="1"/>
  <c r="T483" i="17"/>
  <c r="U483" i="17" s="1"/>
  <c r="T435" i="17"/>
  <c r="U435" i="17" s="1"/>
  <c r="T454" i="17"/>
  <c r="U454" i="17" s="1"/>
  <c r="T490" i="17"/>
  <c r="U490" i="17" s="1"/>
  <c r="T524" i="17"/>
  <c r="U524" i="17" s="1"/>
  <c r="T499" i="17"/>
  <c r="U499" i="17" s="1"/>
  <c r="T538" i="17"/>
  <c r="U538" i="17" s="1"/>
  <c r="T474" i="17"/>
  <c r="U474" i="17" s="1"/>
  <c r="T447" i="17"/>
  <c r="U447" i="17" s="1"/>
  <c r="T438" i="17"/>
  <c r="U438" i="17" s="1"/>
  <c r="T461" i="17"/>
  <c r="U461" i="17" s="1"/>
  <c r="T552" i="17"/>
  <c r="U552" i="17" s="1"/>
  <c r="T530" i="17"/>
  <c r="U530" i="17" s="1"/>
  <c r="T500" i="17"/>
  <c r="U500" i="17" s="1"/>
  <c r="T494" i="17"/>
  <c r="U494" i="17" s="1"/>
  <c r="T370" i="17"/>
  <c r="U370" i="17" s="1"/>
  <c r="T502" i="17"/>
  <c r="U502" i="17" s="1"/>
  <c r="T532" i="17"/>
  <c r="U532" i="17" s="1"/>
  <c r="T412" i="17"/>
  <c r="U412" i="17" s="1"/>
  <c r="T553" i="17"/>
  <c r="U553" i="17" s="1"/>
  <c r="T531" i="17"/>
  <c r="U531" i="17" s="1"/>
  <c r="T437" i="17"/>
  <c r="U437" i="17" s="1"/>
  <c r="T515" i="17"/>
  <c r="U515" i="17" s="1"/>
  <c r="T478" i="17"/>
  <c r="U478" i="17" s="1"/>
  <c r="T450" i="17"/>
  <c r="U450" i="17" s="1"/>
  <c r="T493" i="17"/>
  <c r="U493" i="17" s="1"/>
  <c r="T497" i="17"/>
  <c r="U497" i="17" s="1"/>
  <c r="T504" i="17"/>
  <c r="U504" i="17" s="1"/>
  <c r="T445" i="17"/>
  <c r="U445" i="17" s="1"/>
  <c r="T442" i="17"/>
  <c r="U442" i="17" s="1"/>
  <c r="T487" i="17"/>
  <c r="U487" i="17" s="1"/>
  <c r="T501" i="17"/>
  <c r="U501" i="17" s="1"/>
  <c r="T510" i="17"/>
  <c r="U510" i="17" s="1"/>
  <c r="T514" i="17"/>
  <c r="U514" i="17" s="1"/>
  <c r="T485" i="17"/>
  <c r="U485" i="17" s="1"/>
  <c r="T457" i="17"/>
  <c r="U457" i="17" s="1"/>
  <c r="T482" i="17"/>
  <c r="U482" i="17" s="1"/>
  <c r="T495" i="17"/>
  <c r="U495" i="17" s="1"/>
  <c r="T468" i="17"/>
  <c r="U468" i="17" s="1"/>
  <c r="T469" i="17"/>
  <c r="U469" i="17" s="1"/>
  <c r="T546" i="17"/>
  <c r="U546" i="17" s="1"/>
  <c r="T548" i="17"/>
  <c r="U548" i="17" s="1"/>
  <c r="T508" i="17"/>
  <c r="U508" i="17" s="1"/>
  <c r="T549" i="17"/>
  <c r="U549" i="17" s="1"/>
  <c r="T536" i="17"/>
  <c r="U536" i="17" s="1"/>
  <c r="T539" i="17"/>
  <c r="U539" i="17" s="1"/>
  <c r="T565" i="17"/>
  <c r="U565" i="17" s="1"/>
  <c r="T527" i="17"/>
  <c r="U527" i="17" s="1"/>
  <c r="T543" i="17"/>
  <c r="U543" i="17" s="1"/>
  <c r="T481" i="17"/>
  <c r="U481" i="17" s="1"/>
  <c r="T544" i="17"/>
  <c r="U544" i="17" s="1"/>
  <c r="T535" i="17"/>
  <c r="U535" i="17" s="1"/>
  <c r="T540" i="17"/>
  <c r="U540" i="17" s="1"/>
  <c r="T550" i="17"/>
  <c r="U550" i="17" s="1"/>
  <c r="T568" i="17"/>
  <c r="U568" i="17" s="1"/>
  <c r="T541" i="17"/>
  <c r="U541" i="17" s="1"/>
  <c r="T512" i="17"/>
  <c r="U512" i="17" s="1"/>
  <c r="T513" i="17"/>
  <c r="U513" i="17" s="1"/>
  <c r="T566" i="17"/>
  <c r="U566" i="17" s="1"/>
  <c r="T547" i="17"/>
  <c r="U547" i="17" s="1"/>
  <c r="T525" i="17"/>
  <c r="U525" i="17" s="1"/>
  <c r="T545" i="17"/>
  <c r="U545" i="17" s="1"/>
  <c r="T537" i="17"/>
  <c r="U537" i="17" s="1"/>
  <c r="T563" i="17"/>
  <c r="U563" i="17" s="1"/>
  <c r="T534" i="17"/>
  <c r="U534" i="17" s="1"/>
  <c r="T517" i="17"/>
  <c r="U517" i="17" s="1"/>
  <c r="T526" i="17"/>
  <c r="U526" i="17" s="1"/>
  <c r="T529" i="17"/>
  <c r="U529" i="17" s="1"/>
  <c r="T554" i="17"/>
  <c r="U554" i="17" s="1"/>
  <c r="T564" i="17"/>
  <c r="U564" i="17" s="1"/>
  <c r="T542" i="17"/>
  <c r="U542" i="17" s="1"/>
  <c r="T560" i="17"/>
  <c r="U560" i="17" s="1"/>
  <c r="T503" i="17"/>
  <c r="U503" i="17" s="1"/>
  <c r="T491" i="17"/>
  <c r="U491" i="17" s="1"/>
  <c r="T511" i="17"/>
  <c r="U511" i="17" s="1"/>
  <c r="T581" i="17"/>
  <c r="U581" i="17" s="1"/>
  <c r="T507" i="17"/>
  <c r="U507" i="17" s="1"/>
  <c r="T574" i="17"/>
  <c r="U574" i="17" s="1"/>
  <c r="T572" i="17"/>
  <c r="U572" i="17" s="1"/>
  <c r="T587" i="17"/>
  <c r="U587" i="17" s="1"/>
  <c r="T533" i="17"/>
  <c r="U533" i="17" s="1"/>
  <c r="T575" i="17"/>
  <c r="U575" i="17" s="1"/>
  <c r="T555" i="17"/>
  <c r="U555" i="17" s="1"/>
  <c r="T561" i="17"/>
  <c r="U561" i="17" s="1"/>
  <c r="T562" i="17"/>
  <c r="U562" i="17" s="1"/>
  <c r="T559" i="17"/>
  <c r="U559" i="17" s="1"/>
  <c r="T520" i="17"/>
  <c r="U520" i="17" s="1"/>
  <c r="T505" i="17"/>
  <c r="U505" i="17" s="1"/>
  <c r="T591" i="17"/>
  <c r="U591" i="17" s="1"/>
  <c r="T551" i="17"/>
  <c r="U551" i="17" s="1"/>
  <c r="T582" i="17"/>
  <c r="U582" i="17" s="1"/>
  <c r="T570" i="17"/>
  <c r="U570" i="17" s="1"/>
  <c r="T580" i="17"/>
  <c r="U580" i="17" s="1"/>
  <c r="T556" i="17"/>
  <c r="U556" i="17" s="1"/>
  <c r="T586" i="17"/>
  <c r="U586" i="17" s="1"/>
  <c r="T576" i="17"/>
  <c r="U576" i="17" s="1"/>
  <c r="T567" i="17"/>
  <c r="U567" i="17" s="1"/>
  <c r="T578" i="17"/>
  <c r="U578" i="17" s="1"/>
  <c r="T579" i="17"/>
  <c r="U579" i="17" s="1"/>
  <c r="T583" i="17"/>
  <c r="U583" i="17" s="1"/>
  <c r="T518" i="17"/>
  <c r="U518" i="17" s="1"/>
  <c r="T585" i="17"/>
  <c r="U585" i="17" s="1"/>
  <c r="T595" i="17"/>
  <c r="U595" i="17" s="1"/>
  <c r="T573" i="17"/>
  <c r="U573" i="17" s="1"/>
  <c r="T557" i="17"/>
  <c r="U557" i="17" s="1"/>
  <c r="T571" i="17"/>
  <c r="U571" i="17" s="1"/>
  <c r="T558" i="17"/>
  <c r="U558" i="17" s="1"/>
  <c r="T523" i="17"/>
  <c r="U523" i="17" s="1"/>
  <c r="T592" i="17"/>
  <c r="U592" i="17" s="1"/>
  <c r="T588" i="17"/>
  <c r="U588" i="17" s="1"/>
  <c r="T577" i="17"/>
  <c r="U577" i="17" s="1"/>
  <c r="T593" i="17"/>
  <c r="U593" i="17" s="1"/>
  <c r="T589" i="17"/>
  <c r="U589" i="17" s="1"/>
  <c r="T594" i="17"/>
  <c r="U594" i="17" s="1"/>
  <c r="T590" i="17"/>
  <c r="U590" i="17" s="1"/>
  <c r="T569" i="17"/>
  <c r="U569" i="17" s="1"/>
  <c r="T584" i="17"/>
  <c r="U584" i="17" s="1"/>
  <c r="T596" i="17"/>
  <c r="U596" i="17" s="1"/>
  <c r="T597" i="17"/>
  <c r="U597" i="17" s="1"/>
  <c r="T599" i="17"/>
  <c r="U599" i="17" s="1"/>
  <c r="T598" i="17"/>
  <c r="U598" i="17" s="1"/>
  <c r="T600" i="17"/>
  <c r="U600" i="17" s="1"/>
  <c r="T602" i="17"/>
  <c r="U602" i="17" s="1"/>
  <c r="T603" i="17"/>
  <c r="U603" i="17" s="1"/>
  <c r="T601" i="17"/>
  <c r="U601" i="17" s="1"/>
  <c r="T4" i="17"/>
  <c r="U4" i="17" s="1"/>
  <c r="I5" i="17" l="1"/>
  <c r="B3" i="23" s="1"/>
  <c r="I4" i="17"/>
  <c r="B2" i="23" s="1"/>
  <c r="I6" i="17"/>
  <c r="I29" i="17"/>
  <c r="I11" i="17"/>
  <c r="B7" i="23" s="1"/>
  <c r="I14" i="17"/>
  <c r="I12" i="17"/>
  <c r="I7" i="17"/>
  <c r="B5" i="23" s="1"/>
  <c r="I9" i="17"/>
  <c r="B9" i="23" s="1"/>
  <c r="I17" i="17"/>
  <c r="I10" i="17"/>
  <c r="B10" i="23" s="1"/>
  <c r="I24" i="17"/>
  <c r="B22" i="23" s="1"/>
  <c r="I15" i="17"/>
  <c r="B11" i="23" s="1"/>
  <c r="I49" i="17"/>
  <c r="I21" i="17"/>
  <c r="B14" i="23" s="1"/>
  <c r="I13" i="17"/>
  <c r="B12" i="23" s="1"/>
  <c r="I26" i="17"/>
  <c r="I16" i="17"/>
  <c r="I32" i="17"/>
  <c r="I64" i="17"/>
  <c r="I37" i="17"/>
  <c r="I31" i="17"/>
  <c r="B30" i="23" s="1"/>
  <c r="I44" i="17"/>
  <c r="I35" i="17"/>
  <c r="I43" i="17"/>
  <c r="B41" i="23" s="1"/>
  <c r="I30" i="17"/>
  <c r="I20" i="17"/>
  <c r="B18" i="23" s="1"/>
  <c r="I19" i="17"/>
  <c r="B17" i="23" s="1"/>
  <c r="I28" i="17"/>
  <c r="B24" i="23" s="1"/>
  <c r="I18" i="17"/>
  <c r="B15" i="23" s="1"/>
  <c r="I41" i="17"/>
  <c r="B34" i="23" s="1"/>
  <c r="I36" i="17"/>
  <c r="B29" i="23" s="1"/>
  <c r="I52" i="17"/>
  <c r="B42" i="23" s="1"/>
  <c r="I34" i="17"/>
  <c r="I53" i="17"/>
  <c r="I59" i="17"/>
  <c r="I66" i="17"/>
  <c r="B62" i="23" s="1"/>
  <c r="I23" i="17"/>
  <c r="B23" i="23" s="1"/>
  <c r="I33" i="17"/>
  <c r="B26" i="23" s="1"/>
  <c r="I54" i="17"/>
  <c r="I27" i="17"/>
  <c r="B31" i="23" s="1"/>
  <c r="I78" i="17"/>
  <c r="I94" i="17"/>
  <c r="I50" i="17"/>
  <c r="I25" i="17"/>
  <c r="B27" i="23" s="1"/>
  <c r="I89" i="17"/>
  <c r="I58" i="17"/>
  <c r="B50" i="23" s="1"/>
  <c r="I63" i="17"/>
  <c r="I22" i="17"/>
  <c r="B32" i="23" s="1"/>
  <c r="I71" i="17"/>
  <c r="B71" i="23" s="1"/>
  <c r="I69" i="17"/>
  <c r="I111" i="17"/>
  <c r="I51" i="17"/>
  <c r="B67" i="23" s="1"/>
  <c r="I113" i="17"/>
  <c r="I38" i="17"/>
  <c r="B33" i="23" s="1"/>
  <c r="I46" i="17"/>
  <c r="I68" i="17"/>
  <c r="I124" i="17"/>
  <c r="I79" i="17"/>
  <c r="B92" i="23" s="1"/>
  <c r="I83" i="17"/>
  <c r="B81" i="23" s="1"/>
  <c r="I57" i="17"/>
  <c r="B52" i="23" s="1"/>
  <c r="I70" i="17"/>
  <c r="B57" i="23" s="1"/>
  <c r="I85" i="17"/>
  <c r="I55" i="17"/>
  <c r="B39" i="23" s="1"/>
  <c r="I40" i="17"/>
  <c r="B36" i="23" s="1"/>
  <c r="I105" i="17"/>
  <c r="B109" i="23" s="1"/>
  <c r="I48" i="17"/>
  <c r="B51" i="23" s="1"/>
  <c r="I91" i="17"/>
  <c r="B83" i="23" s="1"/>
  <c r="I116" i="17"/>
  <c r="I45" i="17"/>
  <c r="B49" i="23" s="1"/>
  <c r="I90" i="17"/>
  <c r="I73" i="17"/>
  <c r="B76" i="23" s="1"/>
  <c r="I61" i="17"/>
  <c r="I62" i="17"/>
  <c r="B65" i="23" s="1"/>
  <c r="I67" i="17"/>
  <c r="I131" i="17"/>
  <c r="B129" i="23" s="1"/>
  <c r="I148" i="17"/>
  <c r="I96" i="17"/>
  <c r="B87" i="23" s="1"/>
  <c r="I143" i="17"/>
  <c r="I80" i="17"/>
  <c r="B88" i="23" s="1"/>
  <c r="I107" i="17"/>
  <c r="B102" i="23" s="1"/>
  <c r="I201" i="17"/>
  <c r="I72" i="17"/>
  <c r="I104" i="17"/>
  <c r="I60" i="17"/>
  <c r="B61" i="23" s="1"/>
  <c r="I56" i="17"/>
  <c r="B56" i="23" s="1"/>
  <c r="I189" i="17"/>
  <c r="I74" i="17"/>
  <c r="I102" i="17"/>
  <c r="I162" i="17"/>
  <c r="I39" i="17"/>
  <c r="B47" i="23" s="1"/>
  <c r="I93" i="17"/>
  <c r="B69" i="23" s="1"/>
  <c r="I120" i="17"/>
  <c r="I81" i="17"/>
  <c r="I163" i="17"/>
  <c r="I173" i="17"/>
  <c r="I172" i="17"/>
  <c r="I42" i="17"/>
  <c r="I177" i="17"/>
  <c r="I195" i="17"/>
  <c r="I147" i="17"/>
  <c r="I175" i="17"/>
  <c r="I134" i="17"/>
  <c r="I122" i="17"/>
  <c r="I77" i="17"/>
  <c r="B75" i="23" s="1"/>
  <c r="I108" i="17"/>
  <c r="I128" i="17"/>
  <c r="I135" i="17"/>
  <c r="I228" i="17"/>
  <c r="I117" i="17"/>
  <c r="B111" i="23" s="1"/>
  <c r="I139" i="17"/>
  <c r="I156" i="17"/>
  <c r="I98" i="17"/>
  <c r="B77" i="23" s="1"/>
  <c r="I218" i="17"/>
  <c r="I166" i="17"/>
  <c r="B122" i="23" s="1"/>
  <c r="I82" i="17"/>
  <c r="B94" i="23" s="1"/>
  <c r="I65" i="17"/>
  <c r="B68" i="23" s="1"/>
  <c r="I130" i="17"/>
  <c r="B114" i="23" s="1"/>
  <c r="I179" i="17"/>
  <c r="I99" i="17"/>
  <c r="I119" i="17"/>
  <c r="B141" i="23" s="1"/>
  <c r="I259" i="17"/>
  <c r="I245" i="17"/>
  <c r="I221" i="17"/>
  <c r="I157" i="17"/>
  <c r="B128" i="23" s="1"/>
  <c r="I203" i="17"/>
  <c r="I198" i="17"/>
  <c r="I170" i="17"/>
  <c r="I193" i="17"/>
  <c r="B196" i="23" s="1"/>
  <c r="I158" i="17"/>
  <c r="I219" i="17"/>
  <c r="I141" i="17"/>
  <c r="B120" i="23" s="1"/>
  <c r="I115" i="17"/>
  <c r="I174" i="17"/>
  <c r="B158" i="23" s="1"/>
  <c r="I125" i="17"/>
  <c r="I252" i="17"/>
  <c r="I207" i="17"/>
  <c r="B118" i="23" s="1"/>
  <c r="I154" i="17"/>
  <c r="B154" i="23" s="1"/>
  <c r="I136" i="17"/>
  <c r="B155" i="23" s="1"/>
  <c r="I137" i="17"/>
  <c r="I272" i="17"/>
  <c r="B201" i="23" s="1"/>
  <c r="I243" i="17"/>
  <c r="B205" i="23" s="1"/>
  <c r="I186" i="17"/>
  <c r="B187" i="23" s="1"/>
  <c r="I123" i="17"/>
  <c r="B132" i="23" s="1"/>
  <c r="I194" i="17"/>
  <c r="I106" i="17"/>
  <c r="B91" i="23" s="1"/>
  <c r="I88" i="17"/>
  <c r="B89" i="23" s="1"/>
  <c r="I159" i="17"/>
  <c r="I160" i="17"/>
  <c r="I126" i="17"/>
  <c r="B106" i="23" s="1"/>
  <c r="I215" i="17"/>
  <c r="I47" i="17"/>
  <c r="B64" i="23" s="1"/>
  <c r="I129" i="17"/>
  <c r="I144" i="17"/>
  <c r="B186" i="23" s="1"/>
  <c r="I239" i="17"/>
  <c r="I224" i="17"/>
  <c r="B204" i="23" s="1"/>
  <c r="I188" i="17"/>
  <c r="I214" i="17"/>
  <c r="B185" i="23" s="1"/>
  <c r="I171" i="17"/>
  <c r="B173" i="23" s="1"/>
  <c r="I211" i="17"/>
  <c r="B162" i="23" s="1"/>
  <c r="I182" i="17"/>
  <c r="B146" i="23" s="1"/>
  <c r="I187" i="17"/>
  <c r="B171" i="23" s="1"/>
  <c r="I206" i="17"/>
  <c r="B174" i="23" s="1"/>
  <c r="I84" i="17"/>
  <c r="I110" i="17"/>
  <c r="I240" i="17"/>
  <c r="I152" i="17"/>
  <c r="B161" i="23" s="1"/>
  <c r="I168" i="17"/>
  <c r="I86" i="17"/>
  <c r="I226" i="17"/>
  <c r="B172" i="23" s="1"/>
  <c r="I199" i="17"/>
  <c r="B175" i="23" s="1"/>
  <c r="I127" i="17"/>
  <c r="B126" i="23" s="1"/>
  <c r="I270" i="17"/>
  <c r="B250" i="23" s="1"/>
  <c r="I176" i="17"/>
  <c r="I200" i="17"/>
  <c r="B213" i="23" s="1"/>
  <c r="I181" i="17"/>
  <c r="I101" i="17"/>
  <c r="I118" i="17"/>
  <c r="B135" i="23" s="1"/>
  <c r="I151" i="17"/>
  <c r="I250" i="17"/>
  <c r="B192" i="23" s="1"/>
  <c r="I87" i="17"/>
  <c r="I145" i="17"/>
  <c r="I95" i="17"/>
  <c r="I209" i="17"/>
  <c r="I274" i="17"/>
  <c r="I164" i="17"/>
  <c r="I256" i="17"/>
  <c r="B274" i="23" s="1"/>
  <c r="I192" i="17"/>
  <c r="I267" i="17"/>
  <c r="I114" i="17"/>
  <c r="I205" i="17"/>
  <c r="B203" i="23" s="1"/>
  <c r="I251" i="17"/>
  <c r="B197" i="23" s="1"/>
  <c r="I229" i="17"/>
  <c r="B206" i="23" s="1"/>
  <c r="I132" i="17"/>
  <c r="B133" i="23" s="1"/>
  <c r="I295" i="17"/>
  <c r="B257" i="23" s="1"/>
  <c r="I231" i="17"/>
  <c r="I142" i="17"/>
  <c r="B193" i="23" s="1"/>
  <c r="I196" i="17"/>
  <c r="B238" i="23" s="1"/>
  <c r="I234" i="17"/>
  <c r="B249" i="23" s="1"/>
  <c r="I222" i="17"/>
  <c r="I285" i="17"/>
  <c r="B265" i="23" s="1"/>
  <c r="I167" i="17"/>
  <c r="B220" i="23" s="1"/>
  <c r="I109" i="17"/>
  <c r="B104" i="23" s="1"/>
  <c r="I183" i="17"/>
  <c r="B199" i="23" s="1"/>
  <c r="I276" i="17"/>
  <c r="B268" i="23" s="1"/>
  <c r="I133" i="17"/>
  <c r="I121" i="17"/>
  <c r="B140" i="23" s="1"/>
  <c r="I268" i="17"/>
  <c r="I278" i="17"/>
  <c r="I112" i="17"/>
  <c r="B123" i="23" s="1"/>
  <c r="I283" i="17"/>
  <c r="I208" i="17"/>
  <c r="B217" i="23" s="1"/>
  <c r="I216" i="17"/>
  <c r="B212" i="23" s="1"/>
  <c r="I100" i="17"/>
  <c r="B80" i="23" s="1"/>
  <c r="I161" i="17"/>
  <c r="B142" i="23" s="1"/>
  <c r="I288" i="17"/>
  <c r="B226" i="23" s="1"/>
  <c r="I257" i="17"/>
  <c r="I197" i="17"/>
  <c r="B152" i="23" s="1"/>
  <c r="I277" i="17"/>
  <c r="B259" i="23" s="1"/>
  <c r="I92" i="17"/>
  <c r="B108" i="23" s="1"/>
  <c r="I178" i="17"/>
  <c r="B184" i="23" s="1"/>
  <c r="I230" i="17"/>
  <c r="I291" i="17"/>
  <c r="I293" i="17"/>
  <c r="B248" i="23" s="1"/>
  <c r="I237" i="17"/>
  <c r="I271" i="17"/>
  <c r="I306" i="17"/>
  <c r="I273" i="17"/>
  <c r="I307" i="17"/>
  <c r="B270" i="23" s="1"/>
  <c r="I265" i="17"/>
  <c r="B263" i="23" s="1"/>
  <c r="I311" i="17"/>
  <c r="B314" i="23" s="1"/>
  <c r="I312" i="17"/>
  <c r="I280" i="17"/>
  <c r="I286" i="17"/>
  <c r="I246" i="17"/>
  <c r="I347" i="17"/>
  <c r="I299" i="17"/>
  <c r="I325" i="17"/>
  <c r="I316" i="17"/>
  <c r="I76" i="17"/>
  <c r="B70" i="23" s="1"/>
  <c r="I253" i="17"/>
  <c r="B230" i="23" s="1"/>
  <c r="I155" i="17"/>
  <c r="I344" i="17"/>
  <c r="B348" i="23" s="1"/>
  <c r="I296" i="17"/>
  <c r="B254" i="23" s="1"/>
  <c r="I329" i="17"/>
  <c r="I300" i="17"/>
  <c r="B286" i="23" s="1"/>
  <c r="I356" i="17"/>
  <c r="B305" i="23" s="1"/>
  <c r="I75" i="17"/>
  <c r="B78" i="23" s="1"/>
  <c r="I258" i="17"/>
  <c r="B191" i="23" s="1"/>
  <c r="I350" i="17"/>
  <c r="I146" i="17"/>
  <c r="B115" i="23" s="1"/>
  <c r="I235" i="17"/>
  <c r="B207" i="23" s="1"/>
  <c r="I223" i="17"/>
  <c r="I294" i="17"/>
  <c r="I314" i="17"/>
  <c r="B241" i="23" s="1"/>
  <c r="I282" i="17"/>
  <c r="B294" i="23" s="1"/>
  <c r="I255" i="17"/>
  <c r="I225" i="17"/>
  <c r="B216" i="23" s="1"/>
  <c r="I318" i="17"/>
  <c r="I232" i="17"/>
  <c r="I204" i="17"/>
  <c r="B255" i="23" s="1"/>
  <c r="I330" i="17"/>
  <c r="I165" i="17"/>
  <c r="B243" i="23" s="1"/>
  <c r="I334" i="17"/>
  <c r="I303" i="17"/>
  <c r="I340" i="17"/>
  <c r="I341" i="17"/>
  <c r="I212" i="17"/>
  <c r="B244" i="23" s="1"/>
  <c r="I103" i="17"/>
  <c r="I241" i="17"/>
  <c r="B253" i="23" s="1"/>
  <c r="I337" i="17"/>
  <c r="B320" i="23" s="1"/>
  <c r="I309" i="17"/>
  <c r="I360" i="17"/>
  <c r="B354" i="23" s="1"/>
  <c r="I184" i="17"/>
  <c r="B214" i="23" s="1"/>
  <c r="I242" i="17"/>
  <c r="I217" i="17"/>
  <c r="I149" i="17"/>
  <c r="I233" i="17"/>
  <c r="B258" i="23" s="1"/>
  <c r="I140" i="17"/>
  <c r="B144" i="23" s="1"/>
  <c r="I153" i="17"/>
  <c r="I322" i="17"/>
  <c r="B306" i="23" s="1"/>
  <c r="I210" i="17"/>
  <c r="I362" i="17"/>
  <c r="B360" i="23" s="1"/>
  <c r="I308" i="17"/>
  <c r="B304" i="23" s="1"/>
  <c r="I364" i="17"/>
  <c r="B361" i="23" s="1"/>
  <c r="I220" i="17"/>
  <c r="B266" i="23" s="1"/>
  <c r="I327" i="17"/>
  <c r="B222" i="23" s="1"/>
  <c r="I238" i="17"/>
  <c r="B215" i="23" s="1"/>
  <c r="I263" i="17"/>
  <c r="B219" i="23" s="1"/>
  <c r="I375" i="17"/>
  <c r="I345" i="17"/>
  <c r="I373" i="17"/>
  <c r="I266" i="17"/>
  <c r="I339" i="17"/>
  <c r="B312" i="23" s="1"/>
  <c r="I342" i="17"/>
  <c r="I367" i="17"/>
  <c r="I349" i="17"/>
  <c r="B329" i="23" s="1"/>
  <c r="I97" i="17"/>
  <c r="B103" i="23" s="1"/>
  <c r="I310" i="17"/>
  <c r="I247" i="17"/>
  <c r="B283" i="23" s="1"/>
  <c r="I281" i="17"/>
  <c r="I343" i="17"/>
  <c r="B281" i="23" s="1"/>
  <c r="I363" i="17"/>
  <c r="B293" i="23" s="1"/>
  <c r="I355" i="17"/>
  <c r="B342" i="23" s="1"/>
  <c r="I383" i="17"/>
  <c r="I297" i="17"/>
  <c r="I301" i="17"/>
  <c r="B313" i="23" s="1"/>
  <c r="I386" i="17"/>
  <c r="I387" i="17"/>
  <c r="B359" i="23" s="1"/>
  <c r="I324" i="17"/>
  <c r="B291" i="23" s="1"/>
  <c r="I304" i="17"/>
  <c r="I346" i="17"/>
  <c r="I388" i="17"/>
  <c r="B384" i="23" s="1"/>
  <c r="I377" i="17"/>
  <c r="I292" i="17"/>
  <c r="B309" i="23" s="1"/>
  <c r="I249" i="17"/>
  <c r="I398" i="17"/>
  <c r="B377" i="23" s="1"/>
  <c r="I368" i="17"/>
  <c r="I353" i="17"/>
  <c r="B339" i="23" s="1"/>
  <c r="I379" i="17"/>
  <c r="I138" i="17"/>
  <c r="B121" i="23" s="1"/>
  <c r="I380" i="17"/>
  <c r="I320" i="17"/>
  <c r="I358" i="17"/>
  <c r="I328" i="17"/>
  <c r="B353" i="23" s="1"/>
  <c r="I279" i="17"/>
  <c r="B271" i="23" s="1"/>
  <c r="I185" i="17"/>
  <c r="B164" i="23" s="1"/>
  <c r="I394" i="17"/>
  <c r="I333" i="17"/>
  <c r="B345" i="23" s="1"/>
  <c r="I169" i="17"/>
  <c r="B177" i="23" s="1"/>
  <c r="I180" i="17"/>
  <c r="B190" i="23" s="1"/>
  <c r="I414" i="17"/>
  <c r="I290" i="17"/>
  <c r="B328" i="23" s="1"/>
  <c r="I331" i="17"/>
  <c r="B335" i="23" s="1"/>
  <c r="I326" i="17"/>
  <c r="I305" i="17"/>
  <c r="B307" i="23" s="1"/>
  <c r="I287" i="17"/>
  <c r="I395" i="17"/>
  <c r="I269" i="17"/>
  <c r="B224" i="23" s="1"/>
  <c r="I260" i="17"/>
  <c r="B284" i="23" s="1"/>
  <c r="I338" i="17"/>
  <c r="B318" i="23" s="1"/>
  <c r="I384" i="17"/>
  <c r="I254" i="17"/>
  <c r="B290" i="23" s="1"/>
  <c r="I191" i="17"/>
  <c r="B160" i="23" s="1"/>
  <c r="I150" i="17"/>
  <c r="B180" i="23" s="1"/>
  <c r="I321" i="17"/>
  <c r="I284" i="17"/>
  <c r="B323" i="23" s="1"/>
  <c r="I289" i="17"/>
  <c r="B324" i="23" s="1"/>
  <c r="I396" i="17"/>
  <c r="B396" i="23" s="1"/>
  <c r="I351" i="17"/>
  <c r="I406" i="17"/>
  <c r="B364" i="23" s="1"/>
  <c r="I248" i="17"/>
  <c r="B251" i="23" s="1"/>
  <c r="I348" i="17"/>
  <c r="B310" i="23" s="1"/>
  <c r="I431" i="17"/>
  <c r="I382" i="17"/>
  <c r="I315" i="17"/>
  <c r="B236" i="23" s="1"/>
  <c r="I399" i="17"/>
  <c r="B431" i="23" s="1"/>
  <c r="I400" i="17"/>
  <c r="I366" i="17"/>
  <c r="B337" i="23" s="1"/>
  <c r="I264" i="17"/>
  <c r="B237" i="23" s="1"/>
  <c r="I236" i="17"/>
  <c r="B275" i="23" s="1"/>
  <c r="I426" i="17"/>
  <c r="I202" i="17"/>
  <c r="B211" i="23" s="1"/>
  <c r="I434" i="17"/>
  <c r="I361" i="17"/>
  <c r="I405" i="17"/>
  <c r="B390" i="23" s="1"/>
  <c r="I313" i="17"/>
  <c r="B330" i="23" s="1"/>
  <c r="I323" i="17"/>
  <c r="I397" i="17"/>
  <c r="I416" i="17"/>
  <c r="I392" i="17"/>
  <c r="I359" i="17"/>
  <c r="I411" i="17"/>
  <c r="B371" i="23" s="1"/>
  <c r="I404" i="17"/>
  <c r="B402" i="23" s="1"/>
  <c r="I418" i="17"/>
  <c r="B382" i="23" s="1"/>
  <c r="I436" i="17"/>
  <c r="I455" i="17"/>
  <c r="I456" i="17"/>
  <c r="I302" i="17"/>
  <c r="B343" i="23" s="1"/>
  <c r="I466" i="17"/>
  <c r="B464" i="23" s="1"/>
  <c r="I298" i="17"/>
  <c r="B365" i="23" s="1"/>
  <c r="I213" i="17"/>
  <c r="I421" i="17"/>
  <c r="I378" i="17"/>
  <c r="I319" i="17"/>
  <c r="B316" i="23" s="1"/>
  <c r="I403" i="17"/>
  <c r="B380" i="23" s="1"/>
  <c r="I435" i="17"/>
  <c r="I425" i="17"/>
  <c r="B408" i="23" s="1"/>
  <c r="I467" i="17"/>
  <c r="I471" i="17"/>
  <c r="I452" i="17"/>
  <c r="B429" i="23" s="1"/>
  <c r="I332" i="17"/>
  <c r="I408" i="17"/>
  <c r="B381" i="23" s="1"/>
  <c r="I453" i="17"/>
  <c r="B386" i="23" s="1"/>
  <c r="I419" i="17"/>
  <c r="I423" i="17"/>
  <c r="I385" i="17"/>
  <c r="I477" i="17"/>
  <c r="B388" i="23" s="1"/>
  <c r="I449" i="17"/>
  <c r="I450" i="17"/>
  <c r="I460" i="17"/>
  <c r="I428" i="17"/>
  <c r="B425" i="23" s="1"/>
  <c r="I472" i="17"/>
  <c r="I424" i="17"/>
  <c r="I401" i="17"/>
  <c r="B414" i="23" s="1"/>
  <c r="I410" i="17"/>
  <c r="B392" i="23" s="1"/>
  <c r="I484" i="17"/>
  <c r="I441" i="17"/>
  <c r="B419" i="23" s="1"/>
  <c r="I372" i="17"/>
  <c r="B370" i="23" s="1"/>
  <c r="I489" i="17"/>
  <c r="B403" i="23" s="1"/>
  <c r="I464" i="17"/>
  <c r="B432" i="23" s="1"/>
  <c r="I446" i="17"/>
  <c r="I447" i="17"/>
  <c r="I244" i="17"/>
  <c r="B176" i="23" s="1"/>
  <c r="I459" i="17"/>
  <c r="B451" i="23" s="1"/>
  <c r="I469" i="17"/>
  <c r="I478" i="17"/>
  <c r="I427" i="17"/>
  <c r="I522" i="17"/>
  <c r="I357" i="17"/>
  <c r="I440" i="17"/>
  <c r="B458" i="23" s="1"/>
  <c r="I391" i="17"/>
  <c r="B362" i="23" s="1"/>
  <c r="I422" i="17"/>
  <c r="I417" i="17"/>
  <c r="B469" i="23" s="1"/>
  <c r="I480" i="17"/>
  <c r="I475" i="17"/>
  <c r="I413" i="17"/>
  <c r="B366" i="23" s="1"/>
  <c r="I445" i="17"/>
  <c r="I490" i="17"/>
  <c r="I227" i="17"/>
  <c r="B297" i="23" s="1"/>
  <c r="I190" i="17"/>
  <c r="I448" i="17"/>
  <c r="I457" i="17"/>
  <c r="I486" i="17"/>
  <c r="B456" i="23" s="1"/>
  <c r="I458" i="17"/>
  <c r="B383" i="23" s="1"/>
  <c r="I499" i="17"/>
  <c r="B482" i="23" s="1"/>
  <c r="I390" i="17"/>
  <c r="B412" i="23" s="1"/>
  <c r="I402" i="17"/>
  <c r="B378" i="23" s="1"/>
  <c r="I374" i="17"/>
  <c r="I354" i="17"/>
  <c r="B327" i="23" s="1"/>
  <c r="I463" i="17"/>
  <c r="B417" i="23" s="1"/>
  <c r="I433" i="17"/>
  <c r="I498" i="17"/>
  <c r="I470" i="17"/>
  <c r="I509" i="17"/>
  <c r="I501" i="17"/>
  <c r="B508" i="23" s="1"/>
  <c r="I407" i="17"/>
  <c r="B447" i="23" s="1"/>
  <c r="I479" i="17"/>
  <c r="B415" i="23" s="1"/>
  <c r="I381" i="17"/>
  <c r="B336" i="23" s="1"/>
  <c r="I481" i="17"/>
  <c r="I465" i="17"/>
  <c r="I530" i="17"/>
  <c r="I485" i="17"/>
  <c r="B511" i="23" s="1"/>
  <c r="I531" i="17"/>
  <c r="I524" i="17"/>
  <c r="I442" i="17"/>
  <c r="I443" i="17"/>
  <c r="I506" i="17"/>
  <c r="B444" i="23" s="1"/>
  <c r="I487" i="17"/>
  <c r="B507" i="23" s="1"/>
  <c r="I389" i="17"/>
  <c r="B457" i="23" s="1"/>
  <c r="I483" i="17"/>
  <c r="I352" i="17"/>
  <c r="B331" i="23" s="1"/>
  <c r="I473" i="17"/>
  <c r="B374" i="23" s="1"/>
  <c r="I317" i="17"/>
  <c r="I462" i="17"/>
  <c r="B440" i="23" s="1"/>
  <c r="I451" i="17"/>
  <c r="I393" i="17"/>
  <c r="I529" i="17"/>
  <c r="I540" i="17"/>
  <c r="B529" i="23" s="1"/>
  <c r="I482" i="17"/>
  <c r="B513" i="23" s="1"/>
  <c r="I491" i="17"/>
  <c r="I468" i="17"/>
  <c r="I500" i="17"/>
  <c r="I516" i="17"/>
  <c r="B446" i="23" s="1"/>
  <c r="I537" i="17"/>
  <c r="B539" i="23" s="1"/>
  <c r="I538" i="17"/>
  <c r="I474" i="17"/>
  <c r="I519" i="17"/>
  <c r="B454" i="23" s="1"/>
  <c r="I412" i="17"/>
  <c r="I365" i="17"/>
  <c r="B421" i="23" s="1"/>
  <c r="I503" i="17"/>
  <c r="I504" i="17"/>
  <c r="B504" i="23" s="1"/>
  <c r="I514" i="17"/>
  <c r="B510" i="23" s="1"/>
  <c r="I476" i="17"/>
  <c r="B443" i="23" s="1"/>
  <c r="I525" i="17"/>
  <c r="I438" i="17"/>
  <c r="I521" i="17"/>
  <c r="B411" i="23" s="1"/>
  <c r="I546" i="17"/>
  <c r="B517" i="23" s="1"/>
  <c r="I409" i="17"/>
  <c r="B453" i="23" s="1"/>
  <c r="I541" i="17"/>
  <c r="I492" i="17"/>
  <c r="I335" i="17"/>
  <c r="B221" i="23" s="1"/>
  <c r="I336" i="17"/>
  <c r="B426" i="23" s="1"/>
  <c r="I510" i="17"/>
  <c r="B509" i="23" s="1"/>
  <c r="I497" i="17"/>
  <c r="I532" i="17"/>
  <c r="B494" i="23" s="1"/>
  <c r="I513" i="17"/>
  <c r="B534" i="23" s="1"/>
  <c r="I432" i="17"/>
  <c r="B394" i="23" s="1"/>
  <c r="I371" i="17"/>
  <c r="B430" i="23" s="1"/>
  <c r="I454" i="17"/>
  <c r="B479" i="23" s="1"/>
  <c r="I535" i="17"/>
  <c r="B528" i="23" s="1"/>
  <c r="I515" i="17"/>
  <c r="I536" i="17"/>
  <c r="I376" i="17"/>
  <c r="B376" i="23" s="1"/>
  <c r="I493" i="17"/>
  <c r="I430" i="17"/>
  <c r="B466" i="23" s="1"/>
  <c r="I369" i="17"/>
  <c r="I370" i="17"/>
  <c r="B492" i="23" s="1"/>
  <c r="I526" i="17"/>
  <c r="I547" i="17"/>
  <c r="B536" i="23" s="1"/>
  <c r="I544" i="17"/>
  <c r="B527" i="23" s="1"/>
  <c r="I420" i="17"/>
  <c r="B410" i="23" s="1"/>
  <c r="I549" i="17"/>
  <c r="B520" i="23" s="1"/>
  <c r="I508" i="17"/>
  <c r="I555" i="17"/>
  <c r="I429" i="17"/>
  <c r="B351" i="23" s="1"/>
  <c r="I494" i="17"/>
  <c r="B491" i="23" s="1"/>
  <c r="I439" i="17"/>
  <c r="B398" i="23" s="1"/>
  <c r="I461" i="17"/>
  <c r="I444" i="17"/>
  <c r="B439" i="23" s="1"/>
  <c r="I502" i="17"/>
  <c r="B493" i="23" s="1"/>
  <c r="I564" i="17"/>
  <c r="I534" i="17"/>
  <c r="I275" i="17"/>
  <c r="B413" i="23" s="1"/>
  <c r="I542" i="17"/>
  <c r="B547" i="23" s="1"/>
  <c r="I496" i="17"/>
  <c r="B467" i="23" s="1"/>
  <c r="I511" i="17"/>
  <c r="I512" i="17"/>
  <c r="I552" i="17"/>
  <c r="B488" i="23" s="1"/>
  <c r="I554" i="17"/>
  <c r="B545" i="23" s="1"/>
  <c r="I550" i="17"/>
  <c r="B530" i="23" s="1"/>
  <c r="I567" i="17"/>
  <c r="I415" i="17"/>
  <c r="I570" i="17"/>
  <c r="B568" i="23" s="1"/>
  <c r="I507" i="17"/>
  <c r="B553" i="23" s="1"/>
  <c r="I563" i="17"/>
  <c r="I488" i="17"/>
  <c r="B438" i="23" s="1"/>
  <c r="I495" i="17"/>
  <c r="I520" i="17"/>
  <c r="I556" i="17"/>
  <c r="I528" i="17"/>
  <c r="B461" i="23" s="1"/>
  <c r="I566" i="17"/>
  <c r="B535" i="23" s="1"/>
  <c r="I262" i="17"/>
  <c r="I505" i="17"/>
  <c r="I548" i="17"/>
  <c r="B518" i="23" s="1"/>
  <c r="I437" i="17"/>
  <c r="B498" i="23" s="1"/>
  <c r="I551" i="17"/>
  <c r="B566" i="23" s="1"/>
  <c r="I568" i="17"/>
  <c r="I557" i="17"/>
  <c r="B581" i="23" s="1"/>
  <c r="I574" i="17"/>
  <c r="I561" i="17"/>
  <c r="I517" i="17"/>
  <c r="I539" i="17"/>
  <c r="B522" i="23" s="1"/>
  <c r="I560" i="17"/>
  <c r="I518" i="17"/>
  <c r="I581" i="17"/>
  <c r="I575" i="17"/>
  <c r="I576" i="17"/>
  <c r="B572" i="23" s="1"/>
  <c r="I545" i="17"/>
  <c r="B538" i="23" s="1"/>
  <c r="I582" i="17"/>
  <c r="I571" i="17"/>
  <c r="B582" i="23" s="1"/>
  <c r="I562" i="17"/>
  <c r="I573" i="17"/>
  <c r="I586" i="17"/>
  <c r="I578" i="17"/>
  <c r="I579" i="17"/>
  <c r="B575" i="23" s="1"/>
  <c r="I558" i="17"/>
  <c r="B583" i="23" s="1"/>
  <c r="I572" i="17"/>
  <c r="I580" i="17"/>
  <c r="I565" i="17"/>
  <c r="B523" i="23" s="1"/>
  <c r="I527" i="17"/>
  <c r="B524" i="23" s="1"/>
  <c r="I585" i="17"/>
  <c r="I553" i="17"/>
  <c r="B496" i="23" s="1"/>
  <c r="I591" i="17"/>
  <c r="I559" i="17"/>
  <c r="I583" i="17"/>
  <c r="I523" i="17"/>
  <c r="B584" i="23" s="1"/>
  <c r="I587" i="17"/>
  <c r="I589" i="17"/>
  <c r="B589" i="23" s="1"/>
  <c r="I594" i="17"/>
  <c r="I533" i="17"/>
  <c r="B557" i="23" s="1"/>
  <c r="I588" i="17"/>
  <c r="B586" i="23" s="1"/>
  <c r="I584" i="17"/>
  <c r="B593" i="23" s="1"/>
  <c r="I592" i="17"/>
  <c r="B585" i="23" s="1"/>
  <c r="I543" i="17"/>
  <c r="B525" i="23" s="1"/>
  <c r="I577" i="17"/>
  <c r="I596" i="17"/>
  <c r="B594" i="23" s="1"/>
  <c r="I590" i="17"/>
  <c r="I595" i="17"/>
  <c r="I569" i="17"/>
  <c r="B592" i="23" s="1"/>
  <c r="I593" i="17"/>
  <c r="B588" i="23" s="1"/>
  <c r="I597" i="17"/>
  <c r="B595" i="23" s="1"/>
  <c r="I599" i="17"/>
  <c r="I600" i="17"/>
  <c r="B598" i="23" s="1"/>
  <c r="I598" i="17"/>
  <c r="B597" i="23" s="1"/>
  <c r="I602" i="17"/>
  <c r="B599" i="23" s="1"/>
  <c r="I603" i="17"/>
  <c r="B600" i="23" s="1"/>
  <c r="I601" i="17"/>
  <c r="I8" i="17"/>
  <c r="B4" i="23" s="1"/>
  <c r="B556" i="23" l="1"/>
  <c r="B574" i="23"/>
  <c r="B542" i="23"/>
  <c r="B562" i="23"/>
  <c r="B560" i="23"/>
  <c r="B465" i="23"/>
  <c r="B233" i="23"/>
  <c r="B514" i="23"/>
  <c r="B303" i="23"/>
  <c r="B182" i="23"/>
  <c r="B578" i="23"/>
  <c r="B379" i="23"/>
  <c r="B8" i="23"/>
  <c r="B269" i="23"/>
  <c r="B596" i="23"/>
  <c r="B435" i="23"/>
  <c r="B416" i="23"/>
  <c r="B404" i="23"/>
  <c r="B298" i="23"/>
  <c r="B166" i="23"/>
  <c r="B99" i="23"/>
  <c r="B170" i="23"/>
  <c r="B548" i="23"/>
  <c r="B367" i="23"/>
  <c r="B368" i="23"/>
  <c r="B418" i="23"/>
  <c r="B436" i="23"/>
  <c r="B357" i="23"/>
  <c r="B333" i="23"/>
  <c r="B267" i="23"/>
  <c r="B252" i="23"/>
  <c r="B148" i="23"/>
  <c r="B579" i="23"/>
  <c r="B462" i="23"/>
  <c r="B591" i="23"/>
  <c r="B576" i="23"/>
  <c r="B571" i="23"/>
  <c r="B570" i="23"/>
  <c r="B533" i="23"/>
  <c r="B544" i="23"/>
  <c r="B506" i="23"/>
  <c r="B452" i="23"/>
  <c r="B387" i="23"/>
  <c r="B352" i="23"/>
  <c r="B473" i="23"/>
  <c r="B428" i="23"/>
  <c r="B385" i="23"/>
  <c r="B321" i="23"/>
  <c r="B391" i="23"/>
  <c r="B200" i="23"/>
  <c r="B319" i="23"/>
  <c r="B299" i="23"/>
  <c r="B183" i="23"/>
  <c r="B107" i="23"/>
  <c r="B130" i="23"/>
  <c r="B134" i="23"/>
  <c r="B131" i="23"/>
  <c r="B63" i="23"/>
  <c r="B55" i="23"/>
  <c r="B35" i="23"/>
  <c r="B563" i="23"/>
  <c r="B551" i="23"/>
  <c r="B559" i="23"/>
  <c r="B521" i="23"/>
  <c r="B495" i="23"/>
  <c r="B401" i="23"/>
  <c r="B481" i="23"/>
  <c r="B450" i="23"/>
  <c r="B311" i="23"/>
  <c r="B476" i="23"/>
  <c r="B395" i="23"/>
  <c r="B422" i="23"/>
  <c r="B427" i="23"/>
  <c r="B409" i="23"/>
  <c r="B317" i="23"/>
  <c r="B326" i="23"/>
  <c r="B347" i="23"/>
  <c r="B279" i="23"/>
  <c r="B315" i="23"/>
  <c r="B332" i="23"/>
  <c r="B165" i="23"/>
  <c r="B198" i="23"/>
  <c r="B210" i="23"/>
  <c r="B194" i="23"/>
  <c r="B119" i="23"/>
  <c r="B117" i="23"/>
  <c r="B96" i="23"/>
  <c r="B86" i="23"/>
  <c r="B44" i="23"/>
  <c r="B37" i="23"/>
  <c r="B580" i="23"/>
  <c r="B601" i="23"/>
  <c r="B587" i="23"/>
  <c r="B565" i="23"/>
  <c r="B561" i="23"/>
  <c r="B554" i="23"/>
  <c r="B519" i="23"/>
  <c r="B499" i="23"/>
  <c r="B532" i="23"/>
  <c r="B460" i="23"/>
  <c r="B497" i="23"/>
  <c r="B442" i="23"/>
  <c r="B475" i="23"/>
  <c r="B234" i="23"/>
  <c r="B405" i="23"/>
  <c r="B420" i="23"/>
  <c r="B358" i="23"/>
  <c r="B375" i="23"/>
  <c r="B322" i="23"/>
  <c r="B308" i="23"/>
  <c r="B344" i="23"/>
  <c r="B231" i="23"/>
  <c r="B95" i="23"/>
  <c r="B229" i="23"/>
  <c r="B101" i="23"/>
  <c r="B149" i="23"/>
  <c r="B159" i="23"/>
  <c r="B143" i="23"/>
  <c r="B145" i="23"/>
  <c r="B73" i="23"/>
  <c r="B46" i="23"/>
  <c r="B13" i="23"/>
  <c r="B484" i="23"/>
  <c r="B480" i="23"/>
  <c r="B500" i="23"/>
  <c r="B424" i="23"/>
  <c r="B301" i="23"/>
  <c r="B90" i="23"/>
  <c r="B116" i="23"/>
  <c r="B151" i="23"/>
  <c r="B139" i="23"/>
  <c r="B100" i="23"/>
  <c r="B59" i="23"/>
  <c r="B28" i="23"/>
  <c r="B567" i="23"/>
  <c r="B531" i="23"/>
  <c r="B540" i="23"/>
  <c r="B483" i="23"/>
  <c r="B489" i="23"/>
  <c r="B505" i="23"/>
  <c r="B516" i="23"/>
  <c r="B399" i="23"/>
  <c r="B292" i="23"/>
  <c r="B397" i="23"/>
  <c r="B433" i="23"/>
  <c r="B340" i="23"/>
  <c r="B356" i="23"/>
  <c r="B338" i="23"/>
  <c r="B295" i="23"/>
  <c r="B225" i="23"/>
  <c r="B325" i="23"/>
  <c r="B240" i="23"/>
  <c r="B239" i="23"/>
  <c r="B202" i="23"/>
  <c r="B85" i="23"/>
  <c r="B136" i="23"/>
  <c r="B163" i="23"/>
  <c r="B137" i="23"/>
  <c r="B43" i="23"/>
  <c r="B53" i="23"/>
  <c r="B60" i="23"/>
  <c r="B541" i="23"/>
  <c r="B471" i="23"/>
  <c r="B407" i="23"/>
  <c r="B406" i="23"/>
  <c r="B393" i="23"/>
  <c r="B334" i="23"/>
  <c r="B341" i="23"/>
  <c r="B285" i="23"/>
  <c r="B280" i="23"/>
  <c r="B289" i="23"/>
  <c r="B247" i="23"/>
  <c r="B228" i="23"/>
  <c r="B97" i="23"/>
  <c r="B113" i="23"/>
  <c r="B79" i="23"/>
  <c r="B40" i="23"/>
  <c r="B546" i="23"/>
  <c r="B486" i="23"/>
  <c r="B526" i="23"/>
  <c r="B441" i="23"/>
  <c r="B455" i="23"/>
  <c r="B449" i="23"/>
  <c r="B400" i="23"/>
  <c r="B350" i="23"/>
  <c r="B369" i="23"/>
  <c r="B296" i="23"/>
  <c r="B245" i="23"/>
  <c r="B302" i="23"/>
  <c r="B242" i="23"/>
  <c r="B169" i="23"/>
  <c r="B157" i="23"/>
  <c r="B195" i="23"/>
  <c r="B153" i="23"/>
  <c r="B127" i="23"/>
  <c r="B105" i="23"/>
  <c r="B66" i="23"/>
  <c r="B16" i="23"/>
  <c r="B20" i="23"/>
  <c r="B569" i="23"/>
  <c r="B558" i="23"/>
  <c r="B543" i="23"/>
  <c r="B537" i="23"/>
  <c r="B490" i="23"/>
  <c r="B477" i="23"/>
  <c r="B470" i="23"/>
  <c r="B485" i="23"/>
  <c r="B437" i="23"/>
  <c r="B448" i="23"/>
  <c r="B389" i="23"/>
  <c r="B372" i="23"/>
  <c r="B260" i="23"/>
  <c r="B138" i="23"/>
  <c r="B235" i="23"/>
  <c r="B349" i="23"/>
  <c r="B288" i="23"/>
  <c r="B223" i="23"/>
  <c r="B262" i="23"/>
  <c r="B167" i="23"/>
  <c r="B147" i="23"/>
  <c r="B84" i="23"/>
  <c r="B125" i="23"/>
  <c r="B21" i="23"/>
  <c r="B590" i="23"/>
  <c r="B555" i="23"/>
  <c r="B552" i="23"/>
  <c r="B564" i="23"/>
  <c r="B573" i="23"/>
  <c r="B515" i="23"/>
  <c r="B472" i="23"/>
  <c r="B501" i="23"/>
  <c r="B434" i="23"/>
  <c r="B423" i="23"/>
  <c r="B256" i="23"/>
  <c r="B355" i="23"/>
  <c r="B363" i="23"/>
  <c r="B277" i="23"/>
  <c r="B261" i="23"/>
  <c r="B232" i="23"/>
  <c r="B218" i="23"/>
  <c r="B209" i="23"/>
  <c r="B179" i="23"/>
  <c r="B178" i="23"/>
  <c r="B74" i="23"/>
  <c r="B112" i="23"/>
  <c r="B38" i="23"/>
  <c r="B19" i="23"/>
  <c r="B577" i="23"/>
  <c r="B487" i="23"/>
  <c r="B459" i="23"/>
  <c r="B503" i="23"/>
  <c r="B550" i="23"/>
  <c r="B468" i="23"/>
  <c r="B445" i="23"/>
  <c r="B478" i="23"/>
  <c r="B373" i="23"/>
  <c r="B346" i="23"/>
  <c r="B150" i="23"/>
  <c r="B278" i="23"/>
  <c r="B124" i="23"/>
  <c r="B156" i="23"/>
  <c r="B54" i="23"/>
  <c r="B82" i="23"/>
  <c r="B72" i="23"/>
  <c r="B6" i="23"/>
  <c r="B181" i="23"/>
  <c r="B208" i="23"/>
  <c r="B45" i="23"/>
  <c r="B25" i="23"/>
  <c r="B48" i="23"/>
  <c r="B502" i="23"/>
  <c r="B549" i="23"/>
  <c r="B463" i="23"/>
  <c r="B474" i="23"/>
  <c r="B512" i="23"/>
  <c r="B300" i="23"/>
  <c r="B246" i="23"/>
  <c r="B188" i="23"/>
  <c r="B264" i="23"/>
  <c r="B282" i="23"/>
  <c r="B287" i="23"/>
  <c r="B98" i="23"/>
  <c r="B93" i="23"/>
  <c r="B189" i="23"/>
  <c r="B227" i="23"/>
  <c r="B110" i="23"/>
  <c r="B276" i="23"/>
  <c r="B168" i="23"/>
  <c r="B58" i="23"/>
  <c r="B272" i="23"/>
  <c r="B273" i="23"/>
  <c r="M4" i="17"/>
  <c r="F2" i="23" s="1"/>
  <c r="M5" i="17"/>
  <c r="F3" i="23" s="1"/>
  <c r="M29" i="17"/>
  <c r="M12" i="17"/>
  <c r="F8" i="23" s="1"/>
  <c r="M17" i="17"/>
  <c r="M15" i="17"/>
  <c r="M13" i="17"/>
  <c r="M32" i="17"/>
  <c r="M31" i="17"/>
  <c r="F30" i="23" s="1"/>
  <c r="M43" i="17"/>
  <c r="F41" i="23" s="1"/>
  <c r="M19" i="17"/>
  <c r="F17" i="23" s="1"/>
  <c r="M41" i="17"/>
  <c r="M34" i="17"/>
  <c r="M66" i="17"/>
  <c r="M54" i="17"/>
  <c r="M94" i="17"/>
  <c r="M89" i="17"/>
  <c r="M22" i="17"/>
  <c r="M111" i="17"/>
  <c r="M38" i="17"/>
  <c r="M124" i="17"/>
  <c r="F145" i="23" s="1"/>
  <c r="M57" i="17"/>
  <c r="F52" i="23" s="1"/>
  <c r="M55" i="17"/>
  <c r="M48" i="17"/>
  <c r="F51" i="23" s="1"/>
  <c r="M45" i="17"/>
  <c r="M61" i="17"/>
  <c r="F58" i="23" s="1"/>
  <c r="M131" i="17"/>
  <c r="F129" i="23" s="1"/>
  <c r="M143" i="17"/>
  <c r="M201" i="17"/>
  <c r="M60" i="17"/>
  <c r="M74" i="17"/>
  <c r="M39" i="17"/>
  <c r="M81" i="17"/>
  <c r="M172" i="17"/>
  <c r="M195" i="17"/>
  <c r="M134" i="17"/>
  <c r="M108" i="17"/>
  <c r="M228" i="17"/>
  <c r="M156" i="17"/>
  <c r="M166" i="17"/>
  <c r="M130" i="17"/>
  <c r="M119" i="17"/>
  <c r="M221" i="17"/>
  <c r="M198" i="17"/>
  <c r="M11" i="17"/>
  <c r="M7" i="17"/>
  <c r="F5" i="23" s="1"/>
  <c r="M10" i="17"/>
  <c r="M49" i="17"/>
  <c r="M26" i="17"/>
  <c r="M64" i="17"/>
  <c r="F60" i="23" s="1"/>
  <c r="M44" i="17"/>
  <c r="M30" i="17"/>
  <c r="M28" i="17"/>
  <c r="M36" i="17"/>
  <c r="M53" i="17"/>
  <c r="M23" i="17"/>
  <c r="M27" i="17"/>
  <c r="M50" i="17"/>
  <c r="F53" i="23" s="1"/>
  <c r="M58" i="17"/>
  <c r="M71" i="17"/>
  <c r="F71" i="23" s="1"/>
  <c r="M51" i="17"/>
  <c r="M46" i="17"/>
  <c r="F43" i="23" s="1"/>
  <c r="M79" i="17"/>
  <c r="M70" i="17"/>
  <c r="F57" i="23" s="1"/>
  <c r="M40" i="17"/>
  <c r="M91" i="17"/>
  <c r="M90" i="17"/>
  <c r="M62" i="17"/>
  <c r="M148" i="17"/>
  <c r="M80" i="17"/>
  <c r="F88" i="23" s="1"/>
  <c r="M72" i="17"/>
  <c r="M56" i="17"/>
  <c r="F56" i="23" s="1"/>
  <c r="M102" i="17"/>
  <c r="M93" i="17"/>
  <c r="F69" i="23" s="1"/>
  <c r="M163" i="17"/>
  <c r="M42" i="17"/>
  <c r="M147" i="17"/>
  <c r="M122" i="17"/>
  <c r="M128" i="17"/>
  <c r="M117" i="17"/>
  <c r="M98" i="17"/>
  <c r="F77" i="23" s="1"/>
  <c r="M82" i="17"/>
  <c r="M179" i="17"/>
  <c r="M259" i="17"/>
  <c r="M157" i="17"/>
  <c r="F128" i="23" s="1"/>
  <c r="M170" i="17"/>
  <c r="M219" i="17"/>
  <c r="M174" i="17"/>
  <c r="M207" i="17"/>
  <c r="M137" i="17"/>
  <c r="M186" i="17"/>
  <c r="M106" i="17"/>
  <c r="M160" i="17"/>
  <c r="M47" i="17"/>
  <c r="F64" i="23" s="1"/>
  <c r="M239" i="17"/>
  <c r="M214" i="17"/>
  <c r="M211" i="17"/>
  <c r="M206" i="17"/>
  <c r="M240" i="17"/>
  <c r="M86" i="17"/>
  <c r="M8" i="17"/>
  <c r="M6" i="17"/>
  <c r="F6" i="23" s="1"/>
  <c r="M14" i="17"/>
  <c r="F20" i="23" s="1"/>
  <c r="M9" i="17"/>
  <c r="M24" i="17"/>
  <c r="F22" i="23" s="1"/>
  <c r="M21" i="17"/>
  <c r="F14" i="23" s="1"/>
  <c r="M16" i="17"/>
  <c r="F16" i="23" s="1"/>
  <c r="M37" i="17"/>
  <c r="M35" i="17"/>
  <c r="M20" i="17"/>
  <c r="F18" i="23" s="1"/>
  <c r="M18" i="17"/>
  <c r="F15" i="23" s="1"/>
  <c r="M52" i="17"/>
  <c r="F42" i="23" s="1"/>
  <c r="M59" i="17"/>
  <c r="M33" i="17"/>
  <c r="F26" i="23" s="1"/>
  <c r="M78" i="17"/>
  <c r="M25" i="17"/>
  <c r="F27" i="23" s="1"/>
  <c r="M63" i="17"/>
  <c r="F63" i="23" s="1"/>
  <c r="M69" i="17"/>
  <c r="F72" i="23" s="1"/>
  <c r="M113" i="17"/>
  <c r="M68" i="17"/>
  <c r="F59" i="23" s="1"/>
  <c r="M83" i="17"/>
  <c r="F81" i="23" s="1"/>
  <c r="M85" i="17"/>
  <c r="F82" i="23" s="1"/>
  <c r="M105" i="17"/>
  <c r="M116" i="17"/>
  <c r="F100" i="23" s="1"/>
  <c r="M73" i="17"/>
  <c r="M67" i="17"/>
  <c r="M96" i="17"/>
  <c r="F87" i="23" s="1"/>
  <c r="M107" i="17"/>
  <c r="M104" i="17"/>
  <c r="M189" i="17"/>
  <c r="M162" i="17"/>
  <c r="M120" i="17"/>
  <c r="F139" i="23" s="1"/>
  <c r="M173" i="17"/>
  <c r="M177" i="17"/>
  <c r="F170" i="23" s="1"/>
  <c r="M175" i="17"/>
  <c r="M77" i="17"/>
  <c r="F75" i="23" s="1"/>
  <c r="M135" i="17"/>
  <c r="M139" i="17"/>
  <c r="M218" i="17"/>
  <c r="F195" i="23" s="1"/>
  <c r="M65" i="17"/>
  <c r="M99" i="17"/>
  <c r="M245" i="17"/>
  <c r="M203" i="17"/>
  <c r="M193" i="17"/>
  <c r="F196" i="23" s="1"/>
  <c r="M141" i="17"/>
  <c r="F120" i="23" s="1"/>
  <c r="M125" i="17"/>
  <c r="M154" i="17"/>
  <c r="F154" i="23" s="1"/>
  <c r="M272" i="17"/>
  <c r="F201" i="23" s="1"/>
  <c r="M123" i="17"/>
  <c r="M88" i="17"/>
  <c r="F89" i="23" s="1"/>
  <c r="M126" i="17"/>
  <c r="F106" i="23" s="1"/>
  <c r="M129" i="17"/>
  <c r="M224" i="17"/>
  <c r="F204" i="23" s="1"/>
  <c r="M182" i="17"/>
  <c r="M84" i="17"/>
  <c r="M152" i="17"/>
  <c r="F161" i="23" s="1"/>
  <c r="M226" i="17"/>
  <c r="M270" i="17"/>
  <c r="M181" i="17"/>
  <c r="M151" i="17"/>
  <c r="M145" i="17"/>
  <c r="M274" i="17"/>
  <c r="M192" i="17"/>
  <c r="M205" i="17"/>
  <c r="F203" i="23" s="1"/>
  <c r="M132" i="17"/>
  <c r="F133" i="23" s="1"/>
  <c r="M142" i="17"/>
  <c r="F193" i="23" s="1"/>
  <c r="M222" i="17"/>
  <c r="M109" i="17"/>
  <c r="F104" i="23" s="1"/>
  <c r="M133" i="17"/>
  <c r="M278" i="17"/>
  <c r="M208" i="17"/>
  <c r="F217" i="23" s="1"/>
  <c r="M161" i="17"/>
  <c r="M197" i="17"/>
  <c r="M178" i="17"/>
  <c r="F184" i="23" s="1"/>
  <c r="M293" i="17"/>
  <c r="M306" i="17"/>
  <c r="M265" i="17"/>
  <c r="F263" i="23" s="1"/>
  <c r="M280" i="17"/>
  <c r="M347" i="17"/>
  <c r="M316" i="17"/>
  <c r="M155" i="17"/>
  <c r="M329" i="17"/>
  <c r="M75" i="17"/>
  <c r="M146" i="17"/>
  <c r="F115" i="23" s="1"/>
  <c r="M294" i="17"/>
  <c r="M255" i="17"/>
  <c r="M232" i="17"/>
  <c r="M165" i="17"/>
  <c r="M340" i="17"/>
  <c r="M103" i="17"/>
  <c r="M309" i="17"/>
  <c r="M242" i="17"/>
  <c r="M233" i="17"/>
  <c r="M322" i="17"/>
  <c r="F306" i="23" s="1"/>
  <c r="M308" i="17"/>
  <c r="M327" i="17"/>
  <c r="M375" i="17"/>
  <c r="M266" i="17"/>
  <c r="M367" i="17"/>
  <c r="M310" i="17"/>
  <c r="M343" i="17"/>
  <c r="M383" i="17"/>
  <c r="M386" i="17"/>
  <c r="M304" i="17"/>
  <c r="M377" i="17"/>
  <c r="M398" i="17"/>
  <c r="F377" i="23" s="1"/>
  <c r="M379" i="17"/>
  <c r="M320" i="17"/>
  <c r="M279" i="17"/>
  <c r="M333" i="17"/>
  <c r="F345" i="23" s="1"/>
  <c r="M414" i="17"/>
  <c r="M326" i="17"/>
  <c r="M395" i="17"/>
  <c r="M338" i="17"/>
  <c r="F318" i="23" s="1"/>
  <c r="M158" i="17"/>
  <c r="M115" i="17"/>
  <c r="M252" i="17"/>
  <c r="M136" i="17"/>
  <c r="F155" i="23" s="1"/>
  <c r="M243" i="17"/>
  <c r="F205" i="23" s="1"/>
  <c r="M194" i="17"/>
  <c r="M159" i="17"/>
  <c r="M215" i="17"/>
  <c r="M144" i="17"/>
  <c r="F186" i="23" s="1"/>
  <c r="M188" i="17"/>
  <c r="M171" i="17"/>
  <c r="F173" i="23" s="1"/>
  <c r="M187" i="17"/>
  <c r="F171" i="23" s="1"/>
  <c r="M110" i="17"/>
  <c r="M168" i="17"/>
  <c r="M199" i="17"/>
  <c r="F175" i="23" s="1"/>
  <c r="M176" i="17"/>
  <c r="M101" i="17"/>
  <c r="M250" i="17"/>
  <c r="F192" i="23" s="1"/>
  <c r="M95" i="17"/>
  <c r="M164" i="17"/>
  <c r="M267" i="17"/>
  <c r="M251" i="17"/>
  <c r="M295" i="17"/>
  <c r="F257" i="23" s="1"/>
  <c r="M196" i="17"/>
  <c r="F238" i="23" s="1"/>
  <c r="M285" i="17"/>
  <c r="M183" i="17"/>
  <c r="F199" i="23" s="1"/>
  <c r="M121" i="17"/>
  <c r="M112" i="17"/>
  <c r="F123" i="23" s="1"/>
  <c r="M216" i="17"/>
  <c r="F212" i="23" s="1"/>
  <c r="M288" i="17"/>
  <c r="F226" i="23" s="1"/>
  <c r="M277" i="17"/>
  <c r="F259" i="23" s="1"/>
  <c r="M230" i="17"/>
  <c r="M237" i="17"/>
  <c r="M273" i="17"/>
  <c r="M311" i="17"/>
  <c r="F314" i="23" s="1"/>
  <c r="M286" i="17"/>
  <c r="F302" i="23" s="1"/>
  <c r="M299" i="17"/>
  <c r="M76" i="17"/>
  <c r="F70" i="23" s="1"/>
  <c r="M344" i="17"/>
  <c r="M300" i="17"/>
  <c r="F286" i="23" s="1"/>
  <c r="M258" i="17"/>
  <c r="F191" i="23" s="1"/>
  <c r="M235" i="17"/>
  <c r="M314" i="17"/>
  <c r="F241" i="23" s="1"/>
  <c r="M225" i="17"/>
  <c r="F216" i="23" s="1"/>
  <c r="M204" i="17"/>
  <c r="M334" i="17"/>
  <c r="M341" i="17"/>
  <c r="M241" i="17"/>
  <c r="F253" i="23" s="1"/>
  <c r="M360" i="17"/>
  <c r="M217" i="17"/>
  <c r="F200" i="23" s="1"/>
  <c r="M140" i="17"/>
  <c r="M210" i="17"/>
  <c r="F245" i="23" s="1"/>
  <c r="M364" i="17"/>
  <c r="M238" i="17"/>
  <c r="M345" i="17"/>
  <c r="F373" i="23" s="1"/>
  <c r="M339" i="17"/>
  <c r="F312" i="23" s="1"/>
  <c r="M349" i="17"/>
  <c r="M247" i="17"/>
  <c r="F283" i="23" s="1"/>
  <c r="M363" i="17"/>
  <c r="F293" i="23" s="1"/>
  <c r="M297" i="17"/>
  <c r="F296" i="23" s="1"/>
  <c r="M387" i="17"/>
  <c r="M346" i="17"/>
  <c r="M292" i="17"/>
  <c r="M368" i="17"/>
  <c r="M138" i="17"/>
  <c r="F121" i="23" s="1"/>
  <c r="M358" i="17"/>
  <c r="M185" i="17"/>
  <c r="F164" i="23" s="1"/>
  <c r="M169" i="17"/>
  <c r="F177" i="23" s="1"/>
  <c r="M290" i="17"/>
  <c r="M305" i="17"/>
  <c r="F307" i="23" s="1"/>
  <c r="M269" i="17"/>
  <c r="F224" i="23" s="1"/>
  <c r="M384" i="17"/>
  <c r="M150" i="17"/>
  <c r="M289" i="17"/>
  <c r="F324" i="23" s="1"/>
  <c r="M406" i="17"/>
  <c r="M431" i="17"/>
  <c r="M399" i="17"/>
  <c r="M264" i="17"/>
  <c r="F237" i="23" s="1"/>
  <c r="M202" i="17"/>
  <c r="M405" i="17"/>
  <c r="M397" i="17"/>
  <c r="M359" i="17"/>
  <c r="F385" i="23" s="1"/>
  <c r="M418" i="17"/>
  <c r="F382" i="23" s="1"/>
  <c r="M456" i="17"/>
  <c r="M298" i="17"/>
  <c r="F365" i="23" s="1"/>
  <c r="M127" i="17"/>
  <c r="F126" i="23" s="1"/>
  <c r="M200" i="17"/>
  <c r="F213" i="23" s="1"/>
  <c r="M118" i="17"/>
  <c r="F135" i="23" s="1"/>
  <c r="M87" i="17"/>
  <c r="M209" i="17"/>
  <c r="M256" i="17"/>
  <c r="M114" i="17"/>
  <c r="M229" i="17"/>
  <c r="F206" i="23" s="1"/>
  <c r="M231" i="17"/>
  <c r="M234" i="17"/>
  <c r="F249" i="23" s="1"/>
  <c r="M167" i="17"/>
  <c r="F220" i="23" s="1"/>
  <c r="M276" i="17"/>
  <c r="F268" i="23" s="1"/>
  <c r="M268" i="17"/>
  <c r="F277" i="23" s="1"/>
  <c r="M283" i="17"/>
  <c r="M100" i="17"/>
  <c r="F80" i="23" s="1"/>
  <c r="M257" i="17"/>
  <c r="M92" i="17"/>
  <c r="F108" i="23" s="1"/>
  <c r="M291" i="17"/>
  <c r="M271" i="17"/>
  <c r="F231" i="23" s="1"/>
  <c r="M307" i="17"/>
  <c r="M312" i="17"/>
  <c r="M246" i="17"/>
  <c r="F285" i="23" s="1"/>
  <c r="M325" i="17"/>
  <c r="F344" i="23" s="1"/>
  <c r="M253" i="17"/>
  <c r="F230" i="23" s="1"/>
  <c r="M296" i="17"/>
  <c r="F254" i="23" s="1"/>
  <c r="M356" i="17"/>
  <c r="F305" i="23" s="1"/>
  <c r="M350" i="17"/>
  <c r="F308" i="23" s="1"/>
  <c r="M223" i="17"/>
  <c r="M282" i="17"/>
  <c r="M318" i="17"/>
  <c r="M330" i="17"/>
  <c r="M303" i="17"/>
  <c r="F264" i="23" s="1"/>
  <c r="M212" i="17"/>
  <c r="M337" i="17"/>
  <c r="F320" i="23" s="1"/>
  <c r="M184" i="17"/>
  <c r="F214" i="23" s="1"/>
  <c r="M149" i="17"/>
  <c r="M153" i="17"/>
  <c r="M362" i="17"/>
  <c r="F360" i="23" s="1"/>
  <c r="M220" i="17"/>
  <c r="F266" i="23" s="1"/>
  <c r="M263" i="17"/>
  <c r="F219" i="23" s="1"/>
  <c r="M373" i="17"/>
  <c r="M342" i="17"/>
  <c r="M97" i="17"/>
  <c r="F103" i="23" s="1"/>
  <c r="M281" i="17"/>
  <c r="M355" i="17"/>
  <c r="F342" i="23" s="1"/>
  <c r="M301" i="17"/>
  <c r="F313" i="23" s="1"/>
  <c r="M324" i="17"/>
  <c r="F291" i="23" s="1"/>
  <c r="M388" i="17"/>
  <c r="F384" i="23" s="1"/>
  <c r="M249" i="17"/>
  <c r="F256" i="23" s="1"/>
  <c r="M353" i="17"/>
  <c r="M380" i="17"/>
  <c r="F375" i="23" s="1"/>
  <c r="M328" i="17"/>
  <c r="F353" i="23" s="1"/>
  <c r="M394" i="17"/>
  <c r="M180" i="17"/>
  <c r="F190" i="23" s="1"/>
  <c r="M331" i="17"/>
  <c r="M287" i="17"/>
  <c r="M260" i="17"/>
  <c r="M254" i="17"/>
  <c r="F290" i="23" s="1"/>
  <c r="M321" i="17"/>
  <c r="F358" i="23" s="1"/>
  <c r="M396" i="17"/>
  <c r="F396" i="23" s="1"/>
  <c r="M248" i="17"/>
  <c r="F251" i="23" s="1"/>
  <c r="M382" i="17"/>
  <c r="M400" i="17"/>
  <c r="M236" i="17"/>
  <c r="F275" i="23" s="1"/>
  <c r="M434" i="17"/>
  <c r="F434" i="23" s="1"/>
  <c r="M313" i="17"/>
  <c r="F330" i="23" s="1"/>
  <c r="M416" i="17"/>
  <c r="M411" i="17"/>
  <c r="M436" i="17"/>
  <c r="F404" i="23" s="1"/>
  <c r="M302" i="17"/>
  <c r="F343" i="23" s="1"/>
  <c r="M213" i="17"/>
  <c r="F234" i="23" s="1"/>
  <c r="M319" i="17"/>
  <c r="M425" i="17"/>
  <c r="M452" i="17"/>
  <c r="M453" i="17"/>
  <c r="F386" i="23" s="1"/>
  <c r="M191" i="17"/>
  <c r="F160" i="23" s="1"/>
  <c r="M284" i="17"/>
  <c r="M351" i="17"/>
  <c r="M348" i="17"/>
  <c r="F310" i="23" s="1"/>
  <c r="M315" i="17"/>
  <c r="M366" i="17"/>
  <c r="F337" i="23" s="1"/>
  <c r="M426" i="17"/>
  <c r="M361" i="17"/>
  <c r="M323" i="17"/>
  <c r="F397" i="23" s="1"/>
  <c r="M392" i="17"/>
  <c r="F409" i="23" s="1"/>
  <c r="M404" i="17"/>
  <c r="F402" i="23" s="1"/>
  <c r="M455" i="17"/>
  <c r="M466" i="17"/>
  <c r="F464" i="23" s="1"/>
  <c r="M421" i="17"/>
  <c r="M403" i="17"/>
  <c r="F380" i="23" s="1"/>
  <c r="M467" i="17"/>
  <c r="M332" i="17"/>
  <c r="F292" i="23" s="1"/>
  <c r="M419" i="17"/>
  <c r="F422" i="23" s="1"/>
  <c r="M477" i="17"/>
  <c r="F388" i="23" s="1"/>
  <c r="M460" i="17"/>
  <c r="M424" i="17"/>
  <c r="M484" i="17"/>
  <c r="F395" i="23" s="1"/>
  <c r="M489" i="17"/>
  <c r="F403" i="23" s="1"/>
  <c r="M447" i="17"/>
  <c r="M469" i="17"/>
  <c r="M522" i="17"/>
  <c r="M391" i="17"/>
  <c r="F362" i="23" s="1"/>
  <c r="M480" i="17"/>
  <c r="M445" i="17"/>
  <c r="M190" i="17"/>
  <c r="M486" i="17"/>
  <c r="M390" i="17"/>
  <c r="F412" i="23" s="1"/>
  <c r="M354" i="17"/>
  <c r="F327" i="23" s="1"/>
  <c r="M498" i="17"/>
  <c r="F450" i="23" s="1"/>
  <c r="M501" i="17"/>
  <c r="M381" i="17"/>
  <c r="F336" i="23" s="1"/>
  <c r="M530" i="17"/>
  <c r="M524" i="17"/>
  <c r="F481" i="23" s="1"/>
  <c r="M506" i="17"/>
  <c r="M483" i="17"/>
  <c r="M317" i="17"/>
  <c r="M393" i="17"/>
  <c r="M482" i="17"/>
  <c r="M500" i="17"/>
  <c r="F490" i="23" s="1"/>
  <c r="M538" i="17"/>
  <c r="M412" i="17"/>
  <c r="M504" i="17"/>
  <c r="M525" i="17"/>
  <c r="M546" i="17"/>
  <c r="M492" i="17"/>
  <c r="F465" i="23" s="1"/>
  <c r="M510" i="17"/>
  <c r="M513" i="17"/>
  <c r="M454" i="17"/>
  <c r="M536" i="17"/>
  <c r="M430" i="17"/>
  <c r="M526" i="17"/>
  <c r="M420" i="17"/>
  <c r="M555" i="17"/>
  <c r="M439" i="17"/>
  <c r="M502" i="17"/>
  <c r="M275" i="17"/>
  <c r="F413" i="23" s="1"/>
  <c r="M511" i="17"/>
  <c r="M554" i="17"/>
  <c r="M415" i="17"/>
  <c r="M563" i="17"/>
  <c r="M520" i="17"/>
  <c r="M566" i="17"/>
  <c r="M548" i="17"/>
  <c r="F518" i="23" s="1"/>
  <c r="M568" i="17"/>
  <c r="M561" i="17"/>
  <c r="M560" i="17"/>
  <c r="M575" i="17"/>
  <c r="F558" i="23" s="1"/>
  <c r="M582" i="17"/>
  <c r="M573" i="17"/>
  <c r="M579" i="17"/>
  <c r="M580" i="17"/>
  <c r="M585" i="17"/>
  <c r="F578" i="23" s="1"/>
  <c r="M559" i="17"/>
  <c r="M587" i="17"/>
  <c r="M533" i="17"/>
  <c r="F557" i="23" s="1"/>
  <c r="M592" i="17"/>
  <c r="M596" i="17"/>
  <c r="F594" i="23" s="1"/>
  <c r="M569" i="17"/>
  <c r="M599" i="17"/>
  <c r="M602" i="17"/>
  <c r="M378" i="17"/>
  <c r="M435" i="17"/>
  <c r="F478" i="23" s="1"/>
  <c r="M471" i="17"/>
  <c r="M408" i="17"/>
  <c r="M423" i="17"/>
  <c r="F473" i="23" s="1"/>
  <c r="M449" i="17"/>
  <c r="F445" i="23" s="1"/>
  <c r="M428" i="17"/>
  <c r="M401" i="17"/>
  <c r="F414" i="23" s="1"/>
  <c r="M441" i="17"/>
  <c r="F419" i="23" s="1"/>
  <c r="M464" i="17"/>
  <c r="F432" i="23" s="1"/>
  <c r="M244" i="17"/>
  <c r="F176" i="23" s="1"/>
  <c r="M478" i="17"/>
  <c r="M357" i="17"/>
  <c r="F352" i="23" s="1"/>
  <c r="M422" i="17"/>
  <c r="M475" i="17"/>
  <c r="M490" i="17"/>
  <c r="M448" i="17"/>
  <c r="M458" i="17"/>
  <c r="F383" i="23" s="1"/>
  <c r="M402" i="17"/>
  <c r="F378" i="23" s="1"/>
  <c r="M463" i="17"/>
  <c r="F417" i="23" s="1"/>
  <c r="M470" i="17"/>
  <c r="F452" i="23" s="1"/>
  <c r="M407" i="17"/>
  <c r="M481" i="17"/>
  <c r="M485" i="17"/>
  <c r="F511" i="23" s="1"/>
  <c r="M442" i="17"/>
  <c r="M487" i="17"/>
  <c r="M352" i="17"/>
  <c r="F331" i="23" s="1"/>
  <c r="M462" i="17"/>
  <c r="M529" i="17"/>
  <c r="F544" i="23" s="1"/>
  <c r="M491" i="17"/>
  <c r="F550" i="23" s="1"/>
  <c r="M516" i="17"/>
  <c r="F446" i="23" s="1"/>
  <c r="M474" i="17"/>
  <c r="M365" i="17"/>
  <c r="F421" i="23" s="1"/>
  <c r="M514" i="17"/>
  <c r="M438" i="17"/>
  <c r="F486" i="23" s="1"/>
  <c r="M409" i="17"/>
  <c r="F453" i="23" s="1"/>
  <c r="M335" i="17"/>
  <c r="F221" i="23" s="1"/>
  <c r="M497" i="17"/>
  <c r="M432" i="17"/>
  <c r="F394" i="23" s="1"/>
  <c r="M535" i="17"/>
  <c r="F528" i="23" s="1"/>
  <c r="M376" i="17"/>
  <c r="M369" i="17"/>
  <c r="F459" i="23" s="1"/>
  <c r="M547" i="17"/>
  <c r="F536" i="23" s="1"/>
  <c r="M549" i="17"/>
  <c r="M429" i="17"/>
  <c r="F351" i="23" s="1"/>
  <c r="M461" i="17"/>
  <c r="F487" i="23" s="1"/>
  <c r="M564" i="17"/>
  <c r="M542" i="17"/>
  <c r="F547" i="23" s="1"/>
  <c r="M512" i="17"/>
  <c r="F533" i="23" s="1"/>
  <c r="M550" i="17"/>
  <c r="M570" i="17"/>
  <c r="F568" i="23" s="1"/>
  <c r="M488" i="17"/>
  <c r="M556" i="17"/>
  <c r="M262" i="17"/>
  <c r="M437" i="17"/>
  <c r="F498" i="23" s="1"/>
  <c r="M557" i="17"/>
  <c r="M517" i="17"/>
  <c r="M518" i="17"/>
  <c r="F577" i="23" s="1"/>
  <c r="M576" i="17"/>
  <c r="F572" i="23" s="1"/>
  <c r="M571" i="17"/>
  <c r="F582" i="23" s="1"/>
  <c r="M586" i="17"/>
  <c r="F571" i="23" s="1"/>
  <c r="M558" i="17"/>
  <c r="F583" i="23" s="1"/>
  <c r="M565" i="17"/>
  <c r="M553" i="17"/>
  <c r="F496" i="23" s="1"/>
  <c r="M583" i="17"/>
  <c r="M589" i="17"/>
  <c r="F589" i="23" s="1"/>
  <c r="M588" i="17"/>
  <c r="F586" i="23" s="1"/>
  <c r="M543" i="17"/>
  <c r="M590" i="17"/>
  <c r="M593" i="17"/>
  <c r="F588" i="23" s="1"/>
  <c r="M600" i="17"/>
  <c r="F598" i="23" s="1"/>
  <c r="M603" i="17"/>
  <c r="F600" i="23" s="1"/>
  <c r="M385" i="17"/>
  <c r="F462" i="23" s="1"/>
  <c r="M450" i="17"/>
  <c r="M472" i="17"/>
  <c r="F406" i="23" s="1"/>
  <c r="M410" i="17"/>
  <c r="F392" i="23" s="1"/>
  <c r="M372" i="17"/>
  <c r="F370" i="23" s="1"/>
  <c r="M446" i="17"/>
  <c r="F472" i="23" s="1"/>
  <c r="M459" i="17"/>
  <c r="F451" i="23" s="1"/>
  <c r="M427" i="17"/>
  <c r="M440" i="17"/>
  <c r="M417" i="17"/>
  <c r="F469" i="23" s="1"/>
  <c r="M413" i="17"/>
  <c r="F366" i="23" s="1"/>
  <c r="M227" i="17"/>
  <c r="F297" i="23" s="1"/>
  <c r="M457" i="17"/>
  <c r="F512" i="23" s="1"/>
  <c r="M499" i="17"/>
  <c r="F482" i="23" s="1"/>
  <c r="M374" i="17"/>
  <c r="M433" i="17"/>
  <c r="M509" i="17"/>
  <c r="M479" i="17"/>
  <c r="F415" i="23" s="1"/>
  <c r="M465" i="17"/>
  <c r="M531" i="17"/>
  <c r="M443" i="17"/>
  <c r="M389" i="17"/>
  <c r="M473" i="17"/>
  <c r="F374" i="23" s="1"/>
  <c r="M451" i="17"/>
  <c r="F460" i="23" s="1"/>
  <c r="M540" i="17"/>
  <c r="F529" i="23" s="1"/>
  <c r="M468" i="17"/>
  <c r="F515" i="23" s="1"/>
  <c r="M537" i="17"/>
  <c r="M519" i="17"/>
  <c r="M503" i="17"/>
  <c r="F549" i="23" s="1"/>
  <c r="M476" i="17"/>
  <c r="F443" i="23" s="1"/>
  <c r="M521" i="17"/>
  <c r="M541" i="17"/>
  <c r="M336" i="17"/>
  <c r="M532" i="17"/>
  <c r="F494" i="23" s="1"/>
  <c r="M371" i="17"/>
  <c r="F430" i="23" s="1"/>
  <c r="M515" i="17"/>
  <c r="F499" i="23" s="1"/>
  <c r="M493" i="17"/>
  <c r="F502" i="23" s="1"/>
  <c r="M370" i="17"/>
  <c r="F492" i="23" s="1"/>
  <c r="M544" i="17"/>
  <c r="F527" i="23" s="1"/>
  <c r="M508" i="17"/>
  <c r="M494" i="17"/>
  <c r="M444" i="17"/>
  <c r="F439" i="23" s="1"/>
  <c r="M534" i="17"/>
  <c r="F541" i="23" s="1"/>
  <c r="M496" i="17"/>
  <c r="F467" i="23" s="1"/>
  <c r="M552" i="17"/>
  <c r="F488" i="23" s="1"/>
  <c r="M567" i="17"/>
  <c r="F573" i="23" s="1"/>
  <c r="M507" i="17"/>
  <c r="F553" i="23" s="1"/>
  <c r="M495" i="17"/>
  <c r="M528" i="17"/>
  <c r="F461" i="23" s="1"/>
  <c r="M505" i="17"/>
  <c r="M551" i="17"/>
  <c r="F566" i="23" s="1"/>
  <c r="M574" i="17"/>
  <c r="F554" i="23" s="1"/>
  <c r="M539" i="17"/>
  <c r="F522" i="23" s="1"/>
  <c r="M581" i="17"/>
  <c r="F552" i="23" s="1"/>
  <c r="M545" i="17"/>
  <c r="F538" i="23" s="1"/>
  <c r="M562" i="17"/>
  <c r="F561" i="23" s="1"/>
  <c r="M578" i="17"/>
  <c r="F574" i="23" s="1"/>
  <c r="M572" i="17"/>
  <c r="F555" i="23" s="1"/>
  <c r="M527" i="17"/>
  <c r="F524" i="23" s="1"/>
  <c r="M591" i="17"/>
  <c r="F565" i="23" s="1"/>
  <c r="M523" i="17"/>
  <c r="F584" i="23" s="1"/>
  <c r="M594" i="17"/>
  <c r="F590" i="23" s="1"/>
  <c r="M584" i="17"/>
  <c r="M577" i="17"/>
  <c r="M595" i="17"/>
  <c r="M597" i="17"/>
  <c r="F595" i="23" s="1"/>
  <c r="M598" i="17"/>
  <c r="F597" i="23" s="1"/>
  <c r="M601" i="17"/>
  <c r="O313" i="17"/>
  <c r="O55" i="17"/>
  <c r="O392" i="17"/>
  <c r="O401" i="17"/>
  <c r="O51" i="17"/>
  <c r="O142" i="17"/>
  <c r="O487" i="17"/>
  <c r="O61" i="17"/>
  <c r="O540" i="17"/>
  <c r="O335" i="17"/>
  <c r="O364" i="17"/>
  <c r="O149" i="17"/>
  <c r="O76" i="17"/>
  <c r="Q42" i="17"/>
  <c r="P150" i="17"/>
  <c r="Q150" i="17"/>
  <c r="Q152" i="17"/>
  <c r="Q38" i="17"/>
  <c r="O16" i="17"/>
  <c r="Q16" i="17"/>
  <c r="P30" i="17"/>
  <c r="P116" i="17"/>
  <c r="Q169" i="17"/>
  <c r="P260" i="17"/>
  <c r="Q241" i="17"/>
  <c r="Q151" i="17"/>
  <c r="P125" i="17"/>
  <c r="Q141" i="17"/>
  <c r="O48" i="17"/>
  <c r="Q48" i="17"/>
  <c r="Q60" i="17"/>
  <c r="O282" i="17"/>
  <c r="Q55" i="17"/>
  <c r="Q178" i="17"/>
  <c r="Q99" i="17"/>
  <c r="O21" i="17"/>
  <c r="P399" i="17"/>
  <c r="Q101" i="17"/>
  <c r="N440" i="17"/>
  <c r="Q326" i="17"/>
  <c r="Q96" i="17"/>
  <c r="P80" i="17"/>
  <c r="Q80" i="17"/>
  <c r="N9" i="17"/>
  <c r="Q279" i="17"/>
  <c r="O446" i="17"/>
  <c r="Q67" i="17"/>
  <c r="Q193" i="17"/>
  <c r="O295" i="17"/>
  <c r="Q295" i="17"/>
  <c r="O215" i="17"/>
  <c r="Q215" i="17"/>
  <c r="Q351" i="17"/>
  <c r="Q56" i="17"/>
  <c r="O460" i="17"/>
  <c r="N135" i="17"/>
  <c r="Q135" i="17"/>
  <c r="Q256" i="17"/>
  <c r="O240" i="17"/>
  <c r="Q237" i="17"/>
  <c r="Q312" i="17"/>
  <c r="O210" i="17"/>
  <c r="Q196" i="17"/>
  <c r="P203" i="17"/>
  <c r="Q492" i="17"/>
  <c r="Q108" i="17"/>
  <c r="Q35" i="17"/>
  <c r="P525" i="17"/>
  <c r="Q422" i="17"/>
  <c r="P200" i="17"/>
  <c r="P79" i="17"/>
  <c r="N148" i="17"/>
  <c r="Q371" i="17"/>
  <c r="O53" i="17"/>
  <c r="Q31" i="17"/>
  <c r="Q173" i="17"/>
  <c r="P392" i="17"/>
  <c r="Q392" i="17"/>
  <c r="Q537" i="17"/>
  <c r="Q120" i="17"/>
  <c r="Q437" i="17"/>
  <c r="Q7" i="17"/>
  <c r="O337" i="17"/>
  <c r="Q337" i="17"/>
  <c r="Q184" i="17"/>
  <c r="P121" i="17"/>
  <c r="Q121" i="17"/>
  <c r="Q105" i="17"/>
  <c r="P24" i="17"/>
  <c r="Q24" i="17"/>
  <c r="N107" i="17"/>
  <c r="O144" i="17"/>
  <c r="Q144" i="17"/>
  <c r="P258" i="17"/>
  <c r="Q207" i="17"/>
  <c r="O413" i="17"/>
  <c r="P417" i="17"/>
  <c r="O23" i="17"/>
  <c r="Q23" i="17"/>
  <c r="O170" i="17"/>
  <c r="Q170" i="17"/>
  <c r="Q154" i="17"/>
  <c r="P156" i="17"/>
  <c r="Q195" i="17"/>
  <c r="Q253" i="17"/>
  <c r="N88" i="17"/>
  <c r="O177" i="17"/>
  <c r="Q177" i="17"/>
  <c r="P414" i="17"/>
  <c r="Q87" i="17"/>
  <c r="Q288" i="17"/>
  <c r="Q544" i="17"/>
  <c r="O22" i="17"/>
  <c r="Q22" i="17"/>
  <c r="Q361" i="17"/>
  <c r="Q348" i="17"/>
  <c r="P82" i="17"/>
  <c r="Q93" i="17"/>
  <c r="P43" i="17"/>
  <c r="Q329" i="17"/>
  <c r="Q243" i="17"/>
  <c r="Q221" i="17"/>
  <c r="Q132" i="17"/>
  <c r="N62" i="17"/>
  <c r="Q470" i="17"/>
  <c r="P29" i="17"/>
  <c r="O293" i="17"/>
  <c r="Q395" i="17"/>
  <c r="Q51" i="17"/>
  <c r="O57" i="17"/>
  <c r="P444" i="17"/>
  <c r="Q174" i="17"/>
  <c r="N133" i="17"/>
  <c r="Q83" i="17"/>
  <c r="Q320" i="17"/>
  <c r="Q310" i="17"/>
  <c r="Q433" i="17"/>
  <c r="O380" i="17"/>
  <c r="Q380" i="17"/>
  <c r="P40" i="17"/>
  <c r="Q52" i="17"/>
  <c r="Q128" i="17"/>
  <c r="O182" i="17"/>
  <c r="Q182" i="17"/>
  <c r="Q208" i="17"/>
  <c r="P172" i="17"/>
  <c r="Q181" i="17"/>
  <c r="P483" i="17"/>
  <c r="Q66" i="17"/>
  <c r="P18" i="17"/>
  <c r="P47" i="17"/>
  <c r="Q97" i="17"/>
  <c r="P281" i="17"/>
  <c r="N274" i="17"/>
  <c r="O352" i="17"/>
  <c r="Q487" i="17"/>
  <c r="Q488" i="17"/>
  <c r="Q289" i="17"/>
  <c r="P242" i="17"/>
  <c r="Q242" i="17"/>
  <c r="N278" i="17"/>
  <c r="O102" i="17"/>
  <c r="Q102" i="17"/>
  <c r="Q579" i="17"/>
  <c r="Q510" i="17"/>
  <c r="Q405" i="17"/>
  <c r="Q236" i="17"/>
  <c r="P532" i="17"/>
  <c r="Q375" i="17"/>
  <c r="Q391" i="17"/>
  <c r="Q187" i="17"/>
  <c r="P501" i="17"/>
  <c r="Q534" i="17"/>
  <c r="Q439" i="17"/>
  <c r="Q185" i="17"/>
  <c r="Q368" i="17"/>
  <c r="Q521" i="17"/>
  <c r="P519" i="17"/>
  <c r="P343" i="17"/>
  <c r="O250" i="17"/>
  <c r="Q250" i="17"/>
  <c r="O486" i="17"/>
  <c r="Q402" i="17"/>
  <c r="N63" i="17"/>
  <c r="O158" i="17"/>
  <c r="Q54" i="17"/>
  <c r="Q157" i="17"/>
  <c r="P363" i="17"/>
  <c r="Q363" i="17"/>
  <c r="Q324" i="17"/>
  <c r="Q194" i="17"/>
  <c r="O303" i="17"/>
  <c r="P507" i="17"/>
  <c r="Q507" i="17"/>
  <c r="Q527" i="17"/>
  <c r="Q540" i="17"/>
  <c r="Q340" i="17"/>
  <c r="P245" i="17"/>
  <c r="Q245" i="17"/>
  <c r="O32" i="17"/>
  <c r="Q32" i="17"/>
  <c r="Q536" i="17"/>
  <c r="Q566" i="17"/>
  <c r="Q104" i="17"/>
  <c r="Q307" i="17"/>
  <c r="P280" i="17"/>
  <c r="Q280" i="17"/>
  <c r="Q155" i="17"/>
  <c r="Q255" i="17"/>
  <c r="O573" i="17"/>
  <c r="Q431" i="17"/>
  <c r="P124" i="17"/>
  <c r="Q124" i="17"/>
  <c r="Q342" i="17"/>
  <c r="P491" i="17"/>
  <c r="Q491" i="17"/>
  <c r="O506" i="17"/>
  <c r="Q426" i="17"/>
  <c r="Q415" i="17"/>
  <c r="P165" i="17"/>
  <c r="Q165" i="17"/>
  <c r="Q522" i="17"/>
  <c r="Q315" i="17"/>
  <c r="P226" i="17"/>
  <c r="Q226" i="17"/>
  <c r="Q41" i="17"/>
  <c r="P180" i="17"/>
  <c r="Q180" i="17"/>
  <c r="Q435" i="17"/>
  <c r="Q239" i="17"/>
  <c r="Q147" i="17"/>
  <c r="Q504" i="17"/>
  <c r="P321" i="17"/>
  <c r="Q321" i="17"/>
  <c r="P73" i="17"/>
  <c r="Q130" i="17"/>
  <c r="P37" i="17"/>
  <c r="Q37" i="17"/>
  <c r="O599" i="17"/>
  <c r="Q190" i="17"/>
  <c r="P551" i="17"/>
  <c r="Q551" i="17"/>
  <c r="O6" i="17"/>
  <c r="O430" i="17"/>
  <c r="P191" i="17"/>
  <c r="Q188" i="17"/>
  <c r="Q498" i="17"/>
  <c r="Q186" i="17"/>
  <c r="Q461" i="17"/>
  <c r="P511" i="17"/>
  <c r="Q511" i="17"/>
  <c r="Q198" i="17"/>
  <c r="Q530" i="17"/>
  <c r="Q111" i="17"/>
  <c r="Q224" i="17"/>
  <c r="Q162" i="17"/>
  <c r="P71" i="17"/>
  <c r="Q71" i="17"/>
  <c r="O49" i="17"/>
  <c r="Q49" i="17"/>
  <c r="Q331" i="17"/>
  <c r="Q497" i="17"/>
  <c r="Q291" i="17"/>
  <c r="O202" i="17"/>
  <c r="Q202" i="17"/>
  <c r="Q34" i="17"/>
  <c r="Q335" i="17"/>
  <c r="P123" i="17"/>
  <c r="Q123" i="17"/>
  <c r="Q554" i="17"/>
  <c r="Q396" i="17"/>
  <c r="Q555" i="17"/>
  <c r="Q143" i="17"/>
  <c r="Q588" i="17"/>
  <c r="Q251" i="17"/>
  <c r="Q64" i="17"/>
  <c r="P114" i="17"/>
  <c r="Q114" i="17"/>
  <c r="Q366" i="17"/>
  <c r="O94" i="17"/>
  <c r="Q160" i="17"/>
  <c r="Q100" i="17"/>
  <c r="O341" i="17"/>
  <c r="Q341" i="17"/>
  <c r="Q214" i="17"/>
  <c r="Q459" i="17"/>
  <c r="Q314" i="17"/>
  <c r="P493" i="17"/>
  <c r="Q225" i="17"/>
  <c r="Q407" i="17"/>
  <c r="Q305" i="17"/>
  <c r="Q520" i="17"/>
  <c r="Q365" i="17"/>
  <c r="P594" i="17"/>
  <c r="Q115" i="17"/>
  <c r="O345" i="17"/>
  <c r="Q514" i="17"/>
  <c r="Q356" i="17"/>
  <c r="Q564" i="17"/>
  <c r="Q344" i="17"/>
  <c r="Q318" i="17"/>
  <c r="P298" i="17"/>
  <c r="Q298" i="17"/>
  <c r="P558" i="17"/>
  <c r="Q558" i="17"/>
  <c r="Q206" i="17"/>
  <c r="Q458" i="17"/>
  <c r="Q346" i="17"/>
  <c r="P50" i="17"/>
  <c r="Q50" i="17"/>
  <c r="P410" i="17"/>
  <c r="Q512" i="17"/>
  <c r="P463" i="17"/>
  <c r="Q254" i="17"/>
  <c r="P270" i="17"/>
  <c r="Q270" i="17"/>
  <c r="Q167" i="17"/>
  <c r="Q68" i="17"/>
  <c r="P485" i="17"/>
  <c r="Q593" i="17"/>
  <c r="O429" i="17"/>
  <c r="O563" i="17"/>
  <c r="Q563" i="17"/>
  <c r="Q432" i="17"/>
  <c r="Q338" i="17"/>
  <c r="Q376" i="17"/>
  <c r="O545" i="17"/>
  <c r="Q545" i="17"/>
  <c r="O113" i="17"/>
  <c r="Q113" i="17"/>
  <c r="Q578" i="17"/>
  <c r="Q219" i="17"/>
  <c r="P533" i="17"/>
  <c r="Q272" i="17"/>
  <c r="P163" i="17"/>
  <c r="Q163" i="17"/>
  <c r="Q382" i="17"/>
  <c r="Q285" i="17"/>
  <c r="O139" i="17"/>
  <c r="Q598" i="17"/>
  <c r="Q339" i="17"/>
  <c r="P469" i="17"/>
  <c r="Q327" i="17"/>
  <c r="O585" i="17"/>
  <c r="O81" i="17"/>
  <c r="Q81" i="17"/>
  <c r="P489" i="17"/>
  <c r="Q218" i="17"/>
  <c r="Q149" i="17"/>
  <c r="Q591" i="17"/>
  <c r="O478" i="17"/>
  <c r="P478" i="17"/>
  <c r="Q478" i="17"/>
  <c r="P570" i="17"/>
  <c r="Q570" i="17"/>
  <c r="Q72" i="17"/>
  <c r="Q418" i="17"/>
  <c r="Q369" i="17"/>
  <c r="Q584" i="17"/>
  <c r="Q302" i="17"/>
  <c r="Q14" i="17"/>
  <c r="P166" i="17"/>
  <c r="Q166" i="17"/>
  <c r="P427" i="17"/>
  <c r="Q76" i="17"/>
  <c r="P411" i="17"/>
  <c r="Q411" i="17"/>
  <c r="O477" i="17"/>
  <c r="Q277" i="17"/>
  <c r="P476" i="17"/>
  <c r="O126" i="17"/>
  <c r="P10" i="17"/>
  <c r="N5" i="17"/>
  <c r="O5" i="17"/>
  <c r="P5" i="17"/>
  <c r="N4" i="17"/>
  <c r="O4" i="17"/>
  <c r="P4" i="17"/>
  <c r="Q4" i="17"/>
  <c r="N6" i="17"/>
  <c r="P6" i="17"/>
  <c r="Q6" i="17"/>
  <c r="N29" i="17"/>
  <c r="O29" i="17"/>
  <c r="Q29" i="17"/>
  <c r="N11" i="17"/>
  <c r="O11" i="17"/>
  <c r="P11" i="17"/>
  <c r="N14" i="17"/>
  <c r="O14" i="17"/>
  <c r="P14" i="17"/>
  <c r="N12" i="17"/>
  <c r="O12" i="17"/>
  <c r="P12" i="17"/>
  <c r="Q12" i="17"/>
  <c r="N7" i="17"/>
  <c r="O7" i="17"/>
  <c r="P7" i="17"/>
  <c r="O9" i="17"/>
  <c r="N17" i="17"/>
  <c r="O17" i="17"/>
  <c r="P17" i="17"/>
  <c r="Q17" i="17"/>
  <c r="N10" i="17"/>
  <c r="O10" i="17"/>
  <c r="Q10" i="17"/>
  <c r="N24" i="17"/>
  <c r="O24" i="17"/>
  <c r="N15" i="17"/>
  <c r="O15" i="17"/>
  <c r="P15" i="17"/>
  <c r="Q15" i="17"/>
  <c r="N49" i="17"/>
  <c r="P49" i="17"/>
  <c r="N21" i="17"/>
  <c r="P21" i="17"/>
  <c r="Q21" i="17"/>
  <c r="N13" i="17"/>
  <c r="O13" i="17"/>
  <c r="P13" i="17"/>
  <c r="Q13" i="17"/>
  <c r="N26" i="17"/>
  <c r="O26" i="17"/>
  <c r="P26" i="17"/>
  <c r="Q26" i="17"/>
  <c r="N16" i="17"/>
  <c r="P16" i="17"/>
  <c r="N32" i="17"/>
  <c r="P32" i="17"/>
  <c r="N64" i="17"/>
  <c r="O64" i="17"/>
  <c r="P64" i="17"/>
  <c r="N37" i="17"/>
  <c r="O37" i="17"/>
  <c r="N31" i="17"/>
  <c r="O31" i="17"/>
  <c r="P31" i="17"/>
  <c r="N44" i="17"/>
  <c r="O44" i="17"/>
  <c r="N35" i="17"/>
  <c r="P35" i="17"/>
  <c r="N43" i="17"/>
  <c r="O43" i="17"/>
  <c r="Q43" i="17"/>
  <c r="N30" i="17"/>
  <c r="O30" i="17"/>
  <c r="Q30" i="17"/>
  <c r="N20" i="17"/>
  <c r="P20" i="17"/>
  <c r="Q20" i="17"/>
  <c r="N19" i="17"/>
  <c r="O19" i="17"/>
  <c r="N28" i="17"/>
  <c r="O28" i="17"/>
  <c r="P28" i="17"/>
  <c r="Q28" i="17"/>
  <c r="N18" i="17"/>
  <c r="O18" i="17"/>
  <c r="Q18" i="17"/>
  <c r="N41" i="17"/>
  <c r="O41" i="17"/>
  <c r="P41" i="17"/>
  <c r="N36" i="17"/>
  <c r="O36" i="17"/>
  <c r="P36" i="17"/>
  <c r="Q36" i="17"/>
  <c r="N52" i="17"/>
  <c r="O52" i="17"/>
  <c r="N34" i="17"/>
  <c r="O34" i="17"/>
  <c r="P34" i="17"/>
  <c r="P53" i="17"/>
  <c r="Q53" i="17"/>
  <c r="N59" i="17"/>
  <c r="O59" i="17"/>
  <c r="P59" i="17"/>
  <c r="N66" i="17"/>
  <c r="O66" i="17"/>
  <c r="P66" i="17"/>
  <c r="N23" i="17"/>
  <c r="P23" i="17"/>
  <c r="N33" i="17"/>
  <c r="O33" i="17"/>
  <c r="P33" i="17"/>
  <c r="Q33" i="17"/>
  <c r="N54" i="17"/>
  <c r="O54" i="17"/>
  <c r="P54" i="17"/>
  <c r="N27" i="17"/>
  <c r="O27" i="17"/>
  <c r="P27" i="17"/>
  <c r="Q27" i="17"/>
  <c r="N78" i="17"/>
  <c r="O78" i="17"/>
  <c r="P78" i="17"/>
  <c r="Q78" i="17"/>
  <c r="N94" i="17"/>
  <c r="P94" i="17"/>
  <c r="Q94" i="17"/>
  <c r="N50" i="17"/>
  <c r="O50" i="17"/>
  <c r="N25" i="17"/>
  <c r="O25" i="17"/>
  <c r="P25" i="17"/>
  <c r="Q25" i="17"/>
  <c r="N89" i="17"/>
  <c r="O89" i="17"/>
  <c r="P89" i="17"/>
  <c r="Q89" i="17"/>
  <c r="N58" i="17"/>
  <c r="O58" i="17"/>
  <c r="P58" i="17"/>
  <c r="Q58" i="17"/>
  <c r="O63" i="17"/>
  <c r="N22" i="17"/>
  <c r="P22" i="17"/>
  <c r="N71" i="17"/>
  <c r="O71" i="17"/>
  <c r="N69" i="17"/>
  <c r="O69" i="17"/>
  <c r="P69" i="17"/>
  <c r="Q69" i="17"/>
  <c r="N111" i="17"/>
  <c r="O111" i="17"/>
  <c r="P111" i="17"/>
  <c r="N51" i="17"/>
  <c r="P51" i="17"/>
  <c r="N113" i="17"/>
  <c r="P113" i="17"/>
  <c r="N38" i="17"/>
  <c r="O38" i="17"/>
  <c r="P38" i="17"/>
  <c r="O46" i="17"/>
  <c r="P46" i="17"/>
  <c r="N68" i="17"/>
  <c r="P68" i="17"/>
  <c r="N124" i="17"/>
  <c r="O124" i="17"/>
  <c r="N79" i="17"/>
  <c r="O79" i="17"/>
  <c r="N83" i="17"/>
  <c r="O83" i="17"/>
  <c r="N57" i="17"/>
  <c r="P57" i="17"/>
  <c r="Q57" i="17"/>
  <c r="N70" i="17"/>
  <c r="O70" i="17"/>
  <c r="P70" i="17"/>
  <c r="Q70" i="17"/>
  <c r="N85" i="17"/>
  <c r="O85" i="17"/>
  <c r="P85" i="17"/>
  <c r="Q85" i="17"/>
  <c r="N55" i="17"/>
  <c r="P55" i="17"/>
  <c r="N40" i="17"/>
  <c r="O40" i="17"/>
  <c r="Q40" i="17"/>
  <c r="N105" i="17"/>
  <c r="O105" i="17"/>
  <c r="P105" i="17"/>
  <c r="N48" i="17"/>
  <c r="P48" i="17"/>
  <c r="N91" i="17"/>
  <c r="O91" i="17"/>
  <c r="P91" i="17"/>
  <c r="Q91" i="17"/>
  <c r="N116" i="17"/>
  <c r="O116" i="17"/>
  <c r="Q116" i="17"/>
  <c r="N45" i="17"/>
  <c r="O45" i="17"/>
  <c r="P45" i="17"/>
  <c r="Q45" i="17"/>
  <c r="N90" i="17"/>
  <c r="O90" i="17"/>
  <c r="P90" i="17"/>
  <c r="Q90" i="17"/>
  <c r="N73" i="17"/>
  <c r="O73" i="17"/>
  <c r="Q73" i="17"/>
  <c r="N61" i="17"/>
  <c r="P61" i="17"/>
  <c r="Q61" i="17"/>
  <c r="O62" i="17"/>
  <c r="P62" i="17"/>
  <c r="Q62" i="17"/>
  <c r="N67" i="17"/>
  <c r="O67" i="17"/>
  <c r="P67" i="17"/>
  <c r="N131" i="17"/>
  <c r="O131" i="17"/>
  <c r="P131" i="17"/>
  <c r="O148" i="17"/>
  <c r="P148" i="17"/>
  <c r="Q148" i="17"/>
  <c r="N96" i="17"/>
  <c r="O96" i="17"/>
  <c r="P96" i="17"/>
  <c r="N143" i="17"/>
  <c r="O143" i="17"/>
  <c r="P143" i="17"/>
  <c r="N80" i="17"/>
  <c r="O80" i="17"/>
  <c r="O107" i="17"/>
  <c r="P107" i="17"/>
  <c r="N201" i="17"/>
  <c r="O201" i="17"/>
  <c r="P201" i="17"/>
  <c r="Q201" i="17"/>
  <c r="N72" i="17"/>
  <c r="O72" i="17"/>
  <c r="P72" i="17"/>
  <c r="N104" i="17"/>
  <c r="O104" i="17"/>
  <c r="P104" i="17"/>
  <c r="N60" i="17"/>
  <c r="O60" i="17"/>
  <c r="P60" i="17"/>
  <c r="N56" i="17"/>
  <c r="O56" i="17"/>
  <c r="P56" i="17"/>
  <c r="N189" i="17"/>
  <c r="O189" i="17"/>
  <c r="P189" i="17"/>
  <c r="Q189" i="17"/>
  <c r="N74" i="17"/>
  <c r="O74" i="17"/>
  <c r="P74" i="17"/>
  <c r="Q74" i="17"/>
  <c r="N102" i="17"/>
  <c r="P102" i="17"/>
  <c r="N162" i="17"/>
  <c r="O162" i="17"/>
  <c r="P162" i="17"/>
  <c r="N39" i="17"/>
  <c r="O39" i="17"/>
  <c r="P39" i="17"/>
  <c r="Q39" i="17"/>
  <c r="N93" i="17"/>
  <c r="O93" i="17"/>
  <c r="P93" i="17"/>
  <c r="N120" i="17"/>
  <c r="O120" i="17"/>
  <c r="P120" i="17"/>
  <c r="N81" i="17"/>
  <c r="P81" i="17"/>
  <c r="N163" i="17"/>
  <c r="O163" i="17"/>
  <c r="O173" i="17"/>
  <c r="P173" i="17"/>
  <c r="N172" i="17"/>
  <c r="O172" i="17"/>
  <c r="Q172" i="17"/>
  <c r="N42" i="17"/>
  <c r="O42" i="17"/>
  <c r="P42" i="17"/>
  <c r="N177" i="17"/>
  <c r="P177" i="17"/>
  <c r="N195" i="17"/>
  <c r="O195" i="17"/>
  <c r="P195" i="17"/>
  <c r="N147" i="17"/>
  <c r="O147" i="17"/>
  <c r="P147" i="17"/>
  <c r="N175" i="17"/>
  <c r="O175" i="17"/>
  <c r="P175" i="17"/>
  <c r="Q175" i="17"/>
  <c r="N134" i="17"/>
  <c r="O134" i="17"/>
  <c r="P134" i="17"/>
  <c r="Q134" i="17"/>
  <c r="N122" i="17"/>
  <c r="O122" i="17"/>
  <c r="P122" i="17"/>
  <c r="Q122" i="17"/>
  <c r="N77" i="17"/>
  <c r="O77" i="17"/>
  <c r="P77" i="17"/>
  <c r="Q77" i="17"/>
  <c r="N108" i="17"/>
  <c r="O108" i="17"/>
  <c r="P108" i="17"/>
  <c r="N128" i="17"/>
  <c r="O128" i="17"/>
  <c r="P128" i="17"/>
  <c r="O135" i="17"/>
  <c r="P135" i="17"/>
  <c r="N228" i="17"/>
  <c r="O228" i="17"/>
  <c r="P228" i="17"/>
  <c r="Q228" i="17"/>
  <c r="N117" i="17"/>
  <c r="O117" i="17"/>
  <c r="P117" i="17"/>
  <c r="Q117" i="17"/>
  <c r="N139" i="17"/>
  <c r="P139" i="17"/>
  <c r="N156" i="17"/>
  <c r="O156" i="17"/>
  <c r="Q156" i="17"/>
  <c r="N98" i="17"/>
  <c r="O98" i="17"/>
  <c r="P98" i="17"/>
  <c r="Q98" i="17"/>
  <c r="N218" i="17"/>
  <c r="O218" i="17"/>
  <c r="P218" i="17"/>
  <c r="N166" i="17"/>
  <c r="O166" i="17"/>
  <c r="N82" i="17"/>
  <c r="O82" i="17"/>
  <c r="Q82" i="17"/>
  <c r="N65" i="17"/>
  <c r="O65" i="17"/>
  <c r="P65" i="17"/>
  <c r="Q65" i="17"/>
  <c r="N130" i="17"/>
  <c r="O130" i="17"/>
  <c r="P130" i="17"/>
  <c r="N179" i="17"/>
  <c r="O179" i="17"/>
  <c r="P179" i="17"/>
  <c r="Q179" i="17"/>
  <c r="N99" i="17"/>
  <c r="O99" i="17"/>
  <c r="P99" i="17"/>
  <c r="N119" i="17"/>
  <c r="O119" i="17"/>
  <c r="P119" i="17"/>
  <c r="Q119" i="17"/>
  <c r="N259" i="17"/>
  <c r="O259" i="17"/>
  <c r="P259" i="17"/>
  <c r="Q259" i="17"/>
  <c r="N245" i="17"/>
  <c r="O245" i="17"/>
  <c r="N221" i="17"/>
  <c r="O221" i="17"/>
  <c r="P221" i="17"/>
  <c r="N157" i="17"/>
  <c r="O157" i="17"/>
  <c r="P157" i="17"/>
  <c r="N203" i="17"/>
  <c r="O203" i="17"/>
  <c r="Q203" i="17"/>
  <c r="N198" i="17"/>
  <c r="O198" i="17"/>
  <c r="P198" i="17"/>
  <c r="N170" i="17"/>
  <c r="P170" i="17"/>
  <c r="N193" i="17"/>
  <c r="O193" i="17"/>
  <c r="P193" i="17"/>
  <c r="N158" i="17"/>
  <c r="P158" i="17"/>
  <c r="Q158" i="17"/>
  <c r="N219" i="17"/>
  <c r="O219" i="17"/>
  <c r="P219" i="17"/>
  <c r="N141" i="17"/>
  <c r="O141" i="17"/>
  <c r="P141" i="17"/>
  <c r="N115" i="17"/>
  <c r="O115" i="17"/>
  <c r="P115" i="17"/>
  <c r="N174" i="17"/>
  <c r="O174" i="17"/>
  <c r="P174" i="17"/>
  <c r="N125" i="17"/>
  <c r="O125" i="17"/>
  <c r="Q125" i="17"/>
  <c r="N252" i="17"/>
  <c r="O252" i="17"/>
  <c r="P252" i="17"/>
  <c r="Q252" i="17"/>
  <c r="N207" i="17"/>
  <c r="P207" i="17"/>
  <c r="N154" i="17"/>
  <c r="O154" i="17"/>
  <c r="P154" i="17"/>
  <c r="N136" i="17"/>
  <c r="O136" i="17"/>
  <c r="P136" i="17"/>
  <c r="Q136" i="17"/>
  <c r="N137" i="17"/>
  <c r="O137" i="17"/>
  <c r="P137" i="17"/>
  <c r="Q137" i="17"/>
  <c r="N272" i="17"/>
  <c r="O272" i="17"/>
  <c r="P272" i="17"/>
  <c r="N243" i="17"/>
  <c r="O243" i="17"/>
  <c r="P243" i="17"/>
  <c r="N186" i="17"/>
  <c r="O186" i="17"/>
  <c r="P186" i="17"/>
  <c r="N123" i="17"/>
  <c r="O123" i="17"/>
  <c r="N194" i="17"/>
  <c r="O194" i="17"/>
  <c r="P194" i="17"/>
  <c r="N106" i="17"/>
  <c r="O106" i="17"/>
  <c r="P106" i="17"/>
  <c r="Q106" i="17"/>
  <c r="O88" i="17"/>
  <c r="P88" i="17"/>
  <c r="Q88" i="17"/>
  <c r="N159" i="17"/>
  <c r="O159" i="17"/>
  <c r="P159" i="17"/>
  <c r="Q159" i="17"/>
  <c r="N160" i="17"/>
  <c r="O160" i="17"/>
  <c r="P160" i="17"/>
  <c r="N126" i="17"/>
  <c r="P126" i="17"/>
  <c r="N215" i="17"/>
  <c r="P215" i="17"/>
  <c r="N47" i="17"/>
  <c r="O47" i="17"/>
  <c r="Q47" i="17"/>
  <c r="N129" i="17"/>
  <c r="O129" i="17"/>
  <c r="P129" i="17"/>
  <c r="Q129" i="17"/>
  <c r="N144" i="17"/>
  <c r="P144" i="17"/>
  <c r="N239" i="17"/>
  <c r="O239" i="17"/>
  <c r="P239" i="17"/>
  <c r="N224" i="17"/>
  <c r="O224" i="17"/>
  <c r="P224" i="17"/>
  <c r="N188" i="17"/>
  <c r="O188" i="17"/>
  <c r="P188" i="17"/>
  <c r="N214" i="17"/>
  <c r="O214" i="17"/>
  <c r="P214" i="17"/>
  <c r="N171" i="17"/>
  <c r="O171" i="17"/>
  <c r="P171" i="17"/>
  <c r="Q171" i="17"/>
  <c r="N211" i="17"/>
  <c r="O211" i="17"/>
  <c r="P211" i="17"/>
  <c r="Q211" i="17"/>
  <c r="N182" i="17"/>
  <c r="P182" i="17"/>
  <c r="N187" i="17"/>
  <c r="O187" i="17"/>
  <c r="P187" i="17"/>
  <c r="N206" i="17"/>
  <c r="O206" i="17"/>
  <c r="P206" i="17"/>
  <c r="N84" i="17"/>
  <c r="P84" i="17"/>
  <c r="Q84" i="17"/>
  <c r="N110" i="17"/>
  <c r="O110" i="17"/>
  <c r="P110" i="17"/>
  <c r="Q110" i="17"/>
  <c r="N240" i="17"/>
  <c r="P240" i="17"/>
  <c r="Q240" i="17"/>
  <c r="N152" i="17"/>
  <c r="O152" i="17"/>
  <c r="P152" i="17"/>
  <c r="N168" i="17"/>
  <c r="O168" i="17"/>
  <c r="P168" i="17"/>
  <c r="Q168" i="17"/>
  <c r="N86" i="17"/>
  <c r="O86" i="17"/>
  <c r="P86" i="17"/>
  <c r="Q86" i="17"/>
  <c r="N226" i="17"/>
  <c r="O226" i="17"/>
  <c r="N199" i="17"/>
  <c r="O199" i="17"/>
  <c r="P199" i="17"/>
  <c r="Q199" i="17"/>
  <c r="N127" i="17"/>
  <c r="O127" i="17"/>
  <c r="P127" i="17"/>
  <c r="Q127" i="17"/>
  <c r="N270" i="17"/>
  <c r="O270" i="17"/>
  <c r="N176" i="17"/>
  <c r="O176" i="17"/>
  <c r="P176" i="17"/>
  <c r="Q176" i="17"/>
  <c r="N200" i="17"/>
  <c r="O200" i="17"/>
  <c r="Q200" i="17"/>
  <c r="N181" i="17"/>
  <c r="O181" i="17"/>
  <c r="P181" i="17"/>
  <c r="N101" i="17"/>
  <c r="O101" i="17"/>
  <c r="P101" i="17"/>
  <c r="N118" i="17"/>
  <c r="O118" i="17"/>
  <c r="P118" i="17"/>
  <c r="Q118" i="17"/>
  <c r="N151" i="17"/>
  <c r="P151" i="17"/>
  <c r="N250" i="17"/>
  <c r="P250" i="17"/>
  <c r="N87" i="17"/>
  <c r="P87" i="17"/>
  <c r="N145" i="17"/>
  <c r="O145" i="17"/>
  <c r="P145" i="17"/>
  <c r="Q145" i="17"/>
  <c r="N95" i="17"/>
  <c r="O95" i="17"/>
  <c r="P95" i="17"/>
  <c r="Q95" i="17"/>
  <c r="O209" i="17"/>
  <c r="P209" i="17"/>
  <c r="Q209" i="17"/>
  <c r="P274" i="17"/>
  <c r="Q274" i="17"/>
  <c r="N164" i="17"/>
  <c r="O164" i="17"/>
  <c r="P164" i="17"/>
  <c r="Q164" i="17"/>
  <c r="N256" i="17"/>
  <c r="O256" i="17"/>
  <c r="P256" i="17"/>
  <c r="N192" i="17"/>
  <c r="O192" i="17"/>
  <c r="P192" i="17"/>
  <c r="Q192" i="17"/>
  <c r="N267" i="17"/>
  <c r="O267" i="17"/>
  <c r="P267" i="17"/>
  <c r="Q267" i="17"/>
  <c r="N114" i="17"/>
  <c r="O114" i="17"/>
  <c r="N205" i="17"/>
  <c r="O205" i="17"/>
  <c r="P205" i="17"/>
  <c r="Q205" i="17"/>
  <c r="N251" i="17"/>
  <c r="O251" i="17"/>
  <c r="P251" i="17"/>
  <c r="N229" i="17"/>
  <c r="O229" i="17"/>
  <c r="P229" i="17"/>
  <c r="Q229" i="17"/>
  <c r="N132" i="17"/>
  <c r="O132" i="17"/>
  <c r="P132" i="17"/>
  <c r="N295" i="17"/>
  <c r="P295" i="17"/>
  <c r="N231" i="17"/>
  <c r="O231" i="17"/>
  <c r="P231" i="17"/>
  <c r="Q231" i="17"/>
  <c r="N142" i="17"/>
  <c r="P142" i="17"/>
  <c r="Q142" i="17"/>
  <c r="N196" i="17"/>
  <c r="O196" i="17"/>
  <c r="P196" i="17"/>
  <c r="N234" i="17"/>
  <c r="O234" i="17"/>
  <c r="P234" i="17"/>
  <c r="N222" i="17"/>
  <c r="O222" i="17"/>
  <c r="P222" i="17"/>
  <c r="Q222" i="17"/>
  <c r="N285" i="17"/>
  <c r="O285" i="17"/>
  <c r="P285" i="17"/>
  <c r="N167" i="17"/>
  <c r="O167" i="17"/>
  <c r="P167" i="17"/>
  <c r="N109" i="17"/>
  <c r="O109" i="17"/>
  <c r="P109" i="17"/>
  <c r="Q109" i="17"/>
  <c r="N183" i="17"/>
  <c r="O183" i="17"/>
  <c r="P183" i="17"/>
  <c r="Q183" i="17"/>
  <c r="N276" i="17"/>
  <c r="P276" i="17"/>
  <c r="Q276" i="17"/>
  <c r="O133" i="17"/>
  <c r="P133" i="17"/>
  <c r="Q133" i="17"/>
  <c r="N121" i="17"/>
  <c r="O121" i="17"/>
  <c r="O268" i="17"/>
  <c r="P268" i="17"/>
  <c r="Q268" i="17"/>
  <c r="O278" i="17"/>
  <c r="P278" i="17"/>
  <c r="Q278" i="17"/>
  <c r="N112" i="17"/>
  <c r="O112" i="17"/>
  <c r="P112" i="17"/>
  <c r="Q112" i="17"/>
  <c r="N283" i="17"/>
  <c r="O283" i="17"/>
  <c r="P283" i="17"/>
  <c r="Q283" i="17"/>
  <c r="N208" i="17"/>
  <c r="O208" i="17"/>
  <c r="P208" i="17"/>
  <c r="N216" i="17"/>
  <c r="O216" i="17"/>
  <c r="P216" i="17"/>
  <c r="Q216" i="17"/>
  <c r="N100" i="17"/>
  <c r="O100" i="17"/>
  <c r="P100" i="17"/>
  <c r="N161" i="17"/>
  <c r="O161" i="17"/>
  <c r="P161" i="17"/>
  <c r="Q161" i="17"/>
  <c r="N288" i="17"/>
  <c r="O288" i="17"/>
  <c r="P288" i="17"/>
  <c r="N257" i="17"/>
  <c r="O257" i="17"/>
  <c r="P257" i="17"/>
  <c r="Q257" i="17"/>
  <c r="N197" i="17"/>
  <c r="O197" i="17"/>
  <c r="P197" i="17"/>
  <c r="Q197" i="17"/>
  <c r="N277" i="17"/>
  <c r="O277" i="17"/>
  <c r="P277" i="17"/>
  <c r="N92" i="17"/>
  <c r="O92" i="17"/>
  <c r="P92" i="17"/>
  <c r="Q92" i="17"/>
  <c r="N178" i="17"/>
  <c r="O178" i="17"/>
  <c r="P178" i="17"/>
  <c r="N230" i="17"/>
  <c r="O230" i="17"/>
  <c r="P230" i="17"/>
  <c r="Q230" i="17"/>
  <c r="N291" i="17"/>
  <c r="O291" i="17"/>
  <c r="P291" i="17"/>
  <c r="N293" i="17"/>
  <c r="P293" i="17"/>
  <c r="Q293" i="17"/>
  <c r="N237" i="17"/>
  <c r="O237" i="17"/>
  <c r="P237" i="17"/>
  <c r="N271" i="17"/>
  <c r="O271" i="17"/>
  <c r="P271" i="17"/>
  <c r="Q271" i="17"/>
  <c r="N306" i="17"/>
  <c r="O306" i="17"/>
  <c r="P306" i="17"/>
  <c r="Q306" i="17"/>
  <c r="N273" i="17"/>
  <c r="O273" i="17"/>
  <c r="P273" i="17"/>
  <c r="Q273" i="17"/>
  <c r="N307" i="17"/>
  <c r="O307" i="17"/>
  <c r="P307" i="17"/>
  <c r="N265" i="17"/>
  <c r="O265" i="17"/>
  <c r="P265" i="17"/>
  <c r="Q265" i="17"/>
  <c r="N311" i="17"/>
  <c r="O311" i="17"/>
  <c r="P311" i="17"/>
  <c r="Q311" i="17"/>
  <c r="N312" i="17"/>
  <c r="O312" i="17"/>
  <c r="P312" i="17"/>
  <c r="N280" i="17"/>
  <c r="O280" i="17"/>
  <c r="N286" i="17"/>
  <c r="O286" i="17"/>
  <c r="P286" i="17"/>
  <c r="Q286" i="17"/>
  <c r="N246" i="17"/>
  <c r="O246" i="17"/>
  <c r="P246" i="17"/>
  <c r="Q246" i="17"/>
  <c r="N347" i="17"/>
  <c r="O347" i="17"/>
  <c r="P347" i="17"/>
  <c r="Q347" i="17"/>
  <c r="N299" i="17"/>
  <c r="O299" i="17"/>
  <c r="P299" i="17"/>
  <c r="Q299" i="17"/>
  <c r="N325" i="17"/>
  <c r="O325" i="17"/>
  <c r="P325" i="17"/>
  <c r="N316" i="17"/>
  <c r="O316" i="17"/>
  <c r="P316" i="17"/>
  <c r="Q316" i="17"/>
  <c r="N76" i="17"/>
  <c r="P76" i="17"/>
  <c r="N253" i="17"/>
  <c r="O253" i="17"/>
  <c r="P253" i="17"/>
  <c r="N155" i="17"/>
  <c r="O155" i="17"/>
  <c r="P155" i="17"/>
  <c r="O344" i="17"/>
  <c r="P344" i="17"/>
  <c r="N296" i="17"/>
  <c r="O296" i="17"/>
  <c r="P296" i="17"/>
  <c r="Q296" i="17"/>
  <c r="N329" i="17"/>
  <c r="O329" i="17"/>
  <c r="P329" i="17"/>
  <c r="N300" i="17"/>
  <c r="O300" i="17"/>
  <c r="P300" i="17"/>
  <c r="Q300" i="17"/>
  <c r="N356" i="17"/>
  <c r="O356" i="17"/>
  <c r="P356" i="17"/>
  <c r="N75" i="17"/>
  <c r="O75" i="17"/>
  <c r="P75" i="17"/>
  <c r="Q75" i="17"/>
  <c r="N258" i="17"/>
  <c r="O258" i="17"/>
  <c r="Q258" i="17"/>
  <c r="N350" i="17"/>
  <c r="O350" i="17"/>
  <c r="P350" i="17"/>
  <c r="Q350" i="17"/>
  <c r="N146" i="17"/>
  <c r="O146" i="17"/>
  <c r="P146" i="17"/>
  <c r="N235" i="17"/>
  <c r="O235" i="17"/>
  <c r="P235" i="17"/>
  <c r="Q235" i="17"/>
  <c r="N223" i="17"/>
  <c r="O223" i="17"/>
  <c r="P223" i="17"/>
  <c r="Q223" i="17"/>
  <c r="N294" i="17"/>
  <c r="O294" i="17"/>
  <c r="P294" i="17"/>
  <c r="Q294" i="17"/>
  <c r="N314" i="17"/>
  <c r="P314" i="17"/>
  <c r="N282" i="17"/>
  <c r="P282" i="17"/>
  <c r="Q282" i="17"/>
  <c r="N255" i="17"/>
  <c r="O255" i="17"/>
  <c r="P255" i="17"/>
  <c r="N225" i="17"/>
  <c r="O225" i="17"/>
  <c r="P225" i="17"/>
  <c r="N318" i="17"/>
  <c r="O318" i="17"/>
  <c r="P318" i="17"/>
  <c r="N232" i="17"/>
  <c r="O232" i="17"/>
  <c r="P232" i="17"/>
  <c r="Q232" i="17"/>
  <c r="N204" i="17"/>
  <c r="O204" i="17"/>
  <c r="P204" i="17"/>
  <c r="Q204" i="17"/>
  <c r="N330" i="17"/>
  <c r="O330" i="17"/>
  <c r="P330" i="17"/>
  <c r="Q330" i="17"/>
  <c r="N165" i="17"/>
  <c r="O165" i="17"/>
  <c r="N334" i="17"/>
  <c r="O334" i="17"/>
  <c r="P334" i="17"/>
  <c r="Q334" i="17"/>
  <c r="N303" i="17"/>
  <c r="P303" i="17"/>
  <c r="Q303" i="17"/>
  <c r="N340" i="17"/>
  <c r="O340" i="17"/>
  <c r="P340" i="17"/>
  <c r="N341" i="17"/>
  <c r="P341" i="17"/>
  <c r="N212" i="17"/>
  <c r="O212" i="17"/>
  <c r="P212" i="17"/>
  <c r="Q212" i="17"/>
  <c r="N103" i="17"/>
  <c r="O103" i="17"/>
  <c r="P103" i="17"/>
  <c r="Q103" i="17"/>
  <c r="N241" i="17"/>
  <c r="O241" i="17"/>
  <c r="P241" i="17"/>
  <c r="N337" i="17"/>
  <c r="P337" i="17"/>
  <c r="N309" i="17"/>
  <c r="O309" i="17"/>
  <c r="P309" i="17"/>
  <c r="Q309" i="17"/>
  <c r="N360" i="17"/>
  <c r="O360" i="17"/>
  <c r="P360" i="17"/>
  <c r="Q360" i="17"/>
  <c r="N184" i="17"/>
  <c r="O184" i="17"/>
  <c r="P184" i="17"/>
  <c r="N242" i="17"/>
  <c r="O242" i="17"/>
  <c r="N217" i="17"/>
  <c r="O217" i="17"/>
  <c r="P217" i="17"/>
  <c r="Q217" i="17"/>
  <c r="N149" i="17"/>
  <c r="P149" i="17"/>
  <c r="N233" i="17"/>
  <c r="O233" i="17"/>
  <c r="P233" i="17"/>
  <c r="Q233" i="17"/>
  <c r="N140" i="17"/>
  <c r="O140" i="17"/>
  <c r="P140" i="17"/>
  <c r="Q140" i="17"/>
  <c r="N153" i="17"/>
  <c r="O153" i="17"/>
  <c r="P153" i="17"/>
  <c r="N322" i="17"/>
  <c r="O322" i="17"/>
  <c r="P322" i="17"/>
  <c r="Q322" i="17"/>
  <c r="N210" i="17"/>
  <c r="P210" i="17"/>
  <c r="Q210" i="17"/>
  <c r="N362" i="17"/>
  <c r="O362" i="17"/>
  <c r="P362" i="17"/>
  <c r="Q362" i="17"/>
  <c r="N308" i="17"/>
  <c r="O308" i="17"/>
  <c r="P308" i="17"/>
  <c r="Q308" i="17"/>
  <c r="N364" i="17"/>
  <c r="P364" i="17"/>
  <c r="Q364" i="17"/>
  <c r="N220" i="17"/>
  <c r="O220" i="17"/>
  <c r="P220" i="17"/>
  <c r="Q220" i="17"/>
  <c r="N327" i="17"/>
  <c r="O327" i="17"/>
  <c r="P327" i="17"/>
  <c r="N238" i="17"/>
  <c r="O238" i="17"/>
  <c r="P238" i="17"/>
  <c r="Q238" i="17"/>
  <c r="N263" i="17"/>
  <c r="O263" i="17"/>
  <c r="P263" i="17"/>
  <c r="Q263" i="17"/>
  <c r="N375" i="17"/>
  <c r="O375" i="17"/>
  <c r="P375" i="17"/>
  <c r="N345" i="17"/>
  <c r="P345" i="17"/>
  <c r="Q345" i="17"/>
  <c r="N373" i="17"/>
  <c r="O373" i="17"/>
  <c r="P373" i="17"/>
  <c r="Q373" i="17"/>
  <c r="N266" i="17"/>
  <c r="O266" i="17"/>
  <c r="P266" i="17"/>
  <c r="Q266" i="17"/>
  <c r="N339" i="17"/>
  <c r="O339" i="17"/>
  <c r="P339" i="17"/>
  <c r="N342" i="17"/>
  <c r="O342" i="17"/>
  <c r="P342" i="17"/>
  <c r="N367" i="17"/>
  <c r="O367" i="17"/>
  <c r="P367" i="17"/>
  <c r="Q367" i="17"/>
  <c r="N349" i="17"/>
  <c r="O349" i="17"/>
  <c r="P349" i="17"/>
  <c r="Q349" i="17"/>
  <c r="N97" i="17"/>
  <c r="O97" i="17"/>
  <c r="P97" i="17"/>
  <c r="N310" i="17"/>
  <c r="O310" i="17"/>
  <c r="P310" i="17"/>
  <c r="N247" i="17"/>
  <c r="O247" i="17"/>
  <c r="P247" i="17"/>
  <c r="Q247" i="17"/>
  <c r="N281" i="17"/>
  <c r="O281" i="17"/>
  <c r="Q281" i="17"/>
  <c r="N343" i="17"/>
  <c r="O343" i="17"/>
  <c r="Q343" i="17"/>
  <c r="N363" i="17"/>
  <c r="O363" i="17"/>
  <c r="N355" i="17"/>
  <c r="O355" i="17"/>
  <c r="P355" i="17"/>
  <c r="Q355" i="17"/>
  <c r="N383" i="17"/>
  <c r="O383" i="17"/>
  <c r="P383" i="17"/>
  <c r="Q383" i="17"/>
  <c r="N297" i="17"/>
  <c r="O297" i="17"/>
  <c r="P297" i="17"/>
  <c r="Q297" i="17"/>
  <c r="N301" i="17"/>
  <c r="O301" i="17"/>
  <c r="P301" i="17"/>
  <c r="Q301" i="17"/>
  <c r="N386" i="17"/>
  <c r="O386" i="17"/>
  <c r="P386" i="17"/>
  <c r="Q386" i="17"/>
  <c r="N387" i="17"/>
  <c r="O387" i="17"/>
  <c r="P387" i="17"/>
  <c r="Q387" i="17"/>
  <c r="N324" i="17"/>
  <c r="O324" i="17"/>
  <c r="P324" i="17"/>
  <c r="N304" i="17"/>
  <c r="O304" i="17"/>
  <c r="P304" i="17"/>
  <c r="Q304" i="17"/>
  <c r="N346" i="17"/>
  <c r="O346" i="17"/>
  <c r="P346" i="17"/>
  <c r="N388" i="17"/>
  <c r="P388" i="17"/>
  <c r="Q388" i="17"/>
  <c r="N377" i="17"/>
  <c r="O377" i="17"/>
  <c r="P377" i="17"/>
  <c r="Q377" i="17"/>
  <c r="N292" i="17"/>
  <c r="O292" i="17"/>
  <c r="P292" i="17"/>
  <c r="Q292" i="17"/>
  <c r="N249" i="17"/>
  <c r="O249" i="17"/>
  <c r="P249" i="17"/>
  <c r="Q249" i="17"/>
  <c r="N398" i="17"/>
  <c r="O398" i="17"/>
  <c r="P398" i="17"/>
  <c r="Q398" i="17"/>
  <c r="N368" i="17"/>
  <c r="O368" i="17"/>
  <c r="P368" i="17"/>
  <c r="N353" i="17"/>
  <c r="O353" i="17"/>
  <c r="P353" i="17"/>
  <c r="N379" i="17"/>
  <c r="O379" i="17"/>
  <c r="P379" i="17"/>
  <c r="Q379" i="17"/>
  <c r="N138" i="17"/>
  <c r="O138" i="17"/>
  <c r="P138" i="17"/>
  <c r="Q138" i="17"/>
  <c r="N380" i="17"/>
  <c r="P380" i="17"/>
  <c r="N320" i="17"/>
  <c r="P320" i="17"/>
  <c r="N358" i="17"/>
  <c r="O358" i="17"/>
  <c r="P358" i="17"/>
  <c r="Q358" i="17"/>
  <c r="N328" i="17"/>
  <c r="O328" i="17"/>
  <c r="P328" i="17"/>
  <c r="Q328" i="17"/>
  <c r="N279" i="17"/>
  <c r="O279" i="17"/>
  <c r="P279" i="17"/>
  <c r="N185" i="17"/>
  <c r="O185" i="17"/>
  <c r="P185" i="17"/>
  <c r="N394" i="17"/>
  <c r="O394" i="17"/>
  <c r="P394" i="17"/>
  <c r="Q394" i="17"/>
  <c r="N333" i="17"/>
  <c r="O333" i="17"/>
  <c r="P333" i="17"/>
  <c r="Q333" i="17"/>
  <c r="N169" i="17"/>
  <c r="O169" i="17"/>
  <c r="P169" i="17"/>
  <c r="N180" i="17"/>
  <c r="O180" i="17"/>
  <c r="N414" i="17"/>
  <c r="O414" i="17"/>
  <c r="Q414" i="17"/>
  <c r="N290" i="17"/>
  <c r="O290" i="17"/>
  <c r="P290" i="17"/>
  <c r="Q290" i="17"/>
  <c r="N331" i="17"/>
  <c r="O331" i="17"/>
  <c r="P331" i="17"/>
  <c r="N326" i="17"/>
  <c r="O326" i="17"/>
  <c r="P326" i="17"/>
  <c r="N305" i="17"/>
  <c r="O305" i="17"/>
  <c r="P305" i="17"/>
  <c r="N287" i="17"/>
  <c r="O287" i="17"/>
  <c r="N395" i="17"/>
  <c r="O395" i="17"/>
  <c r="P395" i="17"/>
  <c r="N269" i="17"/>
  <c r="O269" i="17"/>
  <c r="N260" i="17"/>
  <c r="O260" i="17"/>
  <c r="Q260" i="17"/>
  <c r="N338" i="17"/>
  <c r="O338" i="17"/>
  <c r="P338" i="17"/>
  <c r="N384" i="17"/>
  <c r="O384" i="17"/>
  <c r="P384" i="17"/>
  <c r="Q384" i="17"/>
  <c r="O254" i="17"/>
  <c r="P254" i="17"/>
  <c r="N191" i="17"/>
  <c r="O191" i="17"/>
  <c r="Q191" i="17"/>
  <c r="N150" i="17"/>
  <c r="O150" i="17"/>
  <c r="N321" i="17"/>
  <c r="O321" i="17"/>
  <c r="N284" i="17"/>
  <c r="O284" i="17"/>
  <c r="P284" i="17"/>
  <c r="Q284" i="17"/>
  <c r="N289" i="17"/>
  <c r="O289" i="17"/>
  <c r="N396" i="17"/>
  <c r="O396" i="17"/>
  <c r="P396" i="17"/>
  <c r="N351" i="17"/>
  <c r="O351" i="17"/>
  <c r="P351" i="17"/>
  <c r="N406" i="17"/>
  <c r="O406" i="17"/>
  <c r="P406" i="17"/>
  <c r="N248" i="17"/>
  <c r="O248" i="17"/>
  <c r="P248" i="17"/>
  <c r="Q248" i="17"/>
  <c r="N348" i="17"/>
  <c r="O348" i="17"/>
  <c r="P348" i="17"/>
  <c r="N431" i="17"/>
  <c r="O431" i="17"/>
  <c r="P431" i="17"/>
  <c r="N382" i="17"/>
  <c r="O382" i="17"/>
  <c r="P382" i="17"/>
  <c r="N315" i="17"/>
  <c r="O315" i="17"/>
  <c r="P315" i="17"/>
  <c r="N399" i="17"/>
  <c r="O399" i="17"/>
  <c r="Q399" i="17"/>
  <c r="N400" i="17"/>
  <c r="O400" i="17"/>
  <c r="P400" i="17"/>
  <c r="Q400" i="17"/>
  <c r="N366" i="17"/>
  <c r="O366" i="17"/>
  <c r="P366" i="17"/>
  <c r="N264" i="17"/>
  <c r="O264" i="17"/>
  <c r="P264" i="17"/>
  <c r="Q264" i="17"/>
  <c r="N236" i="17"/>
  <c r="O236" i="17"/>
  <c r="P236" i="17"/>
  <c r="N426" i="17"/>
  <c r="O426" i="17"/>
  <c r="P426" i="17"/>
  <c r="N202" i="17"/>
  <c r="P202" i="17"/>
  <c r="N434" i="17"/>
  <c r="O434" i="17"/>
  <c r="P434" i="17"/>
  <c r="N361" i="17"/>
  <c r="O361" i="17"/>
  <c r="P361" i="17"/>
  <c r="N405" i="17"/>
  <c r="O405" i="17"/>
  <c r="P405" i="17"/>
  <c r="N313" i="17"/>
  <c r="P313" i="17"/>
  <c r="Q313" i="17"/>
  <c r="N323" i="17"/>
  <c r="O323" i="17"/>
  <c r="P323" i="17"/>
  <c r="Q323" i="17"/>
  <c r="N397" i="17"/>
  <c r="O397" i="17"/>
  <c r="P397" i="17"/>
  <c r="Q397" i="17"/>
  <c r="N416" i="17"/>
  <c r="O416" i="17"/>
  <c r="P416" i="17"/>
  <c r="Q416" i="17"/>
  <c r="N359" i="17"/>
  <c r="O359" i="17"/>
  <c r="P359" i="17"/>
  <c r="Q359" i="17"/>
  <c r="N411" i="17"/>
  <c r="O411" i="17"/>
  <c r="N404" i="17"/>
  <c r="O404" i="17"/>
  <c r="P404" i="17"/>
  <c r="Q404" i="17"/>
  <c r="N418" i="17"/>
  <c r="O418" i="17"/>
  <c r="P418" i="17"/>
  <c r="N436" i="17"/>
  <c r="O436" i="17"/>
  <c r="P436" i="17"/>
  <c r="Q436" i="17"/>
  <c r="N455" i="17"/>
  <c r="O455" i="17"/>
  <c r="P455" i="17"/>
  <c r="Q455" i="17"/>
  <c r="N456" i="17"/>
  <c r="O456" i="17"/>
  <c r="P456" i="17"/>
  <c r="Q456" i="17"/>
  <c r="N302" i="17"/>
  <c r="O302" i="17"/>
  <c r="P302" i="17"/>
  <c r="N466" i="17"/>
  <c r="O466" i="17"/>
  <c r="P466" i="17"/>
  <c r="Q466" i="17"/>
  <c r="N298" i="17"/>
  <c r="O298" i="17"/>
  <c r="N213" i="17"/>
  <c r="O213" i="17"/>
  <c r="P213" i="17"/>
  <c r="Q213" i="17"/>
  <c r="N421" i="17"/>
  <c r="O421" i="17"/>
  <c r="P421" i="17"/>
  <c r="Q421" i="17"/>
  <c r="N378" i="17"/>
  <c r="O378" i="17"/>
  <c r="P378" i="17"/>
  <c r="Q378" i="17"/>
  <c r="N319" i="17"/>
  <c r="O319" i="17"/>
  <c r="P319" i="17"/>
  <c r="Q319" i="17"/>
  <c r="N403" i="17"/>
  <c r="O403" i="17"/>
  <c r="P403" i="17"/>
  <c r="Q403" i="17"/>
  <c r="N435" i="17"/>
  <c r="O435" i="17"/>
  <c r="P435" i="17"/>
  <c r="N425" i="17"/>
  <c r="O425" i="17"/>
  <c r="P425" i="17"/>
  <c r="Q425" i="17"/>
  <c r="N467" i="17"/>
  <c r="O467" i="17"/>
  <c r="P467" i="17"/>
  <c r="Q467" i="17"/>
  <c r="N471" i="17"/>
  <c r="O471" i="17"/>
  <c r="P471" i="17"/>
  <c r="Q471" i="17"/>
  <c r="N452" i="17"/>
  <c r="P452" i="17"/>
  <c r="Q452" i="17"/>
  <c r="N332" i="17"/>
  <c r="O332" i="17"/>
  <c r="P332" i="17"/>
  <c r="Q332" i="17"/>
  <c r="N408" i="17"/>
  <c r="O408" i="17"/>
  <c r="P408" i="17"/>
  <c r="Q408" i="17"/>
  <c r="N453" i="17"/>
  <c r="O453" i="17"/>
  <c r="P453" i="17"/>
  <c r="Q453" i="17"/>
  <c r="N419" i="17"/>
  <c r="P419" i="17"/>
  <c r="Q419" i="17"/>
  <c r="N423" i="17"/>
  <c r="O423" i="17"/>
  <c r="P423" i="17"/>
  <c r="Q423" i="17"/>
  <c r="O385" i="17"/>
  <c r="P385" i="17"/>
  <c r="Q385" i="17"/>
  <c r="N477" i="17"/>
  <c r="P477" i="17"/>
  <c r="Q477" i="17"/>
  <c r="N449" i="17"/>
  <c r="O449" i="17"/>
  <c r="P449" i="17"/>
  <c r="Q449" i="17"/>
  <c r="N450" i="17"/>
  <c r="O450" i="17"/>
  <c r="P450" i="17"/>
  <c r="Q450" i="17"/>
  <c r="N460" i="17"/>
  <c r="P460" i="17"/>
  <c r="Q460" i="17"/>
  <c r="N428" i="17"/>
  <c r="O428" i="17"/>
  <c r="P428" i="17"/>
  <c r="Q428" i="17"/>
  <c r="N472" i="17"/>
  <c r="P472" i="17"/>
  <c r="Q472" i="17"/>
  <c r="N424" i="17"/>
  <c r="O424" i="17"/>
  <c r="P424" i="17"/>
  <c r="Q424" i="17"/>
  <c r="N401" i="17"/>
  <c r="P401" i="17"/>
  <c r="Q401" i="17"/>
  <c r="N410" i="17"/>
  <c r="O410" i="17"/>
  <c r="Q410" i="17"/>
  <c r="N484" i="17"/>
  <c r="P484" i="17"/>
  <c r="Q484" i="17"/>
  <c r="N441" i="17"/>
  <c r="P441" i="17"/>
  <c r="Q441" i="17"/>
  <c r="N372" i="17"/>
  <c r="O372" i="17"/>
  <c r="P372" i="17"/>
  <c r="Q372" i="17"/>
  <c r="N489" i="17"/>
  <c r="O489" i="17"/>
  <c r="Q489" i="17"/>
  <c r="N464" i="17"/>
  <c r="O464" i="17"/>
  <c r="P464" i="17"/>
  <c r="Q464" i="17"/>
  <c r="N446" i="17"/>
  <c r="P446" i="17"/>
  <c r="Q446" i="17"/>
  <c r="N447" i="17"/>
  <c r="O447" i="17"/>
  <c r="P447" i="17"/>
  <c r="Q447" i="17"/>
  <c r="O244" i="17"/>
  <c r="P244" i="17"/>
  <c r="Q244" i="17"/>
  <c r="N459" i="17"/>
  <c r="O459" i="17"/>
  <c r="P459" i="17"/>
  <c r="N469" i="17"/>
  <c r="O469" i="17"/>
  <c r="Q469" i="17"/>
  <c r="N478" i="17"/>
  <c r="N427" i="17"/>
  <c r="O427" i="17"/>
  <c r="Q427" i="17"/>
  <c r="N522" i="17"/>
  <c r="O522" i="17"/>
  <c r="P522" i="17"/>
  <c r="N357" i="17"/>
  <c r="O357" i="17"/>
  <c r="P357" i="17"/>
  <c r="Q357" i="17"/>
  <c r="O440" i="17"/>
  <c r="P440" i="17"/>
  <c r="N391" i="17"/>
  <c r="O391" i="17"/>
  <c r="P391" i="17"/>
  <c r="N422" i="17"/>
  <c r="O422" i="17"/>
  <c r="P422" i="17"/>
  <c r="N417" i="17"/>
  <c r="O417" i="17"/>
  <c r="Q417" i="17"/>
  <c r="N480" i="17"/>
  <c r="O480" i="17"/>
  <c r="P480" i="17"/>
  <c r="Q480" i="17"/>
  <c r="N475" i="17"/>
  <c r="O475" i="17"/>
  <c r="P475" i="17"/>
  <c r="Q475" i="17"/>
  <c r="N413" i="17"/>
  <c r="P413" i="17"/>
  <c r="Q413" i="17"/>
  <c r="N445" i="17"/>
  <c r="O445" i="17"/>
  <c r="P445" i="17"/>
  <c r="Q445" i="17"/>
  <c r="N490" i="17"/>
  <c r="O490" i="17"/>
  <c r="P490" i="17"/>
  <c r="Q490" i="17"/>
  <c r="N227" i="17"/>
  <c r="O227" i="17"/>
  <c r="P227" i="17"/>
  <c r="Q227" i="17"/>
  <c r="N190" i="17"/>
  <c r="O190" i="17"/>
  <c r="P190" i="17"/>
  <c r="N448" i="17"/>
  <c r="O448" i="17"/>
  <c r="N457" i="17"/>
  <c r="O457" i="17"/>
  <c r="P457" i="17"/>
  <c r="Q457" i="17"/>
  <c r="N486" i="17"/>
  <c r="P486" i="17"/>
  <c r="Q486" i="17"/>
  <c r="N458" i="17"/>
  <c r="O458" i="17"/>
  <c r="P458" i="17"/>
  <c r="N499" i="17"/>
  <c r="O499" i="17"/>
  <c r="P499" i="17"/>
  <c r="Q499" i="17"/>
  <c r="N390" i="17"/>
  <c r="O390" i="17"/>
  <c r="P390" i="17"/>
  <c r="Q390" i="17"/>
  <c r="N402" i="17"/>
  <c r="O402" i="17"/>
  <c r="P402" i="17"/>
  <c r="N374" i="17"/>
  <c r="O374" i="17"/>
  <c r="P374" i="17"/>
  <c r="Q374" i="17"/>
  <c r="N354" i="17"/>
  <c r="O354" i="17"/>
  <c r="P354" i="17"/>
  <c r="Q354" i="17"/>
  <c r="N463" i="17"/>
  <c r="O463" i="17"/>
  <c r="Q463" i="17"/>
  <c r="N433" i="17"/>
  <c r="O433" i="17"/>
  <c r="P433" i="17"/>
  <c r="N498" i="17"/>
  <c r="P498" i="17"/>
  <c r="N470" i="17"/>
  <c r="O470" i="17"/>
  <c r="P470" i="17"/>
  <c r="N509" i="17"/>
  <c r="O509" i="17"/>
  <c r="P509" i="17"/>
  <c r="Q509" i="17"/>
  <c r="N501" i="17"/>
  <c r="O501" i="17"/>
  <c r="Q501" i="17"/>
  <c r="N407" i="17"/>
  <c r="O407" i="17"/>
  <c r="P407" i="17"/>
  <c r="N479" i="17"/>
  <c r="O479" i="17"/>
  <c r="P479" i="17"/>
  <c r="Q479" i="17"/>
  <c r="N381" i="17"/>
  <c r="O381" i="17"/>
  <c r="P381" i="17"/>
  <c r="Q381" i="17"/>
  <c r="N481" i="17"/>
  <c r="O481" i="17"/>
  <c r="P481" i="17"/>
  <c r="Q481" i="17"/>
  <c r="N465" i="17"/>
  <c r="O465" i="17"/>
  <c r="P465" i="17"/>
  <c r="Q465" i="17"/>
  <c r="N530" i="17"/>
  <c r="O530" i="17"/>
  <c r="P530" i="17"/>
  <c r="N485" i="17"/>
  <c r="O485" i="17"/>
  <c r="Q485" i="17"/>
  <c r="N531" i="17"/>
  <c r="O531" i="17"/>
  <c r="P531" i="17"/>
  <c r="Q531" i="17"/>
  <c r="N524" i="17"/>
  <c r="O524" i="17"/>
  <c r="P524" i="17"/>
  <c r="Q524" i="17"/>
  <c r="N442" i="17"/>
  <c r="O442" i="17"/>
  <c r="P442" i="17"/>
  <c r="Q442" i="17"/>
  <c r="N443" i="17"/>
  <c r="O443" i="17"/>
  <c r="P443" i="17"/>
  <c r="Q443" i="17"/>
  <c r="N506" i="17"/>
  <c r="P506" i="17"/>
  <c r="Q506" i="17"/>
  <c r="N487" i="17"/>
  <c r="P487" i="17"/>
  <c r="N389" i="17"/>
  <c r="O389" i="17"/>
  <c r="P389" i="17"/>
  <c r="Q389" i="17"/>
  <c r="N483" i="17"/>
  <c r="O483" i="17"/>
  <c r="Q483" i="17"/>
  <c r="N352" i="17"/>
  <c r="Q352" i="17"/>
  <c r="N473" i="17"/>
  <c r="O473" i="17"/>
  <c r="P473" i="17"/>
  <c r="Q473" i="17"/>
  <c r="N317" i="17"/>
  <c r="O317" i="17"/>
  <c r="P317" i="17"/>
  <c r="Q317" i="17"/>
  <c r="N462" i="17"/>
  <c r="O462" i="17"/>
  <c r="P462" i="17"/>
  <c r="Q462" i="17"/>
  <c r="N451" i="17"/>
  <c r="O451" i="17"/>
  <c r="P451" i="17"/>
  <c r="N393" i="17"/>
  <c r="O393" i="17"/>
  <c r="P393" i="17"/>
  <c r="Q393" i="17"/>
  <c r="N529" i="17"/>
  <c r="O529" i="17"/>
  <c r="P529" i="17"/>
  <c r="Q529" i="17"/>
  <c r="N540" i="17"/>
  <c r="P540" i="17"/>
  <c r="N482" i="17"/>
  <c r="O482" i="17"/>
  <c r="P482" i="17"/>
  <c r="Q482" i="17"/>
  <c r="N491" i="17"/>
  <c r="O491" i="17"/>
  <c r="N468" i="17"/>
  <c r="O468" i="17"/>
  <c r="P468" i="17"/>
  <c r="Q468" i="17"/>
  <c r="N500" i="17"/>
  <c r="O500" i="17"/>
  <c r="P500" i="17"/>
  <c r="Q500" i="17"/>
  <c r="N516" i="17"/>
  <c r="O516" i="17"/>
  <c r="P516" i="17"/>
  <c r="Q516" i="17"/>
  <c r="N537" i="17"/>
  <c r="O537" i="17"/>
  <c r="P537" i="17"/>
  <c r="N538" i="17"/>
  <c r="O538" i="17"/>
  <c r="P538" i="17"/>
  <c r="Q538" i="17"/>
  <c r="N474" i="17"/>
  <c r="O474" i="17"/>
  <c r="P474" i="17"/>
  <c r="Q474" i="17"/>
  <c r="N519" i="17"/>
  <c r="O519" i="17"/>
  <c r="Q519" i="17"/>
  <c r="N412" i="17"/>
  <c r="O412" i="17"/>
  <c r="P412" i="17"/>
  <c r="Q412" i="17"/>
  <c r="N365" i="17"/>
  <c r="O365" i="17"/>
  <c r="P365" i="17"/>
  <c r="N503" i="17"/>
  <c r="O503" i="17"/>
  <c r="P503" i="17"/>
  <c r="Q503" i="17"/>
  <c r="N504" i="17"/>
  <c r="O504" i="17"/>
  <c r="P504" i="17"/>
  <c r="N514" i="17"/>
  <c r="O514" i="17"/>
  <c r="P514" i="17"/>
  <c r="N476" i="17"/>
  <c r="O476" i="17"/>
  <c r="Q476" i="17"/>
  <c r="N525" i="17"/>
  <c r="O525" i="17"/>
  <c r="Q525" i="17"/>
  <c r="N438" i="17"/>
  <c r="O438" i="17"/>
  <c r="P438" i="17"/>
  <c r="Q438" i="17"/>
  <c r="N521" i="17"/>
  <c r="O521" i="17"/>
  <c r="P521" i="17"/>
  <c r="N546" i="17"/>
  <c r="O546" i="17"/>
  <c r="P546" i="17"/>
  <c r="Q546" i="17"/>
  <c r="N409" i="17"/>
  <c r="O409" i="17"/>
  <c r="P409" i="17"/>
  <c r="Q409" i="17"/>
  <c r="N541" i="17"/>
  <c r="O541" i="17"/>
  <c r="P541" i="17"/>
  <c r="Q541" i="17"/>
  <c r="N492" i="17"/>
  <c r="O492" i="17"/>
  <c r="P492" i="17"/>
  <c r="N335" i="17"/>
  <c r="P335" i="17"/>
  <c r="N336" i="17"/>
  <c r="O336" i="17"/>
  <c r="P336" i="17"/>
  <c r="Q336" i="17"/>
  <c r="N510" i="17"/>
  <c r="O510" i="17"/>
  <c r="P510" i="17"/>
  <c r="N497" i="17"/>
  <c r="O497" i="17"/>
  <c r="P497" i="17"/>
  <c r="N532" i="17"/>
  <c r="O532" i="17"/>
  <c r="Q532" i="17"/>
  <c r="N513" i="17"/>
  <c r="O513" i="17"/>
  <c r="P513" i="17"/>
  <c r="Q513" i="17"/>
  <c r="N432" i="17"/>
  <c r="P432" i="17"/>
  <c r="N371" i="17"/>
  <c r="O371" i="17"/>
  <c r="P371" i="17"/>
  <c r="N454" i="17"/>
  <c r="O454" i="17"/>
  <c r="P454" i="17"/>
  <c r="Q454" i="17"/>
  <c r="N535" i="17"/>
  <c r="O535" i="17"/>
  <c r="P535" i="17"/>
  <c r="Q535" i="17"/>
  <c r="N515" i="17"/>
  <c r="O515" i="17"/>
  <c r="P515" i="17"/>
  <c r="Q515" i="17"/>
  <c r="N536" i="17"/>
  <c r="O536" i="17"/>
  <c r="P536" i="17"/>
  <c r="N376" i="17"/>
  <c r="O376" i="17"/>
  <c r="P376" i="17"/>
  <c r="N493" i="17"/>
  <c r="O493" i="17"/>
  <c r="Q493" i="17"/>
  <c r="N430" i="17"/>
  <c r="P430" i="17"/>
  <c r="Q430" i="17"/>
  <c r="N369" i="17"/>
  <c r="O369" i="17"/>
  <c r="P369" i="17"/>
  <c r="N370" i="17"/>
  <c r="O370" i="17"/>
  <c r="P370" i="17"/>
  <c r="Q370" i="17"/>
  <c r="N526" i="17"/>
  <c r="O526" i="17"/>
  <c r="P526" i="17"/>
  <c r="Q526" i="17"/>
  <c r="N547" i="17"/>
  <c r="P547" i="17"/>
  <c r="Q547" i="17"/>
  <c r="N544" i="17"/>
  <c r="O544" i="17"/>
  <c r="P544" i="17"/>
  <c r="N420" i="17"/>
  <c r="O420" i="17"/>
  <c r="P420" i="17"/>
  <c r="Q420" i="17"/>
  <c r="N549" i="17"/>
  <c r="O549" i="17"/>
  <c r="P549" i="17"/>
  <c r="Q549" i="17"/>
  <c r="N508" i="17"/>
  <c r="O508" i="17"/>
  <c r="P508" i="17"/>
  <c r="Q508" i="17"/>
  <c r="N555" i="17"/>
  <c r="O555" i="17"/>
  <c r="P555" i="17"/>
  <c r="N429" i="17"/>
  <c r="P429" i="17"/>
  <c r="Q429" i="17"/>
  <c r="N494" i="17"/>
  <c r="P494" i="17"/>
  <c r="Q494" i="17"/>
  <c r="N439" i="17"/>
  <c r="P439" i="17"/>
  <c r="N461" i="17"/>
  <c r="O461" i="17"/>
  <c r="P461" i="17"/>
  <c r="N444" i="17"/>
  <c r="O444" i="17"/>
  <c r="Q444" i="17"/>
  <c r="N502" i="17"/>
  <c r="O502" i="17"/>
  <c r="P502" i="17"/>
  <c r="Q502" i="17"/>
  <c r="N564" i="17"/>
  <c r="P564" i="17"/>
  <c r="N534" i="17"/>
  <c r="O534" i="17"/>
  <c r="P534" i="17"/>
  <c r="N275" i="17"/>
  <c r="O275" i="17"/>
  <c r="P275" i="17"/>
  <c r="Q275" i="17"/>
  <c r="N542" i="17"/>
  <c r="O542" i="17"/>
  <c r="P542" i="17"/>
  <c r="Q542" i="17"/>
  <c r="N496" i="17"/>
  <c r="O496" i="17"/>
  <c r="P496" i="17"/>
  <c r="N511" i="17"/>
  <c r="O511" i="17"/>
  <c r="N512" i="17"/>
  <c r="O512" i="17"/>
  <c r="P512" i="17"/>
  <c r="N552" i="17"/>
  <c r="O552" i="17"/>
  <c r="P552" i="17"/>
  <c r="N554" i="17"/>
  <c r="O554" i="17"/>
  <c r="P554" i="17"/>
  <c r="N550" i="17"/>
  <c r="O550" i="17"/>
  <c r="P550" i="17"/>
  <c r="Q550" i="17"/>
  <c r="N567" i="17"/>
  <c r="O567" i="17"/>
  <c r="P567" i="17"/>
  <c r="Q567" i="17"/>
  <c r="N415" i="17"/>
  <c r="O415" i="17"/>
  <c r="P415" i="17"/>
  <c r="N570" i="17"/>
  <c r="O570" i="17"/>
  <c r="N507" i="17"/>
  <c r="O507" i="17"/>
  <c r="N563" i="17"/>
  <c r="P563" i="17"/>
  <c r="N488" i="17"/>
  <c r="O488" i="17"/>
  <c r="P488" i="17"/>
  <c r="N495" i="17"/>
  <c r="O495" i="17"/>
  <c r="P495" i="17"/>
  <c r="Q495" i="17"/>
  <c r="N520" i="17"/>
  <c r="O520" i="17"/>
  <c r="P520" i="17"/>
  <c r="N556" i="17"/>
  <c r="O556" i="17"/>
  <c r="P556" i="17"/>
  <c r="Q556" i="17"/>
  <c r="N528" i="17"/>
  <c r="O528" i="17"/>
  <c r="P528" i="17"/>
  <c r="Q528" i="17"/>
  <c r="N566" i="17"/>
  <c r="O566" i="17"/>
  <c r="P566" i="17"/>
  <c r="N262" i="17"/>
  <c r="O262" i="17"/>
  <c r="P262" i="17"/>
  <c r="N505" i="17"/>
  <c r="O505" i="17"/>
  <c r="P505" i="17"/>
  <c r="Q505" i="17"/>
  <c r="N548" i="17"/>
  <c r="O548" i="17"/>
  <c r="P548" i="17"/>
  <c r="Q548" i="17"/>
  <c r="N437" i="17"/>
  <c r="O437" i="17"/>
  <c r="P437" i="17"/>
  <c r="N551" i="17"/>
  <c r="O551" i="17"/>
  <c r="N568" i="17"/>
  <c r="O568" i="17"/>
  <c r="P568" i="17"/>
  <c r="Q568" i="17"/>
  <c r="N557" i="17"/>
  <c r="O557" i="17"/>
  <c r="P557" i="17"/>
  <c r="Q557" i="17"/>
  <c r="N574" i="17"/>
  <c r="O574" i="17"/>
  <c r="P574" i="17"/>
  <c r="Q574" i="17"/>
  <c r="N561" i="17"/>
  <c r="O561" i="17"/>
  <c r="P561" i="17"/>
  <c r="Q561" i="17"/>
  <c r="N517" i="17"/>
  <c r="O517" i="17"/>
  <c r="P517" i="17"/>
  <c r="Q517" i="17"/>
  <c r="N539" i="17"/>
  <c r="O539" i="17"/>
  <c r="P539" i="17"/>
  <c r="Q539" i="17"/>
  <c r="N560" i="17"/>
  <c r="O560" i="17"/>
  <c r="P560" i="17"/>
  <c r="Q560" i="17"/>
  <c r="N518" i="17"/>
  <c r="O518" i="17"/>
  <c r="P518" i="17"/>
  <c r="Q518" i="17"/>
  <c r="N581" i="17"/>
  <c r="O581" i="17"/>
  <c r="P581" i="17"/>
  <c r="N575" i="17"/>
  <c r="O575" i="17"/>
  <c r="P575" i="17"/>
  <c r="Q575" i="17"/>
  <c r="N576" i="17"/>
  <c r="O576" i="17"/>
  <c r="P576" i="17"/>
  <c r="Q576" i="17"/>
  <c r="N545" i="17"/>
  <c r="P545" i="17"/>
  <c r="N582" i="17"/>
  <c r="O582" i="17"/>
  <c r="P582" i="17"/>
  <c r="Q582" i="17"/>
  <c r="N571" i="17"/>
  <c r="O571" i="17"/>
  <c r="P571" i="17"/>
  <c r="Q571" i="17"/>
  <c r="P562" i="17"/>
  <c r="Q562" i="17"/>
  <c r="N573" i="17"/>
  <c r="P573" i="17"/>
  <c r="Q573" i="17"/>
  <c r="N586" i="17"/>
  <c r="O586" i="17"/>
  <c r="P586" i="17"/>
  <c r="N578" i="17"/>
  <c r="O578" i="17"/>
  <c r="P578" i="17"/>
  <c r="N579" i="17"/>
  <c r="P579" i="17"/>
  <c r="N558" i="17"/>
  <c r="O558" i="17"/>
  <c r="N572" i="17"/>
  <c r="O572" i="17"/>
  <c r="P572" i="17"/>
  <c r="Q572" i="17"/>
  <c r="N580" i="17"/>
  <c r="O580" i="17"/>
  <c r="P580" i="17"/>
  <c r="Q580" i="17"/>
  <c r="N565" i="17"/>
  <c r="O565" i="17"/>
  <c r="P565" i="17"/>
  <c r="N527" i="17"/>
  <c r="O527" i="17"/>
  <c r="P527" i="17"/>
  <c r="N585" i="17"/>
  <c r="P585" i="17"/>
  <c r="Q585" i="17"/>
  <c r="N553" i="17"/>
  <c r="O553" i="17"/>
  <c r="P553" i="17"/>
  <c r="Q553" i="17"/>
  <c r="N591" i="17"/>
  <c r="O591" i="17"/>
  <c r="P591" i="17"/>
  <c r="N559" i="17"/>
  <c r="O559" i="17"/>
  <c r="P559" i="17"/>
  <c r="Q559" i="17"/>
  <c r="N583" i="17"/>
  <c r="O583" i="17"/>
  <c r="P583" i="17"/>
  <c r="Q583" i="17"/>
  <c r="N523" i="17"/>
  <c r="O523" i="17"/>
  <c r="P523" i="17"/>
  <c r="Q523" i="17"/>
  <c r="N587" i="17"/>
  <c r="O587" i="17"/>
  <c r="P587" i="17"/>
  <c r="Q587" i="17"/>
  <c r="N589" i="17"/>
  <c r="O589" i="17"/>
  <c r="P589" i="17"/>
  <c r="Q589" i="17"/>
  <c r="N594" i="17"/>
  <c r="O594" i="17"/>
  <c r="Q594" i="17"/>
  <c r="N533" i="17"/>
  <c r="O533" i="17"/>
  <c r="Q533" i="17"/>
  <c r="N588" i="17"/>
  <c r="O588" i="17"/>
  <c r="P588" i="17"/>
  <c r="N584" i="17"/>
  <c r="O584" i="17"/>
  <c r="P584" i="17"/>
  <c r="N592" i="17"/>
  <c r="O592" i="17"/>
  <c r="P592" i="17"/>
  <c r="Q592" i="17"/>
  <c r="N543" i="17"/>
  <c r="O543" i="17"/>
  <c r="P543" i="17"/>
  <c r="Q543" i="17"/>
  <c r="N577" i="17"/>
  <c r="O577" i="17"/>
  <c r="P577" i="17"/>
  <c r="Q577" i="17"/>
  <c r="N596" i="17"/>
  <c r="O596" i="17"/>
  <c r="P596" i="17"/>
  <c r="Q596" i="17"/>
  <c r="N590" i="17"/>
  <c r="O590" i="17"/>
  <c r="P590" i="17"/>
  <c r="Q590" i="17"/>
  <c r="N595" i="17"/>
  <c r="O595" i="17"/>
  <c r="P595" i="17"/>
  <c r="Q595" i="17"/>
  <c r="N569" i="17"/>
  <c r="O569" i="17"/>
  <c r="P569" i="17"/>
  <c r="N593" i="17"/>
  <c r="O593" i="17"/>
  <c r="P593" i="17"/>
  <c r="N597" i="17"/>
  <c r="O597" i="17"/>
  <c r="P597" i="17"/>
  <c r="Q597" i="17"/>
  <c r="N599" i="17"/>
  <c r="P599" i="17"/>
  <c r="Q599" i="17"/>
  <c r="N600" i="17"/>
  <c r="O600" i="17"/>
  <c r="P600" i="17"/>
  <c r="Q600" i="17"/>
  <c r="N598" i="17"/>
  <c r="O598" i="17"/>
  <c r="P598" i="17"/>
  <c r="N602" i="17"/>
  <c r="O602" i="17"/>
  <c r="P602" i="17"/>
  <c r="Q602" i="17"/>
  <c r="N603" i="17"/>
  <c r="O603" i="17"/>
  <c r="P603" i="17"/>
  <c r="Q603" i="17"/>
  <c r="N601" i="17"/>
  <c r="O601" i="17"/>
  <c r="P601" i="17"/>
  <c r="Q601" i="17"/>
  <c r="Q8" i="17"/>
  <c r="P8" i="17"/>
  <c r="O8" i="17"/>
  <c r="N8" i="17"/>
  <c r="K603" i="17"/>
  <c r="K595" i="17"/>
  <c r="K584" i="17"/>
  <c r="D593" i="23" s="1"/>
  <c r="K587" i="17"/>
  <c r="K523" i="17"/>
  <c r="K562" i="17"/>
  <c r="K505" i="17"/>
  <c r="K512" i="17"/>
  <c r="K564" i="17"/>
  <c r="K376" i="17"/>
  <c r="K476" i="17"/>
  <c r="K412" i="17"/>
  <c r="K538" i="17"/>
  <c r="K381" i="17"/>
  <c r="K407" i="17"/>
  <c r="K463" i="17"/>
  <c r="K244" i="17"/>
  <c r="J244" i="17"/>
  <c r="K471" i="17"/>
  <c r="K298" i="17"/>
  <c r="K348" i="17"/>
  <c r="K355" i="17"/>
  <c r="K342" i="17"/>
  <c r="K233" i="17"/>
  <c r="K76" i="17"/>
  <c r="K316" i="17"/>
  <c r="K299" i="17"/>
  <c r="K286" i="17"/>
  <c r="K270" i="17"/>
  <c r="K206" i="17"/>
  <c r="K219" i="17"/>
  <c r="K218" i="17"/>
  <c r="J218" i="17"/>
  <c r="K139" i="17"/>
  <c r="K195" i="17"/>
  <c r="K124" i="17"/>
  <c r="K10" i="17"/>
  <c r="K6" i="17"/>
  <c r="J8" i="17"/>
  <c r="F491" i="23" l="1"/>
  <c r="F376" i="23"/>
  <c r="F401" i="23"/>
  <c r="F311" i="23"/>
  <c r="F284" i="23"/>
  <c r="F298" i="23"/>
  <c r="F243" i="23"/>
  <c r="F68" i="23"/>
  <c r="F9" i="23"/>
  <c r="F454" i="23"/>
  <c r="F440" i="23"/>
  <c r="F480" i="23"/>
  <c r="F381" i="23"/>
  <c r="F236" i="23"/>
  <c r="F371" i="23"/>
  <c r="F270" i="23"/>
  <c r="F523" i="23"/>
  <c r="F534" i="23"/>
  <c r="F416" i="23"/>
  <c r="F124" i="23"/>
  <c r="F54" i="23"/>
  <c r="F29" i="23"/>
  <c r="F32" i="23"/>
  <c r="F11" i="23"/>
  <c r="F564" i="23"/>
  <c r="F341" i="23"/>
  <c r="F99" i="23"/>
  <c r="F152" i="23"/>
  <c r="F132" i="23"/>
  <c r="F428" i="23"/>
  <c r="F323" i="23"/>
  <c r="F222" i="23"/>
  <c r="F158" i="23"/>
  <c r="F25" i="23"/>
  <c r="F122" i="23"/>
  <c r="F79" i="23"/>
  <c r="F514" i="23"/>
  <c r="F500" i="23"/>
  <c r="F567" i="23"/>
  <c r="F304" i="23"/>
  <c r="F78" i="23"/>
  <c r="F109" i="23"/>
  <c r="F546" i="23"/>
  <c r="F169" i="23"/>
  <c r="F510" i="23"/>
  <c r="F398" i="23"/>
  <c r="F429" i="23"/>
  <c r="F393" i="23"/>
  <c r="F339" i="23"/>
  <c r="F289" i="23"/>
  <c r="F309" i="23"/>
  <c r="F144" i="23"/>
  <c r="F140" i="23"/>
  <c r="F172" i="23"/>
  <c r="F457" i="23"/>
  <c r="F458" i="23"/>
  <c r="F183" i="23"/>
  <c r="F28" i="23"/>
  <c r="F426" i="23"/>
  <c r="F601" i="23"/>
  <c r="F475" i="23"/>
  <c r="F520" i="23"/>
  <c r="F484" i="23"/>
  <c r="F410" i="23"/>
  <c r="F316" i="23"/>
  <c r="F180" i="23"/>
  <c r="F265" i="23"/>
  <c r="F146" i="23"/>
  <c r="F587" i="23"/>
  <c r="F519" i="23"/>
  <c r="F442" i="23"/>
  <c r="F438" i="23"/>
  <c r="F540" i="23"/>
  <c r="F479" i="23"/>
  <c r="F379" i="23"/>
  <c r="F505" i="23"/>
  <c r="F300" i="23"/>
  <c r="F246" i="23"/>
  <c r="F424" i="23"/>
  <c r="F328" i="23"/>
  <c r="F329" i="23"/>
  <c r="F255" i="23"/>
  <c r="F182" i="23"/>
  <c r="F301" i="23"/>
  <c r="F433" i="23"/>
  <c r="F338" i="23"/>
  <c r="F225" i="23"/>
  <c r="F248" i="23"/>
  <c r="F239" i="23"/>
  <c r="F66" i="23"/>
  <c r="F187" i="23"/>
  <c r="F119" i="23"/>
  <c r="F86" i="23"/>
  <c r="F44" i="23"/>
  <c r="F209" i="23"/>
  <c r="F74" i="23"/>
  <c r="F112" i="23"/>
  <c r="F12" i="23"/>
  <c r="F593" i="23"/>
  <c r="F539" i="23"/>
  <c r="F407" i="23"/>
  <c r="F441" i="23"/>
  <c r="F455" i="23"/>
  <c r="F569" i="23"/>
  <c r="F435" i="23"/>
  <c r="F477" i="23"/>
  <c r="F470" i="23"/>
  <c r="F405" i="23"/>
  <c r="F335" i="23"/>
  <c r="F322" i="23"/>
  <c r="F95" i="23"/>
  <c r="F390" i="23"/>
  <c r="F269" i="23"/>
  <c r="F242" i="23"/>
  <c r="F247" i="23"/>
  <c r="F260" i="23"/>
  <c r="F235" i="23"/>
  <c r="F262" i="23"/>
  <c r="F136" i="23"/>
  <c r="F137" i="23"/>
  <c r="F83" i="23"/>
  <c r="F141" i="23"/>
  <c r="F61" i="23"/>
  <c r="F501" i="23"/>
  <c r="F530" i="23"/>
  <c r="F503" i="23"/>
  <c r="F507" i="23"/>
  <c r="F468" i="23"/>
  <c r="F575" i="23"/>
  <c r="F545" i="23"/>
  <c r="F509" i="23"/>
  <c r="F444" i="23"/>
  <c r="F368" i="23"/>
  <c r="F334" i="23"/>
  <c r="F280" i="23"/>
  <c r="F274" i="23"/>
  <c r="F211" i="23"/>
  <c r="F166" i="23"/>
  <c r="F271" i="23"/>
  <c r="F357" i="23"/>
  <c r="F267" i="23"/>
  <c r="F181" i="23"/>
  <c r="F130" i="23"/>
  <c r="F76" i="23"/>
  <c r="F55" i="23"/>
  <c r="F4" i="23"/>
  <c r="F118" i="23"/>
  <c r="F147" i="23"/>
  <c r="F36" i="23"/>
  <c r="F24" i="23"/>
  <c r="F114" i="23"/>
  <c r="F143" i="23"/>
  <c r="F73" i="23"/>
  <c r="F13" i="23"/>
  <c r="F506" i="23"/>
  <c r="F580" i="23"/>
  <c r="F551" i="23"/>
  <c r="F476" i="23"/>
  <c r="F427" i="23"/>
  <c r="F423" i="23"/>
  <c r="F355" i="23"/>
  <c r="F294" i="23"/>
  <c r="F232" i="23"/>
  <c r="F321" i="23"/>
  <c r="F215" i="23"/>
  <c r="F207" i="23"/>
  <c r="F227" i="23"/>
  <c r="F326" i="23"/>
  <c r="F142" i="23"/>
  <c r="F165" i="23"/>
  <c r="F93" i="23"/>
  <c r="F45" i="23"/>
  <c r="F113" i="23"/>
  <c r="F599" i="23"/>
  <c r="F517" i="23"/>
  <c r="F489" i="23"/>
  <c r="F516" i="23"/>
  <c r="F282" i="23"/>
  <c r="F287" i="23"/>
  <c r="F98" i="23"/>
  <c r="F431" i="23"/>
  <c r="F361" i="23"/>
  <c r="F90" i="23"/>
  <c r="F340" i="23"/>
  <c r="F202" i="23"/>
  <c r="F153" i="23"/>
  <c r="F229" i="23"/>
  <c r="F210" i="23"/>
  <c r="F117" i="23"/>
  <c r="F92" i="23"/>
  <c r="F37" i="23"/>
  <c r="F179" i="23"/>
  <c r="F38" i="23"/>
  <c r="F19" i="23"/>
  <c r="F526" i="23"/>
  <c r="F596" i="23"/>
  <c r="F493" i="23"/>
  <c r="F537" i="23"/>
  <c r="F485" i="23"/>
  <c r="F448" i="23"/>
  <c r="F420" i="23"/>
  <c r="F400" i="23"/>
  <c r="F369" i="23"/>
  <c r="F349" i="23"/>
  <c r="F223" i="23"/>
  <c r="F250" i="23"/>
  <c r="F150" i="23"/>
  <c r="F174" i="23"/>
  <c r="F163" i="23"/>
  <c r="F276" i="23"/>
  <c r="F62" i="23"/>
  <c r="F447" i="23"/>
  <c r="F592" i="23"/>
  <c r="F548" i="23"/>
  <c r="F504" i="23"/>
  <c r="F508" i="23"/>
  <c r="F364" i="23"/>
  <c r="F348" i="23"/>
  <c r="F218" i="23"/>
  <c r="F436" i="23"/>
  <c r="F258" i="23"/>
  <c r="F252" i="23"/>
  <c r="F148" i="23"/>
  <c r="F134" i="23"/>
  <c r="F35" i="23"/>
  <c r="F162" i="23"/>
  <c r="F84" i="23"/>
  <c r="F67" i="23"/>
  <c r="F21" i="23"/>
  <c r="F149" i="23"/>
  <c r="F49" i="23"/>
  <c r="F46" i="23"/>
  <c r="F463" i="23"/>
  <c r="F591" i="23"/>
  <c r="F542" i="23"/>
  <c r="F560" i="23"/>
  <c r="F559" i="23"/>
  <c r="F495" i="23"/>
  <c r="F408" i="23"/>
  <c r="F363" i="23"/>
  <c r="F391" i="23"/>
  <c r="F110" i="23"/>
  <c r="F347" i="23"/>
  <c r="F233" i="23"/>
  <c r="F315" i="23"/>
  <c r="F185" i="23"/>
  <c r="F208" i="23"/>
  <c r="F48" i="23"/>
  <c r="F97" i="23"/>
  <c r="F34" i="23"/>
  <c r="F532" i="23"/>
  <c r="F497" i="23"/>
  <c r="F525" i="23"/>
  <c r="F581" i="23"/>
  <c r="F585" i="23"/>
  <c r="F531" i="23"/>
  <c r="F483" i="23"/>
  <c r="F399" i="23"/>
  <c r="F188" i="23"/>
  <c r="F359" i="23"/>
  <c r="F354" i="23"/>
  <c r="F303" i="23"/>
  <c r="F116" i="23"/>
  <c r="F101" i="23"/>
  <c r="F356" i="23"/>
  <c r="F295" i="23"/>
  <c r="F325" i="23"/>
  <c r="F240" i="23"/>
  <c r="F85" i="23"/>
  <c r="F157" i="23"/>
  <c r="F127" i="23"/>
  <c r="F105" i="23"/>
  <c r="F198" i="23"/>
  <c r="F194" i="23"/>
  <c r="F96" i="23"/>
  <c r="F50" i="23"/>
  <c r="F10" i="23"/>
  <c r="F178" i="23"/>
  <c r="F39" i="23"/>
  <c r="F411" i="23"/>
  <c r="F471" i="23"/>
  <c r="F425" i="23"/>
  <c r="F543" i="23"/>
  <c r="F437" i="23"/>
  <c r="F389" i="23"/>
  <c r="F449" i="23"/>
  <c r="F350" i="23"/>
  <c r="F372" i="23"/>
  <c r="F138" i="23"/>
  <c r="F288" i="23"/>
  <c r="F278" i="23"/>
  <c r="F156" i="23"/>
  <c r="F94" i="23"/>
  <c r="F168" i="23"/>
  <c r="F556" i="23"/>
  <c r="F535" i="23"/>
  <c r="F466" i="23"/>
  <c r="F513" i="23"/>
  <c r="F456" i="23"/>
  <c r="F367" i="23"/>
  <c r="F346" i="23"/>
  <c r="F418" i="23"/>
  <c r="F281" i="23"/>
  <c r="F333" i="23"/>
  <c r="F107" i="23"/>
  <c r="F131" i="23"/>
  <c r="F167" i="23"/>
  <c r="F125" i="23"/>
  <c r="F31" i="23"/>
  <c r="F7" i="23"/>
  <c r="F159" i="23"/>
  <c r="F579" i="23"/>
  <c r="F474" i="23"/>
  <c r="F576" i="23"/>
  <c r="F570" i="23"/>
  <c r="F387" i="23"/>
  <c r="F562" i="23"/>
  <c r="F563" i="23"/>
  <c r="F521" i="23"/>
  <c r="F244" i="23"/>
  <c r="F261" i="23"/>
  <c r="F319" i="23"/>
  <c r="F299" i="23"/>
  <c r="F197" i="23"/>
  <c r="F189" i="23"/>
  <c r="F317" i="23"/>
  <c r="F279" i="23"/>
  <c r="F332" i="23"/>
  <c r="F151" i="23"/>
  <c r="F102" i="23"/>
  <c r="F91" i="23"/>
  <c r="F111" i="23"/>
  <c r="F65" i="23"/>
  <c r="F23" i="23"/>
  <c r="F228" i="23"/>
  <c r="F47" i="23"/>
  <c r="F33" i="23"/>
  <c r="F40" i="23"/>
  <c r="F272" i="23"/>
  <c r="F273" i="23"/>
  <c r="K13" i="17"/>
  <c r="K26" i="17"/>
  <c r="D21" i="23" s="1"/>
  <c r="K37" i="17"/>
  <c r="D28" i="23" s="1"/>
  <c r="K35" i="17"/>
  <c r="K27" i="17"/>
  <c r="K22" i="17"/>
  <c r="K38" i="17"/>
  <c r="K46" i="17"/>
  <c r="K70" i="17"/>
  <c r="K61" i="17"/>
  <c r="K11" i="17"/>
  <c r="K14" i="17"/>
  <c r="D20" i="23" s="1"/>
  <c r="K12" i="17"/>
  <c r="D8" i="23" s="1"/>
  <c r="K49" i="17"/>
  <c r="D48" i="23" s="1"/>
  <c r="K16" i="17"/>
  <c r="D16" i="23" s="1"/>
  <c r="K18" i="17"/>
  <c r="K33" i="17"/>
  <c r="K78" i="17"/>
  <c r="K58" i="17"/>
  <c r="K69" i="17"/>
  <c r="K68" i="17"/>
  <c r="K79" i="17"/>
  <c r="D92" i="23" s="1"/>
  <c r="K40" i="17"/>
  <c r="D36" i="23" s="1"/>
  <c r="K105" i="17"/>
  <c r="K48" i="17"/>
  <c r="K45" i="17"/>
  <c r="K73" i="17"/>
  <c r="D76" i="23" s="1"/>
  <c r="K143" i="17"/>
  <c r="K8" i="17"/>
  <c r="D4" i="23" s="1"/>
  <c r="K29" i="17"/>
  <c r="K17" i="17"/>
  <c r="K24" i="17"/>
  <c r="D22" i="23" s="1"/>
  <c r="K21" i="17"/>
  <c r="K32" i="17"/>
  <c r="D40" i="23" s="1"/>
  <c r="K43" i="17"/>
  <c r="D41" i="23" s="1"/>
  <c r="K20" i="17"/>
  <c r="D18" i="23" s="1"/>
  <c r="K36" i="17"/>
  <c r="K52" i="17"/>
  <c r="K34" i="17"/>
  <c r="D46" i="23" s="1"/>
  <c r="K53" i="17"/>
  <c r="D44" i="23" s="1"/>
  <c r="K66" i="17"/>
  <c r="K23" i="17"/>
  <c r="K54" i="17"/>
  <c r="K94" i="17"/>
  <c r="K50" i="17"/>
  <c r="K63" i="17"/>
  <c r="K113" i="17"/>
  <c r="K83" i="17"/>
  <c r="D81" i="23" s="1"/>
  <c r="K57" i="17"/>
  <c r="K85" i="17"/>
  <c r="K116" i="17"/>
  <c r="D100" i="23" s="1"/>
  <c r="K201" i="17"/>
  <c r="K5" i="17"/>
  <c r="D3" i="23" s="1"/>
  <c r="K4" i="17"/>
  <c r="D2" i="23" s="1"/>
  <c r="K7" i="17"/>
  <c r="D5" i="23" s="1"/>
  <c r="K9" i="17"/>
  <c r="K15" i="17"/>
  <c r="D11" i="23" s="1"/>
  <c r="K64" i="17"/>
  <c r="K31" i="17"/>
  <c r="K44" i="17"/>
  <c r="K30" i="17"/>
  <c r="K19" i="17"/>
  <c r="D17" i="23" s="1"/>
  <c r="K28" i="17"/>
  <c r="D24" i="23" s="1"/>
  <c r="K41" i="17"/>
  <c r="D34" i="23" s="1"/>
  <c r="K59" i="17"/>
  <c r="D55" i="23" s="1"/>
  <c r="K25" i="17"/>
  <c r="D27" i="23" s="1"/>
  <c r="K89" i="17"/>
  <c r="K71" i="17"/>
  <c r="K111" i="17"/>
  <c r="K51" i="17"/>
  <c r="D67" i="23" s="1"/>
  <c r="K55" i="17"/>
  <c r="D39" i="23" s="1"/>
  <c r="K91" i="17"/>
  <c r="K90" i="17"/>
  <c r="K148" i="17"/>
  <c r="J5" i="17"/>
  <c r="C3" i="23" s="1"/>
  <c r="J4" i="17"/>
  <c r="C2" i="23" s="1"/>
  <c r="J6" i="17"/>
  <c r="C6" i="23" s="1"/>
  <c r="J29" i="17"/>
  <c r="J11" i="17"/>
  <c r="J14" i="17"/>
  <c r="J12" i="17"/>
  <c r="J7" i="17"/>
  <c r="C5" i="23" s="1"/>
  <c r="J9" i="17"/>
  <c r="C9" i="23" s="1"/>
  <c r="J17" i="17"/>
  <c r="J10" i="17"/>
  <c r="J24" i="17"/>
  <c r="C22" i="23" s="1"/>
  <c r="J15" i="17"/>
  <c r="C11" i="23" s="1"/>
  <c r="J49" i="17"/>
  <c r="J21" i="17"/>
  <c r="J13" i="17"/>
  <c r="J26" i="17"/>
  <c r="J16" i="17"/>
  <c r="J32" i="17"/>
  <c r="J64" i="17"/>
  <c r="J37" i="17"/>
  <c r="C28" i="23" s="1"/>
  <c r="J31" i="17"/>
  <c r="C30" i="23" s="1"/>
  <c r="J44" i="17"/>
  <c r="J35" i="17"/>
  <c r="J43" i="17"/>
  <c r="C41" i="23" s="1"/>
  <c r="J30" i="17"/>
  <c r="C25" i="23" s="1"/>
  <c r="J20" i="17"/>
  <c r="C18" i="23" s="1"/>
  <c r="J19" i="17"/>
  <c r="C17" i="23" s="1"/>
  <c r="J28" i="17"/>
  <c r="C24" i="23" s="1"/>
  <c r="J18" i="17"/>
  <c r="J41" i="17"/>
  <c r="J36" i="17"/>
  <c r="J52" i="17"/>
  <c r="C42" i="23" s="1"/>
  <c r="J34" i="17"/>
  <c r="J53" i="17"/>
  <c r="J59" i="17"/>
  <c r="J66" i="17"/>
  <c r="J23" i="17"/>
  <c r="J33" i="17"/>
  <c r="J54" i="17"/>
  <c r="J27" i="17"/>
  <c r="J78" i="17"/>
  <c r="J94" i="17"/>
  <c r="J50" i="17"/>
  <c r="J25" i="17"/>
  <c r="C27" i="23" s="1"/>
  <c r="J89" i="17"/>
  <c r="J58" i="17"/>
  <c r="J63" i="17"/>
  <c r="J22" i="17"/>
  <c r="J71" i="17"/>
  <c r="J69" i="17"/>
  <c r="J111" i="17"/>
  <c r="J51" i="17"/>
  <c r="J113" i="17"/>
  <c r="J38" i="17"/>
  <c r="J46" i="17"/>
  <c r="J68" i="17"/>
  <c r="J124" i="17"/>
  <c r="J79" i="17"/>
  <c r="J83" i="17"/>
  <c r="C81" i="23" s="1"/>
  <c r="K62" i="17"/>
  <c r="D65" i="23" s="1"/>
  <c r="K67" i="17"/>
  <c r="K131" i="17"/>
  <c r="D129" i="23" s="1"/>
  <c r="K96" i="17"/>
  <c r="D87" i="23" s="1"/>
  <c r="K72" i="17"/>
  <c r="D70" i="23" s="1"/>
  <c r="K56" i="17"/>
  <c r="K102" i="17"/>
  <c r="K163" i="17"/>
  <c r="D117" i="23" s="1"/>
  <c r="K173" i="17"/>
  <c r="K172" i="17"/>
  <c r="D168" i="23" s="1"/>
  <c r="K42" i="17"/>
  <c r="K177" i="17"/>
  <c r="K147" i="17"/>
  <c r="D145" i="23" s="1"/>
  <c r="K175" i="17"/>
  <c r="K134" i="17"/>
  <c r="K122" i="17"/>
  <c r="D137" i="23" s="1"/>
  <c r="K77" i="17"/>
  <c r="D75" i="23" s="1"/>
  <c r="K108" i="17"/>
  <c r="K128" i="17"/>
  <c r="K135" i="17"/>
  <c r="K228" i="17"/>
  <c r="K117" i="17"/>
  <c r="K156" i="17"/>
  <c r="K98" i="17"/>
  <c r="K166" i="17"/>
  <c r="D122" i="23" s="1"/>
  <c r="K82" i="17"/>
  <c r="D94" i="23" s="1"/>
  <c r="K65" i="17"/>
  <c r="D68" i="23" s="1"/>
  <c r="K130" i="17"/>
  <c r="K179" i="17"/>
  <c r="K99" i="17"/>
  <c r="K119" i="17"/>
  <c r="D141" i="23" s="1"/>
  <c r="K259" i="17"/>
  <c r="K245" i="17"/>
  <c r="K221" i="17"/>
  <c r="K157" i="17"/>
  <c r="K203" i="17"/>
  <c r="K198" i="17"/>
  <c r="K170" i="17"/>
  <c r="K193" i="17"/>
  <c r="K158" i="17"/>
  <c r="K141" i="17"/>
  <c r="D120" i="23" s="1"/>
  <c r="K115" i="17"/>
  <c r="K174" i="17"/>
  <c r="K125" i="17"/>
  <c r="K252" i="17"/>
  <c r="K207" i="17"/>
  <c r="K154" i="17"/>
  <c r="D154" i="23" s="1"/>
  <c r="K136" i="17"/>
  <c r="D155" i="23" s="1"/>
  <c r="K137" i="17"/>
  <c r="K272" i="17"/>
  <c r="K243" i="17"/>
  <c r="K186" i="17"/>
  <c r="K123" i="17"/>
  <c r="K194" i="17"/>
  <c r="K106" i="17"/>
  <c r="K88" i="17"/>
  <c r="K159" i="17"/>
  <c r="D166" i="23" s="1"/>
  <c r="K160" i="17"/>
  <c r="K126" i="17"/>
  <c r="K215" i="17"/>
  <c r="K47" i="17"/>
  <c r="D64" i="23" s="1"/>
  <c r="K129" i="17"/>
  <c r="K144" i="17"/>
  <c r="K239" i="17"/>
  <c r="K224" i="17"/>
  <c r="D204" i="23" s="1"/>
  <c r="K188" i="17"/>
  <c r="K214" i="17"/>
  <c r="D185" i="23" s="1"/>
  <c r="K171" i="17"/>
  <c r="D173" i="23" s="1"/>
  <c r="K211" i="17"/>
  <c r="K182" i="17"/>
  <c r="D146" i="23" s="1"/>
  <c r="K187" i="17"/>
  <c r="K84" i="17"/>
  <c r="D85" i="23" s="1"/>
  <c r="K110" i="17"/>
  <c r="K240" i="17"/>
  <c r="D229" i="23" s="1"/>
  <c r="K152" i="17"/>
  <c r="K168" i="17"/>
  <c r="K86" i="17"/>
  <c r="K226" i="17"/>
  <c r="K199" i="17"/>
  <c r="K127" i="17"/>
  <c r="D126" i="23" s="1"/>
  <c r="K176" i="17"/>
  <c r="K200" i="17"/>
  <c r="K181" i="17"/>
  <c r="K101" i="17"/>
  <c r="D90" i="23" s="1"/>
  <c r="K118" i="17"/>
  <c r="D135" i="23" s="1"/>
  <c r="K151" i="17"/>
  <c r="K250" i="17"/>
  <c r="D192" i="23" s="1"/>
  <c r="K87" i="17"/>
  <c r="K145" i="17"/>
  <c r="K95" i="17"/>
  <c r="K209" i="17"/>
  <c r="K274" i="17"/>
  <c r="K164" i="17"/>
  <c r="D242" i="23" s="1"/>
  <c r="K256" i="17"/>
  <c r="D274" i="23" s="1"/>
  <c r="K192" i="17"/>
  <c r="K267" i="17"/>
  <c r="K114" i="17"/>
  <c r="K205" i="17"/>
  <c r="D203" i="23" s="1"/>
  <c r="K251" i="17"/>
  <c r="D197" i="23" s="1"/>
  <c r="K229" i="17"/>
  <c r="D206" i="23" s="1"/>
  <c r="K132" i="17"/>
  <c r="K295" i="17"/>
  <c r="K231" i="17"/>
  <c r="K142" i="17"/>
  <c r="D193" i="23" s="1"/>
  <c r="K196" i="17"/>
  <c r="D238" i="23" s="1"/>
  <c r="K234" i="17"/>
  <c r="D249" i="23" s="1"/>
  <c r="K222" i="17"/>
  <c r="K285" i="17"/>
  <c r="D265" i="23" s="1"/>
  <c r="K167" i="17"/>
  <c r="D220" i="23" s="1"/>
  <c r="K109" i="17"/>
  <c r="D104" i="23" s="1"/>
  <c r="K183" i="17"/>
  <c r="D199" i="23" s="1"/>
  <c r="K276" i="17"/>
  <c r="D268" i="23" s="1"/>
  <c r="K133" i="17"/>
  <c r="K121" i="17"/>
  <c r="K268" i="17"/>
  <c r="K278" i="17"/>
  <c r="D223" i="23" s="1"/>
  <c r="K112" i="17"/>
  <c r="K283" i="17"/>
  <c r="K208" i="17"/>
  <c r="D217" i="23" s="1"/>
  <c r="K216" i="17"/>
  <c r="D212" i="23" s="1"/>
  <c r="K100" i="17"/>
  <c r="D80" i="23" s="1"/>
  <c r="K161" i="17"/>
  <c r="K288" i="17"/>
  <c r="D226" i="23" s="1"/>
  <c r="K257" i="17"/>
  <c r="K197" i="17"/>
  <c r="D152" i="23" s="1"/>
  <c r="K277" i="17"/>
  <c r="D259" i="23" s="1"/>
  <c r="K92" i="17"/>
  <c r="K178" i="17"/>
  <c r="D184" i="23" s="1"/>
  <c r="K230" i="17"/>
  <c r="D269" i="23" s="1"/>
  <c r="K291" i="17"/>
  <c r="K293" i="17"/>
  <c r="K237" i="17"/>
  <c r="K271" i="17"/>
  <c r="D231" i="23" s="1"/>
  <c r="K306" i="17"/>
  <c r="D332" i="23" s="1"/>
  <c r="K273" i="17"/>
  <c r="K307" i="17"/>
  <c r="D270" i="23" s="1"/>
  <c r="K265" i="17"/>
  <c r="D263" i="23" s="1"/>
  <c r="K311" i="17"/>
  <c r="D314" i="23" s="1"/>
  <c r="K312" i="17"/>
  <c r="K280" i="17"/>
  <c r="K246" i="17"/>
  <c r="K347" i="17"/>
  <c r="K325" i="17"/>
  <c r="K253" i="17"/>
  <c r="D230" i="23" s="1"/>
  <c r="K155" i="17"/>
  <c r="K344" i="17"/>
  <c r="D342" i="23" s="1"/>
  <c r="K296" i="17"/>
  <c r="K329" i="17"/>
  <c r="K300" i="17"/>
  <c r="K356" i="17"/>
  <c r="K75" i="17"/>
  <c r="K258" i="17"/>
  <c r="D191" i="23" s="1"/>
  <c r="K350" i="17"/>
  <c r="K146" i="17"/>
  <c r="D115" i="23" s="1"/>
  <c r="K235" i="17"/>
  <c r="D207" i="23" s="1"/>
  <c r="K223" i="17"/>
  <c r="K294" i="17"/>
  <c r="K314" i="17"/>
  <c r="D241" i="23" s="1"/>
  <c r="K282" i="17"/>
  <c r="D294" i="23" s="1"/>
  <c r="K255" i="17"/>
  <c r="K225" i="17"/>
  <c r="D216" i="23" s="1"/>
  <c r="K318" i="17"/>
  <c r="K232" i="17"/>
  <c r="K204" i="17"/>
  <c r="D255" i="23" s="1"/>
  <c r="K330" i="17"/>
  <c r="K165" i="17"/>
  <c r="D243" i="23" s="1"/>
  <c r="K334" i="17"/>
  <c r="K303" i="17"/>
  <c r="K340" i="17"/>
  <c r="K80" i="17"/>
  <c r="D88" i="23" s="1"/>
  <c r="K60" i="17"/>
  <c r="K189" i="17"/>
  <c r="D156" i="23" s="1"/>
  <c r="K74" i="17"/>
  <c r="D74" i="23" s="1"/>
  <c r="K39" i="17"/>
  <c r="K81" i="17"/>
  <c r="D159" i="23" s="1"/>
  <c r="K104" i="17"/>
  <c r="D131" i="23" s="1"/>
  <c r="K93" i="17"/>
  <c r="D69" i="23" s="1"/>
  <c r="L8" i="17"/>
  <c r="E4" i="23" s="1"/>
  <c r="L5" i="17"/>
  <c r="E3" i="23" s="1"/>
  <c r="L4" i="17"/>
  <c r="E2" i="23" s="1"/>
  <c r="L6" i="17"/>
  <c r="L29" i="17"/>
  <c r="L11" i="17"/>
  <c r="E7" i="23" s="1"/>
  <c r="L14" i="17"/>
  <c r="E20" i="23" s="1"/>
  <c r="L12" i="17"/>
  <c r="L7" i="17"/>
  <c r="E5" i="23" s="1"/>
  <c r="L9" i="17"/>
  <c r="L17" i="17"/>
  <c r="E13" i="23" s="1"/>
  <c r="L10" i="17"/>
  <c r="E10" i="23" s="1"/>
  <c r="L24" i="17"/>
  <c r="E22" i="23" s="1"/>
  <c r="L15" i="17"/>
  <c r="L49" i="17"/>
  <c r="L21" i="17"/>
  <c r="E14" i="23" s="1"/>
  <c r="L13" i="17"/>
  <c r="E12" i="23" s="1"/>
  <c r="L26" i="17"/>
  <c r="L16" i="17"/>
  <c r="L32" i="17"/>
  <c r="L64" i="17"/>
  <c r="L37" i="17"/>
  <c r="L31" i="17"/>
  <c r="E30" i="23" s="1"/>
  <c r="L44" i="17"/>
  <c r="E37" i="23" s="1"/>
  <c r="L35" i="17"/>
  <c r="E35" i="23" s="1"/>
  <c r="L43" i="17"/>
  <c r="E41" i="23" s="1"/>
  <c r="L30" i="17"/>
  <c r="L20" i="17"/>
  <c r="E18" i="23" s="1"/>
  <c r="L19" i="17"/>
  <c r="E17" i="23" s="1"/>
  <c r="L28" i="17"/>
  <c r="E24" i="23" s="1"/>
  <c r="L18" i="17"/>
  <c r="L41" i="17"/>
  <c r="L36" i="17"/>
  <c r="L52" i="17"/>
  <c r="L34" i="17"/>
  <c r="E46" i="23" s="1"/>
  <c r="L53" i="17"/>
  <c r="L59" i="17"/>
  <c r="E55" i="23" s="1"/>
  <c r="L66" i="17"/>
  <c r="L23" i="17"/>
  <c r="E23" i="23" s="1"/>
  <c r="L33" i="17"/>
  <c r="L54" i="17"/>
  <c r="L27" i="17"/>
  <c r="L78" i="17"/>
  <c r="E66" i="23" s="1"/>
  <c r="L94" i="17"/>
  <c r="L50" i="17"/>
  <c r="L25" i="17"/>
  <c r="L89" i="17"/>
  <c r="E73" i="23" s="1"/>
  <c r="L58" i="17"/>
  <c r="E50" i="23" s="1"/>
  <c r="L63" i="17"/>
  <c r="E63" i="23" s="1"/>
  <c r="L22" i="17"/>
  <c r="L71" i="17"/>
  <c r="L69" i="17"/>
  <c r="E72" i="23" s="1"/>
  <c r="L111" i="17"/>
  <c r="L51" i="17"/>
  <c r="L113" i="17"/>
  <c r="L38" i="17"/>
  <c r="L46" i="17"/>
  <c r="L68" i="17"/>
  <c r="E59" i="23" s="1"/>
  <c r="L124" i="17"/>
  <c r="L79" i="17"/>
  <c r="E92" i="23" s="1"/>
  <c r="L83" i="17"/>
  <c r="E81" i="23" s="1"/>
  <c r="L57" i="17"/>
  <c r="L70" i="17"/>
  <c r="L85" i="17"/>
  <c r="L55" i="17"/>
  <c r="E39" i="23" s="1"/>
  <c r="L40" i="17"/>
  <c r="E36" i="23" s="1"/>
  <c r="L105" i="17"/>
  <c r="L48" i="17"/>
  <c r="L91" i="17"/>
  <c r="L116" i="17"/>
  <c r="L45" i="17"/>
  <c r="L90" i="17"/>
  <c r="L73" i="17"/>
  <c r="E76" i="23" s="1"/>
  <c r="L61" i="17"/>
  <c r="L62" i="17"/>
  <c r="E65" i="23" s="1"/>
  <c r="L67" i="17"/>
  <c r="L131" i="17"/>
  <c r="E129" i="23" s="1"/>
  <c r="L148" i="17"/>
  <c r="L96" i="17"/>
  <c r="L143" i="17"/>
  <c r="L80" i="17"/>
  <c r="L107" i="17"/>
  <c r="L201" i="17"/>
  <c r="L72" i="17"/>
  <c r="E96" i="23" s="1"/>
  <c r="L104" i="17"/>
  <c r="L60" i="17"/>
  <c r="L56" i="17"/>
  <c r="L189" i="17"/>
  <c r="L74" i="17"/>
  <c r="L102" i="17"/>
  <c r="L162" i="17"/>
  <c r="L39" i="17"/>
  <c r="L93" i="17"/>
  <c r="L120" i="17"/>
  <c r="L81" i="17"/>
  <c r="L163" i="17"/>
  <c r="E117" i="23" s="1"/>
  <c r="L173" i="17"/>
  <c r="E134" i="23" s="1"/>
  <c r="L172" i="17"/>
  <c r="L42" i="17"/>
  <c r="L177" i="17"/>
  <c r="E170" i="23" s="1"/>
  <c r="L195" i="17"/>
  <c r="L147" i="17"/>
  <c r="L175" i="17"/>
  <c r="L134" i="17"/>
  <c r="L122" i="17"/>
  <c r="L77" i="17"/>
  <c r="E75" i="23" s="1"/>
  <c r="L108" i="17"/>
  <c r="L128" i="17"/>
  <c r="L135" i="17"/>
  <c r="L228" i="17"/>
  <c r="L117" i="17"/>
  <c r="E111" i="23" s="1"/>
  <c r="L139" i="17"/>
  <c r="E124" i="23" s="1"/>
  <c r="L156" i="17"/>
  <c r="L98" i="17"/>
  <c r="L218" i="17"/>
  <c r="L166" i="17"/>
  <c r="L82" i="17"/>
  <c r="L65" i="17"/>
  <c r="L130" i="17"/>
  <c r="E114" i="23" s="1"/>
  <c r="L179" i="17"/>
  <c r="E194" i="23" s="1"/>
  <c r="L99" i="17"/>
  <c r="L119" i="17"/>
  <c r="L259" i="17"/>
  <c r="L245" i="17"/>
  <c r="L221" i="17"/>
  <c r="L157" i="17"/>
  <c r="L203" i="17"/>
  <c r="L198" i="17"/>
  <c r="L170" i="17"/>
  <c r="L193" i="17"/>
  <c r="E196" i="23" s="1"/>
  <c r="L158" i="17"/>
  <c r="L219" i="17"/>
  <c r="L141" i="17"/>
  <c r="E120" i="23" s="1"/>
  <c r="L115" i="17"/>
  <c r="L174" i="17"/>
  <c r="L125" i="17"/>
  <c r="L252" i="17"/>
  <c r="L207" i="17"/>
  <c r="E118" i="23" s="1"/>
  <c r="L154" i="17"/>
  <c r="L136" i="17"/>
  <c r="L137" i="17"/>
  <c r="L272" i="17"/>
  <c r="E201" i="23" s="1"/>
  <c r="L243" i="17"/>
  <c r="E205" i="23" s="1"/>
  <c r="L186" i="17"/>
  <c r="E187" i="23" s="1"/>
  <c r="L123" i="17"/>
  <c r="E132" i="23" s="1"/>
  <c r="L194" i="17"/>
  <c r="L106" i="17"/>
  <c r="E91" i="23" s="1"/>
  <c r="L88" i="17"/>
  <c r="E89" i="23" s="1"/>
  <c r="L159" i="17"/>
  <c r="L160" i="17"/>
  <c r="L126" i="17"/>
  <c r="L215" i="17"/>
  <c r="L47" i="17"/>
  <c r="E64" i="23" s="1"/>
  <c r="L129" i="17"/>
  <c r="L144" i="17"/>
  <c r="E186" i="23" s="1"/>
  <c r="L239" i="17"/>
  <c r="E198" i="23" s="1"/>
  <c r="L224" i="17"/>
  <c r="E204" i="23" s="1"/>
  <c r="L188" i="17"/>
  <c r="L214" i="17"/>
  <c r="E185" i="23" s="1"/>
  <c r="L171" i="17"/>
  <c r="E173" i="23" s="1"/>
  <c r="L211" i="17"/>
  <c r="E162" i="23" s="1"/>
  <c r="L182" i="17"/>
  <c r="E146" i="23" s="1"/>
  <c r="L187" i="17"/>
  <c r="L206" i="17"/>
  <c r="L84" i="17"/>
  <c r="L110" i="17"/>
  <c r="L240" i="17"/>
  <c r="E229" i="23" s="1"/>
  <c r="L152" i="17"/>
  <c r="E161" i="23" s="1"/>
  <c r="L168" i="17"/>
  <c r="L86" i="17"/>
  <c r="L226" i="17"/>
  <c r="E172" i="23" s="1"/>
  <c r="L199" i="17"/>
  <c r="E175" i="23" s="1"/>
  <c r="L127" i="17"/>
  <c r="L270" i="17"/>
  <c r="E250" i="23" s="1"/>
  <c r="L176" i="17"/>
  <c r="L200" i="17"/>
  <c r="E213" i="23" s="1"/>
  <c r="L181" i="17"/>
  <c r="L101" i="17"/>
  <c r="L118" i="17"/>
  <c r="E135" i="23" s="1"/>
  <c r="L151" i="17"/>
  <c r="L250" i="17"/>
  <c r="E192" i="23" s="1"/>
  <c r="L87" i="17"/>
  <c r="L145" i="17"/>
  <c r="L95" i="17"/>
  <c r="E99" i="23" s="1"/>
  <c r="L209" i="17"/>
  <c r="E232" i="23" s="1"/>
  <c r="L274" i="17"/>
  <c r="L164" i="17"/>
  <c r="L256" i="17"/>
  <c r="E274" i="23" s="1"/>
  <c r="L192" i="17"/>
  <c r="L267" i="17"/>
  <c r="L114" i="17"/>
  <c r="L205" i="17"/>
  <c r="E203" i="23" s="1"/>
  <c r="L251" i="17"/>
  <c r="E197" i="23" s="1"/>
  <c r="L229" i="17"/>
  <c r="L132" i="17"/>
  <c r="L295" i="17"/>
  <c r="E257" i="23" s="1"/>
  <c r="L231" i="17"/>
  <c r="L142" i="17"/>
  <c r="E193" i="23" s="1"/>
  <c r="L196" i="17"/>
  <c r="L234" i="17"/>
  <c r="L222" i="17"/>
  <c r="L285" i="17"/>
  <c r="E265" i="23" s="1"/>
  <c r="L167" i="17"/>
  <c r="E220" i="23" s="1"/>
  <c r="L109" i="17"/>
  <c r="E104" i="23" s="1"/>
  <c r="L183" i="17"/>
  <c r="E199" i="23" s="1"/>
  <c r="L276" i="17"/>
  <c r="L133" i="17"/>
  <c r="L121" i="17"/>
  <c r="E140" i="23" s="1"/>
  <c r="L268" i="17"/>
  <c r="L278" i="17"/>
  <c r="L112" i="17"/>
  <c r="L283" i="17"/>
  <c r="L208" i="17"/>
  <c r="L216" i="17"/>
  <c r="L100" i="17"/>
  <c r="E80" i="23" s="1"/>
  <c r="L161" i="17"/>
  <c r="L288" i="17"/>
  <c r="E226" i="23" s="1"/>
  <c r="L257" i="17"/>
  <c r="L197" i="17"/>
  <c r="E152" i="23" s="1"/>
  <c r="L277" i="17"/>
  <c r="E259" i="23" s="1"/>
  <c r="L92" i="17"/>
  <c r="E108" i="23" s="1"/>
  <c r="L178" i="17"/>
  <c r="L230" i="17"/>
  <c r="L291" i="17"/>
  <c r="L293" i="17"/>
  <c r="L237" i="17"/>
  <c r="L271" i="17"/>
  <c r="L306" i="17"/>
  <c r="L273" i="17"/>
  <c r="L307" i="17"/>
  <c r="L265" i="17"/>
  <c r="E263" i="23" s="1"/>
  <c r="L311" i="17"/>
  <c r="L312" i="17"/>
  <c r="E298" i="23" s="1"/>
  <c r="L280" i="17"/>
  <c r="L286" i="17"/>
  <c r="L246" i="17"/>
  <c r="L347" i="17"/>
  <c r="L299" i="17"/>
  <c r="L325" i="17"/>
  <c r="L316" i="17"/>
  <c r="L76" i="17"/>
  <c r="E70" i="23" s="1"/>
  <c r="L253" i="17"/>
  <c r="L155" i="17"/>
  <c r="L344" i="17"/>
  <c r="L296" i="17"/>
  <c r="E254" i="23" s="1"/>
  <c r="L329" i="17"/>
  <c r="L300" i="17"/>
  <c r="L356" i="17"/>
  <c r="E305" i="23" s="1"/>
  <c r="L75" i="17"/>
  <c r="E78" i="23" s="1"/>
  <c r="L258" i="17"/>
  <c r="E191" i="23" s="1"/>
  <c r="L350" i="17"/>
  <c r="K107" i="17"/>
  <c r="D102" i="23" s="1"/>
  <c r="K162" i="17"/>
  <c r="D127" i="23" s="1"/>
  <c r="K120" i="17"/>
  <c r="D139" i="23" s="1"/>
  <c r="J57" i="17"/>
  <c r="C52" i="23" s="1"/>
  <c r="J70" i="17"/>
  <c r="C57" i="23" s="1"/>
  <c r="J85" i="17"/>
  <c r="J55" i="17"/>
  <c r="C39" i="23" s="1"/>
  <c r="J40" i="17"/>
  <c r="C36" i="23" s="1"/>
  <c r="J105" i="17"/>
  <c r="C109" i="23" s="1"/>
  <c r="J48" i="17"/>
  <c r="C51" i="23" s="1"/>
  <c r="J91" i="17"/>
  <c r="J116" i="17"/>
  <c r="C100" i="23" s="1"/>
  <c r="J45" i="17"/>
  <c r="C49" i="23" s="1"/>
  <c r="J90" i="17"/>
  <c r="C86" i="23" s="1"/>
  <c r="J73" i="17"/>
  <c r="C76" i="23" s="1"/>
  <c r="J61" i="17"/>
  <c r="J62" i="17"/>
  <c r="C65" i="23" s="1"/>
  <c r="J67" i="17"/>
  <c r="J131" i="17"/>
  <c r="C129" i="23" s="1"/>
  <c r="J148" i="17"/>
  <c r="J96" i="17"/>
  <c r="J143" i="17"/>
  <c r="J80" i="17"/>
  <c r="J107" i="17"/>
  <c r="C102" i="23" s="1"/>
  <c r="J201" i="17"/>
  <c r="J72" i="17"/>
  <c r="C96" i="23" s="1"/>
  <c r="J104" i="17"/>
  <c r="J60" i="17"/>
  <c r="C61" i="23" s="1"/>
  <c r="J56" i="17"/>
  <c r="C56" i="23" s="1"/>
  <c r="J189" i="17"/>
  <c r="J74" i="17"/>
  <c r="J102" i="17"/>
  <c r="J162" i="17"/>
  <c r="J39" i="17"/>
  <c r="C47" i="23" s="1"/>
  <c r="J93" i="17"/>
  <c r="C69" i="23" s="1"/>
  <c r="J120" i="17"/>
  <c r="J81" i="17"/>
  <c r="J163" i="17"/>
  <c r="C117" i="23" s="1"/>
  <c r="J173" i="17"/>
  <c r="J172" i="17"/>
  <c r="J42" i="17"/>
  <c r="J177" i="17"/>
  <c r="J195" i="17"/>
  <c r="J147" i="17"/>
  <c r="J175" i="17"/>
  <c r="J134" i="17"/>
  <c r="J122" i="17"/>
  <c r="J77" i="17"/>
  <c r="C75" i="23" s="1"/>
  <c r="J108" i="17"/>
  <c r="J128" i="17"/>
  <c r="C119" i="23" s="1"/>
  <c r="J135" i="17"/>
  <c r="J228" i="17"/>
  <c r="J117" i="17"/>
  <c r="C111" i="23" s="1"/>
  <c r="J139" i="17"/>
  <c r="C124" i="23" s="1"/>
  <c r="J156" i="17"/>
  <c r="J98" i="17"/>
  <c r="C77" i="23" s="1"/>
  <c r="J166" i="17"/>
  <c r="J82" i="17"/>
  <c r="J65" i="17"/>
  <c r="J130" i="17"/>
  <c r="C114" i="23" s="1"/>
  <c r="J179" i="17"/>
  <c r="C194" i="23" s="1"/>
  <c r="J99" i="17"/>
  <c r="C107" i="23" s="1"/>
  <c r="J119" i="17"/>
  <c r="J259" i="17"/>
  <c r="J245" i="17"/>
  <c r="J221" i="17"/>
  <c r="J157" i="17"/>
  <c r="J203" i="17"/>
  <c r="J198" i="17"/>
  <c r="J170" i="17"/>
  <c r="J193" i="17"/>
  <c r="C196" i="23" s="1"/>
  <c r="J158" i="17"/>
  <c r="J219" i="17"/>
  <c r="J141" i="17"/>
  <c r="C120" i="23" s="1"/>
  <c r="J115" i="17"/>
  <c r="J174" i="17"/>
  <c r="J125" i="17"/>
  <c r="J252" i="17"/>
  <c r="J207" i="17"/>
  <c r="J154" i="17"/>
  <c r="J136" i="17"/>
  <c r="J137" i="17"/>
  <c r="J272" i="17"/>
  <c r="C201" i="23" s="1"/>
  <c r="J243" i="17"/>
  <c r="C205" i="23" s="1"/>
  <c r="J186" i="17"/>
  <c r="C187" i="23" s="1"/>
  <c r="J123" i="17"/>
  <c r="C132" i="23" s="1"/>
  <c r="J194" i="17"/>
  <c r="J106" i="17"/>
  <c r="C91" i="23" s="1"/>
  <c r="J88" i="17"/>
  <c r="C89" i="23" s="1"/>
  <c r="J159" i="17"/>
  <c r="J160" i="17"/>
  <c r="J126" i="17"/>
  <c r="J215" i="17"/>
  <c r="J47" i="17"/>
  <c r="C64" i="23" s="1"/>
  <c r="J129" i="17"/>
  <c r="J144" i="17"/>
  <c r="C186" i="23" s="1"/>
  <c r="J239" i="17"/>
  <c r="C198" i="23" s="1"/>
  <c r="J224" i="17"/>
  <c r="C204" i="23" s="1"/>
  <c r="J188" i="17"/>
  <c r="J214" i="17"/>
  <c r="C185" i="23" s="1"/>
  <c r="J171" i="17"/>
  <c r="C173" i="23" s="1"/>
  <c r="J211" i="17"/>
  <c r="C162" i="23" s="1"/>
  <c r="J182" i="17"/>
  <c r="C146" i="23" s="1"/>
  <c r="J187" i="17"/>
  <c r="C171" i="23" s="1"/>
  <c r="J206" i="17"/>
  <c r="C174" i="23" s="1"/>
  <c r="J84" i="17"/>
  <c r="J110" i="17"/>
  <c r="J240" i="17"/>
  <c r="C229" i="23" s="1"/>
  <c r="J152" i="17"/>
  <c r="J168" i="17"/>
  <c r="J86" i="17"/>
  <c r="J226" i="17"/>
  <c r="C172" i="23" s="1"/>
  <c r="J199" i="17"/>
  <c r="C175" i="23" s="1"/>
  <c r="J127" i="17"/>
  <c r="J270" i="17"/>
  <c r="C250" i="23" s="1"/>
  <c r="J176" i="17"/>
  <c r="J200" i="17"/>
  <c r="C213" i="23" s="1"/>
  <c r="J181" i="17"/>
  <c r="J101" i="17"/>
  <c r="J118" i="17"/>
  <c r="C135" i="23" s="1"/>
  <c r="J151" i="17"/>
  <c r="J250" i="17"/>
  <c r="C192" i="23" s="1"/>
  <c r="J87" i="17"/>
  <c r="J145" i="17"/>
  <c r="J95" i="17"/>
  <c r="C99" i="23" s="1"/>
  <c r="J209" i="17"/>
  <c r="J274" i="17"/>
  <c r="J164" i="17"/>
  <c r="C242" i="23" s="1"/>
  <c r="J256" i="17"/>
  <c r="C274" i="23" s="1"/>
  <c r="J192" i="17"/>
  <c r="J267" i="17"/>
  <c r="J114" i="17"/>
  <c r="J205" i="17"/>
  <c r="C203" i="23" s="1"/>
  <c r="J251" i="17"/>
  <c r="C197" i="23" s="1"/>
  <c r="J229" i="17"/>
  <c r="J132" i="17"/>
  <c r="C133" i="23" s="1"/>
  <c r="J295" i="17"/>
  <c r="C257" i="23" s="1"/>
  <c r="J231" i="17"/>
  <c r="J142" i="17"/>
  <c r="C193" i="23" s="1"/>
  <c r="J196" i="17"/>
  <c r="J234" i="17"/>
  <c r="J222" i="17"/>
  <c r="J285" i="17"/>
  <c r="C265" i="23" s="1"/>
  <c r="J167" i="17"/>
  <c r="C220" i="23" s="1"/>
  <c r="J109" i="17"/>
  <c r="C104" i="23" s="1"/>
  <c r="J183" i="17"/>
  <c r="C199" i="23" s="1"/>
  <c r="J276" i="17"/>
  <c r="J133" i="17"/>
  <c r="J121" i="17"/>
  <c r="C140" i="23" s="1"/>
  <c r="J268" i="17"/>
  <c r="J278" i="17"/>
  <c r="J112" i="17"/>
  <c r="J283" i="17"/>
  <c r="J208" i="17"/>
  <c r="J216" i="17"/>
  <c r="J100" i="17"/>
  <c r="C80" i="23" s="1"/>
  <c r="J161" i="17"/>
  <c r="J288" i="17"/>
  <c r="C226" i="23" s="1"/>
  <c r="J257" i="17"/>
  <c r="J197" i="17"/>
  <c r="C152" i="23" s="1"/>
  <c r="J277" i="17"/>
  <c r="C259" i="23" s="1"/>
  <c r="J92" i="17"/>
  <c r="C108" i="23" s="1"/>
  <c r="J178" i="17"/>
  <c r="J230" i="17"/>
  <c r="J291" i="17"/>
  <c r="J293" i="17"/>
  <c r="J237" i="17"/>
  <c r="J271" i="17"/>
  <c r="J306" i="17"/>
  <c r="J273" i="17"/>
  <c r="C299" i="23" s="1"/>
  <c r="J307" i="17"/>
  <c r="J265" i="17"/>
  <c r="C263" i="23" s="1"/>
  <c r="J311" i="17"/>
  <c r="C314" i="23" s="1"/>
  <c r="J312" i="17"/>
  <c r="C298" i="23" s="1"/>
  <c r="J280" i="17"/>
  <c r="J286" i="17"/>
  <c r="J246" i="17"/>
  <c r="J347" i="17"/>
  <c r="J299" i="17"/>
  <c r="J325" i="17"/>
  <c r="J316" i="17"/>
  <c r="J76" i="17"/>
  <c r="C70" i="23" s="1"/>
  <c r="J253" i="17"/>
  <c r="J155" i="17"/>
  <c r="J344" i="17"/>
  <c r="J296" i="17"/>
  <c r="C254" i="23" s="1"/>
  <c r="J329" i="17"/>
  <c r="J300" i="17"/>
  <c r="J356" i="17"/>
  <c r="C305" i="23" s="1"/>
  <c r="J75" i="17"/>
  <c r="J258" i="17"/>
  <c r="C191" i="23" s="1"/>
  <c r="J350" i="17"/>
  <c r="J146" i="17"/>
  <c r="C115" i="23" s="1"/>
  <c r="J235" i="17"/>
  <c r="C207" i="23" s="1"/>
  <c r="J223" i="17"/>
  <c r="J294" i="17"/>
  <c r="K341" i="17"/>
  <c r="D346" i="23" s="1"/>
  <c r="K212" i="17"/>
  <c r="D244" i="23" s="1"/>
  <c r="K103" i="17"/>
  <c r="K241" i="17"/>
  <c r="D253" i="23" s="1"/>
  <c r="K337" i="17"/>
  <c r="K309" i="17"/>
  <c r="K360" i="17"/>
  <c r="D354" i="23" s="1"/>
  <c r="K184" i="17"/>
  <c r="D214" i="23" s="1"/>
  <c r="K242" i="17"/>
  <c r="D233" i="23" s="1"/>
  <c r="K217" i="17"/>
  <c r="D200" i="23" s="1"/>
  <c r="K149" i="17"/>
  <c r="K140" i="17"/>
  <c r="K153" i="17"/>
  <c r="K322" i="17"/>
  <c r="K210" i="17"/>
  <c r="K362" i="17"/>
  <c r="D360" i="23" s="1"/>
  <c r="K308" i="17"/>
  <c r="D304" i="23" s="1"/>
  <c r="K364" i="17"/>
  <c r="D361" i="23" s="1"/>
  <c r="K220" i="17"/>
  <c r="D266" i="23" s="1"/>
  <c r="K327" i="17"/>
  <c r="D222" i="23" s="1"/>
  <c r="K238" i="17"/>
  <c r="K263" i="17"/>
  <c r="D219" i="23" s="1"/>
  <c r="K375" i="17"/>
  <c r="K345" i="17"/>
  <c r="D373" i="23" s="1"/>
  <c r="K373" i="17"/>
  <c r="K266" i="17"/>
  <c r="K339" i="17"/>
  <c r="D312" i="23" s="1"/>
  <c r="K367" i="17"/>
  <c r="D338" i="23" s="1"/>
  <c r="K349" i="17"/>
  <c r="K97" i="17"/>
  <c r="D103" i="23" s="1"/>
  <c r="K310" i="17"/>
  <c r="K247" i="17"/>
  <c r="D283" i="23" s="1"/>
  <c r="K281" i="17"/>
  <c r="D246" i="23" s="1"/>
  <c r="K343" i="17"/>
  <c r="D281" i="23" s="1"/>
  <c r="K363" i="17"/>
  <c r="D293" i="23" s="1"/>
  <c r="K383" i="17"/>
  <c r="K297" i="17"/>
  <c r="D296" i="23" s="1"/>
  <c r="K301" i="17"/>
  <c r="K386" i="17"/>
  <c r="K387" i="17"/>
  <c r="K324" i="17"/>
  <c r="D291" i="23" s="1"/>
  <c r="K304" i="17"/>
  <c r="K346" i="17"/>
  <c r="K388" i="17"/>
  <c r="D384" i="23" s="1"/>
  <c r="K377" i="17"/>
  <c r="K292" i="17"/>
  <c r="D309" i="23" s="1"/>
  <c r="K249" i="17"/>
  <c r="D256" i="23" s="1"/>
  <c r="K398" i="17"/>
  <c r="D377" i="23" s="1"/>
  <c r="K368" i="17"/>
  <c r="K353" i="17"/>
  <c r="K379" i="17"/>
  <c r="D340" i="23" s="1"/>
  <c r="K138" i="17"/>
  <c r="D121" i="23" s="1"/>
  <c r="K380" i="17"/>
  <c r="K320" i="17"/>
  <c r="K358" i="17"/>
  <c r="K328" i="17"/>
  <c r="D353" i="23" s="1"/>
  <c r="K279" i="17"/>
  <c r="D271" i="23" s="1"/>
  <c r="K185" i="17"/>
  <c r="D164" i="23" s="1"/>
  <c r="K394" i="17"/>
  <c r="K333" i="17"/>
  <c r="K169" i="17"/>
  <c r="D177" i="23" s="1"/>
  <c r="K180" i="17"/>
  <c r="D190" i="23" s="1"/>
  <c r="K414" i="17"/>
  <c r="K290" i="17"/>
  <c r="D328" i="23" s="1"/>
  <c r="K331" i="17"/>
  <c r="D335" i="23" s="1"/>
  <c r="K326" i="17"/>
  <c r="K305" i="17"/>
  <c r="D307" i="23" s="1"/>
  <c r="K287" i="17"/>
  <c r="K395" i="17"/>
  <c r="K269" i="17"/>
  <c r="D224" i="23" s="1"/>
  <c r="K260" i="17"/>
  <c r="D284" i="23" s="1"/>
  <c r="K338" i="17"/>
  <c r="D318" i="23" s="1"/>
  <c r="K384" i="17"/>
  <c r="K254" i="17"/>
  <c r="K191" i="17"/>
  <c r="K150" i="17"/>
  <c r="K321" i="17"/>
  <c r="D358" i="23" s="1"/>
  <c r="K284" i="17"/>
  <c r="D323" i="23" s="1"/>
  <c r="K289" i="17"/>
  <c r="K396" i="17"/>
  <c r="D396" i="23" s="1"/>
  <c r="K351" i="17"/>
  <c r="K406" i="17"/>
  <c r="D364" i="23" s="1"/>
  <c r="K248" i="17"/>
  <c r="D251" i="23" s="1"/>
  <c r="K431" i="17"/>
  <c r="K382" i="17"/>
  <c r="D393" i="23" s="1"/>
  <c r="K315" i="17"/>
  <c r="K399" i="17"/>
  <c r="K400" i="17"/>
  <c r="K366" i="17"/>
  <c r="D337" i="23" s="1"/>
  <c r="K264" i="17"/>
  <c r="D237" i="23" s="1"/>
  <c r="K236" i="17"/>
  <c r="D275" i="23" s="1"/>
  <c r="K426" i="17"/>
  <c r="K202" i="17"/>
  <c r="D211" i="23" s="1"/>
  <c r="K434" i="17"/>
  <c r="K361" i="17"/>
  <c r="K405" i="17"/>
  <c r="D390" i="23" s="1"/>
  <c r="K313" i="17"/>
  <c r="D330" i="23" s="1"/>
  <c r="K323" i="17"/>
  <c r="K397" i="17"/>
  <c r="K416" i="17"/>
  <c r="D405" i="23" s="1"/>
  <c r="K392" i="17"/>
  <c r="D409" i="23" s="1"/>
  <c r="K359" i="17"/>
  <c r="D385" i="23" s="1"/>
  <c r="K411" i="17"/>
  <c r="K404" i="17"/>
  <c r="D402" i="23" s="1"/>
  <c r="K418" i="17"/>
  <c r="D382" i="23" s="1"/>
  <c r="K436" i="17"/>
  <c r="D404" i="23" s="1"/>
  <c r="K455" i="17"/>
  <c r="K456" i="17"/>
  <c r="K302" i="17"/>
  <c r="D343" i="23" s="1"/>
  <c r="K466" i="17"/>
  <c r="D464" i="23" s="1"/>
  <c r="K213" i="17"/>
  <c r="K421" i="17"/>
  <c r="K378" i="17"/>
  <c r="D376" i="23" s="1"/>
  <c r="K319" i="17"/>
  <c r="D316" i="23" s="1"/>
  <c r="K403" i="17"/>
  <c r="K435" i="17"/>
  <c r="K425" i="17"/>
  <c r="D408" i="23" s="1"/>
  <c r="K467" i="17"/>
  <c r="D416" i="23" s="1"/>
  <c r="K452" i="17"/>
  <c r="K332" i="17"/>
  <c r="D292" i="23" s="1"/>
  <c r="K408" i="17"/>
  <c r="D381" i="23" s="1"/>
  <c r="K453" i="17"/>
  <c r="K419" i="17"/>
  <c r="D417" i="23" s="1"/>
  <c r="K423" i="17"/>
  <c r="K385" i="17"/>
  <c r="D462" i="23" s="1"/>
  <c r="K477" i="17"/>
  <c r="K449" i="17"/>
  <c r="K450" i="17"/>
  <c r="K460" i="17"/>
  <c r="K428" i="17"/>
  <c r="D425" i="23" s="1"/>
  <c r="K472" i="17"/>
  <c r="K424" i="17"/>
  <c r="K401" i="17"/>
  <c r="D414" i="23" s="1"/>
  <c r="K410" i="17"/>
  <c r="D392" i="23" s="1"/>
  <c r="K484" i="17"/>
  <c r="D395" i="23" s="1"/>
  <c r="K441" i="17"/>
  <c r="D419" i="23" s="1"/>
  <c r="K372" i="17"/>
  <c r="D370" i="23" s="1"/>
  <c r="K489" i="17"/>
  <c r="K464" i="17"/>
  <c r="K446" i="17"/>
  <c r="K447" i="17"/>
  <c r="K459" i="17"/>
  <c r="D451" i="23" s="1"/>
  <c r="L146" i="17"/>
  <c r="E115" i="23" s="1"/>
  <c r="L235" i="17"/>
  <c r="E207" i="23" s="1"/>
  <c r="L223" i="17"/>
  <c r="E282" i="23" s="1"/>
  <c r="L294" i="17"/>
  <c r="L314" i="17"/>
  <c r="E241" i="23" s="1"/>
  <c r="L282" i="17"/>
  <c r="E294" i="23" s="1"/>
  <c r="L255" i="17"/>
  <c r="E235" i="23" s="1"/>
  <c r="L225" i="17"/>
  <c r="E216" i="23" s="1"/>
  <c r="L318" i="17"/>
  <c r="L232" i="17"/>
  <c r="L204" i="17"/>
  <c r="E255" i="23" s="1"/>
  <c r="L330" i="17"/>
  <c r="L165" i="17"/>
  <c r="E243" i="23" s="1"/>
  <c r="L334" i="17"/>
  <c r="L303" i="17"/>
  <c r="L340" i="17"/>
  <c r="L341" i="17"/>
  <c r="L212" i="17"/>
  <c r="E244" i="23" s="1"/>
  <c r="L103" i="17"/>
  <c r="E138" i="23" s="1"/>
  <c r="L241" i="17"/>
  <c r="L337" i="17"/>
  <c r="L309" i="17"/>
  <c r="E295" i="23" s="1"/>
  <c r="L360" i="17"/>
  <c r="E354" i="23" s="1"/>
  <c r="L184" i="17"/>
  <c r="E214" i="23" s="1"/>
  <c r="L242" i="17"/>
  <c r="L217" i="17"/>
  <c r="E200" i="23" s="1"/>
  <c r="L149" i="17"/>
  <c r="L233" i="17"/>
  <c r="E258" i="23" s="1"/>
  <c r="L140" i="17"/>
  <c r="E144" i="23" s="1"/>
  <c r="L153" i="17"/>
  <c r="L322" i="17"/>
  <c r="L210" i="17"/>
  <c r="L362" i="17"/>
  <c r="E360" i="23" s="1"/>
  <c r="L308" i="17"/>
  <c r="E304" i="23" s="1"/>
  <c r="L364" i="17"/>
  <c r="E361" i="23" s="1"/>
  <c r="L220" i="17"/>
  <c r="E266" i="23" s="1"/>
  <c r="L327" i="17"/>
  <c r="L238" i="17"/>
  <c r="E215" i="23" s="1"/>
  <c r="L263" i="17"/>
  <c r="E219" i="23" s="1"/>
  <c r="L375" i="17"/>
  <c r="L345" i="17"/>
  <c r="L373" i="17"/>
  <c r="L266" i="17"/>
  <c r="L339" i="17"/>
  <c r="L342" i="17"/>
  <c r="L367" i="17"/>
  <c r="E338" i="23" s="1"/>
  <c r="L349" i="17"/>
  <c r="L97" i="17"/>
  <c r="E103" i="23" s="1"/>
  <c r="L310" i="17"/>
  <c r="L247" i="17"/>
  <c r="E283" i="23" s="1"/>
  <c r="L281" i="17"/>
  <c r="E246" i="23" s="1"/>
  <c r="L343" i="17"/>
  <c r="E281" i="23" s="1"/>
  <c r="L363" i="17"/>
  <c r="E293" i="23" s="1"/>
  <c r="L355" i="17"/>
  <c r="E342" i="23" s="1"/>
  <c r="L383" i="17"/>
  <c r="L297" i="17"/>
  <c r="L301" i="17"/>
  <c r="L386" i="17"/>
  <c r="E356" i="23" s="1"/>
  <c r="L387" i="17"/>
  <c r="L324" i="17"/>
  <c r="E291" i="23" s="1"/>
  <c r="L304" i="17"/>
  <c r="L346" i="17"/>
  <c r="L388" i="17"/>
  <c r="L377" i="17"/>
  <c r="L292" i="17"/>
  <c r="E309" i="23" s="1"/>
  <c r="L249" i="17"/>
  <c r="E256" i="23" s="1"/>
  <c r="L398" i="17"/>
  <c r="L368" i="17"/>
  <c r="L353" i="17"/>
  <c r="E339" i="23" s="1"/>
  <c r="L379" i="17"/>
  <c r="E340" i="23" s="1"/>
  <c r="L138" i="17"/>
  <c r="E121" i="23" s="1"/>
  <c r="L380" i="17"/>
  <c r="E375" i="23" s="1"/>
  <c r="L320" i="17"/>
  <c r="L358" i="17"/>
  <c r="L328" i="17"/>
  <c r="E353" i="23" s="1"/>
  <c r="L279" i="17"/>
  <c r="L185" i="17"/>
  <c r="E164" i="23" s="1"/>
  <c r="L394" i="17"/>
  <c r="L333" i="17"/>
  <c r="E345" i="23" s="1"/>
  <c r="L169" i="17"/>
  <c r="E177" i="23" s="1"/>
  <c r="L180" i="17"/>
  <c r="E190" i="23" s="1"/>
  <c r="L414" i="17"/>
  <c r="E433" i="23" s="1"/>
  <c r="L290" i="17"/>
  <c r="L331" i="17"/>
  <c r="E335" i="23" s="1"/>
  <c r="L326" i="17"/>
  <c r="L305" i="17"/>
  <c r="L287" i="17"/>
  <c r="L395" i="17"/>
  <c r="L269" i="17"/>
  <c r="E224" i="23" s="1"/>
  <c r="L260" i="17"/>
  <c r="E284" i="23" s="1"/>
  <c r="L338" i="17"/>
  <c r="E318" i="23" s="1"/>
  <c r="L384" i="17"/>
  <c r="L254" i="17"/>
  <c r="L191" i="17"/>
  <c r="E160" i="23" s="1"/>
  <c r="L150" i="17"/>
  <c r="E180" i="23" s="1"/>
  <c r="L321" i="17"/>
  <c r="E358" i="23" s="1"/>
  <c r="L284" i="17"/>
  <c r="E323" i="23" s="1"/>
  <c r="L289" i="17"/>
  <c r="E324" i="23" s="1"/>
  <c r="L396" i="17"/>
  <c r="E396" i="23" s="1"/>
  <c r="L351" i="17"/>
  <c r="L406" i="17"/>
  <c r="E364" i="23" s="1"/>
  <c r="L248" i="17"/>
  <c r="E251" i="23" s="1"/>
  <c r="L348" i="17"/>
  <c r="E310" i="23" s="1"/>
  <c r="L431" i="17"/>
  <c r="L382" i="17"/>
  <c r="L315" i="17"/>
  <c r="E236" i="23" s="1"/>
  <c r="L399" i="17"/>
  <c r="L400" i="17"/>
  <c r="E420" i="23" s="1"/>
  <c r="L366" i="17"/>
  <c r="L264" i="17"/>
  <c r="E237" i="23" s="1"/>
  <c r="L236" i="17"/>
  <c r="E275" i="23" s="1"/>
  <c r="L426" i="17"/>
  <c r="L202" i="17"/>
  <c r="L434" i="17"/>
  <c r="L361" i="17"/>
  <c r="L405" i="17"/>
  <c r="E390" i="23" s="1"/>
  <c r="L313" i="17"/>
  <c r="L323" i="17"/>
  <c r="E397" i="23" s="1"/>
  <c r="L397" i="17"/>
  <c r="E424" i="23" s="1"/>
  <c r="L416" i="17"/>
  <c r="E405" i="23" s="1"/>
  <c r="L392" i="17"/>
  <c r="L359" i="17"/>
  <c r="E385" i="23" s="1"/>
  <c r="L411" i="17"/>
  <c r="E371" i="23" s="1"/>
  <c r="L404" i="17"/>
  <c r="E402" i="23" s="1"/>
  <c r="L418" i="17"/>
  <c r="L436" i="17"/>
  <c r="L455" i="17"/>
  <c r="E448" i="23" s="1"/>
  <c r="L456" i="17"/>
  <c r="L302" i="17"/>
  <c r="E343" i="23" s="1"/>
  <c r="L466" i="17"/>
  <c r="E464" i="23" s="1"/>
  <c r="L298" i="17"/>
  <c r="L213" i="17"/>
  <c r="E234" i="23" s="1"/>
  <c r="L421" i="17"/>
  <c r="L378" i="17"/>
  <c r="L319" i="17"/>
  <c r="E316" i="23" s="1"/>
  <c r="L403" i="17"/>
  <c r="E380" i="23" s="1"/>
  <c r="L435" i="17"/>
  <c r="L425" i="17"/>
  <c r="L467" i="17"/>
  <c r="E416" i="23" s="1"/>
  <c r="L471" i="17"/>
  <c r="L452" i="17"/>
  <c r="E429" i="23" s="1"/>
  <c r="L332" i="17"/>
  <c r="E292" i="23" s="1"/>
  <c r="L408" i="17"/>
  <c r="E381" i="23" s="1"/>
  <c r="L453" i="17"/>
  <c r="E386" i="23" s="1"/>
  <c r="L419" i="17"/>
  <c r="L423" i="17"/>
  <c r="L385" i="17"/>
  <c r="E462" i="23" s="1"/>
  <c r="L477" i="17"/>
  <c r="L449" i="17"/>
  <c r="L450" i="17"/>
  <c r="L460" i="17"/>
  <c r="L428" i="17"/>
  <c r="L472" i="17"/>
  <c r="L424" i="17"/>
  <c r="E399" i="23" s="1"/>
  <c r="L401" i="17"/>
  <c r="L410" i="17"/>
  <c r="E392" i="23" s="1"/>
  <c r="L484" i="17"/>
  <c r="L441" i="17"/>
  <c r="E419" i="23" s="1"/>
  <c r="L372" i="17"/>
  <c r="E370" i="23" s="1"/>
  <c r="L489" i="17"/>
  <c r="E403" i="23" s="1"/>
  <c r="L464" i="17"/>
  <c r="E432" i="23" s="1"/>
  <c r="L446" i="17"/>
  <c r="L447" i="17"/>
  <c r="L244" i="17"/>
  <c r="E176" i="23" s="1"/>
  <c r="L459" i="17"/>
  <c r="L469" i="17"/>
  <c r="L478" i="17"/>
  <c r="L427" i="17"/>
  <c r="E475" i="23" s="1"/>
  <c r="L522" i="17"/>
  <c r="J314" i="17"/>
  <c r="C241" i="23" s="1"/>
  <c r="J282" i="17"/>
  <c r="C294" i="23" s="1"/>
  <c r="J255" i="17"/>
  <c r="C235" i="23" s="1"/>
  <c r="J225" i="17"/>
  <c r="C216" i="23" s="1"/>
  <c r="J318" i="17"/>
  <c r="J232" i="17"/>
  <c r="J204" i="17"/>
  <c r="C255" i="23" s="1"/>
  <c r="J330" i="17"/>
  <c r="J165" i="17"/>
  <c r="C243" i="23" s="1"/>
  <c r="J334" i="17"/>
  <c r="C319" i="23" s="1"/>
  <c r="J303" i="17"/>
  <c r="C264" i="23" s="1"/>
  <c r="J340" i="17"/>
  <c r="J341" i="17"/>
  <c r="J212" i="17"/>
  <c r="C244" i="23" s="1"/>
  <c r="J103" i="17"/>
  <c r="J241" i="17"/>
  <c r="J337" i="17"/>
  <c r="J309" i="17"/>
  <c r="C295" i="23" s="1"/>
  <c r="J360" i="17"/>
  <c r="C354" i="23" s="1"/>
  <c r="J184" i="17"/>
  <c r="C214" i="23" s="1"/>
  <c r="J242" i="17"/>
  <c r="C233" i="23" s="1"/>
  <c r="J217" i="17"/>
  <c r="J149" i="17"/>
  <c r="C188" i="23" s="1"/>
  <c r="J233" i="17"/>
  <c r="J140" i="17"/>
  <c r="C144" i="23" s="1"/>
  <c r="J153" i="17"/>
  <c r="J322" i="17"/>
  <c r="J210" i="17"/>
  <c r="J362" i="17"/>
  <c r="C360" i="23" s="1"/>
  <c r="J308" i="17"/>
  <c r="C304" i="23" s="1"/>
  <c r="J364" i="17"/>
  <c r="J220" i="17"/>
  <c r="C266" i="23" s="1"/>
  <c r="J327" i="17"/>
  <c r="C222" i="23" s="1"/>
  <c r="J238" i="17"/>
  <c r="C215" i="23" s="1"/>
  <c r="J263" i="17"/>
  <c r="C219" i="23" s="1"/>
  <c r="J375" i="17"/>
  <c r="J345" i="17"/>
  <c r="C373" i="23" s="1"/>
  <c r="J373" i="17"/>
  <c r="J266" i="17"/>
  <c r="J339" i="17"/>
  <c r="J342" i="17"/>
  <c r="J367" i="17"/>
  <c r="C338" i="23" s="1"/>
  <c r="J349" i="17"/>
  <c r="J97" i="17"/>
  <c r="C103" i="23" s="1"/>
  <c r="J310" i="17"/>
  <c r="J247" i="17"/>
  <c r="C283" i="23" s="1"/>
  <c r="J281" i="17"/>
  <c r="C246" i="23" s="1"/>
  <c r="J343" i="17"/>
  <c r="C281" i="23" s="1"/>
  <c r="J363" i="17"/>
  <c r="C293" i="23" s="1"/>
  <c r="J355" i="17"/>
  <c r="C342" i="23" s="1"/>
  <c r="J383" i="17"/>
  <c r="J297" i="17"/>
  <c r="J301" i="17"/>
  <c r="J386" i="17"/>
  <c r="J387" i="17"/>
  <c r="J324" i="17"/>
  <c r="C291" i="23" s="1"/>
  <c r="J304" i="17"/>
  <c r="C347" i="23" s="1"/>
  <c r="J346" i="17"/>
  <c r="J388" i="17"/>
  <c r="C384" i="23" s="1"/>
  <c r="J377" i="17"/>
  <c r="J292" i="17"/>
  <c r="C309" i="23" s="1"/>
  <c r="J249" i="17"/>
  <c r="C256" i="23" s="1"/>
  <c r="J398" i="17"/>
  <c r="J368" i="17"/>
  <c r="J353" i="17"/>
  <c r="J379" i="17"/>
  <c r="C340" i="23" s="1"/>
  <c r="J138" i="17"/>
  <c r="C121" i="23" s="1"/>
  <c r="J380" i="17"/>
  <c r="C375" i="23" s="1"/>
  <c r="J320" i="17"/>
  <c r="J358" i="17"/>
  <c r="J328" i="17"/>
  <c r="C353" i="23" s="1"/>
  <c r="J279" i="17"/>
  <c r="J185" i="17"/>
  <c r="C164" i="23" s="1"/>
  <c r="J394" i="17"/>
  <c r="J333" i="17"/>
  <c r="C345" i="23" s="1"/>
  <c r="J169" i="17"/>
  <c r="C177" i="23" s="1"/>
  <c r="J180" i="17"/>
  <c r="C190" i="23" s="1"/>
  <c r="J414" i="17"/>
  <c r="J290" i="17"/>
  <c r="C328" i="23" s="1"/>
  <c r="J331" i="17"/>
  <c r="C335" i="23" s="1"/>
  <c r="J326" i="17"/>
  <c r="J305" i="17"/>
  <c r="C307" i="23" s="1"/>
  <c r="J287" i="17"/>
  <c r="C300" i="23" s="1"/>
  <c r="J395" i="17"/>
  <c r="J269" i="17"/>
  <c r="C224" i="23" s="1"/>
  <c r="J260" i="17"/>
  <c r="C284" i="23" s="1"/>
  <c r="J338" i="17"/>
  <c r="J384" i="17"/>
  <c r="J254" i="17"/>
  <c r="J191" i="17"/>
  <c r="C160" i="23" s="1"/>
  <c r="J150" i="17"/>
  <c r="C180" i="23" s="1"/>
  <c r="J321" i="17"/>
  <c r="C358" i="23" s="1"/>
  <c r="J284" i="17"/>
  <c r="C323" i="23" s="1"/>
  <c r="J289" i="17"/>
  <c r="J396" i="17"/>
  <c r="C396" i="23" s="1"/>
  <c r="J351" i="17"/>
  <c r="J406" i="17"/>
  <c r="J248" i="17"/>
  <c r="C251" i="23" s="1"/>
  <c r="J348" i="17"/>
  <c r="C310" i="23" s="1"/>
  <c r="J431" i="17"/>
  <c r="J382" i="17"/>
  <c r="C393" i="23" s="1"/>
  <c r="J315" i="17"/>
  <c r="J399" i="17"/>
  <c r="J400" i="17"/>
  <c r="J366" i="17"/>
  <c r="C337" i="23" s="1"/>
  <c r="J264" i="17"/>
  <c r="C237" i="23" s="1"/>
  <c r="J236" i="17"/>
  <c r="C275" i="23" s="1"/>
  <c r="J426" i="17"/>
  <c r="J202" i="17"/>
  <c r="C211" i="23" s="1"/>
  <c r="J434" i="17"/>
  <c r="J361" i="17"/>
  <c r="J405" i="17"/>
  <c r="J313" i="17"/>
  <c r="J323" i="17"/>
  <c r="C397" i="23" s="1"/>
  <c r="J397" i="17"/>
  <c r="C424" i="23" s="1"/>
  <c r="J416" i="17"/>
  <c r="J392" i="17"/>
  <c r="J359" i="17"/>
  <c r="C385" i="23" s="1"/>
  <c r="J411" i="17"/>
  <c r="C371" i="23" s="1"/>
  <c r="J404" i="17"/>
  <c r="C402" i="23" s="1"/>
  <c r="J418" i="17"/>
  <c r="C382" i="23" s="1"/>
  <c r="J436" i="17"/>
  <c r="C404" i="23" s="1"/>
  <c r="J455" i="17"/>
  <c r="J456" i="17"/>
  <c r="J302" i="17"/>
  <c r="J466" i="17"/>
  <c r="C464" i="23" s="1"/>
  <c r="J298" i="17"/>
  <c r="J213" i="17"/>
  <c r="J421" i="17"/>
  <c r="J378" i="17"/>
  <c r="J319" i="17"/>
  <c r="C316" i="23" s="1"/>
  <c r="J403" i="17"/>
  <c r="J435" i="17"/>
  <c r="J425" i="17"/>
  <c r="C408" i="23" s="1"/>
  <c r="J467" i="17"/>
  <c r="J471" i="17"/>
  <c r="J452" i="17"/>
  <c r="J332" i="17"/>
  <c r="C292" i="23" s="1"/>
  <c r="J408" i="17"/>
  <c r="J453" i="17"/>
  <c r="J419" i="17"/>
  <c r="C422" i="23" s="1"/>
  <c r="J423" i="17"/>
  <c r="J385" i="17"/>
  <c r="C462" i="23" s="1"/>
  <c r="J477" i="17"/>
  <c r="J449" i="17"/>
  <c r="C445" i="23" s="1"/>
  <c r="J450" i="17"/>
  <c r="J460" i="17"/>
  <c r="J428" i="17"/>
  <c r="J472" i="17"/>
  <c r="J424" i="17"/>
  <c r="C399" i="23" s="1"/>
  <c r="J401" i="17"/>
  <c r="J410" i="17"/>
  <c r="J484" i="17"/>
  <c r="C395" i="23" s="1"/>
  <c r="J441" i="17"/>
  <c r="J372" i="17"/>
  <c r="C370" i="23" s="1"/>
  <c r="J489" i="17"/>
  <c r="J464" i="17"/>
  <c r="J446" i="17"/>
  <c r="J447" i="17"/>
  <c r="J459" i="17"/>
  <c r="C451" i="23" s="1"/>
  <c r="J469" i="17"/>
  <c r="J478" i="17"/>
  <c r="J427" i="17"/>
  <c r="C475" i="23" s="1"/>
  <c r="J522" i="17"/>
  <c r="J357" i="17"/>
  <c r="J440" i="17"/>
  <c r="C458" i="23" s="1"/>
  <c r="J391" i="17"/>
  <c r="C362" i="23" s="1"/>
  <c r="J422" i="17"/>
  <c r="J417" i="17"/>
  <c r="C469" i="23" s="1"/>
  <c r="J480" i="17"/>
  <c r="C470" i="23" s="1"/>
  <c r="K469" i="17"/>
  <c r="K478" i="17"/>
  <c r="K427" i="17"/>
  <c r="D475" i="23" s="1"/>
  <c r="K522" i="17"/>
  <c r="D476" i="23" s="1"/>
  <c r="K357" i="17"/>
  <c r="K440" i="17"/>
  <c r="D458" i="23" s="1"/>
  <c r="K391" i="17"/>
  <c r="D362" i="23" s="1"/>
  <c r="K422" i="17"/>
  <c r="K417" i="17"/>
  <c r="D469" i="23" s="1"/>
  <c r="K480" i="17"/>
  <c r="D470" i="23" s="1"/>
  <c r="K475" i="17"/>
  <c r="D441" i="23" s="1"/>
  <c r="K413" i="17"/>
  <c r="D366" i="23" s="1"/>
  <c r="K445" i="17"/>
  <c r="K490" i="17"/>
  <c r="K227" i="17"/>
  <c r="D297" i="23" s="1"/>
  <c r="K190" i="17"/>
  <c r="D311" i="23" s="1"/>
  <c r="K448" i="17"/>
  <c r="K457" i="17"/>
  <c r="D455" i="23" s="1"/>
  <c r="K486" i="17"/>
  <c r="D456" i="23" s="1"/>
  <c r="K458" i="17"/>
  <c r="D383" i="23" s="1"/>
  <c r="K499" i="17"/>
  <c r="D482" i="23" s="1"/>
  <c r="K390" i="17"/>
  <c r="D412" i="23" s="1"/>
  <c r="K402" i="17"/>
  <c r="D378" i="23" s="1"/>
  <c r="K374" i="17"/>
  <c r="K354" i="17"/>
  <c r="D327" i="23" s="1"/>
  <c r="K433" i="17"/>
  <c r="K498" i="17"/>
  <c r="D450" i="23" s="1"/>
  <c r="K470" i="17"/>
  <c r="K509" i="17"/>
  <c r="D474" i="23" s="1"/>
  <c r="K501" i="17"/>
  <c r="K479" i="17"/>
  <c r="K481" i="17"/>
  <c r="K465" i="17"/>
  <c r="K530" i="17"/>
  <c r="K485" i="17"/>
  <c r="K531" i="17"/>
  <c r="K524" i="17"/>
  <c r="K442" i="17"/>
  <c r="K443" i="17"/>
  <c r="K506" i="17"/>
  <c r="D444" i="23" s="1"/>
  <c r="K487" i="17"/>
  <c r="D507" i="23" s="1"/>
  <c r="K389" i="17"/>
  <c r="K483" i="17"/>
  <c r="D477" i="23" s="1"/>
  <c r="K352" i="17"/>
  <c r="D331" i="23" s="1"/>
  <c r="K473" i="17"/>
  <c r="D374" i="23" s="1"/>
  <c r="K317" i="17"/>
  <c r="D379" i="23" s="1"/>
  <c r="K462" i="17"/>
  <c r="D440" i="23" s="1"/>
  <c r="K451" i="17"/>
  <c r="K393" i="17"/>
  <c r="D401" i="23" s="1"/>
  <c r="K529" i="17"/>
  <c r="K540" i="17"/>
  <c r="K482" i="17"/>
  <c r="K491" i="17"/>
  <c r="K468" i="17"/>
  <c r="K500" i="17"/>
  <c r="D490" i="23" s="1"/>
  <c r="K516" i="17"/>
  <c r="D446" i="23" s="1"/>
  <c r="K537" i="17"/>
  <c r="K474" i="17"/>
  <c r="K519" i="17"/>
  <c r="D454" i="23" s="1"/>
  <c r="K365" i="17"/>
  <c r="D421" i="23" s="1"/>
  <c r="K503" i="17"/>
  <c r="K504" i="17"/>
  <c r="K514" i="17"/>
  <c r="D510" i="23" s="1"/>
  <c r="K525" i="17"/>
  <c r="K438" i="17"/>
  <c r="K521" i="17"/>
  <c r="K546" i="17"/>
  <c r="D517" i="23" s="1"/>
  <c r="K409" i="17"/>
  <c r="D453" i="23" s="1"/>
  <c r="K541" i="17"/>
  <c r="D532" i="23" s="1"/>
  <c r="K492" i="17"/>
  <c r="K335" i="17"/>
  <c r="D221" i="23" s="1"/>
  <c r="K336" i="17"/>
  <c r="D426" i="23" s="1"/>
  <c r="K510" i="17"/>
  <c r="K497" i="17"/>
  <c r="D503" i="23" s="1"/>
  <c r="K532" i="17"/>
  <c r="K513" i="17"/>
  <c r="D534" i="23" s="1"/>
  <c r="K432" i="17"/>
  <c r="D394" i="23" s="1"/>
  <c r="K371" i="17"/>
  <c r="K454" i="17"/>
  <c r="D479" i="23" s="1"/>
  <c r="K535" i="17"/>
  <c r="K515" i="17"/>
  <c r="D499" i="23" s="1"/>
  <c r="K536" i="17"/>
  <c r="D521" i="23" s="1"/>
  <c r="K493" i="17"/>
  <c r="D502" i="23" s="1"/>
  <c r="K430" i="17"/>
  <c r="D466" i="23" s="1"/>
  <c r="K369" i="17"/>
  <c r="L357" i="17"/>
  <c r="E352" i="23" s="1"/>
  <c r="L440" i="17"/>
  <c r="E458" i="23" s="1"/>
  <c r="L391" i="17"/>
  <c r="E362" i="23" s="1"/>
  <c r="L422" i="17"/>
  <c r="E468" i="23" s="1"/>
  <c r="L417" i="17"/>
  <c r="E469" i="23" s="1"/>
  <c r="L480" i="17"/>
  <c r="E470" i="23" s="1"/>
  <c r="L475" i="17"/>
  <c r="E441" i="23" s="1"/>
  <c r="L413" i="17"/>
  <c r="E366" i="23" s="1"/>
  <c r="L445" i="17"/>
  <c r="L490" i="17"/>
  <c r="L227" i="17"/>
  <c r="E297" i="23" s="1"/>
  <c r="L190" i="17"/>
  <c r="E311" i="23" s="1"/>
  <c r="L448" i="17"/>
  <c r="L457" i="17"/>
  <c r="L486" i="17"/>
  <c r="E456" i="23" s="1"/>
  <c r="L458" i="17"/>
  <c r="E383" i="23" s="1"/>
  <c r="L499" i="17"/>
  <c r="E482" i="23" s="1"/>
  <c r="L390" i="17"/>
  <c r="E412" i="23" s="1"/>
  <c r="L402" i="17"/>
  <c r="E378" i="23" s="1"/>
  <c r="L374" i="17"/>
  <c r="E407" i="23" s="1"/>
  <c r="L354" i="17"/>
  <c r="E327" i="23" s="1"/>
  <c r="L463" i="17"/>
  <c r="E417" i="23" s="1"/>
  <c r="L433" i="17"/>
  <c r="L498" i="17"/>
  <c r="E450" i="23" s="1"/>
  <c r="L470" i="17"/>
  <c r="L509" i="17"/>
  <c r="L501" i="17"/>
  <c r="L407" i="17"/>
  <c r="E447" i="23" s="1"/>
  <c r="L479" i="17"/>
  <c r="E415" i="23" s="1"/>
  <c r="L381" i="17"/>
  <c r="E336" i="23" s="1"/>
  <c r="L481" i="17"/>
  <c r="L465" i="17"/>
  <c r="L530" i="17"/>
  <c r="L485" i="17"/>
  <c r="L531" i="17"/>
  <c r="E497" i="23" s="1"/>
  <c r="L524" i="17"/>
  <c r="L442" i="17"/>
  <c r="L443" i="17"/>
  <c r="L506" i="17"/>
  <c r="E444" i="23" s="1"/>
  <c r="L487" i="17"/>
  <c r="E507" i="23" s="1"/>
  <c r="L389" i="17"/>
  <c r="E457" i="23" s="1"/>
  <c r="L483" i="17"/>
  <c r="E477" i="23" s="1"/>
  <c r="L352" i="17"/>
  <c r="E331" i="23" s="1"/>
  <c r="L473" i="17"/>
  <c r="E374" i="23" s="1"/>
  <c r="L317" i="17"/>
  <c r="L462" i="17"/>
  <c r="E440" i="23" s="1"/>
  <c r="L451" i="17"/>
  <c r="E460" i="23" s="1"/>
  <c r="L393" i="17"/>
  <c r="E401" i="23" s="1"/>
  <c r="L529" i="17"/>
  <c r="L540" i="17"/>
  <c r="L482" i="17"/>
  <c r="L491" i="17"/>
  <c r="L468" i="17"/>
  <c r="L500" i="17"/>
  <c r="E490" i="23" s="1"/>
  <c r="L516" i="17"/>
  <c r="E446" i="23" s="1"/>
  <c r="L537" i="17"/>
  <c r="E539" i="23" s="1"/>
  <c r="L538" i="17"/>
  <c r="L474" i="17"/>
  <c r="E484" i="23" s="1"/>
  <c r="L519" i="17"/>
  <c r="E454" i="23" s="1"/>
  <c r="L412" i="17"/>
  <c r="E495" i="23" s="1"/>
  <c r="L365" i="17"/>
  <c r="E421" i="23" s="1"/>
  <c r="L503" i="17"/>
  <c r="L504" i="17"/>
  <c r="E504" i="23" s="1"/>
  <c r="L514" i="17"/>
  <c r="L476" i="17"/>
  <c r="E443" i="23" s="1"/>
  <c r="L525" i="17"/>
  <c r="L438" i="17"/>
  <c r="L521" i="17"/>
  <c r="E411" i="23" s="1"/>
  <c r="L546" i="17"/>
  <c r="L409" i="17"/>
  <c r="E453" i="23" s="1"/>
  <c r="L541" i="17"/>
  <c r="L492" i="17"/>
  <c r="E465" i="23" s="1"/>
  <c r="L335" i="17"/>
  <c r="E221" i="23" s="1"/>
  <c r="L336" i="17"/>
  <c r="E426" i="23" s="1"/>
  <c r="L510" i="17"/>
  <c r="L497" i="17"/>
  <c r="L532" i="17"/>
  <c r="L513" i="17"/>
  <c r="E534" i="23" s="1"/>
  <c r="L432" i="17"/>
  <c r="E394" i="23" s="1"/>
  <c r="L371" i="17"/>
  <c r="E430" i="23" s="1"/>
  <c r="L454" i="17"/>
  <c r="L535" i="17"/>
  <c r="E528" i="23" s="1"/>
  <c r="L515" i="17"/>
  <c r="E499" i="23" s="1"/>
  <c r="L536" i="17"/>
  <c r="L376" i="17"/>
  <c r="E376" i="23" s="1"/>
  <c r="L493" i="17"/>
  <c r="L430" i="17"/>
  <c r="E466" i="23" s="1"/>
  <c r="J475" i="17"/>
  <c r="J413" i="17"/>
  <c r="C366" i="23" s="1"/>
  <c r="J445" i="17"/>
  <c r="J490" i="17"/>
  <c r="J227" i="17"/>
  <c r="C297" i="23" s="1"/>
  <c r="J190" i="17"/>
  <c r="C311" i="23" s="1"/>
  <c r="J448" i="17"/>
  <c r="C387" i="23" s="1"/>
  <c r="J457" i="17"/>
  <c r="C512" i="23" s="1"/>
  <c r="J486" i="17"/>
  <c r="C456" i="23" s="1"/>
  <c r="J458" i="17"/>
  <c r="J499" i="17"/>
  <c r="J390" i="17"/>
  <c r="C412" i="23" s="1"/>
  <c r="J402" i="17"/>
  <c r="C378" i="23" s="1"/>
  <c r="J374" i="17"/>
  <c r="J354" i="17"/>
  <c r="C327" i="23" s="1"/>
  <c r="J463" i="17"/>
  <c r="C417" i="23" s="1"/>
  <c r="J433" i="17"/>
  <c r="J498" i="17"/>
  <c r="C450" i="23" s="1"/>
  <c r="J470" i="17"/>
  <c r="J509" i="17"/>
  <c r="C474" i="23" s="1"/>
  <c r="J501" i="17"/>
  <c r="J407" i="17"/>
  <c r="J479" i="17"/>
  <c r="J381" i="17"/>
  <c r="C336" i="23" s="1"/>
  <c r="J481" i="17"/>
  <c r="J465" i="17"/>
  <c r="J530" i="17"/>
  <c r="C489" i="23" s="1"/>
  <c r="J485" i="17"/>
  <c r="J531" i="17"/>
  <c r="C497" i="23" s="1"/>
  <c r="J524" i="17"/>
  <c r="J442" i="17"/>
  <c r="J443" i="17"/>
  <c r="C463" i="23" s="1"/>
  <c r="J506" i="17"/>
  <c r="C444" i="23" s="1"/>
  <c r="J487" i="17"/>
  <c r="J389" i="17"/>
  <c r="C457" i="23" s="1"/>
  <c r="J483" i="17"/>
  <c r="C477" i="23" s="1"/>
  <c r="J352" i="17"/>
  <c r="C331" i="23" s="1"/>
  <c r="J473" i="17"/>
  <c r="J317" i="17"/>
  <c r="C379" i="23" s="1"/>
  <c r="J462" i="17"/>
  <c r="J451" i="17"/>
  <c r="C460" i="23" s="1"/>
  <c r="J393" i="17"/>
  <c r="C401" i="23" s="1"/>
  <c r="J529" i="17"/>
  <c r="J540" i="17"/>
  <c r="J482" i="17"/>
  <c r="J491" i="17"/>
  <c r="J468" i="17"/>
  <c r="J500" i="17"/>
  <c r="C490" i="23" s="1"/>
  <c r="J516" i="17"/>
  <c r="J537" i="17"/>
  <c r="J538" i="17"/>
  <c r="C483" i="23" s="1"/>
  <c r="J474" i="17"/>
  <c r="C484" i="23" s="1"/>
  <c r="J519" i="17"/>
  <c r="C454" i="23" s="1"/>
  <c r="J412" i="17"/>
  <c r="J365" i="17"/>
  <c r="C421" i="23" s="1"/>
  <c r="J503" i="17"/>
  <c r="J504" i="17"/>
  <c r="C504" i="23" s="1"/>
  <c r="J514" i="17"/>
  <c r="J476" i="17"/>
  <c r="J525" i="17"/>
  <c r="J438" i="17"/>
  <c r="J521" i="17"/>
  <c r="C411" i="23" s="1"/>
  <c r="J546" i="17"/>
  <c r="J409" i="17"/>
  <c r="C453" i="23" s="1"/>
  <c r="J541" i="17"/>
  <c r="J492" i="17"/>
  <c r="C465" i="23" s="1"/>
  <c r="J335" i="17"/>
  <c r="C221" i="23" s="1"/>
  <c r="J336" i="17"/>
  <c r="C426" i="23" s="1"/>
  <c r="J510" i="17"/>
  <c r="J497" i="17"/>
  <c r="J532" i="17"/>
  <c r="J513" i="17"/>
  <c r="C534" i="23" s="1"/>
  <c r="J432" i="17"/>
  <c r="J371" i="17"/>
  <c r="J454" i="17"/>
  <c r="C479" i="23" s="1"/>
  <c r="J535" i="17"/>
  <c r="J515" i="17"/>
  <c r="C499" i="23" s="1"/>
  <c r="J536" i="17"/>
  <c r="J376" i="17"/>
  <c r="C376" i="23" s="1"/>
  <c r="J493" i="17"/>
  <c r="J430" i="17"/>
  <c r="C466" i="23" s="1"/>
  <c r="J369" i="17"/>
  <c r="J370" i="17"/>
  <c r="J526" i="17"/>
  <c r="J547" i="17"/>
  <c r="J544" i="17"/>
  <c r="J420" i="17"/>
  <c r="C410" i="23" s="1"/>
  <c r="J549" i="17"/>
  <c r="C520" i="23" s="1"/>
  <c r="K370" i="17"/>
  <c r="D492" i="23" s="1"/>
  <c r="K526" i="17"/>
  <c r="K547" i="17"/>
  <c r="D536" i="23" s="1"/>
  <c r="K544" i="17"/>
  <c r="D527" i="23" s="1"/>
  <c r="K420" i="17"/>
  <c r="D410" i="23" s="1"/>
  <c r="K549" i="17"/>
  <c r="K508" i="17"/>
  <c r="D519" i="23" s="1"/>
  <c r="K555" i="17"/>
  <c r="K429" i="17"/>
  <c r="D351" i="23" s="1"/>
  <c r="K494" i="17"/>
  <c r="K439" i="17"/>
  <c r="D398" i="23" s="1"/>
  <c r="K461" i="17"/>
  <c r="D487" i="23" s="1"/>
  <c r="K444" i="17"/>
  <c r="D439" i="23" s="1"/>
  <c r="K502" i="17"/>
  <c r="K534" i="17"/>
  <c r="K275" i="17"/>
  <c r="K542" i="17"/>
  <c r="D547" i="23" s="1"/>
  <c r="K496" i="17"/>
  <c r="D467" i="23" s="1"/>
  <c r="K511" i="17"/>
  <c r="K552" i="17"/>
  <c r="D488" i="23" s="1"/>
  <c r="K554" i="17"/>
  <c r="K550" i="17"/>
  <c r="D530" i="23" s="1"/>
  <c r="K567" i="17"/>
  <c r="K415" i="17"/>
  <c r="K570" i="17"/>
  <c r="D568" i="23" s="1"/>
  <c r="K507" i="17"/>
  <c r="K563" i="17"/>
  <c r="K488" i="17"/>
  <c r="D438" i="23" s="1"/>
  <c r="K495" i="17"/>
  <c r="D514" i="23" s="1"/>
  <c r="K520" i="17"/>
  <c r="K556" i="17"/>
  <c r="K528" i="17"/>
  <c r="D461" i="23" s="1"/>
  <c r="K566" i="17"/>
  <c r="K262" i="17"/>
  <c r="K548" i="17"/>
  <c r="K437" i="17"/>
  <c r="D498" i="23" s="1"/>
  <c r="K551" i="17"/>
  <c r="D566" i="23" s="1"/>
  <c r="K568" i="17"/>
  <c r="K557" i="17"/>
  <c r="K574" i="17"/>
  <c r="D554" i="23" s="1"/>
  <c r="K561" i="17"/>
  <c r="D560" i="23" s="1"/>
  <c r="K517" i="17"/>
  <c r="K539" i="17"/>
  <c r="D522" i="23" s="1"/>
  <c r="K560" i="17"/>
  <c r="D548" i="23" s="1"/>
  <c r="K518" i="17"/>
  <c r="D577" i="23" s="1"/>
  <c r="K581" i="17"/>
  <c r="K575" i="17"/>
  <c r="D558" i="23" s="1"/>
  <c r="K576" i="17"/>
  <c r="K545" i="17"/>
  <c r="D538" i="23" s="1"/>
  <c r="K582" i="17"/>
  <c r="K571" i="17"/>
  <c r="D582" i="23" s="1"/>
  <c r="K573" i="17"/>
  <c r="K586" i="17"/>
  <c r="K578" i="17"/>
  <c r="K579" i="17"/>
  <c r="K558" i="17"/>
  <c r="K572" i="17"/>
  <c r="K580" i="17"/>
  <c r="K565" i="17"/>
  <c r="D523" i="23" s="1"/>
  <c r="K527" i="17"/>
  <c r="D524" i="23" s="1"/>
  <c r="K585" i="17"/>
  <c r="D578" i="23" s="1"/>
  <c r="K553" i="17"/>
  <c r="D496" i="23" s="1"/>
  <c r="K591" i="17"/>
  <c r="K559" i="17"/>
  <c r="D562" i="23" s="1"/>
  <c r="K583" i="17"/>
  <c r="D576" i="23" s="1"/>
  <c r="K589" i="17"/>
  <c r="K594" i="17"/>
  <c r="K533" i="17"/>
  <c r="K588" i="17"/>
  <c r="D586" i="23" s="1"/>
  <c r="K592" i="17"/>
  <c r="D585" i="23" s="1"/>
  <c r="K543" i="17"/>
  <c r="D525" i="23" s="1"/>
  <c r="K577" i="17"/>
  <c r="D587" i="23" s="1"/>
  <c r="K596" i="17"/>
  <c r="D594" i="23" s="1"/>
  <c r="K590" i="17"/>
  <c r="K569" i="17"/>
  <c r="D592" i="23" s="1"/>
  <c r="K593" i="17"/>
  <c r="K597" i="17"/>
  <c r="D595" i="23" s="1"/>
  <c r="K599" i="17"/>
  <c r="K600" i="17"/>
  <c r="D598" i="23" s="1"/>
  <c r="K598" i="17"/>
  <c r="D597" i="23" s="1"/>
  <c r="K602" i="17"/>
  <c r="K601" i="17"/>
  <c r="D601" i="23" s="1"/>
  <c r="L369" i="17"/>
  <c r="L370" i="17"/>
  <c r="E492" i="23" s="1"/>
  <c r="L526" i="17"/>
  <c r="E543" i="23" s="1"/>
  <c r="L547" i="17"/>
  <c r="E536" i="23" s="1"/>
  <c r="L544" i="17"/>
  <c r="E527" i="23" s="1"/>
  <c r="L420" i="17"/>
  <c r="E410" i="23" s="1"/>
  <c r="L549" i="17"/>
  <c r="E520" i="23" s="1"/>
  <c r="L508" i="17"/>
  <c r="L555" i="17"/>
  <c r="L429" i="17"/>
  <c r="E351" i="23" s="1"/>
  <c r="L494" i="17"/>
  <c r="E491" i="23" s="1"/>
  <c r="L439" i="17"/>
  <c r="E398" i="23" s="1"/>
  <c r="L461" i="17"/>
  <c r="E487" i="23" s="1"/>
  <c r="L444" i="17"/>
  <c r="E439" i="23" s="1"/>
  <c r="L502" i="17"/>
  <c r="E493" i="23" s="1"/>
  <c r="L564" i="17"/>
  <c r="L534" i="17"/>
  <c r="L275" i="17"/>
  <c r="L542" i="17"/>
  <c r="E547" i="23" s="1"/>
  <c r="L496" i="17"/>
  <c r="E467" i="23" s="1"/>
  <c r="L511" i="17"/>
  <c r="L512" i="17"/>
  <c r="L552" i="17"/>
  <c r="E488" i="23" s="1"/>
  <c r="L554" i="17"/>
  <c r="L550" i="17"/>
  <c r="E530" i="23" s="1"/>
  <c r="L567" i="17"/>
  <c r="L415" i="17"/>
  <c r="E435" i="23" s="1"/>
  <c r="L570" i="17"/>
  <c r="E568" i="23" s="1"/>
  <c r="L507" i="17"/>
  <c r="E553" i="23" s="1"/>
  <c r="L563" i="17"/>
  <c r="L488" i="17"/>
  <c r="E438" i="23" s="1"/>
  <c r="L495" i="17"/>
  <c r="L520" i="17"/>
  <c r="L556" i="17"/>
  <c r="L528" i="17"/>
  <c r="E461" i="23" s="1"/>
  <c r="L566" i="17"/>
  <c r="L262" i="17"/>
  <c r="L505" i="17"/>
  <c r="E564" i="23" s="1"/>
  <c r="L548" i="17"/>
  <c r="E518" i="23" s="1"/>
  <c r="L437" i="17"/>
  <c r="L551" i="17"/>
  <c r="L568" i="17"/>
  <c r="L557" i="17"/>
  <c r="E581" i="23" s="1"/>
  <c r="L574" i="17"/>
  <c r="L561" i="17"/>
  <c r="L517" i="17"/>
  <c r="L539" i="17"/>
  <c r="E522" i="23" s="1"/>
  <c r="L560" i="17"/>
  <c r="L518" i="17"/>
  <c r="E577" i="23" s="1"/>
  <c r="L581" i="17"/>
  <c r="E552" i="23" s="1"/>
  <c r="L575" i="17"/>
  <c r="E558" i="23" s="1"/>
  <c r="L576" i="17"/>
  <c r="E572" i="23" s="1"/>
  <c r="L545" i="17"/>
  <c r="E538" i="23" s="1"/>
  <c r="L582" i="17"/>
  <c r="L571" i="17"/>
  <c r="L562" i="17"/>
  <c r="L573" i="17"/>
  <c r="L586" i="17"/>
  <c r="E571" i="23" s="1"/>
  <c r="L578" i="17"/>
  <c r="E574" i="23" s="1"/>
  <c r="L579" i="17"/>
  <c r="E575" i="23" s="1"/>
  <c r="L558" i="17"/>
  <c r="L572" i="17"/>
  <c r="E555" i="23" s="1"/>
  <c r="L580" i="17"/>
  <c r="E569" i="23" s="1"/>
  <c r="L565" i="17"/>
  <c r="L527" i="17"/>
  <c r="L585" i="17"/>
  <c r="L553" i="17"/>
  <c r="E496" i="23" s="1"/>
  <c r="L591" i="17"/>
  <c r="L559" i="17"/>
  <c r="L583" i="17"/>
  <c r="L523" i="17"/>
  <c r="E584" i="23" s="1"/>
  <c r="L587" i="17"/>
  <c r="L589" i="17"/>
  <c r="E589" i="23" s="1"/>
  <c r="L594" i="17"/>
  <c r="L533" i="17"/>
  <c r="E557" i="23" s="1"/>
  <c r="L588" i="17"/>
  <c r="E586" i="23" s="1"/>
  <c r="L584" i="17"/>
  <c r="E593" i="23" s="1"/>
  <c r="L592" i="17"/>
  <c r="E585" i="23" s="1"/>
  <c r="L543" i="17"/>
  <c r="L577" i="17"/>
  <c r="L596" i="17"/>
  <c r="E594" i="23" s="1"/>
  <c r="L590" i="17"/>
  <c r="L595" i="17"/>
  <c r="L569" i="17"/>
  <c r="L593" i="17"/>
  <c r="E588" i="23" s="1"/>
  <c r="L597" i="17"/>
  <c r="E595" i="23" s="1"/>
  <c r="L599" i="17"/>
  <c r="E596" i="23" s="1"/>
  <c r="L600" i="17"/>
  <c r="E598" i="23" s="1"/>
  <c r="L598" i="17"/>
  <c r="L602" i="17"/>
  <c r="E599" i="23" s="1"/>
  <c r="L603" i="17"/>
  <c r="L601" i="17"/>
  <c r="J508" i="17"/>
  <c r="C519" i="23" s="1"/>
  <c r="J555" i="17"/>
  <c r="J429" i="17"/>
  <c r="C351" i="23" s="1"/>
  <c r="J494" i="17"/>
  <c r="J439" i="17"/>
  <c r="C398" i="23" s="1"/>
  <c r="J461" i="17"/>
  <c r="C487" i="23" s="1"/>
  <c r="J444" i="17"/>
  <c r="C439" i="23" s="1"/>
  <c r="J502" i="17"/>
  <c r="C493" i="23" s="1"/>
  <c r="J564" i="17"/>
  <c r="C546" i="23" s="1"/>
  <c r="J534" i="17"/>
  <c r="C541" i="23" s="1"/>
  <c r="J275" i="17"/>
  <c r="C413" i="23" s="1"/>
  <c r="J542" i="17"/>
  <c r="J496" i="17"/>
  <c r="C467" i="23" s="1"/>
  <c r="J511" i="17"/>
  <c r="J512" i="17"/>
  <c r="C533" i="23" s="1"/>
  <c r="J552" i="17"/>
  <c r="C488" i="23" s="1"/>
  <c r="J554" i="17"/>
  <c r="C545" i="23" s="1"/>
  <c r="J550" i="17"/>
  <c r="C530" i="23" s="1"/>
  <c r="J567" i="17"/>
  <c r="C573" i="23" s="1"/>
  <c r="J415" i="17"/>
  <c r="J570" i="17"/>
  <c r="C568" i="23" s="1"/>
  <c r="J507" i="17"/>
  <c r="C553" i="23" s="1"/>
  <c r="J563" i="17"/>
  <c r="C540" i="23" s="1"/>
  <c r="J488" i="17"/>
  <c r="C438" i="23" s="1"/>
  <c r="J495" i="17"/>
  <c r="C514" i="23" s="1"/>
  <c r="J520" i="17"/>
  <c r="J556" i="17"/>
  <c r="J528" i="17"/>
  <c r="C461" i="23" s="1"/>
  <c r="J566" i="17"/>
  <c r="C535" i="23" s="1"/>
  <c r="J262" i="17"/>
  <c r="J505" i="17"/>
  <c r="C564" i="23" s="1"/>
  <c r="J548" i="17"/>
  <c r="C518" i="23" s="1"/>
  <c r="J437" i="17"/>
  <c r="C498" i="23" s="1"/>
  <c r="J551" i="17"/>
  <c r="J568" i="17"/>
  <c r="C531" i="23" s="1"/>
  <c r="J557" i="17"/>
  <c r="J574" i="17"/>
  <c r="J561" i="17"/>
  <c r="C560" i="23" s="1"/>
  <c r="J517" i="17"/>
  <c r="C542" i="23" s="1"/>
  <c r="J539" i="17"/>
  <c r="C522" i="23" s="1"/>
  <c r="J560" i="17"/>
  <c r="J518" i="17"/>
  <c r="J581" i="17"/>
  <c r="C552" i="23" s="1"/>
  <c r="J575" i="17"/>
  <c r="J576" i="17"/>
  <c r="C572" i="23" s="1"/>
  <c r="J545" i="17"/>
  <c r="C538" i="23" s="1"/>
  <c r="J582" i="17"/>
  <c r="C567" i="23" s="1"/>
  <c r="J571" i="17"/>
  <c r="J562" i="17"/>
  <c r="J573" i="17"/>
  <c r="J586" i="17"/>
  <c r="C571" i="23" s="1"/>
  <c r="J578" i="17"/>
  <c r="J579" i="17"/>
  <c r="C575" i="23" s="1"/>
  <c r="J558" i="17"/>
  <c r="J572" i="17"/>
  <c r="C555" i="23" s="1"/>
  <c r="J580" i="17"/>
  <c r="C569" i="23" s="1"/>
  <c r="J565" i="17"/>
  <c r="C523" i="23" s="1"/>
  <c r="J527" i="17"/>
  <c r="C524" i="23" s="1"/>
  <c r="J585" i="17"/>
  <c r="C578" i="23" s="1"/>
  <c r="J553" i="17"/>
  <c r="C496" i="23" s="1"/>
  <c r="J591" i="17"/>
  <c r="J559" i="17"/>
  <c r="J583" i="17"/>
  <c r="J523" i="17"/>
  <c r="C584" i="23" s="1"/>
  <c r="J587" i="17"/>
  <c r="J589" i="17"/>
  <c r="C589" i="23" s="1"/>
  <c r="J594" i="17"/>
  <c r="J533" i="17"/>
  <c r="C557" i="23" s="1"/>
  <c r="J588" i="17"/>
  <c r="C586" i="23" s="1"/>
  <c r="J584" i="17"/>
  <c r="C593" i="23" s="1"/>
  <c r="J592" i="17"/>
  <c r="C585" i="23" s="1"/>
  <c r="J543" i="17"/>
  <c r="J577" i="17"/>
  <c r="J596" i="17"/>
  <c r="C594" i="23" s="1"/>
  <c r="J590" i="17"/>
  <c r="J595" i="17"/>
  <c r="J569" i="17"/>
  <c r="J593" i="17"/>
  <c r="C588" i="23" s="1"/>
  <c r="J597" i="17"/>
  <c r="C595" i="23" s="1"/>
  <c r="J599" i="17"/>
  <c r="J600" i="17"/>
  <c r="C598" i="23" s="1"/>
  <c r="J598" i="17"/>
  <c r="C597" i="23" s="1"/>
  <c r="J602" i="17"/>
  <c r="C599" i="23" s="1"/>
  <c r="J603" i="17"/>
  <c r="J601" i="17"/>
  <c r="O562" i="17"/>
  <c r="O494" i="17"/>
  <c r="O441" i="17"/>
  <c r="O452" i="17"/>
  <c r="O87" i="17"/>
  <c r="O432" i="17"/>
  <c r="O276" i="17"/>
  <c r="O314" i="17"/>
  <c r="O207" i="17"/>
  <c r="O35" i="17"/>
  <c r="O20" i="17"/>
  <c r="O579" i="17"/>
  <c r="O484" i="17"/>
  <c r="O472" i="17"/>
  <c r="O320" i="17"/>
  <c r="O498" i="17"/>
  <c r="O151" i="17"/>
  <c r="O547" i="17"/>
  <c r="O439" i="17"/>
  <c r="O564" i="17"/>
  <c r="Q434" i="17"/>
  <c r="Q126" i="17"/>
  <c r="Q565" i="17"/>
  <c r="Q451" i="17"/>
  <c r="Q46" i="17"/>
  <c r="P352" i="17"/>
  <c r="Q59" i="17"/>
  <c r="Q569" i="17"/>
  <c r="Q581" i="17"/>
  <c r="Q353" i="17"/>
  <c r="Q11" i="17"/>
  <c r="Q5" i="17"/>
  <c r="Q496" i="17"/>
  <c r="Q153" i="17"/>
  <c r="Q586" i="17"/>
  <c r="Q139" i="17"/>
  <c r="O68" i="17"/>
  <c r="Q234" i="17"/>
  <c r="O84" i="17"/>
  <c r="O419" i="17"/>
  <c r="Q552" i="17"/>
  <c r="Q440" i="17"/>
  <c r="O388" i="17"/>
  <c r="Q406" i="17"/>
  <c r="Q325" i="17"/>
  <c r="O274" i="17"/>
  <c r="P44" i="17"/>
  <c r="Q107" i="17"/>
  <c r="Q131" i="17"/>
  <c r="Q146" i="17"/>
  <c r="P63" i="17"/>
  <c r="Q63" i="17"/>
  <c r="Q262" i="17"/>
  <c r="P9" i="17"/>
  <c r="Q9" i="17"/>
  <c r="P269" i="17"/>
  <c r="Q269" i="17"/>
  <c r="P19" i="17"/>
  <c r="Q19" i="17"/>
  <c r="P287" i="17"/>
  <c r="Q287" i="17"/>
  <c r="P289" i="17"/>
  <c r="P448" i="17"/>
  <c r="Q448" i="17"/>
  <c r="P52" i="17"/>
  <c r="Q44" i="17"/>
  <c r="Q79" i="17"/>
  <c r="P83" i="17"/>
  <c r="M3" i="4"/>
  <c r="K3" i="4"/>
  <c r="I3" i="4"/>
  <c r="E3" i="4"/>
  <c r="Q3" i="5"/>
  <c r="N3" i="5"/>
  <c r="C556" i="23" l="1"/>
  <c r="D555" i="23"/>
  <c r="D545" i="23"/>
  <c r="C394" i="23"/>
  <c r="C446" i="23"/>
  <c r="C441" i="23"/>
  <c r="D387" i="23"/>
  <c r="C414" i="23"/>
  <c r="C381" i="23"/>
  <c r="C365" i="23"/>
  <c r="C359" i="23"/>
  <c r="C329" i="23"/>
  <c r="E312" i="23"/>
  <c r="D403" i="23"/>
  <c r="D347" i="23"/>
  <c r="C78" i="23"/>
  <c r="C217" i="23"/>
  <c r="C85" i="23"/>
  <c r="C94" i="23"/>
  <c r="C113" i="23"/>
  <c r="E217" i="23"/>
  <c r="E85" i="23"/>
  <c r="E94" i="23"/>
  <c r="E137" i="23"/>
  <c r="E69" i="23"/>
  <c r="E88" i="23"/>
  <c r="E83" i="23"/>
  <c r="E53" i="23"/>
  <c r="D47" i="23"/>
  <c r="D305" i="23"/>
  <c r="D172" i="23"/>
  <c r="D56" i="23"/>
  <c r="D9" i="23"/>
  <c r="E533" i="23"/>
  <c r="C236" i="23"/>
  <c r="D320" i="23"/>
  <c r="C155" i="23"/>
  <c r="D286" i="23"/>
  <c r="D132" i="23"/>
  <c r="C67" i="23"/>
  <c r="C31" i="23"/>
  <c r="D13" i="23"/>
  <c r="D33" i="23"/>
  <c r="E583" i="23"/>
  <c r="C576" i="23"/>
  <c r="E542" i="23"/>
  <c r="D557" i="23"/>
  <c r="C415" i="23"/>
  <c r="C429" i="23"/>
  <c r="E404" i="23"/>
  <c r="C154" i="23"/>
  <c r="E154" i="23"/>
  <c r="E109" i="23"/>
  <c r="C19" i="23"/>
  <c r="D19" i="23"/>
  <c r="D66" i="23"/>
  <c r="C548" i="23"/>
  <c r="E579" i="23"/>
  <c r="C547" i="23"/>
  <c r="E561" i="23"/>
  <c r="E514" i="23"/>
  <c r="D542" i="23"/>
  <c r="D520" i="23"/>
  <c r="C447" i="23"/>
  <c r="E600" i="23"/>
  <c r="E525" i="23"/>
  <c r="C416" i="23"/>
  <c r="D397" i="23"/>
  <c r="D236" i="23"/>
  <c r="D142" i="23"/>
  <c r="E26" i="23"/>
  <c r="C432" i="23"/>
  <c r="D399" i="23"/>
  <c r="C158" i="23"/>
  <c r="E158" i="23"/>
  <c r="E25" i="23"/>
  <c r="D157" i="23"/>
  <c r="C35" i="23"/>
  <c r="E566" i="23"/>
  <c r="C596" i="23"/>
  <c r="E523" i="23"/>
  <c r="E498" i="23"/>
  <c r="D591" i="23"/>
  <c r="D553" i="23"/>
  <c r="C495" i="23"/>
  <c r="C403" i="23"/>
  <c r="C380" i="23"/>
  <c r="C270" i="23"/>
  <c r="C268" i="23"/>
  <c r="E270" i="23"/>
  <c r="E268" i="23"/>
  <c r="E141" i="23"/>
  <c r="D248" i="23"/>
  <c r="C92" i="23"/>
  <c r="C10" i="23"/>
  <c r="D25" i="23"/>
  <c r="C590" i="23"/>
  <c r="E299" i="23"/>
  <c r="E183" i="23"/>
  <c r="E107" i="23"/>
  <c r="E130" i="23"/>
  <c r="E131" i="23"/>
  <c r="D280" i="23"/>
  <c r="D213" i="23"/>
  <c r="D167" i="23"/>
  <c r="D118" i="23"/>
  <c r="D209" i="23"/>
  <c r="D111" i="23"/>
  <c r="C145" i="23"/>
  <c r="C73" i="23"/>
  <c r="C46" i="23"/>
  <c r="C13" i="23"/>
  <c r="D83" i="23"/>
  <c r="D37" i="23"/>
  <c r="D109" i="23"/>
  <c r="C532" i="23"/>
  <c r="D572" i="23"/>
  <c r="C440" i="23"/>
  <c r="E590" i="23"/>
  <c r="D300" i="23"/>
  <c r="E149" i="23"/>
  <c r="E159" i="23"/>
  <c r="E143" i="23"/>
  <c r="E49" i="23"/>
  <c r="E145" i="23"/>
  <c r="D150" i="23"/>
  <c r="D130" i="23"/>
  <c r="D60" i="23"/>
  <c r="D63" i="23"/>
  <c r="D58" i="23"/>
  <c r="C491" i="23"/>
  <c r="D491" i="23"/>
  <c r="C392" i="23"/>
  <c r="E393" i="23"/>
  <c r="E290" i="23"/>
  <c r="D371" i="23"/>
  <c r="E27" i="23"/>
  <c r="D298" i="23"/>
  <c r="D108" i="23"/>
  <c r="E582" i="23"/>
  <c r="D571" i="23"/>
  <c r="D584" i="23"/>
  <c r="C509" i="23"/>
  <c r="C513" i="23"/>
  <c r="C508" i="23"/>
  <c r="E521" i="23"/>
  <c r="E481" i="23"/>
  <c r="D459" i="23"/>
  <c r="D509" i="23"/>
  <c r="C566" i="23"/>
  <c r="E578" i="23"/>
  <c r="E567" i="23"/>
  <c r="E531" i="23"/>
  <c r="E540" i="23"/>
  <c r="E413" i="23"/>
  <c r="D588" i="23"/>
  <c r="D580" i="23"/>
  <c r="D413" i="23"/>
  <c r="C502" i="23"/>
  <c r="C549" i="23"/>
  <c r="C529" i="23"/>
  <c r="E532" i="23"/>
  <c r="E442" i="23"/>
  <c r="E597" i="23"/>
  <c r="E524" i="23"/>
  <c r="E541" i="23"/>
  <c r="D565" i="23"/>
  <c r="D581" i="23"/>
  <c r="D540" i="23"/>
  <c r="D561" i="23"/>
  <c r="D541" i="23"/>
  <c r="C544" i="23"/>
  <c r="C506" i="23"/>
  <c r="C452" i="23"/>
  <c r="E511" i="23"/>
  <c r="E480" i="23"/>
  <c r="C558" i="23"/>
  <c r="C435" i="23"/>
  <c r="E546" i="23"/>
  <c r="D567" i="23"/>
  <c r="D531" i="23"/>
  <c r="D493" i="23"/>
  <c r="D543" i="23"/>
  <c r="C521" i="23"/>
  <c r="C481" i="23"/>
  <c r="E479" i="23"/>
  <c r="E517" i="23"/>
  <c r="C442" i="23"/>
  <c r="E471" i="23"/>
  <c r="D539" i="23"/>
  <c r="D471" i="23"/>
  <c r="E322" i="23"/>
  <c r="C583" i="23"/>
  <c r="C577" i="23"/>
  <c r="E573" i="23"/>
  <c r="D435" i="23"/>
  <c r="C528" i="23"/>
  <c r="C511" i="23"/>
  <c r="C480" i="23"/>
  <c r="E486" i="23"/>
  <c r="E526" i="23"/>
  <c r="D528" i="23"/>
  <c r="D533" i="23"/>
  <c r="E459" i="23"/>
  <c r="D518" i="23"/>
  <c r="D546" i="23"/>
  <c r="D573" i="23"/>
  <c r="C517" i="23"/>
  <c r="C505" i="23"/>
  <c r="E537" i="23"/>
  <c r="D415" i="23"/>
  <c r="C352" i="23"/>
  <c r="C427" i="23"/>
  <c r="C409" i="23"/>
  <c r="C574" i="23"/>
  <c r="E592" i="23"/>
  <c r="E556" i="23"/>
  <c r="E548" i="23"/>
  <c r="E535" i="23"/>
  <c r="E545" i="23"/>
  <c r="D569" i="23"/>
  <c r="D552" i="23"/>
  <c r="D579" i="23"/>
  <c r="C527" i="23"/>
  <c r="C430" i="23"/>
  <c r="C539" i="23"/>
  <c r="C374" i="23"/>
  <c r="C471" i="23"/>
  <c r="C407" i="23"/>
  <c r="E494" i="23"/>
  <c r="E515" i="23"/>
  <c r="C579" i="23"/>
  <c r="C570" i="23"/>
  <c r="D599" i="23"/>
  <c r="D600" i="23"/>
  <c r="D535" i="23"/>
  <c r="D564" i="23"/>
  <c r="C536" i="23"/>
  <c r="C486" i="23"/>
  <c r="C526" i="23"/>
  <c r="E503" i="23"/>
  <c r="E510" i="23"/>
  <c r="E550" i="23"/>
  <c r="C592" i="23"/>
  <c r="C591" i="23"/>
  <c r="C562" i="23"/>
  <c r="C551" i="23"/>
  <c r="C559" i="23"/>
  <c r="E570" i="23"/>
  <c r="D583" i="23"/>
  <c r="D556" i="23"/>
  <c r="D559" i="23"/>
  <c r="C543" i="23"/>
  <c r="C537" i="23"/>
  <c r="E509" i="23"/>
  <c r="E513" i="23"/>
  <c r="E508" i="23"/>
  <c r="C580" i="23"/>
  <c r="C563" i="23"/>
  <c r="E591" i="23"/>
  <c r="E576" i="23"/>
  <c r="C601" i="23"/>
  <c r="C587" i="23"/>
  <c r="C565" i="23"/>
  <c r="C561" i="23"/>
  <c r="C554" i="23"/>
  <c r="E562" i="23"/>
  <c r="E580" i="23"/>
  <c r="E560" i="23"/>
  <c r="E563" i="23"/>
  <c r="E551" i="23"/>
  <c r="E559" i="23"/>
  <c r="D590" i="23"/>
  <c r="D575" i="23"/>
  <c r="D570" i="23"/>
  <c r="D551" i="23"/>
  <c r="C492" i="23"/>
  <c r="C494" i="23"/>
  <c r="C443" i="23"/>
  <c r="C515" i="23"/>
  <c r="C600" i="23"/>
  <c r="C525" i="23"/>
  <c r="C582" i="23"/>
  <c r="C581" i="23"/>
  <c r="E601" i="23"/>
  <c r="E587" i="23"/>
  <c r="E565" i="23"/>
  <c r="E554" i="23"/>
  <c r="E519" i="23"/>
  <c r="D596" i="23"/>
  <c r="D589" i="23"/>
  <c r="D574" i="23"/>
  <c r="D563" i="23"/>
  <c r="C459" i="23"/>
  <c r="C503" i="23"/>
  <c r="C510" i="23"/>
  <c r="C550" i="23"/>
  <c r="C507" i="23"/>
  <c r="C383" i="23"/>
  <c r="D511" i="23"/>
  <c r="C478" i="23"/>
  <c r="C364" i="23"/>
  <c r="C346" i="23"/>
  <c r="E473" i="23"/>
  <c r="E428" i="23"/>
  <c r="E307" i="23"/>
  <c r="E321" i="23"/>
  <c r="E391" i="23"/>
  <c r="E319" i="23"/>
  <c r="D449" i="23"/>
  <c r="D400" i="23"/>
  <c r="D345" i="23"/>
  <c r="D372" i="23"/>
  <c r="D144" i="23"/>
  <c r="C267" i="23"/>
  <c r="C252" i="23"/>
  <c r="C148" i="23"/>
  <c r="C181" i="23"/>
  <c r="C208" i="23"/>
  <c r="C276" i="23"/>
  <c r="C168" i="23"/>
  <c r="C58" i="23"/>
  <c r="E252" i="23"/>
  <c r="E148" i="23"/>
  <c r="E133" i="23"/>
  <c r="E181" i="23"/>
  <c r="E208" i="23"/>
  <c r="E45" i="23"/>
  <c r="E56" i="23"/>
  <c r="E57" i="23"/>
  <c r="E71" i="23"/>
  <c r="E48" i="23"/>
  <c r="D264" i="23"/>
  <c r="D282" i="23"/>
  <c r="D182" i="23"/>
  <c r="D301" i="23"/>
  <c r="D247" i="23"/>
  <c r="D77" i="23"/>
  <c r="D170" i="23"/>
  <c r="C63" i="23"/>
  <c r="C55" i="23"/>
  <c r="D125" i="23"/>
  <c r="D82" i="23"/>
  <c r="D42" i="23"/>
  <c r="D49" i="23"/>
  <c r="D334" i="23"/>
  <c r="E483" i="23"/>
  <c r="E379" i="23"/>
  <c r="E489" i="23"/>
  <c r="E505" i="23"/>
  <c r="D465" i="23"/>
  <c r="D484" i="23"/>
  <c r="D489" i="23"/>
  <c r="C468" i="23"/>
  <c r="C388" i="23"/>
  <c r="C367" i="23"/>
  <c r="C368" i="23"/>
  <c r="C418" i="23"/>
  <c r="C271" i="23"/>
  <c r="C436" i="23"/>
  <c r="C357" i="23"/>
  <c r="C258" i="23"/>
  <c r="C333" i="23"/>
  <c r="E476" i="23"/>
  <c r="E395" i="23"/>
  <c r="E422" i="23"/>
  <c r="E427" i="23"/>
  <c r="E409" i="23"/>
  <c r="E337" i="23"/>
  <c r="E317" i="23"/>
  <c r="E326" i="23"/>
  <c r="E347" i="23"/>
  <c r="E279" i="23"/>
  <c r="E222" i="23"/>
  <c r="E233" i="23"/>
  <c r="D406" i="23"/>
  <c r="D429" i="23"/>
  <c r="D448" i="23"/>
  <c r="D389" i="23"/>
  <c r="D423" i="23"/>
  <c r="D357" i="23"/>
  <c r="D188" i="23"/>
  <c r="C282" i="23"/>
  <c r="C230" i="23"/>
  <c r="C287" i="23"/>
  <c r="C206" i="23"/>
  <c r="C98" i="23"/>
  <c r="C93" i="23"/>
  <c r="C189" i="23"/>
  <c r="C227" i="23"/>
  <c r="C110" i="23"/>
  <c r="C141" i="23"/>
  <c r="C130" i="23"/>
  <c r="C134" i="23"/>
  <c r="C131" i="23"/>
  <c r="E230" i="23"/>
  <c r="E287" i="23"/>
  <c r="E206" i="23"/>
  <c r="E98" i="23"/>
  <c r="E93" i="23"/>
  <c r="E189" i="23"/>
  <c r="E227" i="23"/>
  <c r="E110" i="23"/>
  <c r="E276" i="23"/>
  <c r="E168" i="23"/>
  <c r="E61" i="23"/>
  <c r="E58" i="23"/>
  <c r="E52" i="23"/>
  <c r="E32" i="23"/>
  <c r="E62" i="23"/>
  <c r="E11" i="23"/>
  <c r="D319" i="23"/>
  <c r="D344" i="23"/>
  <c r="D240" i="23"/>
  <c r="D239" i="23"/>
  <c r="D202" i="23"/>
  <c r="D171" i="23"/>
  <c r="D106" i="23"/>
  <c r="D128" i="23"/>
  <c r="D179" i="23"/>
  <c r="D45" i="23"/>
  <c r="C50" i="23"/>
  <c r="C44" i="23"/>
  <c r="C37" i="23"/>
  <c r="D86" i="23"/>
  <c r="D52" i="23"/>
  <c r="D29" i="23"/>
  <c r="D51" i="23"/>
  <c r="D12" i="23"/>
  <c r="D178" i="23"/>
  <c r="D434" i="23"/>
  <c r="C183" i="23"/>
  <c r="D325" i="23"/>
  <c r="D289" i="23"/>
  <c r="D258" i="23"/>
  <c r="D526" i="23"/>
  <c r="D468" i="23"/>
  <c r="C419" i="23"/>
  <c r="C473" i="23"/>
  <c r="C428" i="23"/>
  <c r="C324" i="23"/>
  <c r="C321" i="23"/>
  <c r="C391" i="23"/>
  <c r="C200" i="23"/>
  <c r="E500" i="23"/>
  <c r="E414" i="23"/>
  <c r="E365" i="23"/>
  <c r="E431" i="23"/>
  <c r="E328" i="23"/>
  <c r="E359" i="23"/>
  <c r="E329" i="23"/>
  <c r="D485" i="23"/>
  <c r="D437" i="23"/>
  <c r="D368" i="23"/>
  <c r="D418" i="23"/>
  <c r="D436" i="23"/>
  <c r="D215" i="23"/>
  <c r="C315" i="23"/>
  <c r="C332" i="23"/>
  <c r="C142" i="23"/>
  <c r="C165" i="23"/>
  <c r="C161" i="23"/>
  <c r="C210" i="23"/>
  <c r="C149" i="23"/>
  <c r="C159" i="23"/>
  <c r="C143" i="23"/>
  <c r="E315" i="23"/>
  <c r="E332" i="23"/>
  <c r="E142" i="23"/>
  <c r="E165" i="23"/>
  <c r="E210" i="23"/>
  <c r="E119" i="23"/>
  <c r="E86" i="23"/>
  <c r="E44" i="23"/>
  <c r="D322" i="23"/>
  <c r="D308" i="23"/>
  <c r="D285" i="23"/>
  <c r="D123" i="23"/>
  <c r="D169" i="23"/>
  <c r="D162" i="23"/>
  <c r="D218" i="23"/>
  <c r="D278" i="23"/>
  <c r="D276" i="23"/>
  <c r="D134" i="23"/>
  <c r="C59" i="23"/>
  <c r="D30" i="23"/>
  <c r="D105" i="23"/>
  <c r="D7" i="23"/>
  <c r="C317" i="23"/>
  <c r="C326" i="23"/>
  <c r="C279" i="23"/>
  <c r="E516" i="23"/>
  <c r="E225" i="23"/>
  <c r="D472" i="23"/>
  <c r="D501" i="23"/>
  <c r="D478" i="23"/>
  <c r="D367" i="23"/>
  <c r="C308" i="23"/>
  <c r="C344" i="23"/>
  <c r="C231" i="23"/>
  <c r="C95" i="23"/>
  <c r="C101" i="23"/>
  <c r="C139" i="23"/>
  <c r="E308" i="23"/>
  <c r="E344" i="23"/>
  <c r="E231" i="23"/>
  <c r="E95" i="23"/>
  <c r="E101" i="23"/>
  <c r="D288" i="23"/>
  <c r="D262" i="23"/>
  <c r="D89" i="23"/>
  <c r="D208" i="23"/>
  <c r="C43" i="23"/>
  <c r="C53" i="23"/>
  <c r="C29" i="23"/>
  <c r="C60" i="23"/>
  <c r="D483" i="23"/>
  <c r="D495" i="23"/>
  <c r="D430" i="23"/>
  <c r="D411" i="23"/>
  <c r="D515" i="23"/>
  <c r="D457" i="23"/>
  <c r="D508" i="23"/>
  <c r="D512" i="23"/>
  <c r="C476" i="23"/>
  <c r="C386" i="23"/>
  <c r="C234" i="23"/>
  <c r="C405" i="23"/>
  <c r="C420" i="23"/>
  <c r="C322" i="23"/>
  <c r="E451" i="23"/>
  <c r="E406" i="23"/>
  <c r="E330" i="23"/>
  <c r="E313" i="23"/>
  <c r="E334" i="23"/>
  <c r="E320" i="23"/>
  <c r="E341" i="23"/>
  <c r="D432" i="23"/>
  <c r="D445" i="23"/>
  <c r="D380" i="23"/>
  <c r="D324" i="23"/>
  <c r="D321" i="23"/>
  <c r="D391" i="23"/>
  <c r="D279" i="23"/>
  <c r="C303" i="23"/>
  <c r="C182" i="23"/>
  <c r="C212" i="23"/>
  <c r="C301" i="23"/>
  <c r="C90" i="23"/>
  <c r="C116" i="23"/>
  <c r="C151" i="23"/>
  <c r="C68" i="23"/>
  <c r="C137" i="23"/>
  <c r="C88" i="23"/>
  <c r="C83" i="23"/>
  <c r="E303" i="23"/>
  <c r="E182" i="23"/>
  <c r="E212" i="23"/>
  <c r="E301" i="23"/>
  <c r="E90" i="23"/>
  <c r="E116" i="23"/>
  <c r="E151" i="23"/>
  <c r="E68" i="23"/>
  <c r="E139" i="23"/>
  <c r="E102" i="23"/>
  <c r="E100" i="23"/>
  <c r="E42" i="23"/>
  <c r="E28" i="23"/>
  <c r="E9" i="23"/>
  <c r="D225" i="23"/>
  <c r="D78" i="23"/>
  <c r="D277" i="23"/>
  <c r="D261" i="23"/>
  <c r="D232" i="23"/>
  <c r="D175" i="23"/>
  <c r="D91" i="23"/>
  <c r="D158" i="23"/>
  <c r="D119" i="23"/>
  <c r="D84" i="23"/>
  <c r="C33" i="23"/>
  <c r="C79" i="23"/>
  <c r="C34" i="23"/>
  <c r="C40" i="23"/>
  <c r="C8" i="23"/>
  <c r="D112" i="23"/>
  <c r="D53" i="23"/>
  <c r="D14" i="23"/>
  <c r="D59" i="23"/>
  <c r="D57" i="23"/>
  <c r="D315" i="23"/>
  <c r="D176" i="23"/>
  <c r="D486" i="23"/>
  <c r="D550" i="23"/>
  <c r="D352" i="23"/>
  <c r="C431" i="23"/>
  <c r="C361" i="23"/>
  <c r="E425" i="23"/>
  <c r="E455" i="23"/>
  <c r="E449" i="23"/>
  <c r="E400" i="23"/>
  <c r="E350" i="23"/>
  <c r="E369" i="23"/>
  <c r="E296" i="23"/>
  <c r="E245" i="23"/>
  <c r="E253" i="23"/>
  <c r="D388" i="23"/>
  <c r="D317" i="23"/>
  <c r="D326" i="23"/>
  <c r="D295" i="23"/>
  <c r="C325" i="23"/>
  <c r="C248" i="23"/>
  <c r="C240" i="23"/>
  <c r="C239" i="23"/>
  <c r="C202" i="23"/>
  <c r="C136" i="23"/>
  <c r="C163" i="23"/>
  <c r="C97" i="23"/>
  <c r="E325" i="23"/>
  <c r="E248" i="23"/>
  <c r="E240" i="23"/>
  <c r="E239" i="23"/>
  <c r="E202" i="23"/>
  <c r="E136" i="23"/>
  <c r="E163" i="23"/>
  <c r="E43" i="23"/>
  <c r="E29" i="23"/>
  <c r="E60" i="23"/>
  <c r="D341" i="23"/>
  <c r="D140" i="23"/>
  <c r="D257" i="23"/>
  <c r="D99" i="23"/>
  <c r="D189" i="23"/>
  <c r="D227" i="23"/>
  <c r="D110" i="23"/>
  <c r="D107" i="23"/>
  <c r="D149" i="23"/>
  <c r="C105" i="23"/>
  <c r="C66" i="23"/>
  <c r="C15" i="23"/>
  <c r="C16" i="23"/>
  <c r="C20" i="23"/>
  <c r="D71" i="23"/>
  <c r="D79" i="23"/>
  <c r="D72" i="23"/>
  <c r="D43" i="23"/>
  <c r="D10" i="23"/>
  <c r="D447" i="23"/>
  <c r="C4" i="23"/>
  <c r="D250" i="23"/>
  <c r="D537" i="23"/>
  <c r="D513" i="23"/>
  <c r="D452" i="23"/>
  <c r="C500" i="23"/>
  <c r="C433" i="23"/>
  <c r="C356" i="23"/>
  <c r="C225" i="23"/>
  <c r="E485" i="23"/>
  <c r="E437" i="23"/>
  <c r="E389" i="23"/>
  <c r="E377" i="23"/>
  <c r="E372" i="23"/>
  <c r="E260" i="23"/>
  <c r="E306" i="23"/>
  <c r="D428" i="23"/>
  <c r="D375" i="23"/>
  <c r="D329" i="23"/>
  <c r="C285" i="23"/>
  <c r="C280" i="23"/>
  <c r="C289" i="23"/>
  <c r="C249" i="23"/>
  <c r="C247" i="23"/>
  <c r="C228" i="23"/>
  <c r="C122" i="23"/>
  <c r="C153" i="23"/>
  <c r="C127" i="23"/>
  <c r="C87" i="23"/>
  <c r="E285" i="23"/>
  <c r="E280" i="23"/>
  <c r="E289" i="23"/>
  <c r="E249" i="23"/>
  <c r="E174" i="23"/>
  <c r="E247" i="23"/>
  <c r="E155" i="23"/>
  <c r="E228" i="23"/>
  <c r="E122" i="23"/>
  <c r="E97" i="23"/>
  <c r="E47" i="23"/>
  <c r="E113" i="23"/>
  <c r="E51" i="23"/>
  <c r="E33" i="23"/>
  <c r="E79" i="23"/>
  <c r="E34" i="23"/>
  <c r="E40" i="23"/>
  <c r="E8" i="23"/>
  <c r="D148" i="23"/>
  <c r="D133" i="23"/>
  <c r="D181" i="23"/>
  <c r="D93" i="23"/>
  <c r="D194" i="23"/>
  <c r="D96" i="23"/>
  <c r="C21" i="23"/>
  <c r="C7" i="23"/>
  <c r="D73" i="23"/>
  <c r="D38" i="23"/>
  <c r="D50" i="23"/>
  <c r="D195" i="23"/>
  <c r="D336" i="23"/>
  <c r="D124" i="23"/>
  <c r="D302" i="23"/>
  <c r="C195" i="23"/>
  <c r="C482" i="23"/>
  <c r="E502" i="23"/>
  <c r="E549" i="23"/>
  <c r="E529" i="23"/>
  <c r="E463" i="23"/>
  <c r="E474" i="23"/>
  <c r="E512" i="23"/>
  <c r="D494" i="23"/>
  <c r="D529" i="23"/>
  <c r="D463" i="23"/>
  <c r="C516" i="23"/>
  <c r="C406" i="23"/>
  <c r="C343" i="23"/>
  <c r="C330" i="23"/>
  <c r="C290" i="23"/>
  <c r="C339" i="23"/>
  <c r="C313" i="23"/>
  <c r="C334" i="23"/>
  <c r="C320" i="23"/>
  <c r="C341" i="23"/>
  <c r="E472" i="23"/>
  <c r="E501" i="23"/>
  <c r="E408" i="23"/>
  <c r="E434" i="23"/>
  <c r="E423" i="23"/>
  <c r="E355" i="23"/>
  <c r="E363" i="23"/>
  <c r="D473" i="23"/>
  <c r="D427" i="23"/>
  <c r="D420" i="23"/>
  <c r="D180" i="23"/>
  <c r="D359" i="23"/>
  <c r="C286" i="23"/>
  <c r="C302" i="23"/>
  <c r="C269" i="23"/>
  <c r="C123" i="23"/>
  <c r="C238" i="23"/>
  <c r="C169" i="23"/>
  <c r="C106" i="23"/>
  <c r="C157" i="23"/>
  <c r="C147" i="23"/>
  <c r="C84" i="23"/>
  <c r="C125" i="23"/>
  <c r="E286" i="23"/>
  <c r="E302" i="23"/>
  <c r="E269" i="23"/>
  <c r="E123" i="23"/>
  <c r="E238" i="23"/>
  <c r="E242" i="23"/>
  <c r="E169" i="23"/>
  <c r="E171" i="23"/>
  <c r="E106" i="23"/>
  <c r="E157" i="23"/>
  <c r="E195" i="23"/>
  <c r="E153" i="23"/>
  <c r="E127" i="23"/>
  <c r="E87" i="23"/>
  <c r="E105" i="23"/>
  <c r="E15" i="23"/>
  <c r="E16" i="23"/>
  <c r="D235" i="23"/>
  <c r="D349" i="23"/>
  <c r="D287" i="23"/>
  <c r="D98" i="23"/>
  <c r="D183" i="23"/>
  <c r="D198" i="23"/>
  <c r="D187" i="23"/>
  <c r="D101" i="23"/>
  <c r="D114" i="23"/>
  <c r="C112" i="23"/>
  <c r="C38" i="23"/>
  <c r="C12" i="23"/>
  <c r="D23" i="23"/>
  <c r="D32" i="23"/>
  <c r="D6" i="23"/>
  <c r="D310" i="23"/>
  <c r="E544" i="23"/>
  <c r="E506" i="23"/>
  <c r="E452" i="23"/>
  <c r="E387" i="23"/>
  <c r="D504" i="23"/>
  <c r="D544" i="23"/>
  <c r="D506" i="23"/>
  <c r="D442" i="23"/>
  <c r="D480" i="23"/>
  <c r="D500" i="23"/>
  <c r="C425" i="23"/>
  <c r="C455" i="23"/>
  <c r="C449" i="23"/>
  <c r="C390" i="23"/>
  <c r="C400" i="23"/>
  <c r="C350" i="23"/>
  <c r="C369" i="23"/>
  <c r="C296" i="23"/>
  <c r="C312" i="23"/>
  <c r="C245" i="23"/>
  <c r="C253" i="23"/>
  <c r="E445" i="23"/>
  <c r="E478" i="23"/>
  <c r="E382" i="23"/>
  <c r="E211" i="23"/>
  <c r="E373" i="23"/>
  <c r="E346" i="23"/>
  <c r="D422" i="23"/>
  <c r="D234" i="23"/>
  <c r="D424" i="23"/>
  <c r="D431" i="23"/>
  <c r="D160" i="23"/>
  <c r="D433" i="23"/>
  <c r="D356" i="23"/>
  <c r="D245" i="23"/>
  <c r="D138" i="23"/>
  <c r="C349" i="23"/>
  <c r="C288" i="23"/>
  <c r="C184" i="23"/>
  <c r="C223" i="23"/>
  <c r="C262" i="23"/>
  <c r="C167" i="23"/>
  <c r="C118" i="23"/>
  <c r="C128" i="23"/>
  <c r="C179" i="23"/>
  <c r="C178" i="23"/>
  <c r="C74" i="23"/>
  <c r="E349" i="23"/>
  <c r="E288" i="23"/>
  <c r="E184" i="23"/>
  <c r="E223" i="23"/>
  <c r="E262" i="23"/>
  <c r="E167" i="23"/>
  <c r="E128" i="23"/>
  <c r="E77" i="23"/>
  <c r="E147" i="23"/>
  <c r="E84" i="23"/>
  <c r="E125" i="23"/>
  <c r="E67" i="23"/>
  <c r="E31" i="23"/>
  <c r="E21" i="23"/>
  <c r="D61" i="23"/>
  <c r="D254" i="23"/>
  <c r="D299" i="23"/>
  <c r="D161" i="23"/>
  <c r="D186" i="23"/>
  <c r="D205" i="23"/>
  <c r="D196" i="23"/>
  <c r="D97" i="23"/>
  <c r="C72" i="23"/>
  <c r="C26" i="23"/>
  <c r="C14" i="23"/>
  <c r="D62" i="23"/>
  <c r="D26" i="23"/>
  <c r="D31" i="23"/>
  <c r="D303" i="23"/>
  <c r="D549" i="23"/>
  <c r="D481" i="23"/>
  <c r="D505" i="23"/>
  <c r="D516" i="23"/>
  <c r="C485" i="23"/>
  <c r="C437" i="23"/>
  <c r="C448" i="23"/>
  <c r="C389" i="23"/>
  <c r="C318" i="23"/>
  <c r="C377" i="23"/>
  <c r="C372" i="23"/>
  <c r="C260" i="23"/>
  <c r="C306" i="23"/>
  <c r="C138" i="23"/>
  <c r="E388" i="23"/>
  <c r="E367" i="23"/>
  <c r="E368" i="23"/>
  <c r="E418" i="23"/>
  <c r="E271" i="23"/>
  <c r="E436" i="23"/>
  <c r="E357" i="23"/>
  <c r="E333" i="23"/>
  <c r="E267" i="23"/>
  <c r="D386" i="23"/>
  <c r="D290" i="23"/>
  <c r="D339" i="23"/>
  <c r="D313" i="23"/>
  <c r="D260" i="23"/>
  <c r="D306" i="23"/>
  <c r="C277" i="23"/>
  <c r="C261" i="23"/>
  <c r="C232" i="23"/>
  <c r="C126" i="23"/>
  <c r="C166" i="23"/>
  <c r="C218" i="23"/>
  <c r="C209" i="23"/>
  <c r="C170" i="23"/>
  <c r="C156" i="23"/>
  <c r="C54" i="23"/>
  <c r="C82" i="23"/>
  <c r="E277" i="23"/>
  <c r="E261" i="23"/>
  <c r="E126" i="23"/>
  <c r="E166" i="23"/>
  <c r="E218" i="23"/>
  <c r="E209" i="23"/>
  <c r="E179" i="23"/>
  <c r="E178" i="23"/>
  <c r="E74" i="23"/>
  <c r="E112" i="23"/>
  <c r="E38" i="23"/>
  <c r="E19" i="23"/>
  <c r="D348" i="23"/>
  <c r="D165" i="23"/>
  <c r="D151" i="23"/>
  <c r="D201" i="23"/>
  <c r="D163" i="23"/>
  <c r="D153" i="23"/>
  <c r="D54" i="23"/>
  <c r="C71" i="23"/>
  <c r="C23" i="23"/>
  <c r="C48" i="23"/>
  <c r="D143" i="23"/>
  <c r="D113" i="23"/>
  <c r="D15" i="23"/>
  <c r="D35" i="23"/>
  <c r="C176" i="23"/>
  <c r="D210" i="23"/>
  <c r="D460" i="23"/>
  <c r="D497" i="23"/>
  <c r="D407" i="23"/>
  <c r="C472" i="23"/>
  <c r="C501" i="23"/>
  <c r="C434" i="23"/>
  <c r="C423" i="23"/>
  <c r="C355" i="23"/>
  <c r="C363" i="23"/>
  <c r="E300" i="23"/>
  <c r="E384" i="23"/>
  <c r="E188" i="23"/>
  <c r="E264" i="23"/>
  <c r="D350" i="23"/>
  <c r="D369" i="23"/>
  <c r="D355" i="23"/>
  <c r="D363" i="23"/>
  <c r="C348" i="23"/>
  <c r="C150" i="23"/>
  <c r="C278" i="23"/>
  <c r="C45" i="23"/>
  <c r="E348" i="23"/>
  <c r="E314" i="23"/>
  <c r="E150" i="23"/>
  <c r="E278" i="23"/>
  <c r="E156" i="23"/>
  <c r="E54" i="23"/>
  <c r="E82" i="23"/>
  <c r="E6" i="23"/>
  <c r="D333" i="23"/>
  <c r="D267" i="23"/>
  <c r="D252" i="23"/>
  <c r="D95" i="23"/>
  <c r="D116" i="23"/>
  <c r="D136" i="23"/>
  <c r="D228" i="23"/>
  <c r="D147" i="23"/>
  <c r="C32" i="23"/>
  <c r="C62" i="23"/>
  <c r="D443" i="23"/>
  <c r="D174" i="23"/>
  <c r="D365" i="23"/>
  <c r="D273" i="23"/>
  <c r="D272" i="23"/>
  <c r="C272" i="23"/>
  <c r="C273" i="23"/>
  <c r="E272" i="23"/>
  <c r="E273" i="23"/>
  <c r="G3" i="4"/>
  <c r="K3" i="5"/>
  <c r="E3" i="5"/>
  <c r="H3" i="5" l="1"/>
</calcChain>
</file>

<file path=xl/sharedStrings.xml><?xml version="1.0" encoding="utf-8"?>
<sst xmlns="http://schemas.openxmlformats.org/spreadsheetml/2006/main" count="5477" uniqueCount="2118">
  <si>
    <t>journal</t>
  </si>
  <si>
    <t>pub</t>
  </si>
  <si>
    <t>QUARTERLY JOURNAL OF ECONOMICS</t>
  </si>
  <si>
    <t>ACADEMY OF MANAGEMENT ANNALS</t>
  </si>
  <si>
    <t>ADMINISTRATIVE SCIENCE QUARTERLY</t>
  </si>
  <si>
    <t>AMERICAN ECONOMIC REVIEW</t>
  </si>
  <si>
    <t>ACADEMY OF MANAGEMENT JOURNAL</t>
  </si>
  <si>
    <t>JOURNAL OF MARKETING</t>
  </si>
  <si>
    <t>JOURNAL OF FINANCE</t>
  </si>
  <si>
    <t>REVIEW OF ECONOMIC STUDIES</t>
  </si>
  <si>
    <t>ACADEMY OF MANAGEMENT REVIEW</t>
  </si>
  <si>
    <t>JOURNAL OF POLITICAL ECONOMY</t>
  </si>
  <si>
    <t>JOURNAL OF THE ACADEMY OF MARKETING SCIENCE</t>
  </si>
  <si>
    <t>NBER MACROECONOMICS ANNUAL</t>
  </si>
  <si>
    <t>REVIEW OF FINANCIAL STUDIES</t>
  </si>
  <si>
    <t>JOURNAL OF ECONOMIC LITERATURE</t>
  </si>
  <si>
    <t>ACADEMY OF MANAGEMENT PERSPECTIVES</t>
  </si>
  <si>
    <t>AMERICAN ECONOMIC REVIEW-INSIGHTS</t>
  </si>
  <si>
    <t>JOURNAL OF MANAGEMENT</t>
  </si>
  <si>
    <t>ECONOMETRICA</t>
  </si>
  <si>
    <t>JOURNAL OF FINANCIAL ECONOMICS</t>
  </si>
  <si>
    <t>STRATEGIC MANAGEMENT JOURNAL</t>
  </si>
  <si>
    <t>JOURNAL OF MANAGEMENT STUDIES</t>
  </si>
  <si>
    <t>AMERICAN ECONOMIC JOURNAL-APPLIED ECONOMICS</t>
  </si>
  <si>
    <t>JOURNAL OF ACCOUNTING &amp; ECONOMICS</t>
  </si>
  <si>
    <t>JOURNAL OF PRODUCT INNOVATION MANAGEMENT</t>
  </si>
  <si>
    <t>JOURNAL OF SERVICE RESEARCH</t>
  </si>
  <si>
    <t>INTERNATIONAL JOURNAL OF MANAGEMENT REVIEWS</t>
  </si>
  <si>
    <t>JOURNAL OF ACCOUNTING RESEARCH</t>
  </si>
  <si>
    <t>JOURNAL OF BUSINESS VENTURING</t>
  </si>
  <si>
    <t>JOURNAL OF INTERNATIONAL BUSINESS STUDIES</t>
  </si>
  <si>
    <t>REVIEW OF FINANCE</t>
  </si>
  <si>
    <t>ACADEMY OF MANAGEMENT DISCOVERIES</t>
  </si>
  <si>
    <t>BROOKINGS PAPERS ON ECONOMIC ACTIVITY</t>
  </si>
  <si>
    <t>ENTREPRENEURSHIP THEORY AND PRACTICE</t>
  </si>
  <si>
    <t>AMERICAN ECONOMIC JOURNAL-MACROECONOMICS</t>
  </si>
  <si>
    <t>JOURNAL OF ECONOMIC PERSPECTIVES</t>
  </si>
  <si>
    <t>JOURNAL OF INTERACTIVE MARKETING</t>
  </si>
  <si>
    <t>ORGANIZATION SCIENCE</t>
  </si>
  <si>
    <t>STRATEGIC ENTREPRENEURSHIP JOURNAL</t>
  </si>
  <si>
    <t>ANNUAL REVIEW OF ECONOMICS</t>
  </si>
  <si>
    <t>JOURNAL OF SUPPLY CHAIN MANAGEMENT</t>
  </si>
  <si>
    <t>ORGANIZATIONAL RESEARCH METHODS</t>
  </si>
  <si>
    <t>AMERICAN ECONOMIC JOURNAL-ECONOMIC POLICY</t>
  </si>
  <si>
    <t>GLOBAL STRATEGY JOURNAL</t>
  </si>
  <si>
    <t>ORGANIZATION STUDIES</t>
  </si>
  <si>
    <t>REVIEW OF ACCOUNTING STUDIES</t>
  </si>
  <si>
    <t>CALIFORNIA MANAGEMENT REVIEW</t>
  </si>
  <si>
    <t>JOURNAL OF MARKETING RESEARCH</t>
  </si>
  <si>
    <t>JOURNAL OF RETAILING</t>
  </si>
  <si>
    <t>ACCOUNTING REVIEW</t>
  </si>
  <si>
    <t>JOURNAL OF CONSUMER RESEARCH</t>
  </si>
  <si>
    <t>JOURNAL OF FINANCIAL INTERMEDIATION</t>
  </si>
  <si>
    <t>JOURNAL OF WORLD BUSINESS</t>
  </si>
  <si>
    <t>INTERNATIONAL BUSINESS REVIEW</t>
  </si>
  <si>
    <t>JOURNAL OF OPERATIONS MANAGEMENT</t>
  </si>
  <si>
    <t>JOURNAL OF PUBLIC ECONOMICS</t>
  </si>
  <si>
    <t>MANAGEMENT SCIENCE</t>
  </si>
  <si>
    <t>REVIEW OF ECONOMICS AND STATISTICS</t>
  </si>
  <si>
    <t>ACADEMY OF MANAGEMENT LEARNING &amp; EDUCATION</t>
  </si>
  <si>
    <t>INTERNATIONAL JOURNAL OF RESEARCH IN MARKETING</t>
  </si>
  <si>
    <t>LONG RANGE PLANNING</t>
  </si>
  <si>
    <t>MARKETING SCIENCE</t>
  </si>
  <si>
    <t>PROCEEDINGS OF THE NATIONAL ACADEMY OF SCIENCES OF THE UNITED STATES OF AMERICA</t>
  </si>
  <si>
    <t>JOURNAL OF LABOR ECONOMICS</t>
  </si>
  <si>
    <t>JOURNAL OF FINANCIAL AND QUANTITATIVE ANALYSIS</t>
  </si>
  <si>
    <t>JOURNAL OF THE EUROPEAN ECONOMIC ASSOCIATION</t>
  </si>
  <si>
    <t>STRATEGIC ORGANIZATION</t>
  </si>
  <si>
    <t>ANNUAL REVIEW OF FINANCIAL ECONOMICS</t>
  </si>
  <si>
    <t>BRITISH JOURNAL OF MANAGEMENT</t>
  </si>
  <si>
    <t>BUSINESS &amp; SOCIETY</t>
  </si>
  <si>
    <t>FAMILY BUSINESS REVIEW</t>
  </si>
  <si>
    <t>HUMAN RESOURCE MANAGEMENT REVIEW</t>
  </si>
  <si>
    <t>JOURNAL OF CORPORATE FINANCE</t>
  </si>
  <si>
    <t>ACCOUNTING ORGANIZATIONS AND SOCIETY</t>
  </si>
  <si>
    <t>BUSINESS ETHICS QUARTERLY</t>
  </si>
  <si>
    <t>ENTREPRENEURSHIP AND REGIONAL DEVELOPMENT</t>
  </si>
  <si>
    <t>INTERNATIONAL JOURNAL OF OPERATIONS &amp; PRODUCTION MANAGEMENT</t>
  </si>
  <si>
    <t>JOURNAL OF MONETARY ECONOMICS</t>
  </si>
  <si>
    <t>BUSINESS HORIZONS</t>
  </si>
  <si>
    <t>CONTEMPORARY ACCOUNTING RESEARCH</t>
  </si>
  <si>
    <t>JOURNAL OF ADVERTISING</t>
  </si>
  <si>
    <t>JOURNAL OF INTERNATIONAL MANAGEMENT</t>
  </si>
  <si>
    <t>JOURNAL OF INTERNATIONAL MARKETING</t>
  </si>
  <si>
    <t>JOURNAL OF SERVICE MANAGEMENT</t>
  </si>
  <si>
    <t>JOURNAL OF URBAN ECONOMICS</t>
  </si>
  <si>
    <t>CORPORATE GOVERNANCE-AN INTERNATIONAL REVIEW</t>
  </si>
  <si>
    <t>IMF ECONOMIC REVIEW</t>
  </si>
  <si>
    <t>JOURNAL OF PUBLIC POLICY &amp; MARKETING</t>
  </si>
  <si>
    <t>JOURNAL OF RESEARCH IN INTERACTIVE MARKETING</t>
  </si>
  <si>
    <t>HUMAN RELATIONS</t>
  </si>
  <si>
    <t>HUMAN RESOURCE MANAGEMENT</t>
  </si>
  <si>
    <t>INTERNATIONAL REVIEW OF FINANCIAL ANALYSIS</t>
  </si>
  <si>
    <t>INTERNATIONAL SMALL BUSINESS JOURNAL-RESEARCHING ENTREPRENEURSHIP</t>
  </si>
  <si>
    <t>JOURNAL OF BUSINESS RESEARCH</t>
  </si>
  <si>
    <t>LEADERSHIP QUARTERLY</t>
  </si>
  <si>
    <t>M&amp;SOM-MANUFACTURING &amp; SERVICE OPERATIONS MANAGEMENT</t>
  </si>
  <si>
    <t>QUANTITATIVE ECONOMICS</t>
  </si>
  <si>
    <t>ASIA PACIFIC JOURNAL OF MANAGEMENT</t>
  </si>
  <si>
    <t>BUSINESS STRATEGY AND THE ENVIRONMENT</t>
  </si>
  <si>
    <t>INDUSTRIAL MARKETING MANAGEMENT</t>
  </si>
  <si>
    <t>JOURNAL OF BUSINESS ETHICS</t>
  </si>
  <si>
    <t>JOURNAL OF FAMILY BUSINESS STRATEGY</t>
  </si>
  <si>
    <t>JOURNAL OF INTERNATIONAL ECONOMICS</t>
  </si>
  <si>
    <t>MANAGEMENT ACCOUNTING RESEARCH</t>
  </si>
  <si>
    <t>MANAGEMENT INTERNATIONAL REVIEW</t>
  </si>
  <si>
    <t>ORGANIZATIONAL BEHAVIOR AND HUMAN DECISION PROCESSES</t>
  </si>
  <si>
    <t>HUMAN RESOURCE MANAGEMENT JOURNAL</t>
  </si>
  <si>
    <t>INFORMATION AND ORGANIZATION</t>
  </si>
  <si>
    <t>JOURNAL OF ECONOMIC GROWTH</t>
  </si>
  <si>
    <t>JOURNAL OF HUMAN RESOURCES</t>
  </si>
  <si>
    <t>JOURNAL OF SERVICE THEORY AND PRACTICE</t>
  </si>
  <si>
    <t>JOURNAL OF THE ASSOCIATION OF ENVIRONMENTAL AND RESOURCE ECONOMISTS</t>
  </si>
  <si>
    <t>MARKETING THEORY</t>
  </si>
  <si>
    <t>ANNUAL REVIEW OF RESOURCE ECONOMICS</t>
  </si>
  <si>
    <t>BRITISH ACCOUNTING REVIEW</t>
  </si>
  <si>
    <t>CRITICAL PERSPECTIVES ON ACCOUNTING</t>
  </si>
  <si>
    <t>ECONOMIC JOURNAL</t>
  </si>
  <si>
    <t>FINANCIAL MANAGEMENT</t>
  </si>
  <si>
    <t>JOURNAL OF MANAGEMENT INQUIRY</t>
  </si>
  <si>
    <t>JOURNAL OF RETAILING AND CONSUMER SERVICES</t>
  </si>
  <si>
    <t>JOURNAL OF SMALL BUSINESS MANAGEMENT</t>
  </si>
  <si>
    <t>MARKETING LETTERS</t>
  </si>
  <si>
    <t>ORGANIZATION</t>
  </si>
  <si>
    <t>RAND JOURNAL OF ECONOMICS</t>
  </si>
  <si>
    <t>REVIEW OF ENVIRONMENTAL ECONOMICS AND POLICY</t>
  </si>
  <si>
    <t>SUPPLY CHAIN MANAGEMENT-AN INTERNATIONAL JOURNAL</t>
  </si>
  <si>
    <t>THEORETICAL ECONOMICS</t>
  </si>
  <si>
    <t>GROUP &amp; ORGANIZATION MANAGEMENT</t>
  </si>
  <si>
    <t>JOURNAL OF FINANCIAL ECONOMETRICS</t>
  </si>
  <si>
    <t>JOURNAL OF INNOVATION &amp; KNOWLEDGE</t>
  </si>
  <si>
    <t>JOURNAL OF PURCHASING AND SUPPLY MANAGEMENT</t>
  </si>
  <si>
    <t>OXFORD REVIEW OF ECONOMIC POLICY</t>
  </si>
  <si>
    <t>SMALL BUSINESS ECONOMICS</t>
  </si>
  <si>
    <t>AMERICAN ECONOMIC JOURNAL-MICROECONOMICS</t>
  </si>
  <si>
    <t>FISCAL STUDIES</t>
  </si>
  <si>
    <t>INTERNATIONAL JOURNAL OF ADVERTISING</t>
  </si>
  <si>
    <t>INTERNATIONAL JOURNAL OF ELECTRONIC COMMERCE</t>
  </si>
  <si>
    <t>INTERNATIONAL JOURNAL OF PHYSICAL DISTRIBUTION &amp; LOGISTICS MANAGEMENT</t>
  </si>
  <si>
    <t>JOURNAL OF BANKING &amp; FINANCE</t>
  </si>
  <si>
    <t>JOURNAL OF BUSINESS LOGISTICS</t>
  </si>
  <si>
    <t>JOURNAL OF DEVELOPMENT ECONOMICS</t>
  </si>
  <si>
    <t>JOURNAL OF ELECTRONIC COMMERCE RESEARCH</t>
  </si>
  <si>
    <t>JOURNAL OF MARKETING MANAGEMENT</t>
  </si>
  <si>
    <t>NEW TECHNOLOGY WORK AND EMPLOYMENT</t>
  </si>
  <si>
    <t>R &amp; D MANAGEMENT</t>
  </si>
  <si>
    <t>SERVICE INDUSTRIES JOURNAL</t>
  </si>
  <si>
    <t>DECISION SCIENCES</t>
  </si>
  <si>
    <t>EUROPEAN ACCOUNTING REVIEW</t>
  </si>
  <si>
    <t>EUROPEAN JOURNAL OF MARKETING</t>
  </si>
  <si>
    <t>EUROPEAN MANAGEMENT JOURNAL</t>
  </si>
  <si>
    <t>FINANCE RESEARCH LETTERS</t>
  </si>
  <si>
    <t>HARVARD BUSINESS REVIEW</t>
  </si>
  <si>
    <t>INTERNATIONAL JOURNAL OF CONSUMER STUDIES</t>
  </si>
  <si>
    <t>INTERNATIONAL JOURNAL OF PROJECT MANAGEMENT</t>
  </si>
  <si>
    <t>INTERNATIONAL MARKETING REVIEW</t>
  </si>
  <si>
    <t>JOURNAL OF BUSINESS FINANCE &amp; ACCOUNTING</t>
  </si>
  <si>
    <t>JOURNAL OF FINANCIAL MARKETS</t>
  </si>
  <si>
    <t>JOURNAL OF HOSPITALITY MARKETING &amp; MANAGEMENT</t>
  </si>
  <si>
    <t>OPERATIONS MANAGEMENT RESEARCH</t>
  </si>
  <si>
    <t>AUDITING-A JOURNAL OF PRACTICE &amp; THEORY</t>
  </si>
  <si>
    <t>ELECTRONIC MARKETS</t>
  </si>
  <si>
    <t>ENERGY ECONOMICS</t>
  </si>
  <si>
    <t>EXPERIMENTAL ECONOMICS</t>
  </si>
  <si>
    <t>FINANCIAL ANALYSTS JOURNAL</t>
  </si>
  <si>
    <t>INTERNATIONAL JOURNAL OF ENTREPRENEURIAL BEHAVIOR &amp; RESEARCH</t>
  </si>
  <si>
    <t>JOURNAL OF ECONOMIC SURVEYS</t>
  </si>
  <si>
    <t>JOURNAL OF ENVIRONMENTAL ECONOMICS AND MANAGEMENT</t>
  </si>
  <si>
    <t>JOURNAL OF FINANCIAL STABILITY</t>
  </si>
  <si>
    <t>JOURNAL OF LAW &amp; ECONOMICS</t>
  </si>
  <si>
    <t>JOURNAL OF POPULATION ECONOMICS</t>
  </si>
  <si>
    <t>JOURNAL OF SERVICES MARKETING</t>
  </si>
  <si>
    <t>MULTINATIONAL BUSINESS REVIEW</t>
  </si>
  <si>
    <t>ACCOUNTING AUDITING &amp; ACCOUNTABILITY JOURNAL</t>
  </si>
  <si>
    <t>CORPORATE SOCIAL RESPONSIBILITY AND ENVIRONMENTAL MANAGEMENT</t>
  </si>
  <si>
    <t>EXPLORATIONS IN ECONOMIC HISTORY</t>
  </si>
  <si>
    <t>HUMAN RESOURCE DEVELOPMENT REVIEW</t>
  </si>
  <si>
    <t>INTERNATIONAL ECONOMIC REVIEW</t>
  </si>
  <si>
    <t>INTERNATIONAL ENTREPRENEURSHIP AND MANAGEMENT JOURNAL</t>
  </si>
  <si>
    <t>INTERNATIONAL JOURNAL OF FORECASTING</t>
  </si>
  <si>
    <t>JOURNAL OF BEHAVIORAL AND EXPERIMENTAL FINANCE</t>
  </si>
  <si>
    <t>JOURNAL OF BRAND MANAGEMENT</t>
  </si>
  <si>
    <t>JOURNAL OF COMPARATIVE ECONOMICS</t>
  </si>
  <si>
    <t>JOURNAL OF ECONOMETRICS</t>
  </si>
  <si>
    <t>JOURNAL OF ECONOMIC HISTORY</t>
  </si>
  <si>
    <t>JOURNAL OF HEALTH ECONOMICS</t>
  </si>
  <si>
    <t>JOURNAL OF PRODUCT AND BRAND MANAGEMENT</t>
  </si>
  <si>
    <t>JOURNAL OF RISK AND UNCERTAINTY</t>
  </si>
  <si>
    <t>VENTURE CAPITAL</t>
  </si>
  <si>
    <t>EUROPEAN ECONOMIC REVIEW</t>
  </si>
  <si>
    <t>JOURNAL OF ADVERTISING RESEARCH</t>
  </si>
  <si>
    <t>JOURNAL OF ECONOMIC THEORY</t>
  </si>
  <si>
    <t>MANAGEMENT LEARNING</t>
  </si>
  <si>
    <t>MIS QUARTERLY EXECUTIVE</t>
  </si>
  <si>
    <t>PROJECT MANAGEMENT JOURNAL</t>
  </si>
  <si>
    <t>QME-QUANTITATIVE MARKETING AND ECONOMICS</t>
  </si>
  <si>
    <t>RESEARCH IN INTERNATIONAL BUSINESS AND FINANCE</t>
  </si>
  <si>
    <t>RESEARCH IN ORGANIZATIONAL BEHAVIOR</t>
  </si>
  <si>
    <t>REVIEW OF ECONOMIC DYNAMICS</t>
  </si>
  <si>
    <t>REVIEW OF MANAGERIAL SCIENCE</t>
  </si>
  <si>
    <t>SCANDINAVIAN JOURNAL OF MANAGEMENT</t>
  </si>
  <si>
    <t>CANADIAN JOURNAL OF AGRICULTURAL ECONOMICS-REVUE CANADIENNE D AGROECONOMIE</t>
  </si>
  <si>
    <t>CHINA ECONOMIC REVIEW</t>
  </si>
  <si>
    <t>CREATIVITY AND INNOVATION MANAGEMENT</t>
  </si>
  <si>
    <t>ECONOMIC POLICY</t>
  </si>
  <si>
    <t>EUROPEAN FINANCIAL MANAGEMENT</t>
  </si>
  <si>
    <t>INTERNATIONAL JOURNAL OF HUMAN RESOURCE MANAGEMENT</t>
  </si>
  <si>
    <t>INTERNATIONAL JOURNAL OF LOGISTICS MANAGEMENT</t>
  </si>
  <si>
    <t>JOURNAL OF BUSINESS &amp; ECONOMIC STATISTICS</t>
  </si>
  <si>
    <t>JOURNAL OF EMPIRICAL FINANCE</t>
  </si>
  <si>
    <t>JOURNAL OF MONEY CREDIT AND BANKING</t>
  </si>
  <si>
    <t>MANAGEMENT AND ORGANIZATION REVIEW</t>
  </si>
  <si>
    <t>SUSTAINABILITY ACCOUNTING MANAGEMENT AND POLICY JOURNAL</t>
  </si>
  <si>
    <t>AMERICAN JOURNAL OF HEALTH ECONOMICS</t>
  </si>
  <si>
    <t>CAMBRIDGE JOURNAL OF REGIONS ECONOMY AND SOCIETY</t>
  </si>
  <si>
    <t>ECONOMETRICS JOURNAL</t>
  </si>
  <si>
    <t>INTERNATIONAL JOURNAL OF RETAIL &amp; DISTRIBUTION MANAGEMENT</t>
  </si>
  <si>
    <t>JOURNAL OF APPLIED ECONOMETRICS</t>
  </si>
  <si>
    <t>JOURNAL OF COMMODITY MARKETS</t>
  </si>
  <si>
    <t>JOURNAL OF CONSUMER BEHAVIOUR</t>
  </si>
  <si>
    <t>JOURNAL OF ECONOMICS &amp; MANAGEMENT STRATEGY</t>
  </si>
  <si>
    <t>JOURNAL OF MULTINATIONAL FINANCIAL MANAGEMENT</t>
  </si>
  <si>
    <t>JOURNAL OF TECHNOLOGY TRANSFER</t>
  </si>
  <si>
    <t>ACCOUNTING HORIZONS</t>
  </si>
  <si>
    <t>AUSTRALIAN JOURNAL OF MANAGEMENT</t>
  </si>
  <si>
    <t>BUSINESS ETHICS-A EUROPEAN REVIEW</t>
  </si>
  <si>
    <t>ECONOMIC MODELLING</t>
  </si>
  <si>
    <t>EMERGING MARKETS REVIEW</t>
  </si>
  <si>
    <t>IEEE TRANSACTIONS ON ENGINEERING MANAGEMENT</t>
  </si>
  <si>
    <t>INDUSTRY AND INNOVATION</t>
  </si>
  <si>
    <t>INTERNATIONAL JOURNAL OF LOGISTICS-RESEARCH AND APPLICATIONS</t>
  </si>
  <si>
    <t>JOURNAL OF FINANCIAL RESEARCH</t>
  </si>
  <si>
    <t>JOURNAL OF INTERNATIONAL FINANCIAL MARKETS INSTITUTIONS &amp; MONEY</t>
  </si>
  <si>
    <t>JOURNAL OF LEADERSHIP &amp; ORGANIZATIONAL STUDIES</t>
  </si>
  <si>
    <t>LABOUR ECONOMICS</t>
  </si>
  <si>
    <t>NATIONAL TAX JOURNAL</t>
  </si>
  <si>
    <t>PACIFIC-BASIN FINANCE JOURNAL</t>
  </si>
  <si>
    <t>SERVICE BUSINESS</t>
  </si>
  <si>
    <t>WORLD BANK ECONOMIC REVIEW</t>
  </si>
  <si>
    <t>ABACUS-A JOURNAL OF ACCOUNTING FINANCE AND BUSINESS STUDIES</t>
  </si>
  <si>
    <t>AMERICAN JOURNAL OF AGRICULTURAL ECONOMICS</t>
  </si>
  <si>
    <t>ASIAN ECONOMIC POLICY REVIEW</t>
  </si>
  <si>
    <t>COMPETITION &amp; CHANGE</t>
  </si>
  <si>
    <t>ELECTRONIC COMMERCE RESEARCH AND APPLICATIONS</t>
  </si>
  <si>
    <t>ENVIRONMENTAL &amp; RESOURCE ECONOMICS</t>
  </si>
  <si>
    <t>EUROPEAN JOURNAL OF FINANCE</t>
  </si>
  <si>
    <t>EUROPEAN JOURNAL OF INNOVATION MANAGEMENT</t>
  </si>
  <si>
    <t>INDUSTRIAL AND CORPORATE CHANGE</t>
  </si>
  <si>
    <t>INTERNATIONAL JOURNAL OF ACCOUNTING INFORMATION SYSTEMS</t>
  </si>
  <si>
    <t>INTERNATIONAL JOURNAL OF CENTRAL BANKING</t>
  </si>
  <si>
    <t>INTERNATIONAL REVIEW OF ECONOMICS &amp; FINANCE</t>
  </si>
  <si>
    <t>JOURNAL OF HOSPITALITY AND TOURISM MANAGEMENT</t>
  </si>
  <si>
    <t>JOURNAL OF MACROMARKETING</t>
  </si>
  <si>
    <t>MANAGEMENT DECISION</t>
  </si>
  <si>
    <t>PUBLIC MANAGEMENT REVIEW</t>
  </si>
  <si>
    <t>REVIEW OF ECONOMICS OF THE HOUSEHOLD</t>
  </si>
  <si>
    <t>ACCOUNTING FORUM</t>
  </si>
  <si>
    <t>APPLIED ECONOMIC PERSPECTIVES AND POLICY</t>
  </si>
  <si>
    <t>CONSUMPTION MARKETS &amp; CULTURE</t>
  </si>
  <si>
    <t>ENERGY JOURNAL</t>
  </si>
  <si>
    <t>JOURNAL OF BENEFIT-COST ANALYSIS</t>
  </si>
  <si>
    <t>JOURNAL OF ECONOMIC DYNAMICS &amp; CONTROL</t>
  </si>
  <si>
    <t>JOURNAL OF FASHION MARKETING AND MANAGEMENT</t>
  </si>
  <si>
    <t>JOURNAL OF INTERNATIONAL FINANCIAL MANAGEMENT &amp; ACCOUNTING</t>
  </si>
  <si>
    <t>JOURNAL OF INTERNATIONAL MONEY AND FINANCE</t>
  </si>
  <si>
    <t>MARKETING INTELLIGENCE &amp; PLANNING</t>
  </si>
  <si>
    <t>ACCOUNTING AND BUSINESS RESEARCH</t>
  </si>
  <si>
    <t>ACCOUNTING AND FINANCE</t>
  </si>
  <si>
    <t>ECOLOGICAL ECONOMICS</t>
  </si>
  <si>
    <t>ECONOMIC INQUIRY</t>
  </si>
  <si>
    <t>GAMES AND ECONOMIC BEHAVIOR</t>
  </si>
  <si>
    <t>JOURNAL OF BUSINESS &amp; INDUSTRIAL MARKETING</t>
  </si>
  <si>
    <t>JOURNAL OF CONTEMPORARY ACCOUNTING &amp; ECONOMICS</t>
  </si>
  <si>
    <t>JOURNAL OF ECONOMIC BEHAVIOR &amp; ORGANIZATION</t>
  </si>
  <si>
    <t>JOURNAL OF FINANCIAL SERVICES RESEARCH</t>
  </si>
  <si>
    <t>JOURNAL OF FUTURES MARKETS</t>
  </si>
  <si>
    <t>JOURNAL OF HOUSING ECONOMICS</t>
  </si>
  <si>
    <t>JOURNAL OF INTELLECTUAL CAPITAL</t>
  </si>
  <si>
    <t>JOURNAL OF LAW ECONOMICS &amp; ORGANIZATION</t>
  </si>
  <si>
    <t>OMEGA-INTERNATIONAL JOURNAL OF MANAGEMENT SCIENCE</t>
  </si>
  <si>
    <t>REAL ESTATE ECONOMICS</t>
  </si>
  <si>
    <t>WORK AGING AND RETIREMENT</t>
  </si>
  <si>
    <t>ASIA PACIFIC JOURNAL OF HUMAN RESOURCES</t>
  </si>
  <si>
    <t>ASIA PACIFIC JOURNAL OF MARKETING AND LOGISTICS</t>
  </si>
  <si>
    <t>ASIAN BUSINESS &amp; MANAGEMENT</t>
  </si>
  <si>
    <t>BRQ-BUSINESS RESEARCH QUARTERLY</t>
  </si>
  <si>
    <t>CORNELL HOSPITALITY QUARTERLY</t>
  </si>
  <si>
    <t>ECONOMETRIC REVIEWS</t>
  </si>
  <si>
    <t>ECONOMIC ANALYSIS AND POLICY</t>
  </si>
  <si>
    <t>EMERGING MARKETS FINANCE AND TRADE</t>
  </si>
  <si>
    <t>EUROPEAN REVIEW OF ECONOMIC HISTORY</t>
  </si>
  <si>
    <t>GENEVA RISK AND INSURANCE REVIEW</t>
  </si>
  <si>
    <t>GLOBAL FINANCE JOURNAL</t>
  </si>
  <si>
    <t>HUMAN RESOURCE DEVELOPMENT QUARTERLY</t>
  </si>
  <si>
    <t>INNOVATION-ORGANIZATION &amp; MANAGEMENT</t>
  </si>
  <si>
    <t>INTERNATIONAL JOURNAL OF AUDITING</t>
  </si>
  <si>
    <t>INTERNATIONAL JOURNAL OF MARKET RESEARCH</t>
  </si>
  <si>
    <t>JOURNAL OF MANAGEMENT &amp; ORGANIZATION</t>
  </si>
  <si>
    <t>LEADERSHIP</t>
  </si>
  <si>
    <t>LEADERSHIP &amp; ORGANIZATION DEVELOPMENT JOURNAL</t>
  </si>
  <si>
    <t>MANAGEMENT COMMUNICATION QUARTERLY</t>
  </si>
  <si>
    <t>MIT SLOAN MANAGEMENT REVIEW</t>
  </si>
  <si>
    <t>RESEARCH-TECHNOLOGY MANAGEMENT</t>
  </si>
  <si>
    <t>REVIEW OF INTERNATIONAL POLITICAL ECONOMY</t>
  </si>
  <si>
    <t>ASIA-PACIFIC JOURNAL OF FINANCIAL STUDIES</t>
  </si>
  <si>
    <t>AUSTRALIAN ACCOUNTING REVIEW</t>
  </si>
  <si>
    <t>CROSS CULTURAL &amp; STRATEGIC MANAGEMENT</t>
  </si>
  <si>
    <t>ECONOMIC HISTORY REVIEW</t>
  </si>
  <si>
    <t>FEMINIST ECONOMICS</t>
  </si>
  <si>
    <t>FINANCIAL INNOVATION</t>
  </si>
  <si>
    <t>FOOD POLICY</t>
  </si>
  <si>
    <t>GENDER IN MANAGEMENT</t>
  </si>
  <si>
    <t>GERMAN JOURNAL OF HUMAN RESOURCE MANAGEMENT-ZEITSCHRIFT FUR PERSONALFORSCHUNG</t>
  </si>
  <si>
    <t>INTERNATIONAL JOURNAL OF BANK MARKETING</t>
  </si>
  <si>
    <t>JOURNAL OF ASIAN ECONOMICS</t>
  </si>
  <si>
    <t>JOURNAL OF FORECASTING</t>
  </si>
  <si>
    <t>JOURNAL OF MANAGEMENT ANALYTICS</t>
  </si>
  <si>
    <t>MATHEMATICAL FINANCE</t>
  </si>
  <si>
    <t>OXFORD BULLETIN OF ECONOMICS AND STATISTICS</t>
  </si>
  <si>
    <t>QUARTERLY REVIEW OF ECONOMICS AND FINANCE</t>
  </si>
  <si>
    <t>REVIEW OF INCOME AND WEALTH</t>
  </si>
  <si>
    <t>STRUCTURAL CHANGE AND ECONOMIC DYNAMICS</t>
  </si>
  <si>
    <t>SYSTEM DYNAMICS REVIEW</t>
  </si>
  <si>
    <t>TECHNOLOGY ANALYSIS &amp; STRATEGIC MANAGEMENT</t>
  </si>
  <si>
    <t>BUSINESS PROCESS MANAGEMENT JOURNAL</t>
  </si>
  <si>
    <t>CANADIAN JOURNAL OF ECONOMICS-REVUE CANADIENNE D ECONOMIQUE</t>
  </si>
  <si>
    <t>ECONOMETRIC THEORY</t>
  </si>
  <si>
    <t>ECONOMIC THEORY</t>
  </si>
  <si>
    <t>ECONOMICA</t>
  </si>
  <si>
    <t>ECONOMICS OF INNOVATION AND NEW TECHNOLOGY</t>
  </si>
  <si>
    <t>INTERNATIONAL JOURNAL OF INDUSTRIAL ORGANIZATION</t>
  </si>
  <si>
    <t>INTERNATIONAL JOURNAL OF MANPOWER</t>
  </si>
  <si>
    <t>JOURNAL OF COMPETITION LAW &amp; ECONOMICS</t>
  </si>
  <si>
    <t>JOURNAL OF CONSUMER AFFAIRS</t>
  </si>
  <si>
    <t>JOURNAL OF RISK AND INSURANCE</t>
  </si>
  <si>
    <t>NORTH AMERICAN JOURNAL OF ECONOMICS AND FINANCE</t>
  </si>
  <si>
    <t>QUALITATIVE RESEARCH IN ACCOUNTING AND MANAGEMENT</t>
  </si>
  <si>
    <t>RESOURCE AND ENERGY ECONOMICS</t>
  </si>
  <si>
    <t>SERVICE SCIENCE</t>
  </si>
  <si>
    <t>ASIA PACIFIC BUSINESS REVIEW</t>
  </si>
  <si>
    <t>BALTIC JOURNAL OF MANAGEMENT</t>
  </si>
  <si>
    <t>BUSINESS ETHICS THE ENVIRONMENT &amp; RESPONSIBILITY</t>
  </si>
  <si>
    <t>CESIFO ECONOMIC STUDIES</t>
  </si>
  <si>
    <t>CHINA &amp; WORLD ECONOMY</t>
  </si>
  <si>
    <t>CHINA AGRICULTURAL ECONOMIC REVIEW</t>
  </si>
  <si>
    <t>ECONOMIC SYSTEMS</t>
  </si>
  <si>
    <t>ECONOMICS AND PHILOSOPHY</t>
  </si>
  <si>
    <t>EURASIAN BUSINESS REVIEW</t>
  </si>
  <si>
    <t>EUROPEAN REVIEW OF AGRICULTURAL ECONOMICS</t>
  </si>
  <si>
    <t>FINANCE AND STOCHASTICS</t>
  </si>
  <si>
    <t>HEALTH ECONOMICS</t>
  </si>
  <si>
    <t>INFORMATION ECONOMICS AND POLICY</t>
  </si>
  <si>
    <t>INTERNATIONAL REVIEW OF FINANCE</t>
  </si>
  <si>
    <t>JOURNAL OF CULTURAL ECONOMICS</t>
  </si>
  <si>
    <t>JOURNAL OF DEMOGRAPHIC ECONOMICS</t>
  </si>
  <si>
    <t>JOURNAL OF INDUSTRIAL ECONOMICS</t>
  </si>
  <si>
    <t>JOURNAL OF PORTFOLIO MANAGEMENT</t>
  </si>
  <si>
    <t>JOURNAL OF SOCIAL MARKETING</t>
  </si>
  <si>
    <t>MANAGERIAL AUDITING JOURNAL</t>
  </si>
  <si>
    <t>AMERICAN LAW AND ECONOMICS REVIEW</t>
  </si>
  <si>
    <t>BORSA ISTANBUL REVIEW</t>
  </si>
  <si>
    <t>CAREER DEVELOPMENT INTERNATIONAL</t>
  </si>
  <si>
    <t>CHINESE MANAGEMENT STUDIES</t>
  </si>
  <si>
    <t>CONTEMPORARY ECONOMIC POLICY</t>
  </si>
  <si>
    <t>ELECTRONIC COMMERCE RESEARCH</t>
  </si>
  <si>
    <t>INTERNATIONAL JOURNAL OF MANAGING PROJECTS IN BUSINESS</t>
  </si>
  <si>
    <t>JOURNAL OF INFORMATION SYSTEMS</t>
  </si>
  <si>
    <t>JOURNAL OF INSTITUTIONAL ECONOMICS</t>
  </si>
  <si>
    <t>JOURNAL OF PENSION ECONOMICS &amp; FINANCE</t>
  </si>
  <si>
    <t>NEW POLITICAL ECONOMY</t>
  </si>
  <si>
    <t>NONPROFIT MANAGEMENT &amp; LEADERSHIP</t>
  </si>
  <si>
    <t>PHARMACOECONOMICS</t>
  </si>
  <si>
    <t>REVIEW OF INDUSTRIAL ORGANIZATION</t>
  </si>
  <si>
    <t>SCANDINAVIAN JOURNAL OF ECONOMICS</t>
  </si>
  <si>
    <t>WORLD BANK RESEARCH OBSERVER</t>
  </si>
  <si>
    <t>AGRICULTURAL ECONOMICS</t>
  </si>
  <si>
    <t>ASTIN BULLETIN-THE JOURNAL OF THE INTERNATIONAL ACTUARIAL ASSOCIATION</t>
  </si>
  <si>
    <t>CULTURE AND ORGANIZATION</t>
  </si>
  <si>
    <t>ECONOMICS &amp; HUMAN BIOLOGY</t>
  </si>
  <si>
    <t>ECONOMICS LETTERS</t>
  </si>
  <si>
    <t>EMPLOYEE RELATIONS</t>
  </si>
  <si>
    <t>ENGINEERING CONSTRUCTION AND ARCHITECTURAL MANAGEMENT</t>
  </si>
  <si>
    <t>ENTREPRENEURSHIP RESEARCH JOURNAL</t>
  </si>
  <si>
    <t>EUROPEAN JOURNAL OF POLITICAL ECONOMY</t>
  </si>
  <si>
    <t>EUROPEAN RESEARCH ON MANAGEMENT AND BUSINESS ECONOMICS</t>
  </si>
  <si>
    <t>INFORMATION SYSTEMS AND E-BUSINESS MANAGEMENT</t>
  </si>
  <si>
    <t>JOURNAL OF BEHAVIORAL AND EXPERIMENTAL ECONOMICS</t>
  </si>
  <si>
    <t>JOURNAL OF REAL ESTATE FINANCE AND ECONOMICS</t>
  </si>
  <si>
    <t>JOURNAL OF THEORETICAL AND APPLIED ELECTRONIC COMMERCE RESEARCH</t>
  </si>
  <si>
    <t>JOURNAL OF VACATION MARKETING</t>
  </si>
  <si>
    <t>MARINE RESOURCE ECONOMICS</t>
  </si>
  <si>
    <t>QUANTITATIVE FINANCE</t>
  </si>
  <si>
    <t>REVIEW OF WORLD ECONOMICS</t>
  </si>
  <si>
    <t>WORLD ECONOMY</t>
  </si>
  <si>
    <t>CAMBRIDGE JOURNAL OF ECONOMICS</t>
  </si>
  <si>
    <t>ECONOMIC AND LABOUR RELATIONS REVIEW</t>
  </si>
  <si>
    <t>EUROPEAN JOURNAL OF INTERNATIONAL MANAGEMENT</t>
  </si>
  <si>
    <t>INFORMS JOURNAL ON APPLIED ANALYTICS</t>
  </si>
  <si>
    <t>INTERNATIONAL JOURNAL OF EMERGING MARKETS</t>
  </si>
  <si>
    <t>INTERNATIONAL JOURNAL OF FINANCE &amp; ECONOMICS</t>
  </si>
  <si>
    <t>INTERNATIONAL JOURNAL OF LEAN SIX SIGMA</t>
  </si>
  <si>
    <t>JOURNAL OF AGRICULTURAL ECONOMICS</t>
  </si>
  <si>
    <t>JOURNAL OF BEHAVIORAL FINANCE</t>
  </si>
  <si>
    <t>JOURNAL OF FAMILY AND ECONOMIC ISSUES</t>
  </si>
  <si>
    <t>JOURNAL OF MACROECONOMICS</t>
  </si>
  <si>
    <t>JOURNAL OF ORGANIZATIONAL CHANGE MANAGEMENT</t>
  </si>
  <si>
    <t>JOURNAL OF POLICY MODELING</t>
  </si>
  <si>
    <t>JOURNAL OF PRODUCTIVITY ANALYSIS</t>
  </si>
  <si>
    <t>KYKLOS</t>
  </si>
  <si>
    <t>SIAM JOURNAL ON FINANCIAL MATHEMATICS</t>
  </si>
  <si>
    <t>SOCIO-ECONOMIC PLANNING SCIENCES</t>
  </si>
  <si>
    <t>SOUTHERN ECONOMIC JOURNAL</t>
  </si>
  <si>
    <t>TOTAL QUALITY MANAGEMENT &amp; BUSINESS EXCELLENCE</t>
  </si>
  <si>
    <t>ASIAN JOURNAL OF TECHNOLOGY INNOVATION</t>
  </si>
  <si>
    <t>CANADIAN JOURNAL OF ADMINISTRATIVE SCIENCES-REVUE CANADIENNE DES SCIENCES DE L ADMINISTRATION</t>
  </si>
  <si>
    <t>CLIMATE CHANGE ECONOMICS</t>
  </si>
  <si>
    <t>FUTURES</t>
  </si>
  <si>
    <t>INTERNATIONAL TAX AND PUBLIC FINANCE</t>
  </si>
  <si>
    <t>JOURNAL OF BUSINESS-TO-BUSINESS MARKETING</t>
  </si>
  <si>
    <t>JOURNAL OF COMPETITIVENESS</t>
  </si>
  <si>
    <t>JOURNAL OF CONTINGENCIES AND CRISIS MANAGEMENT</t>
  </si>
  <si>
    <t>JOURNAL OF EVOLUTIONARY ECONOMICS</t>
  </si>
  <si>
    <t>JOURNAL OF PUBLIC ECONOMIC THEORY</t>
  </si>
  <si>
    <t>JOURNAL OF THE ECONOMICS OF AGEING</t>
  </si>
  <si>
    <t>MACROECONOMIC DYNAMICS</t>
  </si>
  <si>
    <t>MANCHESTER SCHOOL</t>
  </si>
  <si>
    <t>ORGANIZATIONAL DYNAMICS</t>
  </si>
  <si>
    <t>OXFORD ECONOMIC PAPERS-NEW SERIES</t>
  </si>
  <si>
    <t>TECHNOLOGICAL AND ECONOMIC DEVELOPMENT OF ECONOMY</t>
  </si>
  <si>
    <t>APPLIED ECONOMICS</t>
  </si>
  <si>
    <t>DEFENCE AND PEACE ECONOMICS</t>
  </si>
  <si>
    <t>ECONOMIC RECORD</t>
  </si>
  <si>
    <t>ECONOMICS &amp; POLITICS</t>
  </si>
  <si>
    <t>ECONOMIST-NETHERLANDS</t>
  </si>
  <si>
    <t>EMPIRICAL ECONOMICS</t>
  </si>
  <si>
    <t>GERMAN ECONOMIC REVIEW</t>
  </si>
  <si>
    <t>INTERNATIONAL TRANSACTIONS IN OPERATIONAL RESEARCH</t>
  </si>
  <si>
    <t>JOURNAL OF AFRICAN ECONOMIES</t>
  </si>
  <si>
    <t>JOURNAL OF CHOICE MODELLING</t>
  </si>
  <si>
    <t>JOURNAL OF CREDIT RISK</t>
  </si>
  <si>
    <t>JOURNAL OF ECONOMIC INEQUALITY</t>
  </si>
  <si>
    <t>REVIEW OF INTERNATIONAL ECONOMICS</t>
  </si>
  <si>
    <t>SCOTTISH JOURNAL OF POLITICAL ECONOMY</t>
  </si>
  <si>
    <t>SPORT MARKETING QUARTERLY</t>
  </si>
  <si>
    <t>AUSTRALIAN JOURNAL OF AGRICULTURAL AND RESOURCE ECONOMICS</t>
  </si>
  <si>
    <t>DECISION ANALYSIS</t>
  </si>
  <si>
    <t>ECONOMIC RESEARCH-EKONOMSKA ISTRAZIVANJA</t>
  </si>
  <si>
    <t>ECONOMICS OF TRANSPORTATION</t>
  </si>
  <si>
    <t>ENVIRONMENT AND DEVELOPMENT ECONOMICS</t>
  </si>
  <si>
    <t>EUROPEAN JOURNAL OF HEALTH ECONOMICS</t>
  </si>
  <si>
    <t>EUROPEAN JOURNAL OF LAW AND ECONOMICS</t>
  </si>
  <si>
    <t>INSURANCE MATHEMATICS &amp; ECONOMICS</t>
  </si>
  <si>
    <t>INTERNATIONAL REVIEW OF LAW AND ECONOMICS</t>
  </si>
  <si>
    <t>JOURNAL OF DERIVATIVES</t>
  </si>
  <si>
    <t>JOURNAL OF ECONOMIC POLICY REFORM</t>
  </si>
  <si>
    <t>JOURNAL OF MARKETING FOR HIGHER EDUCATION</t>
  </si>
  <si>
    <t>JOURNAL OF MATHEMATICAL ECONOMICS</t>
  </si>
  <si>
    <t>JOURNAL OF THE KNOWLEDGE ECONOMY</t>
  </si>
  <si>
    <t>OPEN ECONOMIES REVIEW</t>
  </si>
  <si>
    <t>REVIEW OF ECONOMIC DESIGN</t>
  </si>
  <si>
    <t>SERIES-JOURNAL OF THE SPANISH ECONOMIC ASSOCIATION</t>
  </si>
  <si>
    <t>SPATIAL ECONOMIC ANALYSIS</t>
  </si>
  <si>
    <t>SYSTEMS RESEARCH AND BEHAVIORAL SCIENCE</t>
  </si>
  <si>
    <t>APPLIED ECONOMICS LETTERS</t>
  </si>
  <si>
    <t>ASIA-PACIFIC JOURNAL OF ACCOUNTING &amp; ECONOMICS</t>
  </si>
  <si>
    <t>AUSTRALIAN ECONOMIC PAPERS</t>
  </si>
  <si>
    <t>BUSINESS HISTORY</t>
  </si>
  <si>
    <t>COMPUTATIONAL ECONOMICS</t>
  </si>
  <si>
    <t>ECONOMIC CHANGE AND RESTRUCTURING</t>
  </si>
  <si>
    <t>ECONOMIC DEVELOPMENT QUARTERLY</t>
  </si>
  <si>
    <t>ENTERPRISE &amp; SOCIETY</t>
  </si>
  <si>
    <t>FEDERAL RESERVE BANK OF ST LOUIS REVIEW</t>
  </si>
  <si>
    <t>INTERNATIONAL FINANCE</t>
  </si>
  <si>
    <t>JCMS-JOURNAL OF COMMON MARKET STUDIES</t>
  </si>
  <si>
    <t>JOURNAL OF AGRICULTURAL AND RESOURCE ECONOMICS</t>
  </si>
  <si>
    <t>JOURNAL OF APPLIED ECONOMICS</t>
  </si>
  <si>
    <t>JOURNAL OF COMPUTATIONAL FINANCE</t>
  </si>
  <si>
    <t>JOURNAL OF ECONOMIC METHODOLOGY</t>
  </si>
  <si>
    <t>JOURNAL OF ECONOMICS</t>
  </si>
  <si>
    <t>JOURNAL OF THE JAPANESE AND INTERNATIONAL ECONOMIES</t>
  </si>
  <si>
    <t>MANAGERIAL AND DECISION ECONOMICS</t>
  </si>
  <si>
    <t>REVISTA DE CONTABILIDAD-SPANISH ACCOUNTING REVIEW</t>
  </si>
  <si>
    <t>STUDIES IN NONLINEAR DYNAMICS AND ECONOMETRICS</t>
  </si>
  <si>
    <t>AUSTRALIAN ECONOMIC REVIEW</t>
  </si>
  <si>
    <t>BUSINESS HISTORY REVIEW</t>
  </si>
  <si>
    <t>ECONOMIC SYSTEMS RESEARCH</t>
  </si>
  <si>
    <t>GENEVA PAPERS ON RISK AND INSURANCE-ISSUES AND PRACTICE</t>
  </si>
  <si>
    <t>INTERNATIONAL JOURNAL OF ARTS MANAGEMENT</t>
  </si>
  <si>
    <t>INTERNATIONAL JOURNAL OF STRATEGIC PROPERTY MANAGEMENT</t>
  </si>
  <si>
    <t>INTERNATIONAL LABOUR REVIEW</t>
  </si>
  <si>
    <t>JOURNAL OF AGRARIAN CHANGE</t>
  </si>
  <si>
    <t>JOURNAL OF BUSINESS ECONOMICS AND MANAGEMENT</t>
  </si>
  <si>
    <t>JOURNAL OF ECONOMIC EDUCATION</t>
  </si>
  <si>
    <t>JOURNAL OF INTERNATIONAL TRADE &amp; ECONOMIC DEVELOPMENT</t>
  </si>
  <si>
    <t>JOURNAL OF REGULATORY ECONOMICS</t>
  </si>
  <si>
    <t>MANAGEMENT &amp; ORGANIZATIONAL HISTORY</t>
  </si>
  <si>
    <t>MATHEMATICS AND FINANCIAL ECONOMICS</t>
  </si>
  <si>
    <t>PACIFIC ECONOMIC REVIEW</t>
  </si>
  <si>
    <t>RESEARCH IN TRANSPORTATION ECONOMICS</t>
  </si>
  <si>
    <t>REVIEW OF DEVELOPMENT ECONOMICS</t>
  </si>
  <si>
    <t>REVISTA DE HISTORIA ECONOMICA</t>
  </si>
  <si>
    <t>THEORY AND DECISION</t>
  </si>
  <si>
    <t>COMPTABILITE CONTROLE AUDIT</t>
  </si>
  <si>
    <t>INTERNATIONAL JOURNAL OF ISLAMIC AND MIDDLE EASTERN FINANCE AND MANAGEMENT</t>
  </si>
  <si>
    <t>INTERNATIONAL JOURNAL OF TECHNOLOGY MANAGEMENT</t>
  </si>
  <si>
    <t>JAHRBUCHER FUR NATIONALOKONOMIE UND STATISTIK</t>
  </si>
  <si>
    <t>JAPANESE ECONOMIC REVIEW</t>
  </si>
  <si>
    <t>JOURNAL OF HUMAN CAPITAL</t>
  </si>
  <si>
    <t>JOURNAL OF ORGANIZATIONAL BEHAVIOR MANAGEMENT</t>
  </si>
  <si>
    <t>NEGOTIATION AND CONFLICT MANAGEMENT RESEARCH</t>
  </si>
  <si>
    <t>OECONOMIA COPERNICANA</t>
  </si>
  <si>
    <t>REVIEW OF KEYNESIAN ECONOMICS</t>
  </si>
  <si>
    <t>REVIEW OF RADICAL POLITICAL ECONOMICS</t>
  </si>
  <si>
    <t>SCIENCE TECHNOLOGY AND SOCIETY</t>
  </si>
  <si>
    <t>ASIAN ECONOMIC JOURNAL</t>
  </si>
  <si>
    <t>BALTIC JOURNAL OF ECONOMICS</t>
  </si>
  <si>
    <t>BULLETIN OF INDONESIAN ECONOMIC STUDIES</t>
  </si>
  <si>
    <t>ECONOMIA POLITICA</t>
  </si>
  <si>
    <t>GROUP DECISION AND NEGOTIATION</t>
  </si>
  <si>
    <t>INVESTMENT ANALYSTS JOURNAL</t>
  </si>
  <si>
    <t>JOURNAL OF ECONOMIC INTERACTION AND COORDINATION</t>
  </si>
  <si>
    <t>JOURNAL OF REAL ESTATE RESEARCH</t>
  </si>
  <si>
    <t>JOURNAL OF SPORTS ECONOMICS</t>
  </si>
  <si>
    <t>ANNALS OF PUBLIC AND COOPERATIVE ECONOMICS</t>
  </si>
  <si>
    <t>DEVELOPING ECONOMIES</t>
  </si>
  <si>
    <t>EMPIRICA</t>
  </si>
  <si>
    <t>INTERNATIONAL JOURNAL OF HEALTH ECONOMICS AND MANAGEMENT</t>
  </si>
  <si>
    <t>JAPAN AND THE WORLD ECONOMY</t>
  </si>
  <si>
    <t>JOURNAL OF INSTITUTIONAL AND THEORETICAL ECONOMICS-ZEITSCHRIFT FUR DIE GESAMTE STAATSWISSENSCHAFT</t>
  </si>
  <si>
    <t>NEGOTIATION JOURNAL</t>
  </si>
  <si>
    <t>SINGAPORE ECONOMIC REVIEW</t>
  </si>
  <si>
    <t>SOUTH AFRICAN JOURNAL OF BUSINESS MANAGEMENT</t>
  </si>
  <si>
    <t>WATER ECONOMICS AND POLICY</t>
  </si>
  <si>
    <t>ASIAN ECONOMIC PAPERS</t>
  </si>
  <si>
    <t>ECONOMICS OF TRANSITION AND INSTITUTIONAL CHANGE</t>
  </si>
  <si>
    <t>INTERNATIONAL JOURNAL OF ECONOMIC THEORY</t>
  </si>
  <si>
    <t>INTERNATIONAL JOURNAL OF GAME THEORY</t>
  </si>
  <si>
    <t>JOURNAL OF RISK</t>
  </si>
  <si>
    <t>JOURNAL OF THE ASIA PACIFIC ECONOMY</t>
  </si>
  <si>
    <t>METROECONOMICA</t>
  </si>
  <si>
    <t>POST-COMMUNIST ECONOMIES</t>
  </si>
  <si>
    <t>SOUTH AFRICAN JOURNAL OF ECONOMICS</t>
  </si>
  <si>
    <t>SPANISH JOURNAL OF FINANCE AND ACCOUNTING-REVISTA ESPANOLA DE FINANCIACION Y CONTABILIDAD</t>
  </si>
  <si>
    <t>ACADEMIA-REVISTA LATINOAMERICANA DE ADMINISTRACION</t>
  </si>
  <si>
    <t>B E JOURNAL OF ECONOMIC ANALYSIS &amp; POLICY</t>
  </si>
  <si>
    <t>BULLETIN OF ECONOMIC RESEARCH</t>
  </si>
  <si>
    <t>GLOBAL ECONOMIC REVIEW</t>
  </si>
  <si>
    <t>HEALTH ECONOMICS REVIEW</t>
  </si>
  <si>
    <t>INZINERINE EKONOMIKA-ENGINEERING ECONOMICS</t>
  </si>
  <si>
    <t>JOURNAL OF AUSTRALIAN POLITICAL ECONOMY</t>
  </si>
  <si>
    <t>SYSTEMIC PRACTICE AND ACTION RESEARCH</t>
  </si>
  <si>
    <t>AMFITEATRU ECONOMIC</t>
  </si>
  <si>
    <t>EASTERN EUROPEAN ECONOMICS</t>
  </si>
  <si>
    <t>ECON JOURNAL WATCH</t>
  </si>
  <si>
    <t>ECONOMIC AND SOCIAL REVIEW</t>
  </si>
  <si>
    <t>FINANZARCHIV</t>
  </si>
  <si>
    <t>HISTORY OF POLITICAL ECONOMY</t>
  </si>
  <si>
    <t>JOURNAL OF POST KEYNESIAN ECONOMICS</t>
  </si>
  <si>
    <t>RBGN-REVISTA BRASILEIRA DE GESTAO DE NEGOCIOS</t>
  </si>
  <si>
    <t>SPANISH JOURNAL OF FINANCE AND ACCOUNTING-REVISTA ESPANOLA DE FINANCIACION Y CONTABILIDA</t>
  </si>
  <si>
    <t>AGRICULTURAL ECONOMICS-ZEMEDELSKA EKONOMIKA</t>
  </si>
  <si>
    <t>ANNALS OF ECONOMICS AND FINANCE</t>
  </si>
  <si>
    <t>APPLIED ECONOMIC ANALYSIS</t>
  </si>
  <si>
    <t>ECONOMICS OF GOVERNANCE</t>
  </si>
  <si>
    <t>INFORMATION TECHNOLOGY &amp; MANAGEMENT</t>
  </si>
  <si>
    <t>JOURNAL OF ECONOMIC ISSUES</t>
  </si>
  <si>
    <t>JOURNAL OF WORLD TRADE</t>
  </si>
  <si>
    <t>PORTUGUESE ECONOMIC JOURNAL</t>
  </si>
  <si>
    <t>RAE-REVISTA DE ADMINISTRACAO DE EMPRESAS</t>
  </si>
  <si>
    <t>REVIEW OF DERIVATIVES RESEARCH</t>
  </si>
  <si>
    <t>REVUE D ECONOMIE POLITIQUE</t>
  </si>
  <si>
    <t>SOUTH AFRICAN JOURNAL OF ECONOMIC AND MANAGEMENT SCIENCES</t>
  </si>
  <si>
    <t>AUSTRALIAN ECONOMIC HISTORY REVIEW</t>
  </si>
  <si>
    <t>E &amp; M EKONOMIE A MANAGEMENT</t>
  </si>
  <si>
    <t>INTERNATIONAL JOURNAL OF SHIPPING AND TRANSPORT LOGISTICS</t>
  </si>
  <si>
    <t>JOURNAL OF OPERATIONAL RISK</t>
  </si>
  <si>
    <t>JOURNAL OF RISK MODEL VALIDATION</t>
  </si>
  <si>
    <t>JOURNAL OF TRANSPORT ECONOMICS AND POLICY</t>
  </si>
  <si>
    <t>ROMANIAN JOURNAL OF ECONOMIC FORECASTING</t>
  </si>
  <si>
    <t>B E JOURNAL OF MACROECONOMICS</t>
  </si>
  <si>
    <t>ESTUDIOS DE ECONOMIA</t>
  </si>
  <si>
    <t>EUROPEAN JOURNAL OF THE HISTORY OF ECONOMIC THOUGHT</t>
  </si>
  <si>
    <t>FINANCE A UVER-CZECH JOURNAL OF ECONOMICS AND FINANCE</t>
  </si>
  <si>
    <t>JOURNAL OF EAST EUROPEAN MANAGEMENT STUDIES</t>
  </si>
  <si>
    <t>PRAGUE ECONOMIC PAPERS</t>
  </si>
  <si>
    <t>ACTA OECONOMICA</t>
  </si>
  <si>
    <t>ASIAN-PACIFIC ECONOMIC LITERATURE</t>
  </si>
  <si>
    <t>B E JOURNAL OF THEORETICAL ECONOMICS</t>
  </si>
  <si>
    <t>ENGINEERING ECONOMIST</t>
  </si>
  <si>
    <t>LATIN AMERICAN ECONOMIC REVIEW</t>
  </si>
  <si>
    <t>JOURNAL OF FOREST ECONOMICS</t>
  </si>
  <si>
    <t>REVIEW OF NETWORK ECONOMICS</t>
  </si>
  <si>
    <t>REVISTA DE ECONOMIA MUNDIAL</t>
  </si>
  <si>
    <t>ARGUMENTA OECONOMICA</t>
  </si>
  <si>
    <t>ECONOMICS-THE OPEN ACCESS OPEN-ASSESSMENT E-JOURNAL</t>
  </si>
  <si>
    <t>JOURNAL OF ACCOUNTING AND PUBLIC POLICY</t>
  </si>
  <si>
    <t>JOURNAL OF WORLD ENERGY LAW &amp; BUSINESS</t>
  </si>
  <si>
    <t>TRANSFORMATIONS IN BUSINESS &amp; ECONOMICS</t>
  </si>
  <si>
    <t>ECONOMIC COMPUTATION AND ECONOMIC CYBERNETICS STUDIES AND RESEARCH</t>
  </si>
  <si>
    <t>HACIENDA PUBLICA ESPANOLA-REVIEW OF PUBLIC ECONOMICS</t>
  </si>
  <si>
    <t>INDEPENDENT REVIEW</t>
  </si>
  <si>
    <t>INVESTIGACION ECONOMICA</t>
  </si>
  <si>
    <t>JOURNAL OF KOREA TRADE</t>
  </si>
  <si>
    <t>PANOECONOMICUS</t>
  </si>
  <si>
    <t>EKONOMICKY CASOPIS</t>
  </si>
  <si>
    <t>KOREAN ECONOMIC REVIEW</t>
  </si>
  <si>
    <t>HITOTSUBASHI JOURNAL OF ECONOMICS</t>
  </si>
  <si>
    <t>CEPAL REVIEW</t>
  </si>
  <si>
    <t>TRIMESTRE ECONOMICO</t>
  </si>
  <si>
    <t>INTERNATIONAL JOURNAL OF TRANSPORT ECONOMICS</t>
  </si>
  <si>
    <t>CUSTOS E AGRONEGOCIO ON LINE</t>
  </si>
  <si>
    <t>MILITARY OPERATIONS RESEARCH</t>
  </si>
  <si>
    <t>REVUE D ETUDES COMPARATIVES EST-OUEST</t>
  </si>
  <si>
    <t>POLITICKA EKONOMIE</t>
  </si>
  <si>
    <t>BETRIEBSWIRTSCHAFTLICHE FORSCHUNG UND PRAXIS</t>
  </si>
  <si>
    <t>institution</t>
  </si>
  <si>
    <t>London Business School</t>
  </si>
  <si>
    <t>University of California Santa Barbara</t>
  </si>
  <si>
    <t>University of Chicago</t>
  </si>
  <si>
    <t>Center for Economic &amp; Policy Research (CEPR)</t>
  </si>
  <si>
    <t>INSEAD Business School</t>
  </si>
  <si>
    <t>Swiss Finance Institute (SFI)</t>
  </si>
  <si>
    <t>Stanford University</t>
  </si>
  <si>
    <t>Princeton University</t>
  </si>
  <si>
    <t>Yale University</t>
  </si>
  <si>
    <t>Boston University</t>
  </si>
  <si>
    <t>Instituto Universitario de Lisboa</t>
  </si>
  <si>
    <t>Babson College</t>
  </si>
  <si>
    <t>Massachusetts Institute of Technology (MIT)</t>
  </si>
  <si>
    <t>Boston College</t>
  </si>
  <si>
    <t>National Bureau of Economic Research</t>
  </si>
  <si>
    <t>Northwestern University</t>
  </si>
  <si>
    <t>Harvard University</t>
  </si>
  <si>
    <t>Columbia University</t>
  </si>
  <si>
    <t>University of Texas Austin</t>
  </si>
  <si>
    <t>Emory University</t>
  </si>
  <si>
    <t>Texas Christian University</t>
  </si>
  <si>
    <t>University of California Berkeley</t>
  </si>
  <si>
    <t>Washington University (WUSTL)</t>
  </si>
  <si>
    <t>Hautes Etudes Commerciales (HEC) Paris</t>
  </si>
  <si>
    <t>University of Washington Seattle</t>
  </si>
  <si>
    <t>University of Geneva</t>
  </si>
  <si>
    <t>University of Maryland College Park</t>
  </si>
  <si>
    <t>Dartmouth College</t>
  </si>
  <si>
    <t>Northeastern University</t>
  </si>
  <si>
    <t>University of Pennsylvania</t>
  </si>
  <si>
    <t>University of Pittsburgh</t>
  </si>
  <si>
    <t>Imperial College London</t>
  </si>
  <si>
    <t>Rice University</t>
  </si>
  <si>
    <t>University of California Los Angeles</t>
  </si>
  <si>
    <t>University of Notre Dame</t>
  </si>
  <si>
    <t>Centre for Economic Policy Research - UK</t>
  </si>
  <si>
    <t>Lappeenranta-Lahti University of Technology LUT</t>
  </si>
  <si>
    <t>University of North Carolina Chapel Hill</t>
  </si>
  <si>
    <t>Baylor University</t>
  </si>
  <si>
    <t>Free University of Bozen-Bolzano</t>
  </si>
  <si>
    <t>Rutgers University Newark</t>
  </si>
  <si>
    <t>University of California Irvine</t>
  </si>
  <si>
    <t>University of Cincinnati</t>
  </si>
  <si>
    <t>University of Zurich</t>
  </si>
  <si>
    <t>Bank of England</t>
  </si>
  <si>
    <t>Institut Polytechnique de Paris</t>
  </si>
  <si>
    <t>Leuphana University Luneburg</t>
  </si>
  <si>
    <t>University of California San Diego</t>
  </si>
  <si>
    <t>University of Miami</t>
  </si>
  <si>
    <t>University of Virginia</t>
  </si>
  <si>
    <t>Indiana University Bloomington</t>
  </si>
  <si>
    <t>Singapore Management University</t>
  </si>
  <si>
    <t>University of Michigan</t>
  </si>
  <si>
    <t>BI Norwegian Business School</t>
  </si>
  <si>
    <t>Georgia Institute of Technology</t>
  </si>
  <si>
    <t>University of British Columbia</t>
  </si>
  <si>
    <t>University of South Carolina Columbia</t>
  </si>
  <si>
    <t>University of Utah</t>
  </si>
  <si>
    <t>EDHEC Business School</t>
  </si>
  <si>
    <t>Hong Kong University of Science &amp; Technology</t>
  </si>
  <si>
    <t>Universite Catholique Louvain</t>
  </si>
  <si>
    <t>University of Texas Dallas</t>
  </si>
  <si>
    <t>York University - Canada</t>
  </si>
  <si>
    <t>New York University</t>
  </si>
  <si>
    <t>University of Colorado Boulder</t>
  </si>
  <si>
    <t>University of Oregon</t>
  </si>
  <si>
    <t>Bocconi University</t>
  </si>
  <si>
    <t>Copenhagen Business School</t>
  </si>
  <si>
    <t>University of Delaware</t>
  </si>
  <si>
    <t>Aalto University</t>
  </si>
  <si>
    <t>Jonkoping University</t>
  </si>
  <si>
    <t>Solent University</t>
  </si>
  <si>
    <t>University of California Davis</t>
  </si>
  <si>
    <t>University of Tennessee Knoxville</t>
  </si>
  <si>
    <t>WHU - Otto Beisheim School of Management</t>
  </si>
  <si>
    <t>Duke University</t>
  </si>
  <si>
    <t>Lehigh University</t>
  </si>
  <si>
    <t>Ohio State University</t>
  </si>
  <si>
    <t>Polytechnic University of Milan</t>
  </si>
  <si>
    <t>Texas A&amp;M University College Station</t>
  </si>
  <si>
    <t>The Chinese University of Hong Kong, Shenzhen</t>
  </si>
  <si>
    <t>University of Rhode Island</t>
  </si>
  <si>
    <t>Carnegie Mellon University</t>
  </si>
  <si>
    <t>Hanken School of Economics</t>
  </si>
  <si>
    <t>Universitat Ramon Llull</t>
  </si>
  <si>
    <t>University of Colorado Denver</t>
  </si>
  <si>
    <t>University of Illinois Chicago</t>
  </si>
  <si>
    <t>University of Minnesota Twin Cities</t>
  </si>
  <si>
    <t>University of Southern California</t>
  </si>
  <si>
    <t>Western University (University of Western Ontario)</t>
  </si>
  <si>
    <t>Arizona State University-Tempe</t>
  </si>
  <si>
    <t>Chinese University of Hong Kong</t>
  </si>
  <si>
    <t>City St Georges, University of London</t>
  </si>
  <si>
    <t>Cornell University</t>
  </si>
  <si>
    <t>Dublin City University</t>
  </si>
  <si>
    <t>ESCP Business School</t>
  </si>
  <si>
    <t>IE University</t>
  </si>
  <si>
    <t>Nanyang Technological University</t>
  </si>
  <si>
    <t>Universidade Catolica Portuguesa</t>
  </si>
  <si>
    <t>University of Iowa</t>
  </si>
  <si>
    <t>University of St Gallen</t>
  </si>
  <si>
    <t>University of Turku</t>
  </si>
  <si>
    <t>Chalmers University of Technology</t>
  </si>
  <si>
    <t>Drexel University</t>
  </si>
  <si>
    <t>McGill University</t>
  </si>
  <si>
    <t>NEOMA Business School</t>
  </si>
  <si>
    <t>University of Bath</t>
  </si>
  <si>
    <t>University of Toronto</t>
  </si>
  <si>
    <t>University of Vaasa</t>
  </si>
  <si>
    <t>University of Wisconsin Madison</t>
  </si>
  <si>
    <t>heSam Universite</t>
  </si>
  <si>
    <t>China Europe International Business School</t>
  </si>
  <si>
    <t>George Washington University</t>
  </si>
  <si>
    <t>London School Economics &amp; Political Science</t>
  </si>
  <si>
    <t>Rutgers University New Brunswick</t>
  </si>
  <si>
    <t>Stockholm School of Economics</t>
  </si>
  <si>
    <t>University of Liverpool</t>
  </si>
  <si>
    <t>University of Massachusetts Lowell</t>
  </si>
  <si>
    <t>University of Navarra</t>
  </si>
  <si>
    <t>University of Nebraska Lincoln</t>
  </si>
  <si>
    <t>University of Victoria</t>
  </si>
  <si>
    <t>Federal Reserve System - USA</t>
  </si>
  <si>
    <t>Florida Atlantic University</t>
  </si>
  <si>
    <t>Queens University - Canada</t>
  </si>
  <si>
    <t>University of Aberdeen</t>
  </si>
  <si>
    <t>University of Calgary</t>
  </si>
  <si>
    <t>University of Warwick</t>
  </si>
  <si>
    <t>emlyon business school</t>
  </si>
  <si>
    <t>Audencia</t>
  </si>
  <si>
    <t>Baruch College (CUNY)</t>
  </si>
  <si>
    <t>Eindhoven University of Technology</t>
  </si>
  <si>
    <t>Georgetown University</t>
  </si>
  <si>
    <t>Hong Kong Baptist University</t>
  </si>
  <si>
    <t>Johns Hopkins University</t>
  </si>
  <si>
    <t>Lancaster University</t>
  </si>
  <si>
    <t>Temple University</t>
  </si>
  <si>
    <t>Tilburg University</t>
  </si>
  <si>
    <t>University of Hong Kong</t>
  </si>
  <si>
    <t>University of Verona</t>
  </si>
  <si>
    <t>Durham University</t>
  </si>
  <si>
    <t>Ghent University</t>
  </si>
  <si>
    <t>Luiss Guido Carli University</t>
  </si>
  <si>
    <t>Montpellier Business School</t>
  </si>
  <si>
    <t>University of Arkansas Fayetteville</t>
  </si>
  <si>
    <t>University of Auckland</t>
  </si>
  <si>
    <t>University of Birmingham</t>
  </si>
  <si>
    <t>University of Florida</t>
  </si>
  <si>
    <t>University of Georgia</t>
  </si>
  <si>
    <t>University of Illinois Urbana-Champaign</t>
  </si>
  <si>
    <t>University of North Carolina Greensboro</t>
  </si>
  <si>
    <t>University of Ottawa</t>
  </si>
  <si>
    <t>Aston University</t>
  </si>
  <si>
    <t>Auburn University</t>
  </si>
  <si>
    <t>Bentley University</t>
  </si>
  <si>
    <t>Brigham Young University</t>
  </si>
  <si>
    <t>Clemson University</t>
  </si>
  <si>
    <t>IESEG School of Management</t>
  </si>
  <si>
    <t>Lund University</t>
  </si>
  <si>
    <t>Norwegian School of Economics (NHH)</t>
  </si>
  <si>
    <t>Pennsylvania State University</t>
  </si>
  <si>
    <t>Tulane University</t>
  </si>
  <si>
    <t>University of Alberta</t>
  </si>
  <si>
    <t>University of Kentucky</t>
  </si>
  <si>
    <t>University of Melbourne</t>
  </si>
  <si>
    <t>University of Southampton</t>
  </si>
  <si>
    <t>University of Sussex</t>
  </si>
  <si>
    <t>Vanderbilt University</t>
  </si>
  <si>
    <t>Vrije Universiteit Amsterdam</t>
  </si>
  <si>
    <t>Claremont Colleges</t>
  </si>
  <si>
    <t>Erasmus University Rotterdam</t>
  </si>
  <si>
    <t>Florida State University</t>
  </si>
  <si>
    <t>Ihsan Dogramaci Bilkent University</t>
  </si>
  <si>
    <t>Iowa State University</t>
  </si>
  <si>
    <t>McMaster University</t>
  </si>
  <si>
    <t>Oklahoma State University - Stillwater</t>
  </si>
  <si>
    <t>Pompeu Fabra University</t>
  </si>
  <si>
    <t>Pontificia Universidad Catolica de Chile</t>
  </si>
  <si>
    <t>Queen Mary University London</t>
  </si>
  <si>
    <t>Royal Holloway University London</t>
  </si>
  <si>
    <t>Swansea University</t>
  </si>
  <si>
    <t>University of Bonn</t>
  </si>
  <si>
    <t>University of Cambridge</t>
  </si>
  <si>
    <t>University of Leeds</t>
  </si>
  <si>
    <t>University of Munster</t>
  </si>
  <si>
    <t>University of North Carolina Charlotte</t>
  </si>
  <si>
    <t>University of Reading</t>
  </si>
  <si>
    <t>University of Strathclyde</t>
  </si>
  <si>
    <t>Villanova University</t>
  </si>
  <si>
    <t>King's College London</t>
  </si>
  <si>
    <t>Linkoping University</t>
  </si>
  <si>
    <t>National University of Singapore</t>
  </si>
  <si>
    <t>RWTH Aachen University</t>
  </si>
  <si>
    <t>SKEMA Business School</t>
  </si>
  <si>
    <t>Southern Methodist University</t>
  </si>
  <si>
    <t>Tecnologico de Monterrey</t>
  </si>
  <si>
    <t>Trinity College Dublin</t>
  </si>
  <si>
    <t>University College London</t>
  </si>
  <si>
    <t>University of Arizona</t>
  </si>
  <si>
    <t>University of Bayreuth</t>
  </si>
  <si>
    <t>University of Bergamo</t>
  </si>
  <si>
    <t>University of Kent</t>
  </si>
  <si>
    <t>University of Lausanne</t>
  </si>
  <si>
    <t>University of Manchester</t>
  </si>
  <si>
    <t>University of Surrey</t>
  </si>
  <si>
    <t>Vienna University of Economics &amp; Business</t>
  </si>
  <si>
    <t>City University of Hong Kong</t>
  </si>
  <si>
    <t>Georgia State University</t>
  </si>
  <si>
    <t>Loughborough University</t>
  </si>
  <si>
    <t>Maastricht University</t>
  </si>
  <si>
    <t>Michigan State University</t>
  </si>
  <si>
    <t>Oregon State University</t>
  </si>
  <si>
    <t>San Diego State University</t>
  </si>
  <si>
    <t>Scuola Superiore Sant'Anna</t>
  </si>
  <si>
    <t>Syracuse University</t>
  </si>
  <si>
    <t>Tampere University</t>
  </si>
  <si>
    <t>Technische Universitat Dresden</t>
  </si>
  <si>
    <t>Tongji University</t>
  </si>
  <si>
    <t>University College Dublin</t>
  </si>
  <si>
    <t>University of Innsbruck</t>
  </si>
  <si>
    <t>University of Massachusetts Amherst</t>
  </si>
  <si>
    <t>University of Mississippi</t>
  </si>
  <si>
    <t>University of Munich</t>
  </si>
  <si>
    <t>University of Texas Rio Grande Valley</t>
  </si>
  <si>
    <t>University of Waikato</t>
  </si>
  <si>
    <t>Concordia University - Canada</t>
  </si>
  <si>
    <t>Fordham University</t>
  </si>
  <si>
    <t>KU Leuven</t>
  </si>
  <si>
    <t>Kedge Business School</t>
  </si>
  <si>
    <t>Shanghai University of Finance &amp; Economics</t>
  </si>
  <si>
    <t>Stockholm University</t>
  </si>
  <si>
    <t>Technical University of Munich</t>
  </si>
  <si>
    <t>University of Amsterdam</t>
  </si>
  <si>
    <t>University of Bristol</t>
  </si>
  <si>
    <t>University of Connecticut</t>
  </si>
  <si>
    <t>University of Edinburgh</t>
  </si>
  <si>
    <t>University of Mannheim</t>
  </si>
  <si>
    <t>University of Oklahoma - Norman</t>
  </si>
  <si>
    <t>Fudan University</t>
  </si>
  <si>
    <t>Mississippi State University</t>
  </si>
  <si>
    <t>Norwegian University of Science &amp; Technology (NTNU)</t>
  </si>
  <si>
    <t>South Ural State University</t>
  </si>
  <si>
    <t>Universite de Montreal</t>
  </si>
  <si>
    <t>University of Hamburg</t>
  </si>
  <si>
    <t>University of Memphis</t>
  </si>
  <si>
    <t>University of Nottingham</t>
  </si>
  <si>
    <t>University of Oxford</t>
  </si>
  <si>
    <t>University of Queensland</t>
  </si>
  <si>
    <t>Wilfrid Laurier University</t>
  </si>
  <si>
    <t>Autonomous University of Barcelona</t>
  </si>
  <si>
    <t>Cranfield University</t>
  </si>
  <si>
    <t>ESSEC Business School</t>
  </si>
  <si>
    <t>Free University of Berlin</t>
  </si>
  <si>
    <t>George Mason University</t>
  </si>
  <si>
    <t>Ho Chi Minh City University Economics</t>
  </si>
  <si>
    <t>Hong Kong Polytechnic University</t>
  </si>
  <si>
    <t>Lahore University of Management Sciences</t>
  </si>
  <si>
    <t>Miami University</t>
  </si>
  <si>
    <t>Nottingham Trent University</t>
  </si>
  <si>
    <t>Texas State University San Marcos</t>
  </si>
  <si>
    <t>University of Central Florida</t>
  </si>
  <si>
    <t>University of Exeter</t>
  </si>
  <si>
    <t>University of St Andrews</t>
  </si>
  <si>
    <t>University of Sydney</t>
  </si>
  <si>
    <t>University of Texas at San Antonio (UTSA)</t>
  </si>
  <si>
    <t>Victoria University Wellington</t>
  </si>
  <si>
    <t>American University</t>
  </si>
  <si>
    <t>Bank of Canada</t>
  </si>
  <si>
    <t>G d'Annunzio University of Chieti-Pescara</t>
  </si>
  <si>
    <t>Griffith University</t>
  </si>
  <si>
    <t>IZA Institute Labor Economics</t>
  </si>
  <si>
    <t>Louisiana State University</t>
  </si>
  <si>
    <t>Macquarie University</t>
  </si>
  <si>
    <t>Middlesex University</t>
  </si>
  <si>
    <t>Open University - UK</t>
  </si>
  <si>
    <t>Parthenope University Naples</t>
  </si>
  <si>
    <t>Queensland University of Technology (QUT)</t>
  </si>
  <si>
    <t>Universidad Carlos III de Madrid</t>
  </si>
  <si>
    <t>University of Antwerp</t>
  </si>
  <si>
    <t>University of Bergen</t>
  </si>
  <si>
    <t>University of Canterbury</t>
  </si>
  <si>
    <t>University of Derby</t>
  </si>
  <si>
    <t>University of Essex</t>
  </si>
  <si>
    <t>University of New South Wales Sydney</t>
  </si>
  <si>
    <t>University of South Florida</t>
  </si>
  <si>
    <t>University of Twente</t>
  </si>
  <si>
    <t>Washington State University</t>
  </si>
  <si>
    <t>De Montfort University</t>
  </si>
  <si>
    <t>Florida International University</t>
  </si>
  <si>
    <t>Humboldt University of Berlin</t>
  </si>
  <si>
    <t>Monash University</t>
  </si>
  <si>
    <t>National Taiwan University</t>
  </si>
  <si>
    <t>North Carolina State University</t>
  </si>
  <si>
    <t>Renmin University of China</t>
  </si>
  <si>
    <t>Tel Aviv University</t>
  </si>
  <si>
    <t>Tsinghua University</t>
  </si>
  <si>
    <t>Universite Cote d'Azur</t>
  </si>
  <si>
    <t>Universite Toulouse 1 Capitole</t>
  </si>
  <si>
    <t>University of Alabama Tuscaloosa</t>
  </si>
  <si>
    <t>University of Houston</t>
  </si>
  <si>
    <t>University of Otago</t>
  </si>
  <si>
    <t>Zayed University</t>
  </si>
  <si>
    <t>Auckland University of Technology</t>
  </si>
  <si>
    <t>Central South University</t>
  </si>
  <si>
    <t>Johannes Kepler University Linz</t>
  </si>
  <si>
    <t>Newcastle University - UK</t>
  </si>
  <si>
    <t>Royal Institute of Technology</t>
  </si>
  <si>
    <t>Universidade Nova de Lisboa</t>
  </si>
  <si>
    <t>University Hohenheim</t>
  </si>
  <si>
    <t>University of Bologna</t>
  </si>
  <si>
    <t>University of Cologne</t>
  </si>
  <si>
    <t>University of Copenhagen</t>
  </si>
  <si>
    <t>University of Florence</t>
  </si>
  <si>
    <t>University of Huddersfield</t>
  </si>
  <si>
    <t>University of Manitoba</t>
  </si>
  <si>
    <t>University of Missouri Columbia</t>
  </si>
  <si>
    <t>University of Newcastle</t>
  </si>
  <si>
    <t>University of Nottingham Ningbo China</t>
  </si>
  <si>
    <t>University of Padua</t>
  </si>
  <si>
    <t>University of South Australia</t>
  </si>
  <si>
    <t>University of Technology Sydney</t>
  </si>
  <si>
    <t>University of Turin</t>
  </si>
  <si>
    <t>University of Wollongong</t>
  </si>
  <si>
    <t>Virginia Polytechnic Institute &amp; State University</t>
  </si>
  <si>
    <t>Deakin University</t>
  </si>
  <si>
    <t>ETH Zurich</t>
  </si>
  <si>
    <t>International Monetary Fund</t>
  </si>
  <si>
    <t>Nanjing University</t>
  </si>
  <si>
    <t>Paris School of Economics</t>
  </si>
  <si>
    <t>Purdue University</t>
  </si>
  <si>
    <t>Radboud University Nijmegen</t>
  </si>
  <si>
    <t>Royal Melbourne Institute of Technology (RMIT)</t>
  </si>
  <si>
    <t>Simon Fraser University</t>
  </si>
  <si>
    <t>Swinburne University of Technology</t>
  </si>
  <si>
    <t>Universitetet i Stavanger</t>
  </si>
  <si>
    <t>University of Glasgow</t>
  </si>
  <si>
    <t>University of Groningen</t>
  </si>
  <si>
    <t>University of Naples Federico II</t>
  </si>
  <si>
    <t>University of Salamanca</t>
  </si>
  <si>
    <t>University of Southern Denmark</t>
  </si>
  <si>
    <t>Xiamen University</t>
  </si>
  <si>
    <t>Beijing Jiaotong University</t>
  </si>
  <si>
    <t>Capital University of Economics &amp; Business</t>
  </si>
  <si>
    <t>Cardiff University</t>
  </si>
  <si>
    <t>Carleton University</t>
  </si>
  <si>
    <t>Chapman University</t>
  </si>
  <si>
    <t>Colorado State University</t>
  </si>
  <si>
    <t>Deutsche Bundesbank</t>
  </si>
  <si>
    <t>European Central Bank</t>
  </si>
  <si>
    <t>Huazhong University of Science &amp; Technology</t>
  </si>
  <si>
    <t>Marquette University</t>
  </si>
  <si>
    <t>Massey University</t>
  </si>
  <si>
    <t>Northumbria University</t>
  </si>
  <si>
    <t>Northwestern Polytechnical University</t>
  </si>
  <si>
    <t>Southwestern University of Finance &amp; Economics - China</t>
  </si>
  <si>
    <t>University of Kansas</t>
  </si>
  <si>
    <t>University of Salento</t>
  </si>
  <si>
    <t>Zhejiang University</t>
  </si>
  <si>
    <t>Aarhus University</t>
  </si>
  <si>
    <t>Australian National University</t>
  </si>
  <si>
    <t>Bank of Italy</t>
  </si>
  <si>
    <t>Curtin University</t>
  </si>
  <si>
    <t>Edith Cowan University</t>
  </si>
  <si>
    <t>Nankai University</t>
  </si>
  <si>
    <t>Queens University Belfast</t>
  </si>
  <si>
    <t>Shandong University</t>
  </si>
  <si>
    <t>Shanghai Jiao Tong University</t>
  </si>
  <si>
    <t>Southern Illinois University</t>
  </si>
  <si>
    <t>Technical University of Berlin</t>
  </si>
  <si>
    <t>Universidade de Santiago de Compostela</t>
  </si>
  <si>
    <t>Universite de Montpellier</t>
  </si>
  <si>
    <t>University of Oslo</t>
  </si>
  <si>
    <t>University of Sheffield</t>
  </si>
  <si>
    <t>University of Valencia</t>
  </si>
  <si>
    <t>University of Wyoming</t>
  </si>
  <si>
    <t>University of Zagreb</t>
  </si>
  <si>
    <t>Uppsala University</t>
  </si>
  <si>
    <t>Central University of Finance &amp; Economics</t>
  </si>
  <si>
    <t>Charles University Prague</t>
  </si>
  <si>
    <t>Chinese Academy of Sciences</t>
  </si>
  <si>
    <t>Dongbei University of Finance &amp; Economics</t>
  </si>
  <si>
    <t>Goethe University Frankfurt</t>
  </si>
  <si>
    <t>IPAG Business School</t>
  </si>
  <si>
    <t>Ifo Institut</t>
  </si>
  <si>
    <t>La Trobe University</t>
  </si>
  <si>
    <t>Laval University</t>
  </si>
  <si>
    <t>Manchester Metropolitan University</t>
  </si>
  <si>
    <t>Max Planck Society</t>
  </si>
  <si>
    <t>Nanjing University of Science &amp; Technology</t>
  </si>
  <si>
    <t>Southwest Jiaotong University</t>
  </si>
  <si>
    <t>Tallinn University of Technology</t>
  </si>
  <si>
    <t>University of Granada</t>
  </si>
  <si>
    <t>University of North Texas Denton</t>
  </si>
  <si>
    <t>University of Vienna</t>
  </si>
  <si>
    <t>Brunel University</t>
  </si>
  <si>
    <t>Hebrew University of Jerusalem</t>
  </si>
  <si>
    <t>Hitotsubashi University</t>
  </si>
  <si>
    <t>Hunan University</t>
  </si>
  <si>
    <t>Jinan University</t>
  </si>
  <si>
    <t>Karlsruhe Institute of Technology</t>
  </si>
  <si>
    <t>Kiel Institute for the World Economy</t>
  </si>
  <si>
    <t>Northeastern University - China</t>
  </si>
  <si>
    <t>Peking University</t>
  </si>
  <si>
    <t>Qatar University</t>
  </si>
  <si>
    <t>Sun Yat Sen University</t>
  </si>
  <si>
    <t>Universita Ca Foscari Venezia</t>
  </si>
  <si>
    <t>University of Bern</t>
  </si>
  <si>
    <t>University of Duisburg Essen</t>
  </si>
  <si>
    <t>University of International Business &amp; Economics</t>
  </si>
  <si>
    <t>University of Western Australia</t>
  </si>
  <si>
    <t>University of Zaragoza</t>
  </si>
  <si>
    <t>Virginia Commonwealth University</t>
  </si>
  <si>
    <t>West Virginia University</t>
  </si>
  <si>
    <t>Wuhan University</t>
  </si>
  <si>
    <t>Xi'an Jiaotong University</t>
  </si>
  <si>
    <t>Xi'an Jiaotong-Liverpool University</t>
  </si>
  <si>
    <t>Aalborg University</t>
  </si>
  <si>
    <t>Beijing Institute of Technology</t>
  </si>
  <si>
    <t>Binghamton University, SUNY</t>
  </si>
  <si>
    <t>Brock University</t>
  </si>
  <si>
    <t>Coventry University</t>
  </si>
  <si>
    <t>Harbin Institute of Technology</t>
  </si>
  <si>
    <t>Kozminski University</t>
  </si>
  <si>
    <t>Toronto Metropolitan University</t>
  </si>
  <si>
    <t>University at Albany, SUNY</t>
  </si>
  <si>
    <t>University of Adelaide</t>
  </si>
  <si>
    <t>University of Nevada Las Vegas</t>
  </si>
  <si>
    <t>University of Portsmouth</t>
  </si>
  <si>
    <t>Utah State University</t>
  </si>
  <si>
    <t>Utrecht University</t>
  </si>
  <si>
    <t>Beihang University</t>
  </si>
  <si>
    <t>California State University Fullerton</t>
  </si>
  <si>
    <t>DIW Berlin - Deutsches Institut fur Wirtschaftsforschung</t>
  </si>
  <si>
    <t>European University Institute</t>
  </si>
  <si>
    <t>Guangdong University of Foreign Studies</t>
  </si>
  <si>
    <t>Hanyang University</t>
  </si>
  <si>
    <t>King Abdulaziz University</t>
  </si>
  <si>
    <t>Texas Tech University</t>
  </si>
  <si>
    <t>The World Bank</t>
  </si>
  <si>
    <t>University of Leicester</t>
  </si>
  <si>
    <t>Beijing Normal University</t>
  </si>
  <si>
    <t>Czech Academy of Sciences</t>
  </si>
  <si>
    <t>East China University of Science &amp; Technology</t>
  </si>
  <si>
    <t>Hang Seng University of Hong Kong</t>
  </si>
  <si>
    <t>Illinois State University</t>
  </si>
  <si>
    <t>Jiangxi University of Finance &amp; Economics</t>
  </si>
  <si>
    <t>Nanchang University</t>
  </si>
  <si>
    <t>Shanghai University</t>
  </si>
  <si>
    <t>Shenzhen University</t>
  </si>
  <si>
    <t>South China University of Technology</t>
  </si>
  <si>
    <t>Universidade do Porto</t>
  </si>
  <si>
    <t>University of Erlangen Nuremberg</t>
  </si>
  <si>
    <t>University of Gottingen</t>
  </si>
  <si>
    <t>University of Graz</t>
  </si>
  <si>
    <t>University of Rome Tor Vergata</t>
  </si>
  <si>
    <t>University of West England</t>
  </si>
  <si>
    <t>Yonsei University</t>
  </si>
  <si>
    <t>Getulio Vargas Foundation</t>
  </si>
  <si>
    <t>Nanjing Audit University</t>
  </si>
  <si>
    <t>National Chengchi University</t>
  </si>
  <si>
    <t>Tianjin University</t>
  </si>
  <si>
    <t>University of Helsinki</t>
  </si>
  <si>
    <t>University of Stirling</t>
  </si>
  <si>
    <t>Zhongnan University of Economics &amp; Law</t>
  </si>
  <si>
    <t>Autonomous University of Madrid</t>
  </si>
  <si>
    <t>Catholic University of the Sacred Heart</t>
  </si>
  <si>
    <t>Chongqing University</t>
  </si>
  <si>
    <t>Consejo Superior de Investigaciones Cientificas (CSIC)</t>
  </si>
  <si>
    <t>Marche Polytechnic University</t>
  </si>
  <si>
    <t>Poznan University of Economics &amp; Business</t>
  </si>
  <si>
    <t>Sichuan University</t>
  </si>
  <si>
    <t>Universidad Pablo de Olavide</t>
  </si>
  <si>
    <t>Universitat Politecnica de Valencia</t>
  </si>
  <si>
    <t>Universite de Rennes</t>
  </si>
  <si>
    <t>University of Basque Country</t>
  </si>
  <si>
    <t>University of Cape Town</t>
  </si>
  <si>
    <t>University of East Anglia</t>
  </si>
  <si>
    <t>University of New Mexico</t>
  </si>
  <si>
    <t>American University of Sharjah</t>
  </si>
  <si>
    <t>HSE University (National Research University Higher School of Economics)</t>
  </si>
  <si>
    <t>Heriot Watt University</t>
  </si>
  <si>
    <t>National Taipei University</t>
  </si>
  <si>
    <t>Old Dominion University</t>
  </si>
  <si>
    <t>Organisation for Economic Co-operation &amp; Development (OECD)</t>
  </si>
  <si>
    <t>Universita degli Studi di Bari Aldo Moro</t>
  </si>
  <si>
    <t>University of Gothenburg</t>
  </si>
  <si>
    <t>University of Johannesburg</t>
  </si>
  <si>
    <t>University of Milan</t>
  </si>
  <si>
    <t>University of Pretoria</t>
  </si>
  <si>
    <t>University of Salerno</t>
  </si>
  <si>
    <t>University of Tasmania</t>
  </si>
  <si>
    <t>Zentrum fur Europaische Wirtschaftsforschung (ZEW)</t>
  </si>
  <si>
    <t>COMSATS University Islamabad (CUI)</t>
  </si>
  <si>
    <t>Kansas State University</t>
  </si>
  <si>
    <t>Leibniz University Hannover</t>
  </si>
  <si>
    <t>National Sun Yat Sen University</t>
  </si>
  <si>
    <t>Sapienza University Rome</t>
  </si>
  <si>
    <t>Southeast University - China</t>
  </si>
  <si>
    <t>Sungkyunkwan University (SKKU)</t>
  </si>
  <si>
    <t>University of Macau</t>
  </si>
  <si>
    <t>University of Palermo</t>
  </si>
  <si>
    <t>University of Sevilla</t>
  </si>
  <si>
    <t>University of Waterloo</t>
  </si>
  <si>
    <t>University of Wisconsin Milwaukee</t>
  </si>
  <si>
    <t>University of York - UK</t>
  </si>
  <si>
    <t>Wageningen University &amp; Research</t>
  </si>
  <si>
    <t>Athens University of Economics &amp; Business</t>
  </si>
  <si>
    <t>Hefei University of Technology</t>
  </si>
  <si>
    <t>Pusan National University</t>
  </si>
  <si>
    <t>Ruprecht Karls University Heidelberg</t>
  </si>
  <si>
    <t>Seoul National University (SNU)</t>
  </si>
  <si>
    <t>Stellenbosch University</t>
  </si>
  <si>
    <t>Tinbergen Institute</t>
  </si>
  <si>
    <t>Universidad de los Andes (Colombia)</t>
  </si>
  <si>
    <t>Universite de Strasbourg</t>
  </si>
  <si>
    <t>University of Konstanz</t>
  </si>
  <si>
    <t>Aix-Marseille Universite</t>
  </si>
  <si>
    <t>Centre National de la Recherche Scientifique (CNRS)</t>
  </si>
  <si>
    <t>Delft University of Technology</t>
  </si>
  <si>
    <t>Korea Advanced Institute of Science &amp; Technology (KAIST)</t>
  </si>
  <si>
    <t>Kyung Hee University</t>
  </si>
  <si>
    <t>Nanjing University of Finance &amp; Economics</t>
  </si>
  <si>
    <t>Universidade da Beira Interior</t>
  </si>
  <si>
    <t>Universidade do Minho</t>
  </si>
  <si>
    <t>Universiti Malaya</t>
  </si>
  <si>
    <t>University of Milano-Bicocca</t>
  </si>
  <si>
    <t>University of Pisa</t>
  </si>
  <si>
    <t>University of Siena</t>
  </si>
  <si>
    <t>Zhejiang University of Finance &amp; Economics</t>
  </si>
  <si>
    <t>China Agricultural University</t>
  </si>
  <si>
    <t>Dalian University of Technology</t>
  </si>
  <si>
    <t>Guangdong University of Finance &amp; Economics</t>
  </si>
  <si>
    <t>Roma Tre University</t>
  </si>
  <si>
    <t>Shanghai Lixin University of Accounting &amp; Finance</t>
  </si>
  <si>
    <t>Universite Claude Bernard Lyon 1</t>
  </si>
  <si>
    <t>Universite Libre de Bruxelles</t>
  </si>
  <si>
    <t>Universiti Putra Malaysia</t>
  </si>
  <si>
    <t>University of Kiel</t>
  </si>
  <si>
    <t>University of Luxembourg</t>
  </si>
  <si>
    <t>University of Warsaw</t>
  </si>
  <si>
    <t>University of Witwatersrand</t>
  </si>
  <si>
    <t>Zhejiang Gongshang University</t>
  </si>
  <si>
    <t>Complutense University of Madrid</t>
  </si>
  <si>
    <t>Jilin University</t>
  </si>
  <si>
    <t>Kyoto University</t>
  </si>
  <si>
    <t>National Cheng Kung University</t>
  </si>
  <si>
    <t>Osaka University</t>
  </si>
  <si>
    <t>Universidad Publica de Navarra</t>
  </si>
  <si>
    <t>Universidad de Castilla-La Mancha</t>
  </si>
  <si>
    <t>Universidad de Chile</t>
  </si>
  <si>
    <t>Universite PSL</t>
  </si>
  <si>
    <t>Universite de Lille</t>
  </si>
  <si>
    <t>University of Barcelona</t>
  </si>
  <si>
    <t>University of Trento</t>
  </si>
  <si>
    <t>INRAE</t>
  </si>
  <si>
    <t>Korea University</t>
  </si>
  <si>
    <t>National Central University</t>
  </si>
  <si>
    <t>National Kaohsiung University of Science &amp; Technology</t>
  </si>
  <si>
    <t>Ton Duc Thang University</t>
  </si>
  <si>
    <t>Universidad Rey Juan Carlos</t>
  </si>
  <si>
    <t>Universite Paris Saclay</t>
  </si>
  <si>
    <t>Universite de Lorraine</t>
  </si>
  <si>
    <t>University of Guelph</t>
  </si>
  <si>
    <t>University of Tehran</t>
  </si>
  <si>
    <t>Waseda University</t>
  </si>
  <si>
    <t>Eastern Mediterranean University</t>
  </si>
  <si>
    <t>Ming Chuan University</t>
  </si>
  <si>
    <t>Prague University of Economics &amp; Business</t>
  </si>
  <si>
    <t>Universidad de Malaga</t>
  </si>
  <si>
    <t>Universidade de Coimbra</t>
  </si>
  <si>
    <t>Universiti Sains Malaysia</t>
  </si>
  <si>
    <t>National Yang Ming Chiao Tung University</t>
  </si>
  <si>
    <t>Universidade de Lisboa</t>
  </si>
  <si>
    <t>Universite de Sfax</t>
  </si>
  <si>
    <t>University of Bielefeld</t>
  </si>
  <si>
    <t>University of Murcia</t>
  </si>
  <si>
    <t>University of Quebec Montreal</t>
  </si>
  <si>
    <t>Universidade de Sao Paulo</t>
  </si>
  <si>
    <t>Universitat Jaume I</t>
  </si>
  <si>
    <t>Universitat d'Alacant</t>
  </si>
  <si>
    <t>University of Economics Bratislava</t>
  </si>
  <si>
    <t>Ben Gurion University</t>
  </si>
  <si>
    <t>Academia Sinica - Taiwan</t>
  </si>
  <si>
    <t>Chung Ang University</t>
  </si>
  <si>
    <t>University of Haifa</t>
  </si>
  <si>
    <t>University of Tokyo</t>
  </si>
  <si>
    <t>Kobe University</t>
  </si>
  <si>
    <t>Tamkang University</t>
  </si>
  <si>
    <t>Universidade de Vigo</t>
  </si>
  <si>
    <t>Warsaw School of Economics</t>
  </si>
  <si>
    <t>Keio University</t>
  </si>
  <si>
    <t>Universidade Federal do Rio Grande do Sul</t>
  </si>
  <si>
    <t>University of Piraeus</t>
  </si>
  <si>
    <t>Corvinus University Budapest</t>
  </si>
  <si>
    <t>Islamic Azad University</t>
  </si>
  <si>
    <t>Feng Chia University</t>
  </si>
  <si>
    <t>Bucharest University of Economic Studies</t>
  </si>
  <si>
    <t>University of Belgrade</t>
  </si>
  <si>
    <t>University of Novi Sad</t>
  </si>
  <si>
    <t>Vilnius Gediminas Technical University</t>
  </si>
  <si>
    <t>country</t>
  </si>
  <si>
    <t>ENGLAND</t>
  </si>
  <si>
    <t>USA</t>
  </si>
  <si>
    <t>FRANCE</t>
  </si>
  <si>
    <t>SWITZERLAND</t>
  </si>
  <si>
    <t>SPAIN</t>
  </si>
  <si>
    <t>NORWAY</t>
  </si>
  <si>
    <t>ITALY</t>
  </si>
  <si>
    <t>HONG KONG</t>
  </si>
  <si>
    <t>CANADA</t>
  </si>
  <si>
    <t>FINLAND</t>
  </si>
  <si>
    <t>SINGAPORE</t>
  </si>
  <si>
    <t>BELGIUM</t>
  </si>
  <si>
    <t>DENMARK</t>
  </si>
  <si>
    <t>SWEDEN</t>
  </si>
  <si>
    <t>CHINA MAINLAND</t>
  </si>
  <si>
    <t>PORTUGAL</t>
  </si>
  <si>
    <t>IRELAND</t>
  </si>
  <si>
    <t>NETHERLANDS</t>
  </si>
  <si>
    <t>SCOTLAND</t>
  </si>
  <si>
    <t>MEXICO</t>
  </si>
  <si>
    <t>NEW ZEALAND</t>
  </si>
  <si>
    <t>AUSTRALIA</t>
  </si>
  <si>
    <t>TURKIYE</t>
  </si>
  <si>
    <t>CHILE</t>
  </si>
  <si>
    <t>AUSTRIA</t>
  </si>
  <si>
    <t>WALES</t>
  </si>
  <si>
    <t>ISRAEL</t>
  </si>
  <si>
    <t>TAIWAN</t>
  </si>
  <si>
    <t>PAKISTAN</t>
  </si>
  <si>
    <t>RUSSIA</t>
  </si>
  <si>
    <t>JAPAN</t>
  </si>
  <si>
    <t>VIETNAM</t>
  </si>
  <si>
    <t>UNITED ARAB EMIRATES</t>
  </si>
  <si>
    <t>CZECH REPUBLIC</t>
  </si>
  <si>
    <t>NORTHERN IRELAND</t>
  </si>
  <si>
    <t>POLAND</t>
  </si>
  <si>
    <t>CROATIA</t>
  </si>
  <si>
    <t>ESTONIA</t>
  </si>
  <si>
    <t>SOUTH KOREA</t>
  </si>
  <si>
    <t>BRAZIL</t>
  </si>
  <si>
    <t>QATAR</t>
  </si>
  <si>
    <t>SAUDI ARABIA</t>
  </si>
  <si>
    <t>SOUTH AFRICA</t>
  </si>
  <si>
    <t>MACAU</t>
  </si>
  <si>
    <t>GREECE</t>
  </si>
  <si>
    <t>COLOMBIA</t>
  </si>
  <si>
    <t>MALAYSIA</t>
  </si>
  <si>
    <t>LUXEMBOURG</t>
  </si>
  <si>
    <t>IRAN</t>
  </si>
  <si>
    <t>TUNISIA</t>
  </si>
  <si>
    <t>SLOVAKIA</t>
  </si>
  <si>
    <t>HUNGARY</t>
  </si>
  <si>
    <t>ROMANIA</t>
  </si>
  <si>
    <t>SERBIA</t>
  </si>
  <si>
    <t>LITHUANIA</t>
  </si>
  <si>
    <t>GERMANY</t>
  </si>
  <si>
    <t>ECONOMICS</t>
  </si>
  <si>
    <t>BUSINESS</t>
  </si>
  <si>
    <t>FINANCE</t>
  </si>
  <si>
    <t>MANAGEMENT</t>
  </si>
  <si>
    <t>MULTIDISCIPLINARY SCIENCES</t>
  </si>
  <si>
    <t>OPERATIONS RESEARCH &amp; MANAGEMENT SCIENCE</t>
  </si>
  <si>
    <t>PSYCHOLOGY, APPLIED</t>
  </si>
  <si>
    <t>MATHEMATICS, INTERDISCIPLINARY APPLICATIONS</t>
  </si>
  <si>
    <t>SOCIAL SCIENCES, MATHEMATICAL METHODS</t>
  </si>
  <si>
    <t>STATISTICS &amp; PROBABILITY</t>
  </si>
  <si>
    <t>ENGINEERING, INDUSTRIAL</t>
  </si>
  <si>
    <t>INDUSTRIAL RELATIONS &amp; LABOR</t>
  </si>
  <si>
    <t>DEVELOPMENT STUDIES</t>
  </si>
  <si>
    <t>REGIONAL &amp; URBAN PLANNING</t>
  </si>
  <si>
    <t>EDUCATION &amp; EDUCATIONAL RESEARCH</t>
  </si>
  <si>
    <t>ETHICS</t>
  </si>
  <si>
    <t>URBAN STUDIES</t>
  </si>
  <si>
    <t>COMMUNICATION</t>
  </si>
  <si>
    <t>SOCIAL SCIENCES, INTERDISCIPLINARY</t>
  </si>
  <si>
    <t>PSYCHOLOGY, SOCIAL</t>
  </si>
  <si>
    <t>PHILOSOPHY</t>
  </si>
  <si>
    <t>ENVIRONMENTAL STUDIES</t>
  </si>
  <si>
    <t>INFORMATION SCIENCE &amp; LIBRARY SCIENCE</t>
  </si>
  <si>
    <t>LAW</t>
  </si>
  <si>
    <t>HEALTH CARE SCIENCES &amp; SERVICES</t>
  </si>
  <si>
    <t>HEALTH POLICY &amp; SERVICES</t>
  </si>
  <si>
    <t>ERGONOMICS</t>
  </si>
  <si>
    <t>HISTORY</t>
  </si>
  <si>
    <t>HISTORY OF SOCIAL SCIENCES</t>
  </si>
  <si>
    <t>HOSPITALITY, LEISURE, SPORT &amp; TOURISM</t>
  </si>
  <si>
    <t>DEMOGRAPHY</t>
  </si>
  <si>
    <t>COMPUTER SCIENCE, SOFTWARE ENGINEERING</t>
  </si>
  <si>
    <t>AGRICULTURAL ECONOMICS &amp; POLICY</t>
  </si>
  <si>
    <t>GEOGRAPHY</t>
  </si>
  <si>
    <t>ENERGY &amp; FUELS</t>
  </si>
  <si>
    <t>ECOLOGY</t>
  </si>
  <si>
    <t>ENVIRONMENTAL SCIENCES</t>
  </si>
  <si>
    <t>COMPUTER SCIENCE, INFORMATION SYSTEMS</t>
  </si>
  <si>
    <t>COMPUTER SCIENCE, INTERDISCIPLINARY APPLICATIONS</t>
  </si>
  <si>
    <t>PUBLIC ADMINISTRATION</t>
  </si>
  <si>
    <t>INTERNATIONAL RELATIONS</t>
  </si>
  <si>
    <t>FOOD SCIENCE &amp; TECHNOLOGY</t>
  </si>
  <si>
    <t>NUTRITION &amp; DIETETICS</t>
  </si>
  <si>
    <t>SOCIOLOGY</t>
  </si>
  <si>
    <t>Women's Studies</t>
  </si>
  <si>
    <t>PHARMACOLOGY &amp; PHARMACY</t>
  </si>
  <si>
    <t>MATHEMATICS, APPLIED</t>
  </si>
  <si>
    <t>POLITICAL SCIENCE</t>
  </si>
  <si>
    <t>PUBLIC, ENVIRONMENTAL &amp; OCCUPATIONAL HEALTH</t>
  </si>
  <si>
    <t>FISHERIES</t>
  </si>
  <si>
    <t>AGRONOMY</t>
  </si>
  <si>
    <t>ENGINEERING, CIVIL</t>
  </si>
  <si>
    <t>FAMILY STUDIES</t>
  </si>
  <si>
    <t>GERONTOLOGY</t>
  </si>
  <si>
    <t>TRANSPORTATION</t>
  </si>
  <si>
    <t>ENGINEERING, MULTIDISCIPLINARY</t>
  </si>
  <si>
    <t>AREA STUDIES</t>
  </si>
  <si>
    <t>HUMANITIES, MULTIDISCIPLINARY</t>
  </si>
  <si>
    <t>WATER RESOURCES</t>
  </si>
  <si>
    <t>FORESTRY</t>
  </si>
  <si>
    <t>DEN</t>
  </si>
  <si>
    <t>BEL</t>
  </si>
  <si>
    <t>CAN</t>
  </si>
  <si>
    <t>CHN</t>
  </si>
  <si>
    <t>CHE</t>
  </si>
  <si>
    <t>CHL</t>
  </si>
  <si>
    <t>DEU</t>
  </si>
  <si>
    <t>rank</t>
  </si>
  <si>
    <t>eco_bus</t>
  </si>
  <si>
    <t>score</t>
  </si>
  <si>
    <t>eco</t>
  </si>
  <si>
    <t>fin</t>
  </si>
  <si>
    <t>bus</t>
  </si>
  <si>
    <t>man</t>
  </si>
  <si>
    <t>HEC</t>
  </si>
  <si>
    <t>publisher</t>
  </si>
  <si>
    <t>wc2</t>
  </si>
  <si>
    <t>wc3</t>
  </si>
  <si>
    <t>wc1</t>
  </si>
  <si>
    <t>wc4</t>
  </si>
  <si>
    <t>wc5</t>
  </si>
  <si>
    <t>wc6</t>
  </si>
  <si>
    <t>ANNUAL REVIEWS</t>
  </si>
  <si>
    <t>OXFORD UNIV PRESS INC</t>
  </si>
  <si>
    <t>ACAD MANAGEMENT</t>
  </si>
  <si>
    <t>AMER ECONOMIC ASSOC</t>
  </si>
  <si>
    <t>SAGE PUBLICATIONS</t>
  </si>
  <si>
    <t>UNIV CHICAGO PRESS</t>
  </si>
  <si>
    <t>WILEY</t>
  </si>
  <si>
    <t>OXFORD UNIV PRESS</t>
  </si>
  <si>
    <t>ELSEVIER</t>
  </si>
  <si>
    <t>SPRINGER</t>
  </si>
  <si>
    <t>PALGRAVE MACMILLAN LTD</t>
  </si>
  <si>
    <t>JOHNS HOPKINS UNIV PRESS</t>
  </si>
  <si>
    <t>INFORMS</t>
  </si>
  <si>
    <t>AMER ACCOUNTING ASSOC</t>
  </si>
  <si>
    <t>MIT PRESS</t>
  </si>
  <si>
    <t>NATL ACAD SCIENCES</t>
  </si>
  <si>
    <t>CAMBRIDGE UNIV PRESS</t>
  </si>
  <si>
    <t>EMERALD GROUP PUBLISHING LTD</t>
  </si>
  <si>
    <t>TAYLOR &amp; FRANCIS LTD</t>
  </si>
  <si>
    <t>UNIV WISCONSIN PRESS</t>
  </si>
  <si>
    <t>ECONOMETRIC SOCIETY</t>
  </si>
  <si>
    <t>HARVARD BUSINESS SCHOOL PUBLISHING CORPORATION</t>
  </si>
  <si>
    <t>CALIFORNIA STATE UNIV</t>
  </si>
  <si>
    <t>ASSOC INTERNATIONAL JOURNAL CENTRAL BANKING</t>
  </si>
  <si>
    <t>INDIANA UNIV, OPER &amp; DECISION TECHNOL DEPT</t>
  </si>
  <si>
    <t>IEEE-INST ELECTRICAL ELECTRONICS ENGINEERS INC</t>
  </si>
  <si>
    <t>SLOAN MANAGEMENT REVIEW ASSOC, MIT SLOAN SCHOOL MANAGEMENT</t>
  </si>
  <si>
    <t>PAGEANT MEDIA LTD</t>
  </si>
  <si>
    <t>ADIS INT LTD</t>
  </si>
  <si>
    <t>INCISIVE MEDIA</t>
  </si>
  <si>
    <t>WALTER DE GRUYTER GMBH</t>
  </si>
  <si>
    <t>INDERSCIENCE ENTERPRISES LTD</t>
  </si>
  <si>
    <t>FEDERAL RESERVE BANK ST LOUIS</t>
  </si>
  <si>
    <t>FIT PUBLISHING</t>
  </si>
  <si>
    <t>UNIV TOMASE BATI &amp; ZLINE, FAK MANAGEMENTU EKONOMIKY</t>
  </si>
  <si>
    <t>WORLD SCIENTIFIC PUBL CO PTE LTD</t>
  </si>
  <si>
    <t>MDPI</t>
  </si>
  <si>
    <t>SIAM PUBLICATIONS</t>
  </si>
  <si>
    <t>PHYSICA-VERLAG GMBH &amp; CO</t>
  </si>
  <si>
    <t>ASSOC FRANCOPHONE COMPTABILITE-AFC</t>
  </si>
  <si>
    <t>UNIV MURCIA</t>
  </si>
  <si>
    <t>VILNIUS GEDIMINAS TECH UNIV</t>
  </si>
  <si>
    <t>J C B MOHR</t>
  </si>
  <si>
    <t>INST BADAN GOSPODARCZYCH</t>
  </si>
  <si>
    <t>INVESTMENT ANALYSTS SOC SOUTHERN AFRICA</t>
  </si>
  <si>
    <t>WESTERN AGRICULTURAL ECONOMICS ASSOC</t>
  </si>
  <si>
    <t>ECOLE DES HAUTES ETUDES COMMERCIALES DE MONTREAL</t>
  </si>
  <si>
    <t>OPEN LIBRARY HUMANITIES</t>
  </si>
  <si>
    <t>IACM-NCMR-INT ASSOC CONFLICT MANAGEMENT</t>
  </si>
  <si>
    <t>BMC</t>
  </si>
  <si>
    <t>AOSIS</t>
  </si>
  <si>
    <t>INST SPONTANEOUS ORDER ECONOMICS</t>
  </si>
  <si>
    <t>EDWARD ELGAR PUBLISHING LTD</t>
  </si>
  <si>
    <t>EDITIONS DALLOZ</t>
  </si>
  <si>
    <t>UNIV BATH</t>
  </si>
  <si>
    <t>KAUNAS UNIV TECHNOL</t>
  </si>
  <si>
    <t>MOHR SIEBECK</t>
  </si>
  <si>
    <t>FUND ESCOLA COMERCIO ALVARES PENTEADO-FECAP</t>
  </si>
  <si>
    <t>ECONOMIC &amp; SOCIAL STUDIES</t>
  </si>
  <si>
    <t>WUHAN UNIV JOURNALS PRESS</t>
  </si>
  <si>
    <t>CHARLES UNIV-PRAGUE</t>
  </si>
  <si>
    <t>CZECH ACADEMY AGRICULTURAL SCIENCES</t>
  </si>
  <si>
    <t>AUSTRALIAN POLITICAL ECONOMY MOVEMENT</t>
  </si>
  <si>
    <t>EDITURA ASE</t>
  </si>
  <si>
    <t>NOW PUBLISHERS INC</t>
  </si>
  <si>
    <t>TECHNICAL UNIV LIBEREC</t>
  </si>
  <si>
    <t>UNIV CHILE DEPT ECONOMICS</t>
  </si>
  <si>
    <t>Prague Univ Economics and Business</t>
  </si>
  <si>
    <t>INST ECONOMIC FORECASTING</t>
  </si>
  <si>
    <t>DUKE UNIV PRESS</t>
  </si>
  <si>
    <t>FUNDACAO GETULIO VARGAS</t>
  </si>
  <si>
    <t>AKADEMIAI KIADO ZRT</t>
  </si>
  <si>
    <t>WROCLAW UNIV ECONOMICS</t>
  </si>
  <si>
    <t>CENTRO INVESTIGACION &amp; DOCENCIA ECONOMICAS-CIDE</t>
  </si>
  <si>
    <t>KLUWER LAW INT</t>
  </si>
  <si>
    <t>IMR PRESS</t>
  </si>
  <si>
    <t>VILNIUS UNIV PRESS</t>
  </si>
  <si>
    <t>KOREA TRADE RESEARCH ASSOC</t>
  </si>
  <si>
    <t>KOREAN ECONOMIC ASSOCIATION</t>
  </si>
  <si>
    <t>UNIV HUELVA, SERV PUBLICACIONES</t>
  </si>
  <si>
    <t>DE GRUYTER POLAND SP Z O O</t>
  </si>
  <si>
    <t>INDEPENDENT INST</t>
  </si>
  <si>
    <t>INST ESTUDIOS FISCALES</t>
  </si>
  <si>
    <t>HITOTSUBASHI UNIV</t>
  </si>
  <si>
    <t>UNIV NACIONAL AUTONOMA MEXICO, FAC ECONOMIA</t>
  </si>
  <si>
    <t>SAVEZ EKONOMISTA VOJVODINE</t>
  </si>
  <si>
    <t>INST ECONOMICS RESEARCH SAS &amp; INST FORECASTING CSPS SAS</t>
  </si>
  <si>
    <t>FONDO CULTURA ECONOMICA</t>
  </si>
  <si>
    <t>FABRIZIO SERRA EDITORE</t>
  </si>
  <si>
    <t>COMISION ECONOMICA PARA AMERICA LATINA Y EL CARIBE</t>
  </si>
  <si>
    <t>UNIV FED RURAL PERNAMBUCO, DEPT ADMINISTRACAO</t>
  </si>
  <si>
    <t>PRESSES UNIV FRANCE</t>
  </si>
  <si>
    <t>MILITARY OPERATIONS RESEARCH SOC</t>
  </si>
  <si>
    <t>VERLAG NEUE WIRTSCHAFTS-BRIEFE</t>
  </si>
  <si>
    <t>ebscore</t>
  </si>
  <si>
    <t>ebrank</t>
  </si>
  <si>
    <t>escore</t>
  </si>
  <si>
    <t>erank</t>
  </si>
  <si>
    <t>bscore</t>
  </si>
  <si>
    <t>brank</t>
  </si>
  <si>
    <t>mscore</t>
  </si>
  <si>
    <t>mrank</t>
  </si>
  <si>
    <t>fscore</t>
  </si>
  <si>
    <t>frank</t>
  </si>
  <si>
    <t>pc1</t>
  </si>
  <si>
    <t>pc2</t>
  </si>
  <si>
    <t>ranks</t>
  </si>
  <si>
    <t>for plot</t>
  </si>
  <si>
    <t>UK</t>
  </si>
  <si>
    <t>VTN</t>
  </si>
  <si>
    <t>UAE</t>
  </si>
  <si>
    <t>TUR</t>
  </si>
  <si>
    <t>TUN</t>
  </si>
  <si>
    <t>TWN</t>
  </si>
  <si>
    <t>SWE</t>
  </si>
  <si>
    <t>KOREA</t>
  </si>
  <si>
    <t>ZAF</t>
  </si>
  <si>
    <t>SLK</t>
  </si>
  <si>
    <t>SGP</t>
  </si>
  <si>
    <t>SAU</t>
  </si>
  <si>
    <t>RUS</t>
  </si>
  <si>
    <t>ROM</t>
  </si>
  <si>
    <t>QAT</t>
  </si>
  <si>
    <t>PRT</t>
  </si>
  <si>
    <t>POL</t>
  </si>
  <si>
    <t>PAK</t>
  </si>
  <si>
    <t>NOR</t>
  </si>
  <si>
    <t>NZE</t>
  </si>
  <si>
    <t>NED</t>
  </si>
  <si>
    <t>MEX</t>
  </si>
  <si>
    <t>MLY</t>
  </si>
  <si>
    <t>LUX</t>
  </si>
  <si>
    <t>LIT</t>
  </si>
  <si>
    <t>JAP</t>
  </si>
  <si>
    <t>ITA</t>
  </si>
  <si>
    <t>ISR</t>
  </si>
  <si>
    <t>IRL</t>
  </si>
  <si>
    <t>HUN</t>
  </si>
  <si>
    <t>HKG</t>
  </si>
  <si>
    <t>GRE</t>
  </si>
  <si>
    <t>FRA</t>
  </si>
  <si>
    <t>FIN</t>
  </si>
  <si>
    <t>EST</t>
  </si>
  <si>
    <t>CZE</t>
  </si>
  <si>
    <t>CRO</t>
  </si>
  <si>
    <t>COL</t>
  </si>
  <si>
    <t>BRA</t>
  </si>
  <si>
    <t>AUS</t>
  </si>
  <si>
    <t>AUT</t>
  </si>
  <si>
    <t>id</t>
  </si>
  <si>
    <t>First Component, pc1: associated with all four categories (comprehensive institutions perform better)</t>
  </si>
  <si>
    <t>Second Component: North (Economics and Finance), South (Business and Management)</t>
  </si>
  <si>
    <t>For comparisons, place two countries in Y1 and Y2</t>
  </si>
  <si>
    <t>For a country alone, leave Y2 blank</t>
  </si>
  <si>
    <t>88% of the variance explained</t>
  </si>
  <si>
    <t>CEPR</t>
  </si>
  <si>
    <t>LBS</t>
  </si>
  <si>
    <t>UCSB</t>
  </si>
  <si>
    <t>Chicago</t>
  </si>
  <si>
    <t>Pennsylvania</t>
  </si>
  <si>
    <t>Michigan</t>
  </si>
  <si>
    <t>Zurich</t>
  </si>
  <si>
    <t>Utah</t>
  </si>
  <si>
    <t>Notre Dame</t>
  </si>
  <si>
    <t>Geneva</t>
  </si>
  <si>
    <t>Virginia</t>
  </si>
  <si>
    <t>Cincinnati</t>
  </si>
  <si>
    <t>Pittsburgh</t>
  </si>
  <si>
    <t>Oregon</t>
  </si>
  <si>
    <t>Toronto</t>
  </si>
  <si>
    <t>Bonn</t>
  </si>
  <si>
    <t>Bergen</t>
  </si>
  <si>
    <t>Miami</t>
  </si>
  <si>
    <t>Warwick</t>
  </si>
  <si>
    <t>Delaware</t>
  </si>
  <si>
    <t>Texas Dallas</t>
  </si>
  <si>
    <t>Colorado Denver</t>
  </si>
  <si>
    <t>Navarra</t>
  </si>
  <si>
    <t>Lausanne</t>
  </si>
  <si>
    <t>Arizona</t>
  </si>
  <si>
    <t>Alberta</t>
  </si>
  <si>
    <t>Oslo</t>
  </si>
  <si>
    <t>Oxford</t>
  </si>
  <si>
    <t>Victoria</t>
  </si>
  <si>
    <t>Calgary</t>
  </si>
  <si>
    <t>Iowa</t>
  </si>
  <si>
    <t>Connecticut</t>
  </si>
  <si>
    <t>Georgia</t>
  </si>
  <si>
    <t>St Gallen</t>
  </si>
  <si>
    <t>Copenhagen</t>
  </si>
  <si>
    <t>Munich</t>
  </si>
  <si>
    <t>Nebraska Lincoln</t>
  </si>
  <si>
    <t>Mannheim</t>
  </si>
  <si>
    <t>Cambridge</t>
  </si>
  <si>
    <t>Florida</t>
  </si>
  <si>
    <t>Liverpool</t>
  </si>
  <si>
    <t>Hebrew Jerusalem</t>
  </si>
  <si>
    <t>Melbourne</t>
  </si>
  <si>
    <t>Polytechnic Milan</t>
  </si>
  <si>
    <t>Kentucky</t>
  </si>
  <si>
    <t>Edinburgh</t>
  </si>
  <si>
    <t>Ottawa</t>
  </si>
  <si>
    <t>Hong Kong</t>
  </si>
  <si>
    <t>Verona</t>
  </si>
  <si>
    <t>Bath</t>
  </si>
  <si>
    <t>Chalmers Technology</t>
  </si>
  <si>
    <t>Amsterdam</t>
  </si>
  <si>
    <t>Technical Munich</t>
  </si>
  <si>
    <t>Vaasa</t>
  </si>
  <si>
    <t>Missouri Columbia</t>
  </si>
  <si>
    <t>St Andrews</t>
  </si>
  <si>
    <t>Surrey</t>
  </si>
  <si>
    <t>Aberdeen</t>
  </si>
  <si>
    <t>Manitoba</t>
  </si>
  <si>
    <t>Turku</t>
  </si>
  <si>
    <t>Auckland</t>
  </si>
  <si>
    <t>Exeter</t>
  </si>
  <si>
    <t>Hamburg</t>
  </si>
  <si>
    <t>Sussex</t>
  </si>
  <si>
    <t>South Florida</t>
  </si>
  <si>
    <t>City Hong Kong</t>
  </si>
  <si>
    <t>Memphis</t>
  </si>
  <si>
    <t>Birmingham</t>
  </si>
  <si>
    <t>Central Florida</t>
  </si>
  <si>
    <t>Bern</t>
  </si>
  <si>
    <t>Innsbruck</t>
  </si>
  <si>
    <t>Queensland</t>
  </si>
  <si>
    <t>Cologne</t>
  </si>
  <si>
    <t>Leeds</t>
  </si>
  <si>
    <t>Free Berlin</t>
  </si>
  <si>
    <t>Manchester</t>
  </si>
  <si>
    <t>Essex</t>
  </si>
  <si>
    <t>Houston</t>
  </si>
  <si>
    <t>Kent</t>
  </si>
  <si>
    <t>Munster</t>
  </si>
  <si>
    <t>Bergamo</t>
  </si>
  <si>
    <t>Bristol</t>
  </si>
  <si>
    <t>Reading</t>
  </si>
  <si>
    <t>Vienna</t>
  </si>
  <si>
    <t>Antwerp</t>
  </si>
  <si>
    <t>Nottingham</t>
  </si>
  <si>
    <t>Sydney</t>
  </si>
  <si>
    <t>Strathclyde</t>
  </si>
  <si>
    <t>Turin</t>
  </si>
  <si>
    <t>Kansas</t>
  </si>
  <si>
    <t>Bologna</t>
  </si>
  <si>
    <t>Bayreuth</t>
  </si>
  <si>
    <t>Duisburg Essen</t>
  </si>
  <si>
    <t>Groningen</t>
  </si>
  <si>
    <t>South Australia</t>
  </si>
  <si>
    <t>Southern Denmark</t>
  </si>
  <si>
    <t>Padua</t>
  </si>
  <si>
    <t>Basque Country</t>
  </si>
  <si>
    <t>Southampton</t>
  </si>
  <si>
    <t>Palermo</t>
  </si>
  <si>
    <t>Glasgow</t>
  </si>
  <si>
    <t>Newcastle</t>
  </si>
  <si>
    <t>Twente</t>
  </si>
  <si>
    <t>Renmin China</t>
  </si>
  <si>
    <t>Mississippi</t>
  </si>
  <si>
    <t>Waikato</t>
  </si>
  <si>
    <t>Graz</t>
  </si>
  <si>
    <t>Canterbury</t>
  </si>
  <si>
    <t>Leicester</t>
  </si>
  <si>
    <t>Florence</t>
  </si>
  <si>
    <t>Cape Town</t>
  </si>
  <si>
    <t>Otago</t>
  </si>
  <si>
    <t>Derby</t>
  </si>
  <si>
    <t>Gothenburg</t>
  </si>
  <si>
    <t>Granada</t>
  </si>
  <si>
    <t>Wyoming</t>
  </si>
  <si>
    <t>Salamanca</t>
  </si>
  <si>
    <t>Zagreb</t>
  </si>
  <si>
    <t>Waterloo</t>
  </si>
  <si>
    <t>Gottingen</t>
  </si>
  <si>
    <t>Sheffield</t>
  </si>
  <si>
    <t>Adelaide</t>
  </si>
  <si>
    <t>Helsinki</t>
  </si>
  <si>
    <t>Portsmouth</t>
  </si>
  <si>
    <t>West England</t>
  </si>
  <si>
    <t>Wollongong</t>
  </si>
  <si>
    <t>Zaragoza</t>
  </si>
  <si>
    <t>Valencia</t>
  </si>
  <si>
    <t>York - UK</t>
  </si>
  <si>
    <t>Barcelona</t>
  </si>
  <si>
    <t>Macau</t>
  </si>
  <si>
    <t>Salento</t>
  </si>
  <si>
    <t>Konstanz</t>
  </si>
  <si>
    <t>Stirling</t>
  </si>
  <si>
    <t>Kiel</t>
  </si>
  <si>
    <t>Luxembourg</t>
  </si>
  <si>
    <t>Western Australia</t>
  </si>
  <si>
    <t>Tallinn Technology</t>
  </si>
  <si>
    <t>Huddersfield</t>
  </si>
  <si>
    <t>East Anglia</t>
  </si>
  <si>
    <t>Warsaw</t>
  </si>
  <si>
    <t>Milan</t>
  </si>
  <si>
    <t>Pisa</t>
  </si>
  <si>
    <t>Sevilla</t>
  </si>
  <si>
    <t>Hang Seng Hong Kong</t>
  </si>
  <si>
    <t>Salerno</t>
  </si>
  <si>
    <t>American Sharjah</t>
  </si>
  <si>
    <t>Johannesburg</t>
  </si>
  <si>
    <t>Haifa</t>
  </si>
  <si>
    <t>Quebec Montreal</t>
  </si>
  <si>
    <t>Tokyo</t>
  </si>
  <si>
    <t>Siena</t>
  </si>
  <si>
    <t>Tasmania</t>
  </si>
  <si>
    <t>Pretoria</t>
  </si>
  <si>
    <t>Hefei Technology</t>
  </si>
  <si>
    <t>Milano-Bicocca</t>
  </si>
  <si>
    <t>Murcia</t>
  </si>
  <si>
    <t>Trento</t>
  </si>
  <si>
    <t>Witwatersrand</t>
  </si>
  <si>
    <t>Guelph</t>
  </si>
  <si>
    <t>Tehran</t>
  </si>
  <si>
    <t>Dalian Technology</t>
  </si>
  <si>
    <t>Bielefeld</t>
  </si>
  <si>
    <t>Piraeus</t>
  </si>
  <si>
    <t>Belgrade</t>
  </si>
  <si>
    <t>Novi Sad</t>
  </si>
  <si>
    <t>Princeton</t>
  </si>
  <si>
    <t>Stanford</t>
  </si>
  <si>
    <t>Yale</t>
  </si>
  <si>
    <t>Harvard</t>
  </si>
  <si>
    <t>Boston</t>
  </si>
  <si>
    <t>Northwestern</t>
  </si>
  <si>
    <t>Pompeu Fabra</t>
  </si>
  <si>
    <t>Columbia</t>
  </si>
  <si>
    <t>New York</t>
  </si>
  <si>
    <t>Rice</t>
  </si>
  <si>
    <t>Bocconi</t>
  </si>
  <si>
    <t>Emory</t>
  </si>
  <si>
    <t>Duke</t>
  </si>
  <si>
    <t>Texas Christian</t>
  </si>
  <si>
    <t>Northeastern</t>
  </si>
  <si>
    <t>Baylor</t>
  </si>
  <si>
    <t>Johns Hopkins</t>
  </si>
  <si>
    <t>McGill</t>
  </si>
  <si>
    <t>Cornell</t>
  </si>
  <si>
    <t>Brigham Young</t>
  </si>
  <si>
    <t>York - Canada</t>
  </si>
  <si>
    <t>Drexel</t>
  </si>
  <si>
    <t>Ohio State</t>
  </si>
  <si>
    <t>Lund</t>
  </si>
  <si>
    <t>Vanderbilt</t>
  </si>
  <si>
    <t>Georgetown</t>
  </si>
  <si>
    <t>McMaster</t>
  </si>
  <si>
    <t>Stockholm</t>
  </si>
  <si>
    <t>Tulane</t>
  </si>
  <si>
    <t>Lehigh</t>
  </si>
  <si>
    <t>Queens - Canada</t>
  </si>
  <si>
    <t>Tel Aviv</t>
  </si>
  <si>
    <t>George Washington</t>
  </si>
  <si>
    <t>Aalto</t>
  </si>
  <si>
    <t>Clemson</t>
  </si>
  <si>
    <t>Michigan State</t>
  </si>
  <si>
    <t>Jonkoping</t>
  </si>
  <si>
    <t>Luiss Guido Carli</t>
  </si>
  <si>
    <t>Tilburg</t>
  </si>
  <si>
    <t>George Mason</t>
  </si>
  <si>
    <t>Temple</t>
  </si>
  <si>
    <t>Florida State</t>
  </si>
  <si>
    <t>Iowa State</t>
  </si>
  <si>
    <t>Oregon State</t>
  </si>
  <si>
    <t>Tampere</t>
  </si>
  <si>
    <t>Georgia State</t>
  </si>
  <si>
    <t>Syracuse</t>
  </si>
  <si>
    <t>Villanova</t>
  </si>
  <si>
    <t>Chapman</t>
  </si>
  <si>
    <t>Hitotsubashi</t>
  </si>
  <si>
    <t>Lancaster</t>
  </si>
  <si>
    <t>Auburn</t>
  </si>
  <si>
    <t>Florida Atlantic</t>
  </si>
  <si>
    <t>Ghent</t>
  </si>
  <si>
    <t>Carleton</t>
  </si>
  <si>
    <t>San Diego State</t>
  </si>
  <si>
    <t>Stellenbosch</t>
  </si>
  <si>
    <t>Uppsala</t>
  </si>
  <si>
    <t>Washington State</t>
  </si>
  <si>
    <t>American</t>
  </si>
  <si>
    <t>Utah State</t>
  </si>
  <si>
    <t>Charles Prague</t>
  </si>
  <si>
    <t>Maastricht</t>
  </si>
  <si>
    <t>Bentley</t>
  </si>
  <si>
    <t>Monash</t>
  </si>
  <si>
    <t>Purdue</t>
  </si>
  <si>
    <t>Fudan</t>
  </si>
  <si>
    <t>Aston</t>
  </si>
  <si>
    <t>Louisiana State</t>
  </si>
  <si>
    <t>RWTH Aachen</t>
  </si>
  <si>
    <t>Aarhus</t>
  </si>
  <si>
    <t>Durham</t>
  </si>
  <si>
    <t>Solent</t>
  </si>
  <si>
    <t>Dublin City</t>
  </si>
  <si>
    <t>Simon Fraser</t>
  </si>
  <si>
    <t>Tsinghua</t>
  </si>
  <si>
    <t>Wilfrid Laurier</t>
  </si>
  <si>
    <t>Fordham</t>
  </si>
  <si>
    <t>Radboud Nijmegen</t>
  </si>
  <si>
    <t>Colorado State</t>
  </si>
  <si>
    <t>Loughborough</t>
  </si>
  <si>
    <t>Tongji</t>
  </si>
  <si>
    <t>Cranfield</t>
  </si>
  <si>
    <t>Marquette</t>
  </si>
  <si>
    <t>Linkoping</t>
  </si>
  <si>
    <t>Laval</t>
  </si>
  <si>
    <t>Swansea</t>
  </si>
  <si>
    <t>Nanjing</t>
  </si>
  <si>
    <t>Open - UK</t>
  </si>
  <si>
    <t>Peking</t>
  </si>
  <si>
    <t>Middlesex</t>
  </si>
  <si>
    <t>Nottingham Trent</t>
  </si>
  <si>
    <t>Deakin</t>
  </si>
  <si>
    <t>Mississippi State</t>
  </si>
  <si>
    <t>Cardiff</t>
  </si>
  <si>
    <t>Victoria Wellington</t>
  </si>
  <si>
    <t>Griffith</t>
  </si>
  <si>
    <t>Newcastle - UK</t>
  </si>
  <si>
    <t>Parthenope Naples</t>
  </si>
  <si>
    <t>Macquarie</t>
  </si>
  <si>
    <t>Southern Illinois</t>
  </si>
  <si>
    <t>Yonsei</t>
  </si>
  <si>
    <t>Shanghai Jiao Tong</t>
  </si>
  <si>
    <t>Utrecht</t>
  </si>
  <si>
    <t>West Virginia</t>
  </si>
  <si>
    <t>Beijing Jiaotong</t>
  </si>
  <si>
    <t>Illinois State</t>
  </si>
  <si>
    <t>Aalborg</t>
  </si>
  <si>
    <t>Kozminski</t>
  </si>
  <si>
    <t>Nankai</t>
  </si>
  <si>
    <t>Northumbria</t>
  </si>
  <si>
    <t>Queens Belfast</t>
  </si>
  <si>
    <t>Zhejiang</t>
  </si>
  <si>
    <t>Brock</t>
  </si>
  <si>
    <t>Curtin</t>
  </si>
  <si>
    <t>Zayed</t>
  </si>
  <si>
    <t>Central South</t>
  </si>
  <si>
    <t>Texas Tech</t>
  </si>
  <si>
    <t>Xiamen</t>
  </si>
  <si>
    <t>Brunel</t>
  </si>
  <si>
    <t>Massey</t>
  </si>
  <si>
    <t>Osaka</t>
  </si>
  <si>
    <t>South Ural State</t>
  </si>
  <si>
    <t>Sun Yat Sen</t>
  </si>
  <si>
    <t>Beijing Normal</t>
  </si>
  <si>
    <t>Old Dominion</t>
  </si>
  <si>
    <t>Shandong</t>
  </si>
  <si>
    <t>Edith Cowan</t>
  </si>
  <si>
    <t>Hanyang</t>
  </si>
  <si>
    <t>Waseda</t>
  </si>
  <si>
    <t>Jinan</t>
  </si>
  <si>
    <t>King Abdulaziz</t>
  </si>
  <si>
    <t>La Trobe</t>
  </si>
  <si>
    <t>Wuhan</t>
  </si>
  <si>
    <t>Xi'an Jiaotong</t>
  </si>
  <si>
    <t>Shanghai</t>
  </si>
  <si>
    <t>Coventry</t>
  </si>
  <si>
    <t>Qatar</t>
  </si>
  <si>
    <t>Kansas State</t>
  </si>
  <si>
    <t>Sichuan</t>
  </si>
  <si>
    <t>Ben Gurion</t>
  </si>
  <si>
    <t>Northeastern - China</t>
  </si>
  <si>
    <t>Southwest Jiaotong</t>
  </si>
  <si>
    <t>Heriot Watt</t>
  </si>
  <si>
    <t>Shenzhen</t>
  </si>
  <si>
    <t>Hunan</t>
  </si>
  <si>
    <t>Nanjing Audit</t>
  </si>
  <si>
    <t>Sapienza Rome</t>
  </si>
  <si>
    <t>Kyung Hee</t>
  </si>
  <si>
    <t>Beihang</t>
  </si>
  <si>
    <t>Korea</t>
  </si>
  <si>
    <t>Kyoto</t>
  </si>
  <si>
    <t>Tianjin</t>
  </si>
  <si>
    <t>Chongqing</t>
  </si>
  <si>
    <t>Nanchang</t>
  </si>
  <si>
    <t>Zhejiang Gongshang</t>
  </si>
  <si>
    <t>Roma Tre</t>
  </si>
  <si>
    <t>Southeast - China</t>
  </si>
  <si>
    <t>China Agricultural</t>
  </si>
  <si>
    <t>Ming Chuan</t>
  </si>
  <si>
    <t>Pusan National</t>
  </si>
  <si>
    <t>Jilin</t>
  </si>
  <si>
    <t>Corvinus Budapest</t>
  </si>
  <si>
    <t>Ton Duc Thang</t>
  </si>
  <si>
    <t>Chung Ang</t>
  </si>
  <si>
    <t>Keio</t>
  </si>
  <si>
    <t>Tamkang</t>
  </si>
  <si>
    <t>Kobe</t>
  </si>
  <si>
    <t>Islamic Azad</t>
  </si>
  <si>
    <t>Feng Chia</t>
  </si>
  <si>
    <t>MIT</t>
  </si>
  <si>
    <t>NBER</t>
  </si>
  <si>
    <t>UCB</t>
  </si>
  <si>
    <t>CEPRUK</t>
  </si>
  <si>
    <t>UCLA</t>
  </si>
  <si>
    <t>INSEAD</t>
  </si>
  <si>
    <t>SFI</t>
  </si>
  <si>
    <t>WUSTL</t>
  </si>
  <si>
    <t>UCSD</t>
  </si>
  <si>
    <t>Dartmouth</t>
  </si>
  <si>
    <t>ICL</t>
  </si>
  <si>
    <t>Austin</t>
  </si>
  <si>
    <t>Bank England</t>
  </si>
  <si>
    <t>IPP</t>
  </si>
  <si>
    <t>Maryland</t>
  </si>
  <si>
    <t>UCD</t>
  </si>
  <si>
    <t>Washington</t>
  </si>
  <si>
    <t>UCI</t>
  </si>
  <si>
    <t>UBC</t>
  </si>
  <si>
    <t>UNC</t>
  </si>
  <si>
    <t>FED</t>
  </si>
  <si>
    <t>LSE</t>
  </si>
  <si>
    <t>Babson C</t>
  </si>
  <si>
    <t>Boston C</t>
  </si>
  <si>
    <t>USC</t>
  </si>
  <si>
    <t>Boulder</t>
  </si>
  <si>
    <t>Minnesota</t>
  </si>
  <si>
    <t>Madison</t>
  </si>
  <si>
    <t>C Mellon</t>
  </si>
  <si>
    <t>EDHEC</t>
  </si>
  <si>
    <t>GATECH</t>
  </si>
  <si>
    <t>Illinois Ch</t>
  </si>
  <si>
    <t>HKST</t>
  </si>
  <si>
    <t>BIN</t>
  </si>
  <si>
    <t>Bloomington</t>
  </si>
  <si>
    <t>IZA</t>
  </si>
  <si>
    <t>Newark</t>
  </si>
  <si>
    <t>Bank Canada</t>
  </si>
  <si>
    <t>UCLOUVAIN</t>
  </si>
  <si>
    <t>UCL</t>
  </si>
  <si>
    <t>COLL STATION</t>
  </si>
  <si>
    <t>TEMPE</t>
  </si>
  <si>
    <t>NHH</t>
  </si>
  <si>
    <t>Singapore Man</t>
  </si>
  <si>
    <t>PUCC</t>
  </si>
  <si>
    <t>Queen Mary L</t>
  </si>
  <si>
    <t>Copenhagen BS</t>
  </si>
  <si>
    <t>ESSEC BS</t>
  </si>
  <si>
    <t>ESCP BS</t>
  </si>
  <si>
    <t>emlyon BS</t>
  </si>
  <si>
    <t>SKEMA BS</t>
  </si>
  <si>
    <t>NEOMA BS</t>
  </si>
  <si>
    <t>Montpellier BS</t>
  </si>
  <si>
    <t>Kedge BS</t>
  </si>
  <si>
    <t>IPAG BS</t>
  </si>
  <si>
    <t>Western Ontario</t>
  </si>
  <si>
    <t>Paris S Econ</t>
  </si>
  <si>
    <t>Leuphana</t>
  </si>
  <si>
    <t>Urbana-Champaign</t>
  </si>
  <si>
    <t>Toulouse 1</t>
  </si>
  <si>
    <t>Stockholm S Econ</t>
  </si>
  <si>
    <t>Penn State</t>
  </si>
  <si>
    <t>China EI BS</t>
  </si>
  <si>
    <t>Claremont Coll</t>
  </si>
  <si>
    <t>IE Univ</t>
  </si>
  <si>
    <t>IMF</t>
  </si>
  <si>
    <t>LUT</t>
  </si>
  <si>
    <t>UCATPRT</t>
  </si>
  <si>
    <t>Ramon Llull</t>
  </si>
  <si>
    <t>WHU</t>
  </si>
  <si>
    <t>Bank Italy</t>
  </si>
  <si>
    <t>Hanken S Econ</t>
  </si>
  <si>
    <t>Warsaw S Econ</t>
  </si>
  <si>
    <t>Monterrey Tech</t>
  </si>
  <si>
    <t>Vrije Amsterdam</t>
  </si>
  <si>
    <t>Czech Acad Sci</t>
  </si>
  <si>
    <t>Chinese Acad Sci</t>
  </si>
  <si>
    <t>Montreal</t>
  </si>
  <si>
    <t>Baruch College</t>
  </si>
  <si>
    <t>Amherst</t>
  </si>
  <si>
    <t>Stillwater</t>
  </si>
  <si>
    <t>IESEG S Man</t>
  </si>
  <si>
    <t>Carlos III</t>
  </si>
  <si>
    <t>Kiel I World Econ</t>
  </si>
  <si>
    <t>Vienna Econ &amp; Bus</t>
  </si>
  <si>
    <t>Virginia Polytech</t>
  </si>
  <si>
    <t>KCL</t>
  </si>
  <si>
    <t>UNSW</t>
  </si>
  <si>
    <t>Tech Dresden</t>
  </si>
  <si>
    <t>Lahore Man Sci</t>
  </si>
  <si>
    <t>Concordia</t>
  </si>
  <si>
    <t>UC Dublin</t>
  </si>
  <si>
    <t>UTSA</t>
  </si>
  <si>
    <t>Frankfurt</t>
  </si>
  <si>
    <t>ANU</t>
  </si>
  <si>
    <t>Shanghai Fin &amp; Econ</t>
  </si>
  <si>
    <t>DIW Berlin</t>
  </si>
  <si>
    <t>QUT</t>
  </si>
  <si>
    <t>Naples</t>
  </si>
  <si>
    <t>Binghamton</t>
  </si>
  <si>
    <t>NTNU</t>
  </si>
  <si>
    <t>Hohenheim</t>
  </si>
  <si>
    <t>Karlsruhe Inst Tech</t>
  </si>
  <si>
    <t>Royal Inst Tech</t>
  </si>
  <si>
    <t>Harbin Inst Tech</t>
  </si>
  <si>
    <t>Beijing Inst Tech</t>
  </si>
  <si>
    <t>Andes</t>
  </si>
  <si>
    <t>Linz</t>
  </si>
  <si>
    <t>Chieti-Pescara</t>
  </si>
  <si>
    <t>Heidelberg</t>
  </si>
  <si>
    <t>RMIT</t>
  </si>
  <si>
    <t>Getulio Vargas F</t>
  </si>
  <si>
    <t>PSL</t>
  </si>
  <si>
    <t>Paris Saclay</t>
  </si>
  <si>
    <t>CNRS</t>
  </si>
  <si>
    <t>KAIST</t>
  </si>
  <si>
    <t>Ca Foscari</t>
  </si>
  <si>
    <t>Lyon 1</t>
  </si>
  <si>
    <t>ZEW</t>
  </si>
  <si>
    <t>Capital Econ &amp; Bus</t>
  </si>
  <si>
    <t>Poznan Econ &amp; Bus</t>
  </si>
  <si>
    <t>Athens Econ &amp; Bus</t>
  </si>
  <si>
    <t>Prague Econ &amp; Bus</t>
  </si>
  <si>
    <t>Southwestern Fin &amp; Econ</t>
  </si>
  <si>
    <t>Stavanger</t>
  </si>
  <si>
    <t>CSIC</t>
  </si>
  <si>
    <t>UNM</t>
  </si>
  <si>
    <t>SKKU</t>
  </si>
  <si>
    <t>Chile</t>
  </si>
  <si>
    <t>Castilla-La Mancha</t>
  </si>
  <si>
    <t>Malaga</t>
  </si>
  <si>
    <t>Rey Juan Carlos</t>
  </si>
  <si>
    <t>Jaume I</t>
  </si>
  <si>
    <t>OECD</t>
  </si>
  <si>
    <t>Porto</t>
  </si>
  <si>
    <t>Univ Int Bus &amp; Econ</t>
  </si>
  <si>
    <t>SNU</t>
  </si>
  <si>
    <t>Sacred Heart</t>
  </si>
  <si>
    <t>Central Fin &amp; Econ</t>
  </si>
  <si>
    <t>Huazhong Sci &amp; Tech</t>
  </si>
  <si>
    <t>East China Sci &amp; Tech</t>
  </si>
  <si>
    <t>Nanjing Sci &amp; Tech</t>
  </si>
  <si>
    <t>Rennes</t>
  </si>
  <si>
    <t>Aix-Marseille</t>
  </si>
  <si>
    <t>Bari</t>
  </si>
  <si>
    <t>Wageningen</t>
  </si>
  <si>
    <t>Hannover</t>
  </si>
  <si>
    <t>South China Tech</t>
  </si>
  <si>
    <t>Lille</t>
  </si>
  <si>
    <t>Lorraine</t>
  </si>
  <si>
    <t>COMSATS</t>
  </si>
  <si>
    <t>Delft</t>
  </si>
  <si>
    <t>Dongbei Fin &amp; Econ</t>
  </si>
  <si>
    <t>Jiangxi Fin &amp; Econ</t>
  </si>
  <si>
    <t>Zhejiang Fin &amp; Econ</t>
  </si>
  <si>
    <t>Guangdong Fin &amp; Econ</t>
  </si>
  <si>
    <t>Nanjing Fin &amp; Econ</t>
  </si>
  <si>
    <t>HSE</t>
  </si>
  <si>
    <t>Minho</t>
  </si>
  <si>
    <t>Beira Interior</t>
  </si>
  <si>
    <t>Malaya</t>
  </si>
  <si>
    <t>Putra Malaysia</t>
  </si>
  <si>
    <t>Zhongnan Econ &amp; Law</t>
  </si>
  <si>
    <t>Academia Sinica</t>
  </si>
  <si>
    <t>Lisboa</t>
  </si>
  <si>
    <t>Sao Paulo</t>
  </si>
  <si>
    <t>Shanghai Lixin Acc &amp; Fin</t>
  </si>
  <si>
    <t>Econ Bratislava</t>
  </si>
  <si>
    <t>Vigo</t>
  </si>
  <si>
    <t>URFGS</t>
  </si>
  <si>
    <t>Bucharest Econ Stu</t>
  </si>
  <si>
    <t>Vilnius Ged Tech</t>
  </si>
  <si>
    <t>NorthEast Direction signals excellence</t>
  </si>
  <si>
    <t>To compare, move an imaginary NW to SE line: better to be on the right of that line</t>
  </si>
  <si>
    <t>For Australia</t>
  </si>
  <si>
    <t>Cluster 1: Best performers</t>
  </si>
  <si>
    <t>Adelaide, ANU, Melbourne</t>
  </si>
  <si>
    <t>Cluster 2: Fast followers</t>
  </si>
  <si>
    <t>UTAS,Western Aus, La Trobe, Wollongong, Maquarie, RMIT, Deakin, UTS, Sifney, Queensland</t>
  </si>
  <si>
    <t>Edith Cowan, South Australia</t>
  </si>
  <si>
    <t>Cluster 3: Followers</t>
  </si>
  <si>
    <t>Cluster 4: Laggers</t>
  </si>
  <si>
    <t>Curtin, Griffith, QUT, Newcastle, Swinburne</t>
  </si>
  <si>
    <t>Montpellier</t>
  </si>
  <si>
    <t>RhoIsland</t>
  </si>
  <si>
    <t>Nova Lisboa</t>
  </si>
  <si>
    <t>Montfort</t>
  </si>
  <si>
    <t>Libre Bruxelles</t>
  </si>
  <si>
    <t>Pablo Olavide</t>
  </si>
  <si>
    <t>Strasbourg</t>
  </si>
  <si>
    <t>UniversidaCoimbra</t>
  </si>
  <si>
    <t>Sfax</t>
  </si>
  <si>
    <t>Swinburne</t>
  </si>
  <si>
    <t>Not Ning China</t>
  </si>
  <si>
    <t>Northwestern Polyt</t>
  </si>
  <si>
    <t>Milwaukee</t>
  </si>
  <si>
    <t>Las Vegas</t>
  </si>
  <si>
    <t>Albany</t>
  </si>
  <si>
    <t>Toronto Metro</t>
  </si>
  <si>
    <t>NTexas Denton</t>
  </si>
  <si>
    <t>Ho Chi Minh City Econ</t>
  </si>
  <si>
    <t>Xi'an J-Liverpool</t>
  </si>
  <si>
    <t>Manchester Metro</t>
  </si>
  <si>
    <t>Natnl Chengchi</t>
  </si>
  <si>
    <t>Compostela</t>
  </si>
  <si>
    <t>Polit Valencia</t>
  </si>
  <si>
    <t>Auton Barcelona</t>
  </si>
  <si>
    <t>Auton Madrid</t>
  </si>
  <si>
    <t>Guangdong F S</t>
  </si>
  <si>
    <t>Complutense</t>
  </si>
  <si>
    <t>P Navarra</t>
  </si>
  <si>
    <t>Natnl Kaohsiung Sci &amp; Tech</t>
  </si>
  <si>
    <t>Sains Malaysia</t>
  </si>
  <si>
    <t>Eastern Mediter</t>
  </si>
  <si>
    <t>Natnl Yang Ming CT</t>
  </si>
  <si>
    <t>Marche Polyt</t>
  </si>
  <si>
    <t>Tinbergen Inst</t>
  </si>
  <si>
    <t>Auckland Tech</t>
  </si>
  <si>
    <t>Virginia Com</t>
  </si>
  <si>
    <t>Erlangen Nur</t>
  </si>
  <si>
    <t>Inst Univ Lisboa</t>
  </si>
  <si>
    <t>Tech Berlin</t>
  </si>
  <si>
    <t>Texas S San Marcos</t>
  </si>
  <si>
    <t>Tech Sydney</t>
  </si>
  <si>
    <t>Trinity Coll Dublin</t>
  </si>
  <si>
    <t>Texas Rio GV</t>
  </si>
  <si>
    <t>Fullerton</t>
  </si>
  <si>
    <t>Tor Vergata</t>
  </si>
  <si>
    <t>Max Planck</t>
  </si>
  <si>
    <t>Hong Kong Poly</t>
  </si>
  <si>
    <t>European Inst</t>
  </si>
  <si>
    <t>Natnl Taiwan</t>
  </si>
  <si>
    <t>Tuscaloosa</t>
  </si>
  <si>
    <t>Sant'Anna</t>
  </si>
  <si>
    <t>Eindhoven</t>
  </si>
  <si>
    <t>Humboldt</t>
  </si>
  <si>
    <t>Bilkent</t>
  </si>
  <si>
    <t>Florida Int</t>
  </si>
  <si>
    <t>Hong Kong Bapt</t>
  </si>
  <si>
    <t>Okl Norman</t>
  </si>
  <si>
    <t>Greensboro</t>
  </si>
  <si>
    <t>Charlotte</t>
  </si>
  <si>
    <t>Lowell</t>
  </si>
  <si>
    <t>Royal Holloway</t>
  </si>
  <si>
    <t>N Carolina State</t>
  </si>
  <si>
    <t>heSam</t>
  </si>
  <si>
    <t>Europ Cent Bank</t>
  </si>
  <si>
    <t>Erasmus Rot</t>
  </si>
  <si>
    <t>Natnl Singapore</t>
  </si>
  <si>
    <t>Natnl Taipei</t>
  </si>
  <si>
    <t>Natnl Sun Yat Sen</t>
  </si>
  <si>
    <t>Natnl Cheng Kung</t>
  </si>
  <si>
    <t>Natnl Central</t>
  </si>
  <si>
    <t>Fayetteville</t>
  </si>
  <si>
    <t>Chinese HK</t>
  </si>
  <si>
    <t>Nanyang Tech</t>
  </si>
  <si>
    <t>City St Georges</t>
  </si>
  <si>
    <t>New Brunswick</t>
  </si>
  <si>
    <t>Knoxville</t>
  </si>
  <si>
    <t>Bozen-Bolzano</t>
  </si>
  <si>
    <t>Southern Meth</t>
  </si>
  <si>
    <t>South Carolina</t>
  </si>
  <si>
    <t>Cote Azur</t>
  </si>
  <si>
    <t>Alacant</t>
  </si>
  <si>
    <t>fra</t>
  </si>
  <si>
    <t>deu</t>
  </si>
  <si>
    <t>Universite Grenoble Alpes (UGA)</t>
  </si>
  <si>
    <t>UGA</t>
  </si>
  <si>
    <t>spain</t>
  </si>
  <si>
    <t>acronym</t>
  </si>
  <si>
    <t>Eigenvalues</t>
  </si>
  <si>
    <t>% variance explained</t>
  </si>
  <si>
    <t>Varimax 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</si>
</sst>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9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horizontal="center" vertical="top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3" xfId="0" applyBorder="1"/>
    <xf numFmtId="0" fontId="3" fillId="0" borderId="0" xfId="0" applyFont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4" borderId="3" xfId="0" applyFill="1" applyBorder="1"/>
    <xf numFmtId="0" fontId="0" fillId="4" borderId="6" xfId="0" applyFill="1" applyBorder="1"/>
    <xf numFmtId="0" fontId="0" fillId="4" borderId="8" xfId="0" applyFill="1" applyBorder="1"/>
    <xf numFmtId="0" fontId="0" fillId="4" borderId="9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8" xfId="0" applyFill="1" applyBorder="1"/>
    <xf numFmtId="0" fontId="0" fillId="3" borderId="9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9" xfId="0" applyFill="1" applyBorder="1"/>
    <xf numFmtId="0" fontId="1" fillId="6" borderId="0" xfId="0" applyFont="1" applyFill="1" applyAlignment="1">
      <alignment horizontal="center" vertical="top"/>
    </xf>
    <xf numFmtId="0" fontId="3" fillId="6" borderId="0" xfId="0" applyFont="1" applyFill="1" applyAlignment="1">
      <alignment horizontal="center" vertical="top"/>
    </xf>
    <xf numFmtId="0" fontId="0" fillId="6" borderId="0" xfId="0" applyFill="1"/>
    <xf numFmtId="0" fontId="3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2" fillId="0" borderId="12" xfId="0" applyFont="1" applyBorder="1"/>
    <xf numFmtId="0" fontId="2" fillId="0" borderId="11" xfId="0" applyFont="1" applyBorder="1"/>
    <xf numFmtId="0" fontId="3" fillId="0" borderId="0" xfId="0" applyFont="1" applyBorder="1" applyAlignment="1">
      <alignment horizontal="center" vertical="top"/>
    </xf>
    <xf numFmtId="0" fontId="0" fillId="0" borderId="0" xfId="0" applyBorder="1"/>
    <xf numFmtId="0" fontId="0" fillId="0" borderId="1" xfId="0" applyBorder="1"/>
    <xf numFmtId="0" fontId="1" fillId="0" borderId="0" xfId="0" applyFont="1" applyBorder="1" applyAlignment="1">
      <alignment horizontal="center" vertical="top"/>
    </xf>
    <xf numFmtId="0" fontId="0" fillId="2" borderId="0" xfId="0" applyFill="1" applyBorder="1"/>
    <xf numFmtId="0" fontId="0" fillId="4" borderId="0" xfId="0" applyFill="1" applyBorder="1"/>
    <xf numFmtId="0" fontId="0" fillId="3" borderId="0" xfId="0" applyFill="1" applyBorder="1"/>
    <xf numFmtId="0" fontId="0" fillId="5" borderId="0" xfId="0" applyFill="1" applyBorder="1"/>
    <xf numFmtId="0" fontId="0" fillId="2" borderId="5" xfId="0" applyFill="1" applyBorder="1"/>
    <xf numFmtId="0" fontId="0" fillId="2" borderId="7" xfId="0" applyFill="1" applyBorder="1"/>
    <xf numFmtId="0" fontId="0" fillId="4" borderId="5" xfId="0" applyFill="1" applyBorder="1"/>
    <xf numFmtId="0" fontId="0" fillId="4" borderId="7" xfId="0" applyFill="1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4" borderId="2" xfId="0" applyFill="1" applyBorder="1"/>
    <xf numFmtId="0" fontId="0" fillId="3" borderId="2" xfId="0" applyFill="1" applyBorder="1"/>
    <xf numFmtId="0" fontId="0" fillId="3" borderId="5" xfId="0" applyFill="1" applyBorder="1"/>
    <xf numFmtId="0" fontId="0" fillId="3" borderId="7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0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1" fillId="0" borderId="2" xfId="0" applyFont="1" applyFill="1" applyBorder="1" applyAlignment="1">
      <alignment horizontal="center" vertical="top"/>
    </xf>
    <xf numFmtId="0" fontId="3" fillId="0" borderId="3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0" fontId="0" fillId="8" borderId="3" xfId="0" applyFill="1" applyBorder="1"/>
    <xf numFmtId="0" fontId="0" fillId="8" borderId="4" xfId="0" applyFill="1" applyBorder="1"/>
    <xf numFmtId="0" fontId="0" fillId="8" borderId="0" xfId="0" applyFill="1" applyBorder="1"/>
    <xf numFmtId="0" fontId="0" fillId="8" borderId="6" xfId="0" applyFill="1" applyBorder="1"/>
    <xf numFmtId="0" fontId="0" fillId="8" borderId="8" xfId="0" applyFill="1" applyBorder="1"/>
    <xf numFmtId="0" fontId="0" fillId="8" borderId="9" xfId="0" applyFill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9" borderId="5" xfId="0" applyFont="1" applyFill="1" applyBorder="1" applyAlignment="1">
      <alignment horizontal="center" vertical="center"/>
    </xf>
    <xf numFmtId="0" fontId="0" fillId="9" borderId="6" xfId="0" applyFont="1" applyFill="1" applyBorder="1" applyAlignment="1">
      <alignment horizontal="center" vertical="center"/>
    </xf>
    <xf numFmtId="2" fontId="0" fillId="2" borderId="5" xfId="0" applyNumberFormat="1" applyFont="1" applyFill="1" applyBorder="1" applyAlignment="1">
      <alignment horizontal="center" vertical="center"/>
    </xf>
    <xf numFmtId="2" fontId="0" fillId="2" borderId="6" xfId="0" applyNumberFormat="1" applyFont="1" applyFill="1" applyBorder="1" applyAlignment="1">
      <alignment horizontal="center"/>
    </xf>
    <xf numFmtId="2" fontId="0" fillId="9" borderId="7" xfId="0" applyNumberFormat="1" applyFont="1" applyFill="1" applyBorder="1" applyAlignment="1">
      <alignment horizontal="center" vertical="center"/>
    </xf>
    <xf numFmtId="2" fontId="0" fillId="9" borderId="9" xfId="0" applyNumberFormat="1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84715011060299E-2"/>
          <c:y val="7.0765862787330949E-2"/>
          <c:w val="0.91007467376437823"/>
          <c:h val="0.79727692322917465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institutions_spss!$U$4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{793144A3-9CD0-496B-AC10-E7E0CE8405B9}</c15:txfldGUID>
                      <c15:f>institutions_spss!$U$4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D567-475E-BFFA-B08583A648EC}"/>
                </c:ext>
              </c:extLst>
            </c:dLbl>
            <c:dLbl>
              <c:idx val="1"/>
              <c:layout/>
              <c:tx>
                <c:strRef>
                  <c:f>institutions_spss!$U$5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{BA247CDE-3E9F-4CD4-A5D7-CA85504FE1AC}</c15:txfldGUID>
                      <c15:f>institutions_spss!$U$5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D567-475E-BFFA-B08583A648EC}"/>
                </c:ext>
              </c:extLst>
            </c:dLbl>
            <c:dLbl>
              <c:idx val="2"/>
              <c:layout/>
              <c:tx>
                <c:strRef>
                  <c:f>institutions_spss!$U$6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{C7EC1C18-A1FF-4A94-BCF6-FD808C936F43}</c15:txfldGUID>
                      <c15:f>institutions_spss!$U$6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D567-475E-BFFA-B08583A648EC}"/>
                </c:ext>
              </c:extLst>
            </c:dLbl>
            <c:dLbl>
              <c:idx val="3"/>
              <c:tx>
                <c:strRef>
                  <c:f>institutions_spss!$U$7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{5EF1C89C-FB28-4A5D-966F-73C0ECD78207}</c15:txfldGUID>
                      <c15:f>institutions_spss!$U$7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D567-475E-BFFA-B08583A648EC}"/>
                </c:ext>
              </c:extLst>
            </c:dLbl>
            <c:dLbl>
              <c:idx val="4"/>
              <c:layout/>
              <c:tx>
                <c:strRef>
                  <c:f>institutions_spss!$U$8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{7FF67B9F-90D6-407F-88A9-BBAA0502EABC}</c15:txfldGUID>
                      <c15:f>institutions_spss!$U$8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D567-475E-BFFA-B08583A648EC}"/>
                </c:ext>
              </c:extLst>
            </c:dLbl>
            <c:dLbl>
              <c:idx val="5"/>
              <c:layout/>
              <c:tx>
                <c:strRef>
                  <c:f>institutions_spss!$U$9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{0B6347A0-386D-4652-B988-6CA3907FC0A1}</c15:txfldGUID>
                      <c15:f>institutions_spss!$U$9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D567-475E-BFFA-B08583A648EC}"/>
                </c:ext>
              </c:extLst>
            </c:dLbl>
            <c:dLbl>
              <c:idx val="6"/>
              <c:layout/>
              <c:tx>
                <c:strRef>
                  <c:f>institutions_spss!$U$10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{5AFB55A3-20FD-47C2-87AF-E300EF42E941}</c15:txfldGUID>
                      <c15:f>institutions_spss!$U$10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D567-475E-BFFA-B08583A648EC}"/>
                </c:ext>
              </c:extLst>
            </c:dLbl>
            <c:dLbl>
              <c:idx val="7"/>
              <c:layout/>
              <c:tx>
                <c:strRef>
                  <c:f>institutions_spss!$U$11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{29344890-DAD5-4514-A2DB-31F8E6AEB89B}</c15:txfldGUID>
                      <c15:f>institutions_spss!$U$11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D567-475E-BFFA-B08583A648EC}"/>
                </c:ext>
              </c:extLst>
            </c:dLbl>
            <c:dLbl>
              <c:idx val="8"/>
              <c:layout/>
              <c:tx>
                <c:strRef>
                  <c:f>institutions_spss!$U$12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{F195F215-133F-4481-AB71-1BE4156A4A36}</c15:txfldGUID>
                      <c15:f>institutions_spss!$U$12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D567-475E-BFFA-B08583A648EC}"/>
                </c:ext>
              </c:extLst>
            </c:dLbl>
            <c:dLbl>
              <c:idx val="9"/>
              <c:layout/>
              <c:tx>
                <c:strRef>
                  <c:f>institutions_spss!$U$13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{694D75DF-02B2-4116-83B5-1168B8A9C6FB}</c15:txfldGUID>
                      <c15:f>institutions_spss!$U$13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D567-475E-BFFA-B08583A648EC}"/>
                </c:ext>
              </c:extLst>
            </c:dLbl>
            <c:dLbl>
              <c:idx val="10"/>
              <c:layout/>
              <c:tx>
                <c:strRef>
                  <c:f>institutions_spss!$U$14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{1EF73E33-8C90-476A-AE8C-20DCB9DE6210}</c15:txfldGUID>
                      <c15:f>institutions_spss!$U$14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D567-475E-BFFA-B08583A648EC}"/>
                </c:ext>
              </c:extLst>
            </c:dLbl>
            <c:dLbl>
              <c:idx val="11"/>
              <c:layout/>
              <c:tx>
                <c:strRef>
                  <c:f>institutions_spss!$U$15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{53AA42FA-7308-4D8C-8A31-D92419EA57CE}</c15:txfldGUID>
                      <c15:f>institutions_spss!$U$15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D567-475E-BFFA-B08583A648EC}"/>
                </c:ext>
              </c:extLst>
            </c:dLbl>
            <c:dLbl>
              <c:idx val="12"/>
              <c:layout/>
              <c:tx>
                <c:strRef>
                  <c:f>institutions_spss!$U$16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{3963D16B-20F4-467D-A4DB-27953D784415}</c15:txfldGUID>
                      <c15:f>institutions_spss!$U$16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D567-475E-BFFA-B08583A648EC}"/>
                </c:ext>
              </c:extLst>
            </c:dLbl>
            <c:dLbl>
              <c:idx val="13"/>
              <c:layout/>
              <c:tx>
                <c:strRef>
                  <c:f>institutions_spss!$U$17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{76C4FD49-B7E8-46D6-B0CF-B4853B046F0D}</c15:txfldGUID>
                      <c15:f>institutions_spss!$U$17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D567-475E-BFFA-B08583A648EC}"/>
                </c:ext>
              </c:extLst>
            </c:dLbl>
            <c:dLbl>
              <c:idx val="14"/>
              <c:layout/>
              <c:tx>
                <c:strRef>
                  <c:f>institutions_spss!$U$18</c:f>
                  <c:strCache>
                    <c:ptCount val="1"/>
                    <c:pt idx="0">
                      <c:v>Pompeu Fabra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{3169213E-C3DE-4E8F-868C-E05C2BC00742}</c15:txfldGUID>
                      <c15:f>institutions_spss!$U$18</c15:f>
                      <c15:dlblFieldTableCache>
                        <c:ptCount val="1"/>
                        <c:pt idx="0">
                          <c:v>Pompeu Fabra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D567-475E-BFFA-B08583A648EC}"/>
                </c:ext>
              </c:extLst>
            </c:dLbl>
            <c:dLbl>
              <c:idx val="15"/>
              <c:layout/>
              <c:tx>
                <c:strRef>
                  <c:f>institutions_spss!$U$19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{4F726E10-D16A-4145-8620-5BE36E588313}</c15:txfldGUID>
                      <c15:f>institutions_spss!$U$19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D567-475E-BFFA-B08583A648EC}"/>
                </c:ext>
              </c:extLst>
            </c:dLbl>
            <c:dLbl>
              <c:idx val="16"/>
              <c:layout/>
              <c:tx>
                <c:strRef>
                  <c:f>institutions_spss!$U$20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{ECCE75B3-1C7C-4808-BBFA-770FE04D3A6B}</c15:txfldGUID>
                      <c15:f>institutions_spss!$U$20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D567-475E-BFFA-B08583A648EC}"/>
                </c:ext>
              </c:extLst>
            </c:dLbl>
            <c:dLbl>
              <c:idx val="17"/>
              <c:layout/>
              <c:tx>
                <c:strRef>
                  <c:f>institutions_spss!$U$21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{E805CA5E-C2F1-4F7E-A4A5-A0CFF558AC6B}</c15:txfldGUID>
                      <c15:f>institutions_spss!$U$21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D567-475E-BFFA-B08583A648EC}"/>
                </c:ext>
              </c:extLst>
            </c:dLbl>
            <c:dLbl>
              <c:idx val="18"/>
              <c:layout/>
              <c:tx>
                <c:strRef>
                  <c:f>institutions_spss!$U$22</c:f>
                  <c:strCache>
                    <c:ptCount val="1"/>
                    <c:pt idx="0">
                      <c:v>IPP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{CB3CBEC0-C5F6-4072-8F16-6779715D2FA3}</c15:txfldGUID>
                      <c15:f>institutions_spss!$U$22</c15:f>
                      <c15:dlblFieldTableCache>
                        <c:ptCount val="1"/>
                        <c:pt idx="0">
                          <c:v>IPP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D567-475E-BFFA-B08583A648EC}"/>
                </c:ext>
              </c:extLst>
            </c:dLbl>
            <c:dLbl>
              <c:idx val="19"/>
              <c:layout/>
              <c:tx>
                <c:strRef>
                  <c:f>institutions_spss!$U$23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{02B26EF7-4BB6-482B-A6BD-3B0404A180EA}</c15:txfldGUID>
                      <c15:f>institutions_spss!$U$23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D567-475E-BFFA-B08583A648EC}"/>
                </c:ext>
              </c:extLst>
            </c:dLbl>
            <c:dLbl>
              <c:idx val="20"/>
              <c:layout/>
              <c:tx>
                <c:strRef>
                  <c:f>institutions_spss!$U$24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{DF5C1686-E1C8-4025-B2BD-8F268DF42BB3}</c15:txfldGUID>
                      <c15:f>institutions_spss!$U$24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D567-475E-BFFA-B08583A648EC}"/>
                </c:ext>
              </c:extLst>
            </c:dLbl>
            <c:dLbl>
              <c:idx val="21"/>
              <c:layout/>
              <c:tx>
                <c:strRef>
                  <c:f>institutions_spss!$U$25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{E353E6B6-970F-4C3B-B7BF-69164DF89E87}</c15:txfldGUID>
                      <c15:f>institutions_spss!$U$25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D567-475E-BFFA-B08583A648EC}"/>
                </c:ext>
              </c:extLst>
            </c:dLbl>
            <c:dLbl>
              <c:idx val="22"/>
              <c:layout/>
              <c:tx>
                <c:strRef>
                  <c:f>institutions_spss!$U$26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{A27826B0-7FAE-4CD1-9FDF-511745A34838}</c15:txfldGUID>
                      <c15:f>institutions_spss!$U$26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D567-475E-BFFA-B08583A648EC}"/>
                </c:ext>
              </c:extLst>
            </c:dLbl>
            <c:dLbl>
              <c:idx val="23"/>
              <c:layout/>
              <c:tx>
                <c:strRef>
                  <c:f>institutions_spss!$U$27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{CB5B8557-1E96-44DC-97B3-4F325BADCE9C}</c15:txfldGUID>
                      <c15:f>institutions_spss!$U$27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D567-475E-BFFA-B08583A648EC}"/>
                </c:ext>
              </c:extLst>
            </c:dLbl>
            <c:dLbl>
              <c:idx val="24"/>
              <c:layout/>
              <c:tx>
                <c:strRef>
                  <c:f>institutions_spss!$U$28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{B8897BCD-E6DC-4781-A3DA-4C5B28E1A562}</c15:txfldGUID>
                      <c15:f>institutions_spss!$U$28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D567-475E-BFFA-B08583A648EC}"/>
                </c:ext>
              </c:extLst>
            </c:dLbl>
            <c:dLbl>
              <c:idx val="25"/>
              <c:layout/>
              <c:tx>
                <c:strRef>
                  <c:f>institutions_spss!$U$29</c:f>
                  <c:strCache>
                    <c:ptCount val="1"/>
                    <c:pt idx="0">
                      <c:v>INSEAD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{61AD8265-7E71-427F-A948-251AD944CE07}</c15:txfldGUID>
                      <c15:f>institutions_spss!$U$29</c15:f>
                      <c15:dlblFieldTableCache>
                        <c:ptCount val="1"/>
                        <c:pt idx="0">
                          <c:v>INSEAD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D567-475E-BFFA-B08583A648EC}"/>
                </c:ext>
              </c:extLst>
            </c:dLbl>
            <c:dLbl>
              <c:idx val="26"/>
              <c:layout/>
              <c:tx>
                <c:strRef>
                  <c:f>institutions_spss!$U$30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{E4C64E40-B9D1-4813-8F29-E64E8F62E48A}</c15:txfldGUID>
                      <c15:f>institutions_spss!$U$30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D567-475E-BFFA-B08583A648EC}"/>
                </c:ext>
              </c:extLst>
            </c:dLbl>
            <c:dLbl>
              <c:idx val="27"/>
              <c:layout/>
              <c:tx>
                <c:strRef>
                  <c:f>institutions_spss!$U$31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{1C5D0B10-8126-4672-936C-78409A1EA4DC}</c15:txfldGUID>
                      <c15:f>institutions_spss!$U$31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D567-475E-BFFA-B08583A648EC}"/>
                </c:ext>
              </c:extLst>
            </c:dLbl>
            <c:dLbl>
              <c:idx val="28"/>
              <c:layout/>
              <c:tx>
                <c:strRef>
                  <c:f>institutions_spss!$U$32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{3163771F-FBC5-4894-AC4E-B6B3066F8409}</c15:txfldGUID>
                      <c15:f>institutions_spss!$U$32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D567-475E-BFFA-B08583A648EC}"/>
                </c:ext>
              </c:extLst>
            </c:dLbl>
            <c:dLbl>
              <c:idx val="29"/>
              <c:layout/>
              <c:tx>
                <c:strRef>
                  <c:f>institutions_spss!$U$33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{901EADF9-01AE-4C12-AAAB-2D5250CC80FA}</c15:txfldGUID>
                      <c15:f>institutions_spss!$U$33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D567-475E-BFFA-B08583A648EC}"/>
                </c:ext>
              </c:extLst>
            </c:dLbl>
            <c:dLbl>
              <c:idx val="30"/>
              <c:layout/>
              <c:tx>
                <c:strRef>
                  <c:f>institutions_spss!$U$34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{09D81251-0075-4F0C-B4A9-B082821BEA55}</c15:txfldGUID>
                      <c15:f>institutions_spss!$U$34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D567-475E-BFFA-B08583A648EC}"/>
                </c:ext>
              </c:extLst>
            </c:dLbl>
            <c:dLbl>
              <c:idx val="31"/>
              <c:layout/>
              <c:tx>
                <c:strRef>
                  <c:f>institutions_spss!$U$35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{F79CCC42-A5C6-4460-A3BF-19437D276420}</c15:txfldGUID>
                      <c15:f>institutions_spss!$U$35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D567-475E-BFFA-B08583A648EC}"/>
                </c:ext>
              </c:extLst>
            </c:dLbl>
            <c:dLbl>
              <c:idx val="32"/>
              <c:layout/>
              <c:tx>
                <c:strRef>
                  <c:f>institutions_spss!$U$36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{1E0C413A-496A-403F-A7CE-492ACB600E6B}</c15:txfldGUID>
                      <c15:f>institutions_spss!$U$36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D567-475E-BFFA-B08583A648EC}"/>
                </c:ext>
              </c:extLst>
            </c:dLbl>
            <c:dLbl>
              <c:idx val="33"/>
              <c:layout/>
              <c:tx>
                <c:strRef>
                  <c:f>institutions_spss!$U$37</c:f>
                  <c:strCache>
                    <c:ptCount val="1"/>
                    <c:pt idx="0">
                      <c:v>HEC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{DCBEA181-026B-4852-B680-51933B380613}</c15:txfldGUID>
                      <c15:f>institutions_spss!$U$37</c15:f>
                      <c15:dlblFieldTableCache>
                        <c:ptCount val="1"/>
                        <c:pt idx="0">
                          <c:v>HEC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D567-475E-BFFA-B08583A648EC}"/>
                </c:ext>
              </c:extLst>
            </c:dLbl>
            <c:dLbl>
              <c:idx val="34"/>
              <c:layout/>
              <c:tx>
                <c:strRef>
                  <c:f>institutions_spss!$U$38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{C91DD720-D306-443A-A208-6DB1BC5E0216}</c15:txfldGUID>
                      <c15:f>institutions_spss!$U$38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D567-475E-BFFA-B08583A648EC}"/>
                </c:ext>
              </c:extLst>
            </c:dLbl>
            <c:dLbl>
              <c:idx val="35"/>
              <c:layout/>
              <c:tx>
                <c:strRef>
                  <c:f>institutions_spss!$U$39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{0C31DC36-4D36-4989-A8CF-747A2301E5C8}</c15:txfldGUID>
                      <c15:f>institutions_spss!$U$39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D567-475E-BFFA-B08583A648EC}"/>
                </c:ext>
              </c:extLst>
            </c:dLbl>
            <c:dLbl>
              <c:idx val="36"/>
              <c:layout/>
              <c:tx>
                <c:strRef>
                  <c:f>institutions_spss!$U$40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{9F22CF25-BDD0-40E7-97E2-38047564F7EA}</c15:txfldGUID>
                      <c15:f>institutions_spss!$U$40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D567-475E-BFFA-B08583A648EC}"/>
                </c:ext>
              </c:extLst>
            </c:dLbl>
            <c:dLbl>
              <c:idx val="37"/>
              <c:layout/>
              <c:tx>
                <c:strRef>
                  <c:f>institutions_spss!$U$41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{B951CDE3-49FA-497A-AD80-38B003796A9F}</c15:txfldGUID>
                      <c15:f>institutions_spss!$U$41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D567-475E-BFFA-B08583A648EC}"/>
                </c:ext>
              </c:extLst>
            </c:dLbl>
            <c:dLbl>
              <c:idx val="38"/>
              <c:layout/>
              <c:tx>
                <c:strRef>
                  <c:f>institutions_spss!$U$42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{C900DE31-02EC-4327-BCE8-657B043D0BC2}</c15:txfldGUID>
                      <c15:f>institutions_spss!$U$42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D567-475E-BFFA-B08583A648EC}"/>
                </c:ext>
              </c:extLst>
            </c:dLbl>
            <c:dLbl>
              <c:idx val="39"/>
              <c:layout/>
              <c:tx>
                <c:strRef>
                  <c:f>institutions_spss!$U$43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{ACA62655-CAD4-4637-8A97-AFF22AF73665}</c15:txfldGUID>
                      <c15:f>institutions_spss!$U$43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D567-475E-BFFA-B08583A648EC}"/>
                </c:ext>
              </c:extLst>
            </c:dLbl>
            <c:dLbl>
              <c:idx val="40"/>
              <c:layout/>
              <c:tx>
                <c:strRef>
                  <c:f>institutions_spss!$U$44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{A087B870-990C-4130-B678-B966DC310B83}</c15:txfldGUID>
                      <c15:f>institutions_spss!$U$44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D567-475E-BFFA-B08583A648EC}"/>
                </c:ext>
              </c:extLst>
            </c:dLbl>
            <c:dLbl>
              <c:idx val="41"/>
              <c:layout/>
              <c:tx>
                <c:strRef>
                  <c:f>institutions_spss!$U$45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{CD28AF0B-B7A6-4022-8CEE-0A63A22CAD81}</c15:txfldGUID>
                      <c15:f>institutions_spss!$U$45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D567-475E-BFFA-B08583A648EC}"/>
                </c:ext>
              </c:extLst>
            </c:dLbl>
            <c:dLbl>
              <c:idx val="42"/>
              <c:layout/>
              <c:tx>
                <c:strRef>
                  <c:f>institutions_spss!$U$46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{62AF0C71-A00D-4F99-B562-58A04CD219BF}</c15:txfldGUID>
                      <c15:f>institutions_spss!$U$46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D567-475E-BFFA-B08583A648EC}"/>
                </c:ext>
              </c:extLst>
            </c:dLbl>
            <c:dLbl>
              <c:idx val="43"/>
              <c:layout/>
              <c:tx>
                <c:strRef>
                  <c:f>institutions_spss!$U$47</c:f>
                  <c:strCache>
                    <c:ptCount val="1"/>
                    <c:pt idx="0">
                      <c:v>Bonn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{D2E9C143-490B-4488-809E-E058BC7216DF}</c15:txfldGUID>
                      <c15:f>institutions_spss!$U$47</c15:f>
                      <c15:dlblFieldTableCache>
                        <c:ptCount val="1"/>
                        <c:pt idx="0">
                          <c:v>Bonn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D567-475E-BFFA-B08583A648EC}"/>
                </c:ext>
              </c:extLst>
            </c:dLbl>
            <c:dLbl>
              <c:idx val="44"/>
              <c:layout/>
              <c:tx>
                <c:strRef>
                  <c:f>institutions_spss!$U$48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{C2A995A4-6CE9-4C4D-BA2D-0D9E7901E658}</c15:txfldGUID>
                      <c15:f>institutions_spss!$U$48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D567-475E-BFFA-B08583A648EC}"/>
                </c:ext>
              </c:extLst>
            </c:dLbl>
            <c:dLbl>
              <c:idx val="45"/>
              <c:layout/>
              <c:tx>
                <c:strRef>
                  <c:f>institutions_spss!$U$49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{AD4C4C83-59C3-42DE-946E-42C77A348534}</c15:txfldGUID>
                      <c15:f>institutions_spss!$U$49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D567-475E-BFFA-B08583A648EC}"/>
                </c:ext>
              </c:extLst>
            </c:dLbl>
            <c:dLbl>
              <c:idx val="46"/>
              <c:layout/>
              <c:tx>
                <c:strRef>
                  <c:f>institutions_spss!$U$50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{4A706405-7BE1-4C87-B001-8783E7B69785}</c15:txfldGUID>
                      <c15:f>institutions_spss!$U$50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D567-475E-BFFA-B08583A648EC}"/>
                </c:ext>
              </c:extLst>
            </c:dLbl>
            <c:dLbl>
              <c:idx val="47"/>
              <c:layout/>
              <c:tx>
                <c:strRef>
                  <c:f>institutions_spss!$U$51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{80B873DB-C7E1-4E1C-A070-6A722E62F543}</c15:txfldGUID>
                      <c15:f>institutions_spss!$U$51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D567-475E-BFFA-B08583A648EC}"/>
                </c:ext>
              </c:extLst>
            </c:dLbl>
            <c:dLbl>
              <c:idx val="48"/>
              <c:layout/>
              <c:tx>
                <c:strRef>
                  <c:f>institutions_spss!$U$52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{9C2FB5C1-5CF5-4D28-A36A-791846591E02}</c15:txfldGUID>
                      <c15:f>institutions_spss!$U$52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D567-475E-BFFA-B08583A648EC}"/>
                </c:ext>
              </c:extLst>
            </c:dLbl>
            <c:dLbl>
              <c:idx val="49"/>
              <c:layout/>
              <c:tx>
                <c:strRef>
                  <c:f>institutions_spss!$U$53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{D722A7AB-7555-4DB2-8B3B-91AF8CD57523}</c15:txfldGUID>
                      <c15:f>institutions_spss!$U$53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D567-475E-BFFA-B08583A648EC}"/>
                </c:ext>
              </c:extLst>
            </c:dLbl>
            <c:dLbl>
              <c:idx val="50"/>
              <c:layout/>
              <c:tx>
                <c:strRef>
                  <c:f>institutions_spss!$U$54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{A962D8BB-B456-4964-8A17-A4C6F36B85F7}</c15:txfldGUID>
                      <c15:f>institutions_spss!$U$54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D567-475E-BFFA-B08583A648EC}"/>
                </c:ext>
              </c:extLst>
            </c:dLbl>
            <c:dLbl>
              <c:idx val="51"/>
              <c:layout/>
              <c:tx>
                <c:strRef>
                  <c:f>institutions_spss!$U$55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{DA57CA36-D087-4C2E-917B-9EFB9B7E019D}</c15:txfldGUID>
                      <c15:f>institutions_spss!$U$55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D567-475E-BFFA-B08583A648EC}"/>
                </c:ext>
              </c:extLst>
            </c:dLbl>
            <c:dLbl>
              <c:idx val="52"/>
              <c:layout/>
              <c:tx>
                <c:strRef>
                  <c:f>institutions_spss!$U$56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{1957A463-D669-4646-A93F-3159F1F47D57}</c15:txfldGUID>
                      <c15:f>institutions_spss!$U$56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D567-475E-BFFA-B08583A648EC}"/>
                </c:ext>
              </c:extLst>
            </c:dLbl>
            <c:dLbl>
              <c:idx val="53"/>
              <c:layout/>
              <c:tx>
                <c:strRef>
                  <c:f>institutions_spss!$U$57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{ECA87B33-AA00-4670-AE1E-1194F321CC6A}</c15:txfldGUID>
                      <c15:f>institutions_spss!$U$57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D567-475E-BFFA-B08583A648EC}"/>
                </c:ext>
              </c:extLst>
            </c:dLbl>
            <c:dLbl>
              <c:idx val="54"/>
              <c:layout/>
              <c:tx>
                <c:strRef>
                  <c:f>institutions_spss!$U$58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{72637DD5-6FFF-4E75-ACF6-0081CE4B736B}</c15:txfldGUID>
                      <c15:f>institutions_spss!$U$58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D567-475E-BFFA-B08583A648EC}"/>
                </c:ext>
              </c:extLst>
            </c:dLbl>
            <c:dLbl>
              <c:idx val="55"/>
              <c:layout/>
              <c:tx>
                <c:strRef>
                  <c:f>institutions_spss!$U$59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{77FA1DAD-68B5-4104-A2B4-770C75502CFC}</c15:txfldGUID>
                      <c15:f>institutions_spss!$U$59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D567-475E-BFFA-B08583A648EC}"/>
                </c:ext>
              </c:extLst>
            </c:dLbl>
            <c:dLbl>
              <c:idx val="56"/>
              <c:layout/>
              <c:tx>
                <c:strRef>
                  <c:f>institutions_spss!$U$60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{95FC6960-BDAF-4043-B60F-21212E3A2750}</c15:txfldGUID>
                      <c15:f>institutions_spss!$U$60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D567-475E-BFFA-B08583A648EC}"/>
                </c:ext>
              </c:extLst>
            </c:dLbl>
            <c:dLbl>
              <c:idx val="57"/>
              <c:layout/>
              <c:tx>
                <c:strRef>
                  <c:f>institutions_spss!$U$61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{D90CF2B0-1C75-469C-856B-DA99405ADC8A}</c15:txfldGUID>
                      <c15:f>institutions_spss!$U$61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D567-475E-BFFA-B08583A648EC}"/>
                </c:ext>
              </c:extLst>
            </c:dLbl>
            <c:dLbl>
              <c:idx val="58"/>
              <c:layout/>
              <c:tx>
                <c:strRef>
                  <c:f>institutions_spss!$U$62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{42CAB0EE-5760-45E7-AF95-22AC1D569EA2}</c15:txfldGUID>
                      <c15:f>institutions_spss!$U$62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D567-475E-BFFA-B08583A648EC}"/>
                </c:ext>
              </c:extLst>
            </c:dLbl>
            <c:dLbl>
              <c:idx val="59"/>
              <c:layout/>
              <c:tx>
                <c:strRef>
                  <c:f>institutions_spss!$U$63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{ED275B2E-7EF6-4403-8C5C-A70780AA4CCC}</c15:txfldGUID>
                      <c15:f>institutions_spss!$U$63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D567-475E-BFFA-B08583A648EC}"/>
                </c:ext>
              </c:extLst>
            </c:dLbl>
            <c:dLbl>
              <c:idx val="60"/>
              <c:layout/>
              <c:tx>
                <c:strRef>
                  <c:f>institutions_spss!$U$64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{E3929580-2880-4BDF-A4A8-0A49BB53FC45}</c15:txfldGUID>
                      <c15:f>institutions_spss!$U$64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D567-475E-BFFA-B08583A648EC}"/>
                </c:ext>
              </c:extLst>
            </c:dLbl>
            <c:dLbl>
              <c:idx val="61"/>
              <c:layout/>
              <c:tx>
                <c:strRef>
                  <c:f>institutions_spss!$U$65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{02E33ABF-19E4-46F1-97F1-A3F43D7FCE38}</c15:txfldGUID>
                      <c15:f>institutions_spss!$U$65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D567-475E-BFFA-B08583A648EC}"/>
                </c:ext>
              </c:extLst>
            </c:dLbl>
            <c:dLbl>
              <c:idx val="62"/>
              <c:layout/>
              <c:tx>
                <c:strRef>
                  <c:f>institutions_spss!$U$66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{2BF2F776-13ED-4E3F-B2E5-7E9E4EFCB491}</c15:txfldGUID>
                      <c15:f>institutions_spss!$U$66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D567-475E-BFFA-B08583A648EC}"/>
                </c:ext>
              </c:extLst>
            </c:dLbl>
            <c:dLbl>
              <c:idx val="63"/>
              <c:layout/>
              <c:tx>
                <c:strRef>
                  <c:f>institutions_spss!$U$67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{3184FE24-1485-4B77-ABA5-EA1080210267}</c15:txfldGUID>
                      <c15:f>institutions_spss!$U$67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D567-475E-BFFA-B08583A648EC}"/>
                </c:ext>
              </c:extLst>
            </c:dLbl>
            <c:dLbl>
              <c:idx val="64"/>
              <c:layout/>
              <c:tx>
                <c:strRef>
                  <c:f>institutions_spss!$U$68</c:f>
                  <c:strCache>
                    <c:ptCount val="1"/>
                    <c:pt idx="0">
                      <c:v>EDHEC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{8A3453EB-4209-4581-BAFB-80F4A8A8CD9D}</c15:txfldGUID>
                      <c15:f>institutions_spss!$U$68</c15:f>
                      <c15:dlblFieldTableCache>
                        <c:ptCount val="1"/>
                        <c:pt idx="0">
                          <c:v>EDHEC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D567-475E-BFFA-B08583A648EC}"/>
                </c:ext>
              </c:extLst>
            </c:dLbl>
            <c:dLbl>
              <c:idx val="65"/>
              <c:layout/>
              <c:tx>
                <c:strRef>
                  <c:f>institutions_spss!$U$69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{6AB739D7-406E-4300-966E-04F1B73430CD}</c15:txfldGUID>
                      <c15:f>institutions_spss!$U$69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D567-475E-BFFA-B08583A648EC}"/>
                </c:ext>
              </c:extLst>
            </c:dLbl>
            <c:dLbl>
              <c:idx val="66"/>
              <c:layout/>
              <c:tx>
                <c:strRef>
                  <c:f>institutions_spss!$U$70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{5AF66C17-82E0-4DCA-85FC-F5320D75C919}</c15:txfldGUID>
                      <c15:f>institutions_spss!$U$70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D567-475E-BFFA-B08583A648EC}"/>
                </c:ext>
              </c:extLst>
            </c:dLbl>
            <c:dLbl>
              <c:idx val="67"/>
              <c:layout/>
              <c:tx>
                <c:strRef>
                  <c:f>institutions_spss!$U$71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{3897B604-A078-491F-83C1-9FAC1CED891E}</c15:txfldGUID>
                      <c15:f>institutions_spss!$U$71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D567-475E-BFFA-B08583A648EC}"/>
                </c:ext>
              </c:extLst>
            </c:dLbl>
            <c:dLbl>
              <c:idx val="68"/>
              <c:layout/>
              <c:tx>
                <c:strRef>
                  <c:f>institutions_spss!$U$72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{5E39E512-09DA-4B65-8D13-F281007AAEC9}</c15:txfldGUID>
                      <c15:f>institutions_spss!$U$72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D567-475E-BFFA-B08583A648EC}"/>
                </c:ext>
              </c:extLst>
            </c:dLbl>
            <c:dLbl>
              <c:idx val="69"/>
              <c:layout/>
              <c:tx>
                <c:strRef>
                  <c:f>institutions_spss!$U$73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{5DCC148F-1AAB-4D54-99E7-C66406377D70}</c15:txfldGUID>
                      <c15:f>institutions_spss!$U$73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D567-475E-BFFA-B08583A648EC}"/>
                </c:ext>
              </c:extLst>
            </c:dLbl>
            <c:dLbl>
              <c:idx val="70"/>
              <c:layout/>
              <c:tx>
                <c:strRef>
                  <c:f>institutions_spss!$U$74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{D7EB2086-D1EE-41FA-87F5-DDDB5E996D35}</c15:txfldGUID>
                      <c15:f>institutions_spss!$U$74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D567-475E-BFFA-B08583A648EC}"/>
                </c:ext>
              </c:extLst>
            </c:dLbl>
            <c:dLbl>
              <c:idx val="71"/>
              <c:layout/>
              <c:tx>
                <c:strRef>
                  <c:f>institutions_spss!$U$75</c:f>
                  <c:strCache>
                    <c:ptCount val="1"/>
                    <c:pt idx="0">
                      <c:v>IZA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{FCCCD0FB-041E-45C6-85DC-DFE77DC40E40}</c15:txfldGUID>
                      <c15:f>institutions_spss!$U$75</c15:f>
                      <c15:dlblFieldTableCache>
                        <c:ptCount val="1"/>
                        <c:pt idx="0">
                          <c:v>IZA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D567-475E-BFFA-B08583A648EC}"/>
                </c:ext>
              </c:extLst>
            </c:dLbl>
            <c:dLbl>
              <c:idx val="72"/>
              <c:layout/>
              <c:tx>
                <c:strRef>
                  <c:f>institutions_spss!$U$76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{3DA4CED6-431A-43D6-AD04-89AD23D3138C}</c15:txfldGUID>
                      <c15:f>institutions_spss!$U$76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D567-475E-BFFA-B08583A648EC}"/>
                </c:ext>
              </c:extLst>
            </c:dLbl>
            <c:dLbl>
              <c:idx val="73"/>
              <c:layout/>
              <c:tx>
                <c:strRef>
                  <c:f>institutions_spss!$U$77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{440C5A82-0939-43B4-948E-19333DE39E08}</c15:txfldGUID>
                      <c15:f>institutions_spss!$U$77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D567-475E-BFFA-B08583A648EC}"/>
                </c:ext>
              </c:extLst>
            </c:dLbl>
            <c:dLbl>
              <c:idx val="74"/>
              <c:layout/>
              <c:tx>
                <c:strRef>
                  <c:f>institutions_spss!$U$78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{FB24D760-10E1-416C-AC86-702354A6348E}</c15:txfldGUID>
                      <c15:f>institutions_spss!$U$78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D567-475E-BFFA-B08583A648EC}"/>
                </c:ext>
              </c:extLst>
            </c:dLbl>
            <c:dLbl>
              <c:idx val="75"/>
              <c:layout/>
              <c:tx>
                <c:strRef>
                  <c:f>institutions_spss!$U$79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{AB2B8D0D-4593-488F-8275-DBCFAD1ECCDB}</c15:txfldGUID>
                      <c15:f>institutions_spss!$U$79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D567-475E-BFFA-B08583A648EC}"/>
                </c:ext>
              </c:extLst>
            </c:dLbl>
            <c:dLbl>
              <c:idx val="76"/>
              <c:layout/>
              <c:tx>
                <c:strRef>
                  <c:f>institutions_spss!$U$80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{42A66E75-FEF2-4FD3-A6DA-501F01570F82}</c15:txfldGUID>
                      <c15:f>institutions_spss!$U$80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D567-475E-BFFA-B08583A648EC}"/>
                </c:ext>
              </c:extLst>
            </c:dLbl>
            <c:dLbl>
              <c:idx val="77"/>
              <c:layout/>
              <c:tx>
                <c:strRef>
                  <c:f>institutions_spss!$U$81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{68B06896-F979-45BC-8E78-F31DB7060CE5}</c15:txfldGUID>
                      <c15:f>institutions_spss!$U$81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D567-475E-BFFA-B08583A648EC}"/>
                </c:ext>
              </c:extLst>
            </c:dLbl>
            <c:dLbl>
              <c:idx val="78"/>
              <c:layout/>
              <c:tx>
                <c:strRef>
                  <c:f>institutions_spss!$U$82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{EA75866D-8071-428F-A028-F48B4190344F}</c15:txfldGUID>
                      <c15:f>institutions_spss!$U$82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D567-475E-BFFA-B08583A648EC}"/>
                </c:ext>
              </c:extLst>
            </c:dLbl>
            <c:dLbl>
              <c:idx val="79"/>
              <c:layout/>
              <c:tx>
                <c:strRef>
                  <c:f>institutions_spss!$U$83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{DD29DB4B-3409-4134-92E1-36A1C59BA537}</c15:txfldGUID>
                      <c15:f>institutions_spss!$U$83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D567-475E-BFFA-B08583A648EC}"/>
                </c:ext>
              </c:extLst>
            </c:dLbl>
            <c:dLbl>
              <c:idx val="80"/>
              <c:layout/>
              <c:tx>
                <c:strRef>
                  <c:f>institutions_spss!$U$84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{1ABDFD21-78AD-47A0-A1B8-C9F941E7BF93}</c15:txfldGUID>
                      <c15:f>institutions_spss!$U$84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D567-475E-BFFA-B08583A648EC}"/>
                </c:ext>
              </c:extLst>
            </c:dLbl>
            <c:dLbl>
              <c:idx val="81"/>
              <c:layout/>
              <c:tx>
                <c:strRef>
                  <c:f>institutions_spss!$U$85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{128AF454-6635-47D1-B0AD-723E91EBABB6}</c15:txfldGUID>
                      <c15:f>institutions_spss!$U$85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D567-475E-BFFA-B08583A648EC}"/>
                </c:ext>
              </c:extLst>
            </c:dLbl>
            <c:dLbl>
              <c:idx val="82"/>
              <c:layout/>
              <c:tx>
                <c:strRef>
                  <c:f>institutions_spss!$U$86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{175C7E31-648C-4959-9307-398D9B9BDE13}</c15:txfldGUID>
                      <c15:f>institutions_spss!$U$86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D567-475E-BFFA-B08583A648EC}"/>
                </c:ext>
              </c:extLst>
            </c:dLbl>
            <c:dLbl>
              <c:idx val="83"/>
              <c:layout/>
              <c:tx>
                <c:strRef>
                  <c:f>institutions_spss!$U$87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{5847E55D-B79C-4899-9A9A-CF7025E02094}</c15:txfldGUID>
                      <c15:f>institutions_spss!$U$87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D567-475E-BFFA-B08583A648EC}"/>
                </c:ext>
              </c:extLst>
            </c:dLbl>
            <c:dLbl>
              <c:idx val="84"/>
              <c:layout/>
              <c:tx>
                <c:strRef>
                  <c:f>institutions_spss!$U$88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{0FF30600-61D3-4950-9FE3-348BEAEEF44B}</c15:txfldGUID>
                      <c15:f>institutions_spss!$U$88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D567-475E-BFFA-B08583A648EC}"/>
                </c:ext>
              </c:extLst>
            </c:dLbl>
            <c:dLbl>
              <c:idx val="85"/>
              <c:layout/>
              <c:tx>
                <c:strRef>
                  <c:f>institutions_spss!$U$89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{395F7E86-1B9A-4CE4-A6E8-BCCEE5E97464}</c15:txfldGUID>
                      <c15:f>institutions_spss!$U$89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6-D567-475E-BFFA-B08583A648EC}"/>
                </c:ext>
              </c:extLst>
            </c:dLbl>
            <c:dLbl>
              <c:idx val="86"/>
              <c:layout/>
              <c:tx>
                <c:strRef>
                  <c:f>institutions_spss!$U$90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{0FC45172-84A4-49DE-A8B1-2E1E1FF4931B}</c15:txfldGUID>
                      <c15:f>institutions_spss!$U$90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D567-475E-BFFA-B08583A648EC}"/>
                </c:ext>
              </c:extLst>
            </c:dLbl>
            <c:dLbl>
              <c:idx val="87"/>
              <c:layout/>
              <c:tx>
                <c:strRef>
                  <c:f>institutions_spss!$U$91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{65C24CB3-967F-43E3-937F-224FEE1813EB}</c15:txfldGUID>
                      <c15:f>institutions_spss!$U$91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D567-475E-BFFA-B08583A648EC}"/>
                </c:ext>
              </c:extLst>
            </c:dLbl>
            <c:dLbl>
              <c:idx val="88"/>
              <c:layout/>
              <c:tx>
                <c:strRef>
                  <c:f>institutions_spss!$U$92</c:f>
                  <c:strCache>
                    <c:ptCount val="1"/>
                    <c:pt idx="0">
                      <c:v>Toulouse 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{57311855-A2BE-488F-B80D-9ED563A8D3A2}</c15:txfldGUID>
                      <c15:f>institutions_spss!$U$92</c15:f>
                      <c15:dlblFieldTableCache>
                        <c:ptCount val="1"/>
                        <c:pt idx="0">
                          <c:v>Toulouse 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D567-475E-BFFA-B08583A648EC}"/>
                </c:ext>
              </c:extLst>
            </c:dLbl>
            <c:dLbl>
              <c:idx val="89"/>
              <c:layout/>
              <c:tx>
                <c:strRef>
                  <c:f>institutions_spss!$U$93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{238DF239-C991-4337-99FE-B8CE7ABC52EF}</c15:txfldGUID>
                      <c15:f>institutions_spss!$U$93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D567-475E-BFFA-B08583A648EC}"/>
                </c:ext>
              </c:extLst>
            </c:dLbl>
            <c:dLbl>
              <c:idx val="90"/>
              <c:layout/>
              <c:tx>
                <c:strRef>
                  <c:f>institutions_spss!$U$94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{9C82DD6B-48C9-416E-87DD-38D865D72D37}</c15:txfldGUID>
                      <c15:f>institutions_spss!$U$94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D567-475E-BFFA-B08583A648EC}"/>
                </c:ext>
              </c:extLst>
            </c:dLbl>
            <c:dLbl>
              <c:idx val="91"/>
              <c:layout/>
              <c:tx>
                <c:strRef>
                  <c:f>institutions_spss!$U$95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{76DA72AF-4298-43C4-AFFC-7E9830C4AAF1}</c15:txfldGUID>
                      <c15:f>institutions_spss!$U$95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D567-475E-BFFA-B08583A648EC}"/>
                </c:ext>
              </c:extLst>
            </c:dLbl>
            <c:dLbl>
              <c:idx val="92"/>
              <c:layout/>
              <c:tx>
                <c:strRef>
                  <c:f>institutions_spss!$U$96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{3419696C-A9D1-4E35-84DF-33EFBE931236}</c15:txfldGUID>
                      <c15:f>institutions_spss!$U$96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D567-475E-BFFA-B08583A648EC}"/>
                </c:ext>
              </c:extLst>
            </c:dLbl>
            <c:dLbl>
              <c:idx val="93"/>
              <c:layout/>
              <c:tx>
                <c:strRef>
                  <c:f>institutions_spss!$U$97</c:f>
                  <c:strCache>
                    <c:ptCount val="1"/>
                    <c:pt idx="0">
                      <c:v>Paris S Econ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{F86D1512-54B2-4F51-82A9-175A1A9A140D}</c15:txfldGUID>
                      <c15:f>institutions_spss!$U$97</c15:f>
                      <c15:dlblFieldTableCache>
                        <c:ptCount val="1"/>
                        <c:pt idx="0">
                          <c:v>Paris S Econ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D567-475E-BFFA-B08583A648EC}"/>
                </c:ext>
              </c:extLst>
            </c:dLbl>
            <c:dLbl>
              <c:idx val="94"/>
              <c:layout/>
              <c:tx>
                <c:strRef>
                  <c:f>institutions_spss!$U$98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{B2A15ADE-8C60-4693-AF6D-2A25921505A9}</c15:txfldGUID>
                      <c15:f>institutions_spss!$U$98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D567-475E-BFFA-B08583A648EC}"/>
                </c:ext>
              </c:extLst>
            </c:dLbl>
            <c:dLbl>
              <c:idx val="95"/>
              <c:layout/>
              <c:tx>
                <c:strRef>
                  <c:f>institutions_spss!$U$99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{BED9CCF7-FC1A-4E3A-B019-750B83FA8159}</c15:txfldGUID>
                      <c15:f>institutions_spss!$U$99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D567-475E-BFFA-B08583A648EC}"/>
                </c:ext>
              </c:extLst>
            </c:dLbl>
            <c:dLbl>
              <c:idx val="96"/>
              <c:layout/>
              <c:tx>
                <c:strRef>
                  <c:f>institutions_spss!$U$100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{E5D3F4CC-5EB9-4128-8DAC-6BF13AF584FC}</c15:txfldGUID>
                      <c15:f>institutions_spss!$U$100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D567-475E-BFFA-B08583A648EC}"/>
                </c:ext>
              </c:extLst>
            </c:dLbl>
            <c:dLbl>
              <c:idx val="97"/>
              <c:layout/>
              <c:tx>
                <c:strRef>
                  <c:f>institutions_spss!$U$101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{E99816FE-A1B7-4D6F-BF94-351EA2EDC86B}</c15:txfldGUID>
                      <c15:f>institutions_spss!$U$101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D567-475E-BFFA-B08583A648EC}"/>
                </c:ext>
              </c:extLst>
            </c:dLbl>
            <c:dLbl>
              <c:idx val="98"/>
              <c:layout/>
              <c:tx>
                <c:strRef>
                  <c:f>institutions_spss!$U$102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{DDFFDB83-9488-4FFD-870D-C94C7FBF9E79}</c15:txfldGUID>
                      <c15:f>institutions_spss!$U$102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D567-475E-BFFA-B08583A648EC}"/>
                </c:ext>
              </c:extLst>
            </c:dLbl>
            <c:dLbl>
              <c:idx val="99"/>
              <c:layout/>
              <c:tx>
                <c:strRef>
                  <c:f>institutions_spss!$U$103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{75010177-E10F-40AD-B8D8-50F464EE822A}</c15:txfldGUID>
                      <c15:f>institutions_spss!$U$103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D567-475E-BFFA-B08583A648EC}"/>
                </c:ext>
              </c:extLst>
            </c:dLbl>
            <c:dLbl>
              <c:idx val="100"/>
              <c:layout/>
              <c:tx>
                <c:strRef>
                  <c:f>institutions_spss!$U$104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{FEBBD5AF-793F-44F3-A5AA-2E5FDCEC27AC}</c15:txfldGUID>
                      <c15:f>institutions_spss!$U$104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0235-4FEE-9FAC-95D5ECB60C56}"/>
                </c:ext>
              </c:extLst>
            </c:dLbl>
            <c:dLbl>
              <c:idx val="101"/>
              <c:layout/>
              <c:tx>
                <c:strRef>
                  <c:f>institutions_spss!$U$105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{CBF7B5C8-A8DE-4907-8BF7-943F3F1EEADB}</c15:txfldGUID>
                      <c15:f>institutions_spss!$U$105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0235-4FEE-9FAC-95D5ECB60C56}"/>
                </c:ext>
              </c:extLst>
            </c:dLbl>
            <c:dLbl>
              <c:idx val="102"/>
              <c:layout/>
              <c:tx>
                <c:strRef>
                  <c:f>institutions_spss!$U$106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{2CCAAEAC-3B11-4F8A-ACC2-86D4296D8C98}</c15:txfldGUID>
                      <c15:f>institutions_spss!$U$106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0235-4FEE-9FAC-95D5ECB60C56}"/>
                </c:ext>
              </c:extLst>
            </c:dLbl>
            <c:dLbl>
              <c:idx val="103"/>
              <c:layout/>
              <c:tx>
                <c:strRef>
                  <c:f>institutions_spss!$U$107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{3BAB9E67-FF03-4067-8575-DC15156F8E86}</c15:txfldGUID>
                      <c15:f>institutions_spss!$U$107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0235-4FEE-9FAC-95D5ECB60C56}"/>
                </c:ext>
              </c:extLst>
            </c:dLbl>
            <c:dLbl>
              <c:idx val="104"/>
              <c:layout/>
              <c:tx>
                <c:strRef>
                  <c:f>institutions_spss!$U$108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{5799469D-3CB3-4338-968A-5805AFBA23AB}</c15:txfldGUID>
                      <c15:f>institutions_spss!$U$108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0235-4FEE-9FAC-95D5ECB60C56}"/>
                </c:ext>
              </c:extLst>
            </c:dLbl>
            <c:dLbl>
              <c:idx val="105"/>
              <c:layout/>
              <c:tx>
                <c:strRef>
                  <c:f>institutions_spss!$U$109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{D524F023-6D12-4F7D-B4C9-C10D0AAE0633}</c15:txfldGUID>
                      <c15:f>institutions_spss!$U$109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0235-4FEE-9FAC-95D5ECB60C56}"/>
                </c:ext>
              </c:extLst>
            </c:dLbl>
            <c:dLbl>
              <c:idx val="106"/>
              <c:layout/>
              <c:tx>
                <c:strRef>
                  <c:f>institutions_spss!$U$110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{1F4B2DF0-771B-4D53-AAD5-4D1A1B6D82D4}</c15:txfldGUID>
                      <c15:f>institutions_spss!$U$110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0235-4FEE-9FAC-95D5ECB60C56}"/>
                </c:ext>
              </c:extLst>
            </c:dLbl>
            <c:dLbl>
              <c:idx val="107"/>
              <c:layout/>
              <c:tx>
                <c:strRef>
                  <c:f>institutions_spss!$U$111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{CFDC5E2D-9ADC-4832-BC1C-53DE9E038D7A}</c15:txfldGUID>
                      <c15:f>institutions_spss!$U$111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0235-4FEE-9FAC-95D5ECB60C56}"/>
                </c:ext>
              </c:extLst>
            </c:dLbl>
            <c:dLbl>
              <c:idx val="108"/>
              <c:layout/>
              <c:tx>
                <c:strRef>
                  <c:f>institutions_spss!$U$112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{7AE52F36-B21E-44F5-A078-D73D0BC20DDA}</c15:txfldGUID>
                      <c15:f>institutions_spss!$U$112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0235-4FEE-9FAC-95D5ECB60C56}"/>
                </c:ext>
              </c:extLst>
            </c:dLbl>
            <c:dLbl>
              <c:idx val="109"/>
              <c:layout/>
              <c:tx>
                <c:strRef>
                  <c:f>institutions_spss!$U$113</c:f>
                  <c:strCache>
                    <c:ptCount val="1"/>
                    <c:pt idx="0">
                      <c:v>Leuphana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{DEA8CC31-029B-4540-8057-A6F5FF82E257}</c15:txfldGUID>
                      <c15:f>institutions_spss!$U$113</c15:f>
                      <c15:dlblFieldTableCache>
                        <c:ptCount val="1"/>
                        <c:pt idx="0">
                          <c:v>Leuphana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0235-4FEE-9FAC-95D5ECB60C56}"/>
                </c:ext>
              </c:extLst>
            </c:dLbl>
            <c:dLbl>
              <c:idx val="110"/>
              <c:layout/>
              <c:tx>
                <c:strRef>
                  <c:f>institutions_spss!$U$114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{347224D1-8814-4076-BF69-EDE633F546E8}</c15:txfldGUID>
                      <c15:f>institutions_spss!$U$114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0235-4FEE-9FAC-95D5ECB60C56}"/>
                </c:ext>
              </c:extLst>
            </c:dLbl>
            <c:dLbl>
              <c:idx val="111"/>
              <c:layout/>
              <c:tx>
                <c:strRef>
                  <c:f>institutions_spss!$U$115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{E5AC79AD-201E-4B45-9998-0897A8B437B0}</c15:txfldGUID>
                      <c15:f>institutions_spss!$U$115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0235-4FEE-9FAC-95D5ECB60C56}"/>
                </c:ext>
              </c:extLst>
            </c:dLbl>
            <c:dLbl>
              <c:idx val="112"/>
              <c:layout/>
              <c:tx>
                <c:strRef>
                  <c:f>institutions_spss!$U$116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{605C8563-AA0C-4958-A970-2CD9DCEE210A}</c15:txfldGUID>
                      <c15:f>institutions_spss!$U$116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0235-4FEE-9FAC-95D5ECB60C56}"/>
                </c:ext>
              </c:extLst>
            </c:dLbl>
            <c:dLbl>
              <c:idx val="113"/>
              <c:layout/>
              <c:tx>
                <c:strRef>
                  <c:f>institutions_spss!$U$117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{E539297C-5C8B-4893-8BAC-A52AC16BBFBD}</c15:txfldGUID>
                      <c15:f>institutions_spss!$U$117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0235-4FEE-9FAC-95D5ECB60C56}"/>
                </c:ext>
              </c:extLst>
            </c:dLbl>
            <c:dLbl>
              <c:idx val="114"/>
              <c:layout/>
              <c:tx>
                <c:strRef>
                  <c:f>institutions_spss!$U$118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{B19CFD0C-CF99-4EF1-8C9C-20CF1671FF1E}</c15:txfldGUID>
                      <c15:f>institutions_spss!$U$118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0235-4FEE-9FAC-95D5ECB60C56}"/>
                </c:ext>
              </c:extLst>
            </c:dLbl>
            <c:dLbl>
              <c:idx val="115"/>
              <c:layout/>
              <c:tx>
                <c:strRef>
                  <c:f>institutions_spss!$U$119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{2E98A9EF-6ADC-4327-B0FD-6CB9A7BEC6E9}</c15:txfldGUID>
                      <c15:f>institutions_spss!$U$119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0235-4FEE-9FAC-95D5ECB60C56}"/>
                </c:ext>
              </c:extLst>
            </c:dLbl>
            <c:dLbl>
              <c:idx val="116"/>
              <c:layout/>
              <c:tx>
                <c:strRef>
                  <c:f>institutions_spss!$U$120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{021E5A5B-209D-4F50-97B7-6F9796C9B4CD}</c15:txfldGUID>
                      <c15:f>institutions_spss!$U$120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0235-4FEE-9FAC-95D5ECB60C56}"/>
                </c:ext>
              </c:extLst>
            </c:dLbl>
            <c:dLbl>
              <c:idx val="117"/>
              <c:layout/>
              <c:tx>
                <c:strRef>
                  <c:f>institutions_spss!$U$121</c:f>
                  <c:strCache>
                    <c:ptCount val="1"/>
                    <c:pt idx="0">
                      <c:v>Munich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{0259B74C-CC09-46F3-BFF9-EB1EDF56CAF0}</c15:txfldGUID>
                      <c15:f>institutions_spss!$U$121</c15:f>
                      <c15:dlblFieldTableCache>
                        <c:ptCount val="1"/>
                        <c:pt idx="0">
                          <c:v>Munich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0235-4FEE-9FAC-95D5ECB60C56}"/>
                </c:ext>
              </c:extLst>
            </c:dLbl>
            <c:dLbl>
              <c:idx val="118"/>
              <c:layout/>
              <c:tx>
                <c:strRef>
                  <c:f>institutions_spss!$U$122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{20C3B22C-509B-4C43-A640-3213A0E78315}</c15:txfldGUID>
                      <c15:f>institutions_spss!$U$122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0235-4FEE-9FAC-95D5ECB60C56}"/>
                </c:ext>
              </c:extLst>
            </c:dLbl>
            <c:dLbl>
              <c:idx val="119"/>
              <c:layout/>
              <c:tx>
                <c:strRef>
                  <c:f>institutions_spss!$U$123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{2C47350B-4514-4DD2-8C2E-3364EEA051A7}</c15:txfldGUID>
                      <c15:f>institutions_spss!$U$123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0235-4FEE-9FAC-95D5ECB60C56}"/>
                </c:ext>
              </c:extLst>
            </c:dLbl>
            <c:dLbl>
              <c:idx val="120"/>
              <c:layout/>
              <c:tx>
                <c:strRef>
                  <c:f>institutions_spss!$U$124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{87CE6C66-FCBC-45D6-9842-EAAB9520352B}</c15:txfldGUID>
                      <c15:f>institutions_spss!$U$124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0235-4FEE-9FAC-95D5ECB60C56}"/>
                </c:ext>
              </c:extLst>
            </c:dLbl>
            <c:dLbl>
              <c:idx val="121"/>
              <c:layout/>
              <c:tx>
                <c:strRef>
                  <c:f>institutions_spss!$U$125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{B3183F6E-7C5E-4A72-986F-420A11CAD02B}</c15:txfldGUID>
                      <c15:f>institutions_spss!$U$125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0235-4FEE-9FAC-95D5ECB60C56}"/>
                </c:ext>
              </c:extLst>
            </c:dLbl>
            <c:dLbl>
              <c:idx val="122"/>
              <c:layout/>
              <c:tx>
                <c:strRef>
                  <c:f>institutions_spss!$U$126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{86584234-C63D-4D64-8F63-6C25E439360D}</c15:txfldGUID>
                      <c15:f>institutions_spss!$U$126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0235-4FEE-9FAC-95D5ECB60C56}"/>
                </c:ext>
              </c:extLst>
            </c:dLbl>
            <c:dLbl>
              <c:idx val="123"/>
              <c:layout/>
              <c:tx>
                <c:strRef>
                  <c:f>institutions_spss!$U$127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{E866D043-F26D-41DF-9415-B6131C62D086}</c15:txfldGUID>
                      <c15:f>institutions_spss!$U$127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0235-4FEE-9FAC-95D5ECB60C56}"/>
                </c:ext>
              </c:extLst>
            </c:dLbl>
            <c:dLbl>
              <c:idx val="124"/>
              <c:layout/>
              <c:tx>
                <c:strRef>
                  <c:f>institutions_spss!$U$128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{A1D97DDC-08EC-4874-BEFF-3F7F51AD75D6}</c15:txfldGUID>
                      <c15:f>institutions_spss!$U$128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0235-4FEE-9FAC-95D5ECB60C56}"/>
                </c:ext>
              </c:extLst>
            </c:dLbl>
            <c:dLbl>
              <c:idx val="125"/>
              <c:layout/>
              <c:tx>
                <c:strRef>
                  <c:f>institutions_spss!$U$129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{63B0D07F-09E7-4E0C-A9F4-9A9155BB7223}</c15:txfldGUID>
                      <c15:f>institutions_spss!$U$129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0235-4FEE-9FAC-95D5ECB60C56}"/>
                </c:ext>
              </c:extLst>
            </c:dLbl>
            <c:dLbl>
              <c:idx val="126"/>
              <c:layout/>
              <c:tx>
                <c:strRef>
                  <c:f>institutions_spss!$U$130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{416F1ECC-2B3F-470A-AF58-B16DD26E0E96}</c15:txfldGUID>
                      <c15:f>institutions_spss!$U$130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0235-4FEE-9FAC-95D5ECB60C56}"/>
                </c:ext>
              </c:extLst>
            </c:dLbl>
            <c:dLbl>
              <c:idx val="127"/>
              <c:layout/>
              <c:tx>
                <c:strRef>
                  <c:f>institutions_spss!$U$131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{FCBE3D45-1674-45D4-BE92-B37A96A0A6D1}</c15:txfldGUID>
                      <c15:f>institutions_spss!$U$131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0235-4FEE-9FAC-95D5ECB60C56}"/>
                </c:ext>
              </c:extLst>
            </c:dLbl>
            <c:dLbl>
              <c:idx val="128"/>
              <c:layout/>
              <c:tx>
                <c:strRef>
                  <c:f>institutions_spss!$U$132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{69B018F1-BFF8-46E6-8B55-891587F1FFD5}</c15:txfldGUID>
                      <c15:f>institutions_spss!$U$132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0235-4FEE-9FAC-95D5ECB60C56}"/>
                </c:ext>
              </c:extLst>
            </c:dLbl>
            <c:dLbl>
              <c:idx val="129"/>
              <c:layout/>
              <c:tx>
                <c:strRef>
                  <c:f>institutions_spss!$U$133</c:f>
                  <c:strCache>
                    <c:ptCount val="1"/>
                    <c:pt idx="0">
                      <c:v>Mannheim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{44546220-3ADB-4241-8366-0473573D852B}</c15:txfldGUID>
                      <c15:f>institutions_spss!$U$133</c15:f>
                      <c15:dlblFieldTableCache>
                        <c:ptCount val="1"/>
                        <c:pt idx="0">
                          <c:v>Mannheim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0235-4FEE-9FAC-95D5ECB60C56}"/>
                </c:ext>
              </c:extLst>
            </c:dLbl>
            <c:dLbl>
              <c:idx val="130"/>
              <c:layout/>
              <c:tx>
                <c:strRef>
                  <c:f>institutions_spss!$U$134</c:f>
                  <c:strCache>
                    <c:ptCount val="1"/>
                    <c:pt idx="0">
                      <c:v>Navarra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{7C41132D-8B74-46D8-B701-226D3F4EEFB8}</c15:txfldGUID>
                      <c15:f>institutions_spss!$U$134</c15:f>
                      <c15:dlblFieldTableCache>
                        <c:ptCount val="1"/>
                        <c:pt idx="0">
                          <c:v>Navarra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0235-4FEE-9FAC-95D5ECB60C56}"/>
                </c:ext>
              </c:extLst>
            </c:dLbl>
            <c:dLbl>
              <c:idx val="131"/>
              <c:layout/>
              <c:tx>
                <c:strRef>
                  <c:f>institutions_spss!$U$135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{932FEA44-AC51-4A47-9BD4-65EC59DCF730}</c15:txfldGUID>
                      <c15:f>institutions_spss!$U$135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0235-4FEE-9FAC-95D5ECB60C56}"/>
                </c:ext>
              </c:extLst>
            </c:dLbl>
            <c:dLbl>
              <c:idx val="132"/>
              <c:layout/>
              <c:tx>
                <c:strRef>
                  <c:f>institutions_spss!$U$136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{DE7F4E41-B2E6-4922-B1EF-FEE9B2544EB7}</c15:txfldGUID>
                      <c15:f>institutions_spss!$U$136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0235-4FEE-9FAC-95D5ECB60C56}"/>
                </c:ext>
              </c:extLst>
            </c:dLbl>
            <c:dLbl>
              <c:idx val="133"/>
              <c:layout/>
              <c:tx>
                <c:strRef>
                  <c:f>institutions_spss!$U$137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{C438C579-D04A-4549-AF52-3A47A0F38650}</c15:txfldGUID>
                      <c15:f>institutions_spss!$U$137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0235-4FEE-9FAC-95D5ECB60C56}"/>
                </c:ext>
              </c:extLst>
            </c:dLbl>
            <c:dLbl>
              <c:idx val="134"/>
              <c:layout/>
              <c:tx>
                <c:strRef>
                  <c:f>institutions_spss!$U$138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{7993CAA3-8B02-4511-B3E5-714EAA16B1AC}</c15:txfldGUID>
                      <c15:f>institutions_spss!$U$138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0235-4FEE-9FAC-95D5ECB60C56}"/>
                </c:ext>
              </c:extLst>
            </c:dLbl>
            <c:dLbl>
              <c:idx val="135"/>
              <c:layout/>
              <c:tx>
                <c:strRef>
                  <c:f>institutions_spss!$U$139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{9465B010-5DA6-49EE-A202-0E01E2DB232E}</c15:txfldGUID>
                      <c15:f>institutions_spss!$U$139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0235-4FEE-9FAC-95D5ECB60C56}"/>
                </c:ext>
              </c:extLst>
            </c:dLbl>
            <c:dLbl>
              <c:idx val="136"/>
              <c:layout/>
              <c:tx>
                <c:strRef>
                  <c:f>institutions_spss!$U$140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{920C74B1-0BFE-4FCA-B560-FE9780E90E48}</c15:txfldGUID>
                      <c15:f>institutions_spss!$U$140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0235-4FEE-9FAC-95D5ECB60C56}"/>
                </c:ext>
              </c:extLst>
            </c:dLbl>
            <c:dLbl>
              <c:idx val="137"/>
              <c:layout/>
              <c:tx>
                <c:strRef>
                  <c:f>institutions_spss!$U$141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{F29DF413-5A3F-4D7F-BD9A-631FB939B99E}</c15:txfldGUID>
                      <c15:f>institutions_spss!$U$141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0235-4FEE-9FAC-95D5ECB60C56}"/>
                </c:ext>
              </c:extLst>
            </c:dLbl>
            <c:dLbl>
              <c:idx val="138"/>
              <c:layout/>
              <c:tx>
                <c:strRef>
                  <c:f>institutions_spss!$U$142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{07E892EE-741E-4796-A703-4858C9CDF01E}</c15:txfldGUID>
                      <c15:f>institutions_spss!$U$142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0235-4FEE-9FAC-95D5ECB60C56}"/>
                </c:ext>
              </c:extLst>
            </c:dLbl>
            <c:dLbl>
              <c:idx val="139"/>
              <c:layout/>
              <c:tx>
                <c:strRef>
                  <c:f>institutions_spss!$U$143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{75DDC287-049E-43EC-A931-EBD980359E1C}</c15:txfldGUID>
                      <c15:f>institutions_spss!$U$143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0235-4FEE-9FAC-95D5ECB60C56}"/>
                </c:ext>
              </c:extLst>
            </c:dLbl>
            <c:dLbl>
              <c:idx val="140"/>
              <c:layout/>
              <c:tx>
                <c:strRef>
                  <c:f>institutions_spss!$U$144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{742C1EE0-A8BD-4E9B-9418-6B0A7B8BA544}</c15:txfldGUID>
                      <c15:f>institutions_spss!$U$144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0235-4FEE-9FAC-95D5ECB60C56}"/>
                </c:ext>
              </c:extLst>
            </c:dLbl>
            <c:dLbl>
              <c:idx val="141"/>
              <c:layout/>
              <c:tx>
                <c:strRef>
                  <c:f>institutions_spss!$U$145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{41362352-D0CF-4E5D-A0BD-ECED5328DB7F}</c15:txfldGUID>
                      <c15:f>institutions_spss!$U$145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0235-4FEE-9FAC-95D5ECB60C56}"/>
                </c:ext>
              </c:extLst>
            </c:dLbl>
            <c:dLbl>
              <c:idx val="142"/>
              <c:layout/>
              <c:tx>
                <c:strRef>
                  <c:f>institutions_spss!$U$146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{71BBB55B-DB6C-4073-85BB-D7EF416DDE6C}</c15:txfldGUID>
                      <c15:f>institutions_spss!$U$146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0235-4FEE-9FAC-95D5ECB60C56}"/>
                </c:ext>
              </c:extLst>
            </c:dLbl>
            <c:dLbl>
              <c:idx val="143"/>
              <c:layout/>
              <c:tx>
                <c:strRef>
                  <c:f>institutions_spss!$U$147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{0BE4FBDC-72CB-4A6A-B6D0-5957FCD5524A}</c15:txfldGUID>
                      <c15:f>institutions_spss!$U$147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0235-4FEE-9FAC-95D5ECB60C56}"/>
                </c:ext>
              </c:extLst>
            </c:dLbl>
            <c:dLbl>
              <c:idx val="144"/>
              <c:layout/>
              <c:tx>
                <c:strRef>
                  <c:f>institutions_spss!$U$148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{EAF61525-0D48-49CC-BE0A-5379F72786C6}</c15:txfldGUID>
                      <c15:f>institutions_spss!$U$148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0235-4FEE-9FAC-95D5ECB60C56}"/>
                </c:ext>
              </c:extLst>
            </c:dLbl>
            <c:dLbl>
              <c:idx val="145"/>
              <c:layout/>
              <c:tx>
                <c:strRef>
                  <c:f>institutions_spss!$U$149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{4B6C2C4F-8F52-40A7-867B-9C6AD8F5AD5A}</c15:txfldGUID>
                      <c15:f>institutions_spss!$U$149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0235-4FEE-9FAC-95D5ECB60C56}"/>
                </c:ext>
              </c:extLst>
            </c:dLbl>
            <c:dLbl>
              <c:idx val="146"/>
              <c:layout/>
              <c:tx>
                <c:strRef>
                  <c:f>institutions_spss!$U$150</c:f>
                  <c:strCache>
                    <c:ptCount val="1"/>
                    <c:pt idx="0">
                      <c:v>Ifo Institut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{7CD3BE33-5C3B-4B06-B878-1280B16496E9}</c15:txfldGUID>
                      <c15:f>institutions_spss!$U$150</c15:f>
                      <c15:dlblFieldTableCache>
                        <c:ptCount val="1"/>
                        <c:pt idx="0">
                          <c:v>Ifo Institut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0235-4FEE-9FAC-95D5ECB60C56}"/>
                </c:ext>
              </c:extLst>
            </c:dLbl>
            <c:dLbl>
              <c:idx val="147"/>
              <c:layout/>
              <c:tx>
                <c:strRef>
                  <c:f>institutions_spss!$U$151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{A1CD9CD8-1471-4050-9630-44F9670B4127}</c15:txfldGUID>
                      <c15:f>institutions_spss!$U$151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0235-4FEE-9FAC-95D5ECB60C56}"/>
                </c:ext>
              </c:extLst>
            </c:dLbl>
            <c:dLbl>
              <c:idx val="148"/>
              <c:layout>
                <c:manualLayout>
                  <c:x val="-5.2363878096024108E-2"/>
                  <c:y val="-1.5944195316392698E-2"/>
                </c:manualLayout>
              </c:layout>
              <c:tx>
                <c:strRef>
                  <c:f>institutions_spss!$U$152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{4CF4ADE2-68A4-44D6-9DB0-4F0068324CF1}</c15:txfldGUID>
                      <c15:f>institutions_spss!$U$152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0235-4FEE-9FAC-95D5ECB60C56}"/>
                </c:ext>
              </c:extLst>
            </c:dLbl>
            <c:dLbl>
              <c:idx val="149"/>
              <c:layout/>
              <c:tx>
                <c:strRef>
                  <c:f>institutions_spss!$U$153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{891EC4A3-EA24-438D-BF4A-396BFD288AA7}</c15:txfldGUID>
                      <c15:f>institutions_spss!$U$153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0235-4FEE-9FAC-95D5ECB60C56}"/>
                </c:ext>
              </c:extLst>
            </c:dLbl>
            <c:dLbl>
              <c:idx val="150"/>
              <c:layout/>
              <c:tx>
                <c:strRef>
                  <c:f>institutions_spss!$U$154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{C1B9067B-8FD5-4D75-81E4-067FB422B0A5}</c15:txfldGUID>
                      <c15:f>institutions_spss!$U$154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0235-4FEE-9FAC-95D5ECB60C56}"/>
                </c:ext>
              </c:extLst>
            </c:dLbl>
            <c:dLbl>
              <c:idx val="151"/>
              <c:layout/>
              <c:tx>
                <c:strRef>
                  <c:f>institutions_spss!$U$155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{0D8B98A6-22AE-47D9-883A-05BAE8B06984}</c15:txfldGUID>
                      <c15:f>institutions_spss!$U$155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0235-4FEE-9FAC-95D5ECB60C56}"/>
                </c:ext>
              </c:extLst>
            </c:dLbl>
            <c:dLbl>
              <c:idx val="152"/>
              <c:layout>
                <c:manualLayout>
                  <c:x val="-5.8369952664213912E-3"/>
                  <c:y val="3.9860488290981563E-3"/>
                </c:manualLayout>
              </c:layout>
              <c:tx>
                <c:strRef>
                  <c:f>institutions_spss!$U$156</c:f>
                  <c:strCache>
                    <c:ptCount val="1"/>
                    <c:pt idx="0">
                      <c:v>heSam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{D3FFBDEC-C7B3-4D07-A54D-EBA615E9CA2C}</c15:txfldGUID>
                      <c15:f>institutions_spss!$U$156</c15:f>
                      <c15:dlblFieldTableCache>
                        <c:ptCount val="1"/>
                        <c:pt idx="0">
                          <c:v>heSam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0235-4FEE-9FAC-95D5ECB60C56}"/>
                </c:ext>
              </c:extLst>
            </c:dLbl>
            <c:dLbl>
              <c:idx val="153"/>
              <c:layout/>
              <c:tx>
                <c:strRef>
                  <c:f>institutions_spss!$U$157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{F0FD9855-5A13-48A5-8B00-A42D5E804FB0}</c15:txfldGUID>
                      <c15:f>institutions_spss!$U$157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0235-4FEE-9FAC-95D5ECB60C56}"/>
                </c:ext>
              </c:extLst>
            </c:dLbl>
            <c:dLbl>
              <c:idx val="154"/>
              <c:layout/>
              <c:tx>
                <c:strRef>
                  <c:f>institutions_spss!$U$158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{0FEDDF14-FE7A-425D-A192-894751372C65}</c15:txfldGUID>
                      <c15:f>institutions_spss!$U$158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0235-4FEE-9FAC-95D5ECB60C56}"/>
                </c:ext>
              </c:extLst>
            </c:dLbl>
            <c:dLbl>
              <c:idx val="155"/>
              <c:layout/>
              <c:tx>
                <c:strRef>
                  <c:f>institutions_spss!$U$159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{A66A940B-24DD-4DD9-9DAE-B5A604C322C1}</c15:txfldGUID>
                      <c15:f>institutions_spss!$U$159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0235-4FEE-9FAC-95D5ECB60C56}"/>
                </c:ext>
              </c:extLst>
            </c:dLbl>
            <c:dLbl>
              <c:idx val="156"/>
              <c:layout/>
              <c:tx>
                <c:strRef>
                  <c:f>institutions_spss!$U$160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{0C73CDAF-CF06-4FFE-8E2C-2C63EED8426D}</c15:txfldGUID>
                      <c15:f>institutions_spss!$U$160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0235-4FEE-9FAC-95D5ECB60C56}"/>
                </c:ext>
              </c:extLst>
            </c:dLbl>
            <c:dLbl>
              <c:idx val="157"/>
              <c:layout>
                <c:manualLayout>
                  <c:x val="-3.2489082969432398E-2"/>
                  <c:y val="-2.5909317389138091E-2"/>
                </c:manualLayout>
              </c:layout>
              <c:tx>
                <c:strRef>
                  <c:f>institutions_spss!$U$161</c:f>
                  <c:strCache>
                    <c:ptCount val="1"/>
                    <c:pt idx="0">
                      <c:v>ESSEC BS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{76410E25-D8BD-4DE3-90BE-FF9F40614940}</c15:txfldGUID>
                      <c15:f>institutions_spss!$U$161</c15:f>
                      <c15:dlblFieldTableCache>
                        <c:ptCount val="1"/>
                        <c:pt idx="0">
                          <c:v>ESSEC BS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0235-4FEE-9FAC-95D5ECB60C56}"/>
                </c:ext>
              </c:extLst>
            </c:dLbl>
            <c:dLbl>
              <c:idx val="158"/>
              <c:layout/>
              <c:tx>
                <c:strRef>
                  <c:f>institutions_spss!$U$162</c:f>
                  <c:strCache>
                    <c:ptCount val="1"/>
                    <c:pt idx="0">
                      <c:v>IE Univ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{0F83BEBC-E740-45C4-A399-FC3A12577791}</c15:txfldGUID>
                      <c15:f>institutions_spss!$U$162</c15:f>
                      <c15:dlblFieldTableCache>
                        <c:ptCount val="1"/>
                        <c:pt idx="0">
                          <c:v>IE Univ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0235-4FEE-9FAC-95D5ECB60C56}"/>
                </c:ext>
              </c:extLst>
            </c:dLbl>
            <c:dLbl>
              <c:idx val="159"/>
              <c:layout/>
              <c:tx>
                <c:strRef>
                  <c:f>institutions_spss!$U$163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{6781791B-E6C9-4098-A8E1-AE3D61876127}</c15:txfldGUID>
                      <c15:f>institutions_spss!$U$163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0235-4FEE-9FAC-95D5ECB60C56}"/>
                </c:ext>
              </c:extLst>
            </c:dLbl>
            <c:dLbl>
              <c:idx val="160"/>
              <c:layout/>
              <c:tx>
                <c:strRef>
                  <c:f>institutions_spss!$U$164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{AD1E14BE-8F42-421C-9C47-614BA27C99E2}</c15:txfldGUID>
                      <c15:f>institutions_spss!$U$164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0235-4FEE-9FAC-95D5ECB60C56}"/>
                </c:ext>
              </c:extLst>
            </c:dLbl>
            <c:dLbl>
              <c:idx val="161"/>
              <c:layout/>
              <c:tx>
                <c:strRef>
                  <c:f>institutions_spss!$U$165</c:f>
                  <c:strCache>
                    <c:ptCount val="1"/>
                    <c:pt idx="0">
                      <c:v>Humboldt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{23B2527A-AF50-4A1A-941F-35383A459EF2}</c15:txfldGUID>
                      <c15:f>institutions_spss!$U$165</c15:f>
                      <c15:dlblFieldTableCache>
                        <c:ptCount val="1"/>
                        <c:pt idx="0">
                          <c:v>Humboldt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0235-4FEE-9FAC-95D5ECB60C56}"/>
                </c:ext>
              </c:extLst>
            </c:dLbl>
            <c:dLbl>
              <c:idx val="162"/>
              <c:layout/>
              <c:tx>
                <c:strRef>
                  <c:f>institutions_spss!$U$166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{71305EF5-21C3-4AF0-B8C4-85925A2D1797}</c15:txfldGUID>
                      <c15:f>institutions_spss!$U$166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0235-4FEE-9FAC-95D5ECB60C56}"/>
                </c:ext>
              </c:extLst>
            </c:dLbl>
            <c:dLbl>
              <c:idx val="163"/>
              <c:layout/>
              <c:tx>
                <c:strRef>
                  <c:f>institutions_spss!$U$167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{480F6634-8FB7-4B85-B9ED-5BA0624E791D}</c15:txfldGUID>
                      <c15:f>institutions_spss!$U$167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0235-4FEE-9FAC-95D5ECB60C56}"/>
                </c:ext>
              </c:extLst>
            </c:dLbl>
            <c:dLbl>
              <c:idx val="164"/>
              <c:layout/>
              <c:tx>
                <c:strRef>
                  <c:f>institutions_spss!$U$168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{AB8C5482-160F-469D-BC15-112460C487F3}</c15:txfldGUID>
                      <c15:f>institutions_spss!$U$168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0235-4FEE-9FAC-95D5ECB60C56}"/>
                </c:ext>
              </c:extLst>
            </c:dLbl>
            <c:dLbl>
              <c:idx val="165"/>
              <c:layout>
                <c:manualLayout>
                  <c:x val="-3.7746770736627355E-2"/>
                  <c:y val="2.1923268560039788E-2"/>
                </c:manualLayout>
              </c:layout>
              <c:tx>
                <c:strRef>
                  <c:f>institutions_spss!$U$169</c:f>
                  <c:strCache>
                    <c:ptCount val="1"/>
                    <c:pt idx="0">
                      <c:v>Europ Cent Bank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{2A466426-F195-4739-8DAC-92BC2F23FA64}</c15:txfldGUID>
                      <c15:f>institutions_spss!$U$169</c15:f>
                      <c15:dlblFieldTableCache>
                        <c:ptCount val="1"/>
                        <c:pt idx="0">
                          <c:v>Europ Cent Bank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0235-4FEE-9FAC-95D5ECB60C56}"/>
                </c:ext>
              </c:extLst>
            </c:dLbl>
            <c:dLbl>
              <c:idx val="166"/>
              <c:layout/>
              <c:tx>
                <c:strRef>
                  <c:f>institutions_spss!$U$170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{A0E1E62A-946C-40B1-AD4F-D7E934B51BC5}</c15:txfldGUID>
                      <c15:f>institutions_spss!$U$170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0235-4FEE-9FAC-95D5ECB60C56}"/>
                </c:ext>
              </c:extLst>
            </c:dLbl>
            <c:dLbl>
              <c:idx val="167"/>
              <c:layout/>
              <c:tx>
                <c:strRef>
                  <c:f>institutions_spss!$U$171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{69CDB98A-F7B7-4148-BE24-0DF0D12D162D}</c15:txfldGUID>
                      <c15:f>institutions_spss!$U$171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0235-4FEE-9FAC-95D5ECB60C56}"/>
                </c:ext>
              </c:extLst>
            </c:dLbl>
            <c:dLbl>
              <c:idx val="168"/>
              <c:layout/>
              <c:tx>
                <c:strRef>
                  <c:f>institutions_spss!$U$172</c:f>
                  <c:strCache>
                    <c:ptCount val="1"/>
                    <c:pt idx="0">
                      <c:v>ESCP BS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{8DB226AD-1179-4F78-BD87-52EF9BED0384}</c15:txfldGUID>
                      <c15:f>institutions_spss!$U$172</c15:f>
                      <c15:dlblFieldTableCache>
                        <c:ptCount val="1"/>
                        <c:pt idx="0">
                          <c:v>ESCP BS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0235-4FEE-9FAC-95D5ECB60C56}"/>
                </c:ext>
              </c:extLst>
            </c:dLbl>
            <c:dLbl>
              <c:idx val="169"/>
              <c:layout/>
              <c:tx>
                <c:strRef>
                  <c:f>institutions_spss!$U$173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{9EFB5720-A301-4A64-A317-298B7EECCD5A}</c15:txfldGUID>
                      <c15:f>institutions_spss!$U$173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0235-4FEE-9FAC-95D5ECB60C56}"/>
                </c:ext>
              </c:extLst>
            </c:dLbl>
            <c:dLbl>
              <c:idx val="170"/>
              <c:layout/>
              <c:tx>
                <c:strRef>
                  <c:f>institutions_spss!$U$174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{ACD61FC6-5968-4288-8186-2A9D9BD39133}</c15:txfldGUID>
                      <c15:f>institutions_spss!$U$174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0235-4FEE-9FAC-95D5ECB60C56}"/>
                </c:ext>
              </c:extLst>
            </c:dLbl>
            <c:dLbl>
              <c:idx val="171"/>
              <c:layout>
                <c:manualLayout>
                  <c:x val="-4.021831768845497E-2"/>
                  <c:y val="1.5944195316392552E-2"/>
                </c:manualLayout>
              </c:layout>
              <c:tx>
                <c:strRef>
                  <c:f>institutions_spss!$U$175</c:f>
                  <c:strCache>
                    <c:ptCount val="1"/>
                    <c:pt idx="0">
                      <c:v>Ramon Llull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{DB129D86-9A0B-45C4-A16D-C126A95597D0}</c15:txfldGUID>
                      <c15:f>institutions_spss!$U$175</c15:f>
                      <c15:dlblFieldTableCache>
                        <c:ptCount val="1"/>
                        <c:pt idx="0">
                          <c:v>Ramon Llull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0235-4FEE-9FAC-95D5ECB60C56}"/>
                </c:ext>
              </c:extLst>
            </c:dLbl>
            <c:dLbl>
              <c:idx val="172"/>
              <c:layout/>
              <c:tx>
                <c:strRef>
                  <c:f>institutions_spss!$U$176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{0CAC133D-452F-4939-A78B-C81C1C1F6386}</c15:txfldGUID>
                      <c15:f>institutions_spss!$U$176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0235-4FEE-9FAC-95D5ECB60C56}"/>
                </c:ext>
              </c:extLst>
            </c:dLbl>
            <c:dLbl>
              <c:idx val="173"/>
              <c:layout/>
              <c:tx>
                <c:strRef>
                  <c:f>institutions_spss!$U$177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{43C537D1-44A3-48D8-A959-327B0B09DC04}</c15:txfldGUID>
                      <c15:f>institutions_spss!$U$177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0235-4FEE-9FAC-95D5ECB60C56}"/>
                </c:ext>
              </c:extLst>
            </c:dLbl>
            <c:dLbl>
              <c:idx val="174"/>
              <c:layout/>
              <c:tx>
                <c:strRef>
                  <c:f>institutions_spss!$U$178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{F37BF26B-6BBF-42AD-B628-23805EF51C3C}</c15:txfldGUID>
                      <c15:f>institutions_spss!$U$178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0235-4FEE-9FAC-95D5ECB60C56}"/>
                </c:ext>
              </c:extLst>
            </c:dLbl>
            <c:dLbl>
              <c:idx val="175"/>
              <c:layout/>
              <c:tx>
                <c:strRef>
                  <c:f>institutions_spss!$U$179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{F4727B97-3E97-42C6-9B21-83B30AB1DFBF}</c15:txfldGUID>
                      <c15:f>institutions_spss!$U$179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0235-4FEE-9FAC-95D5ECB60C56}"/>
                </c:ext>
              </c:extLst>
            </c:dLbl>
            <c:dLbl>
              <c:idx val="176"/>
              <c:layout/>
              <c:tx>
                <c:strRef>
                  <c:f>institutions_spss!$U$180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{538773AC-94A0-4315-B5D2-4CFF1800A7FC}</c15:txfldGUID>
                      <c15:f>institutions_spss!$U$180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0235-4FEE-9FAC-95D5ECB60C56}"/>
                </c:ext>
              </c:extLst>
            </c:dLbl>
            <c:dLbl>
              <c:idx val="177"/>
              <c:layout/>
              <c:tx>
                <c:strRef>
                  <c:f>institutions_spss!$U$181</c:f>
                  <c:strCache>
                    <c:ptCount val="1"/>
                    <c:pt idx="0">
                      <c:v>IESEG S Man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{95787868-5AE6-4A39-915A-090AC9CF8222}</c15:txfldGUID>
                      <c15:f>institutions_spss!$U$181</c15:f>
                      <c15:dlblFieldTableCache>
                        <c:ptCount val="1"/>
                        <c:pt idx="0">
                          <c:v>IESEG S Man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0235-4FEE-9FAC-95D5ECB60C56}"/>
                </c:ext>
              </c:extLst>
            </c:dLbl>
            <c:dLbl>
              <c:idx val="178"/>
              <c:layout/>
              <c:tx>
                <c:strRef>
                  <c:f>institutions_spss!$U$182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{2FC14817-C966-4F34-940F-E2EC08300A88}</c15:txfldGUID>
                      <c15:f>institutions_spss!$U$182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0235-4FEE-9FAC-95D5ECB60C56}"/>
                </c:ext>
              </c:extLst>
            </c:dLbl>
            <c:dLbl>
              <c:idx val="179"/>
              <c:layout/>
              <c:tx>
                <c:strRef>
                  <c:f>institutions_spss!$U$183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{CA6C3E28-F73B-488D-9F92-341E5868AAB9}</c15:txfldGUID>
                      <c15:f>institutions_spss!$U$183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0235-4FEE-9FAC-95D5ECB60C56}"/>
                </c:ext>
              </c:extLst>
            </c:dLbl>
            <c:dLbl>
              <c:idx val="180"/>
              <c:layout/>
              <c:tx>
                <c:strRef>
                  <c:f>institutions_spss!$U$184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{67AADA1A-5351-4264-8DD6-A91117058C86}</c15:txfldGUID>
                      <c15:f>institutions_spss!$U$184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0235-4FEE-9FAC-95D5ECB60C56}"/>
                </c:ext>
              </c:extLst>
            </c:dLbl>
            <c:dLbl>
              <c:idx val="181"/>
              <c:layout/>
              <c:tx>
                <c:strRef>
                  <c:f>institutions_spss!$U$185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{658FA7C7-8B4C-4D49-AD0E-B2781CB45DD9}</c15:txfldGUID>
                      <c15:f>institutions_spss!$U$185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0235-4FEE-9FAC-95D5ECB60C56}"/>
                </c:ext>
              </c:extLst>
            </c:dLbl>
            <c:dLbl>
              <c:idx val="182"/>
              <c:layout/>
              <c:tx>
                <c:strRef>
                  <c:f>institutions_spss!$U$186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{6D5DA53A-3790-48BE-A02C-C0F5D36D6778}</c15:txfldGUID>
                      <c15:f>institutions_spss!$U$186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0235-4FEE-9FAC-95D5ECB60C56}"/>
                </c:ext>
              </c:extLst>
            </c:dLbl>
            <c:dLbl>
              <c:idx val="183"/>
              <c:layout/>
              <c:tx>
                <c:strRef>
                  <c:f>institutions_spss!$U$187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{B004180C-CC1D-4256-8B58-D60356099C5B}</c15:txfldGUID>
                      <c15:f>institutions_spss!$U$187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0235-4FEE-9FAC-95D5ECB60C56}"/>
                </c:ext>
              </c:extLst>
            </c:dLbl>
            <c:dLbl>
              <c:idx val="184"/>
              <c:layout/>
              <c:tx>
                <c:strRef>
                  <c:f>institutions_spss!$U$188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{E475EEF2-AE9D-40E0-8995-A79B1EF90516}</c15:txfldGUID>
                      <c15:f>institutions_spss!$U$188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0235-4FEE-9FAC-95D5ECB60C56}"/>
                </c:ext>
              </c:extLst>
            </c:dLbl>
            <c:dLbl>
              <c:idx val="185"/>
              <c:layout/>
              <c:tx>
                <c:strRef>
                  <c:f>institutions_spss!$U$189</c:f>
                  <c:strCache>
                    <c:ptCount val="1"/>
                    <c:pt idx="0">
                      <c:v>WHU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{93F09E0B-0D56-4298-AE10-BA0760A9A536}</c15:txfldGUID>
                      <c15:f>institutions_spss!$U$189</c15:f>
                      <c15:dlblFieldTableCache>
                        <c:ptCount val="1"/>
                        <c:pt idx="0">
                          <c:v>WHU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0235-4FEE-9FAC-95D5ECB60C56}"/>
                </c:ext>
              </c:extLst>
            </c:dLbl>
            <c:dLbl>
              <c:idx val="186"/>
              <c:layout/>
              <c:tx>
                <c:strRef>
                  <c:f>institutions_spss!$U$190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{01C3B6C0-A40C-491C-909D-C7677149CC10}</c15:txfldGUID>
                      <c15:f>institutions_spss!$U$190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6-0235-4FEE-9FAC-95D5ECB60C56}"/>
                </c:ext>
              </c:extLst>
            </c:dLbl>
            <c:dLbl>
              <c:idx val="187"/>
              <c:layout/>
              <c:tx>
                <c:strRef>
                  <c:f>institutions_spss!$U$191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{276410DE-1E8C-49CB-AA15-B8874A1F4908}</c15:txfldGUID>
                      <c15:f>institutions_spss!$U$191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0235-4FEE-9FAC-95D5ECB60C56}"/>
                </c:ext>
              </c:extLst>
            </c:dLbl>
            <c:dLbl>
              <c:idx val="188"/>
              <c:layout/>
              <c:tx>
                <c:strRef>
                  <c:f>institutions_spss!$U$192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{10D35469-4825-4E42-BE76-8F3D98901103}</c15:txfldGUID>
                      <c15:f>institutions_spss!$U$192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0235-4FEE-9FAC-95D5ECB60C56}"/>
                </c:ext>
              </c:extLst>
            </c:dLbl>
            <c:dLbl>
              <c:idx val="189"/>
              <c:layout/>
              <c:tx>
                <c:strRef>
                  <c:f>institutions_spss!$U$193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{45191191-AF7C-4D0E-B70D-B9E99B26A807}</c15:txfldGUID>
                      <c15:f>institutions_spss!$U$193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0235-4FEE-9FAC-95D5ECB60C56}"/>
                </c:ext>
              </c:extLst>
            </c:dLbl>
            <c:dLbl>
              <c:idx val="190"/>
              <c:layout/>
              <c:tx>
                <c:strRef>
                  <c:f>institutions_spss!$U$194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{B4D64509-71E9-4417-AF6C-D0CAFE975B9B}</c15:txfldGUID>
                      <c15:f>institutions_spss!$U$194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0235-4FEE-9FAC-95D5ECB60C56}"/>
                </c:ext>
              </c:extLst>
            </c:dLbl>
            <c:dLbl>
              <c:idx val="191"/>
              <c:layout/>
              <c:tx>
                <c:strRef>
                  <c:f>institutions_spss!$U$195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{8CF37DB7-321F-4C2F-96A4-CECFFE06D7F3}</c15:txfldGUID>
                      <c15:f>institutions_spss!$U$195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0235-4FEE-9FAC-95D5ECB60C56}"/>
                </c:ext>
              </c:extLst>
            </c:dLbl>
            <c:dLbl>
              <c:idx val="192"/>
              <c:layout/>
              <c:tx>
                <c:strRef>
                  <c:f>institutions_spss!$U$196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{0D957523-3E3D-4F7E-9C26-D9E1D3BCFDD4}</c15:txfldGUID>
                      <c15:f>institutions_spss!$U$196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0235-4FEE-9FAC-95D5ECB60C56}"/>
                </c:ext>
              </c:extLst>
            </c:dLbl>
            <c:dLbl>
              <c:idx val="193"/>
              <c:layout/>
              <c:tx>
                <c:strRef>
                  <c:f>institutions_spss!$U$197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{51589A56-4251-4296-B846-E51B50C7938E}</c15:txfldGUID>
                      <c15:f>institutions_spss!$U$197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0235-4FEE-9FAC-95D5ECB60C56}"/>
                </c:ext>
              </c:extLst>
            </c:dLbl>
            <c:dLbl>
              <c:idx val="194"/>
              <c:layout/>
              <c:tx>
                <c:strRef>
                  <c:f>institutions_spss!$U$198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{A227D906-E8F6-4626-B9EE-31C5432B82BF}</c15:txfldGUID>
                      <c15:f>institutions_spss!$U$198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0235-4FEE-9FAC-95D5ECB60C56}"/>
                </c:ext>
              </c:extLst>
            </c:dLbl>
            <c:dLbl>
              <c:idx val="195"/>
              <c:layout/>
              <c:tx>
                <c:strRef>
                  <c:f>institutions_spss!$U$199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{FAC8BD6B-AA30-4A48-B862-C462312B14AC}</c15:txfldGUID>
                      <c15:f>institutions_spss!$U$199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0235-4FEE-9FAC-95D5ECB60C56}"/>
                </c:ext>
              </c:extLst>
            </c:dLbl>
            <c:dLbl>
              <c:idx val="196"/>
              <c:layout/>
              <c:tx>
                <c:strRef>
                  <c:f>institutions_spss!$U$200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{871FAFFC-2CE5-4C21-9C2D-46B5373D8B7D}</c15:txfldGUID>
                      <c15:f>institutions_spss!$U$200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0235-4FEE-9FAC-95D5ECB60C56}"/>
                </c:ext>
              </c:extLst>
            </c:dLbl>
            <c:dLbl>
              <c:idx val="197"/>
              <c:layout/>
              <c:tx>
                <c:strRef>
                  <c:f>institutions_spss!$U$201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{173F69DD-1D90-473C-9A1F-FDFC4B5CB2D6}</c15:txfldGUID>
                      <c15:f>institutions_spss!$U$201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0235-4FEE-9FAC-95D5ECB60C56}"/>
                </c:ext>
              </c:extLst>
            </c:dLbl>
            <c:dLbl>
              <c:idx val="198"/>
              <c:layout>
                <c:manualLayout>
                  <c:x val="-5.504218959529622E-2"/>
                  <c:y val="-9.965122072745464E-3"/>
                </c:manualLayout>
              </c:layout>
              <c:tx>
                <c:strRef>
                  <c:f>institutions_spss!$U$202</c:f>
                  <c:strCache>
                    <c:ptCount val="1"/>
                    <c:pt idx="0">
                      <c:v>Kiel I World Econ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{0E2277B2-7922-40E6-A072-BD6DFF95BE9A}</c15:txfldGUID>
                      <c15:f>institutions_spss!$U$202</c15:f>
                      <c15:dlblFieldTableCache>
                        <c:ptCount val="1"/>
                        <c:pt idx="0">
                          <c:v>Kiel I World Econ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0235-4FEE-9FAC-95D5ECB60C56}"/>
                </c:ext>
              </c:extLst>
            </c:dLbl>
            <c:dLbl>
              <c:idx val="199"/>
              <c:layout/>
              <c:tx>
                <c:strRef>
                  <c:f>institutions_spss!$U$203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{0F413A62-7C15-43F0-9943-15ABCDEAA218}</c15:txfldGUID>
                      <c15:f>institutions_spss!$U$203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0235-4FEE-9FAC-95D5ECB60C56}"/>
                </c:ext>
              </c:extLst>
            </c:dLbl>
            <c:dLbl>
              <c:idx val="200"/>
              <c:layout/>
              <c:tx>
                <c:strRef>
                  <c:f>institutions_spss!$U$204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{DD197006-0EFD-4900-AEA4-44C24C2D9F7E}</c15:txfldGUID>
                      <c15:f>institutions_spss!$U$204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0235-4FEE-9FAC-95D5ECB60C56}"/>
                </c:ext>
              </c:extLst>
            </c:dLbl>
            <c:dLbl>
              <c:idx val="201"/>
              <c:layout/>
              <c:tx>
                <c:strRef>
                  <c:f>institutions_spss!$U$205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{42817734-2D7F-4552-A5C4-56163B88C5C7}</c15:txfldGUID>
                      <c15:f>institutions_spss!$U$205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0235-4FEE-9FAC-95D5ECB60C56}"/>
                </c:ext>
              </c:extLst>
            </c:dLbl>
            <c:dLbl>
              <c:idx val="202"/>
              <c:layout/>
              <c:tx>
                <c:strRef>
                  <c:f>institutions_spss!$U$206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{FBA18B38-4DD9-4A87-B61D-17DC858A82A9}</c15:txfldGUID>
                      <c15:f>institutions_spss!$U$206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0235-4FEE-9FAC-95D5ECB60C56}"/>
                </c:ext>
              </c:extLst>
            </c:dLbl>
            <c:dLbl>
              <c:idx val="203"/>
              <c:layout>
                <c:manualLayout>
                  <c:x val="-2.9673967609944039E-2"/>
                  <c:y val="-5.9790732436472349E-3"/>
                </c:manualLayout>
              </c:layout>
              <c:tx>
                <c:strRef>
                  <c:f>institutions_spss!$U$207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{1094DFEB-6A16-4AEA-9567-69880F9F98B8}</c15:txfldGUID>
                      <c15:f>institutions_spss!$U$207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0235-4FEE-9FAC-95D5ECB60C56}"/>
                </c:ext>
              </c:extLst>
            </c:dLbl>
            <c:dLbl>
              <c:idx val="204"/>
              <c:layout/>
              <c:tx>
                <c:strRef>
                  <c:f>institutions_spss!$U$208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{16E9D7FF-35F8-4CEC-8D1B-96A97D61317F}</c15:txfldGUID>
                      <c15:f>institutions_spss!$U$208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0235-4FEE-9FAC-95D5ECB60C56}"/>
                </c:ext>
              </c:extLst>
            </c:dLbl>
            <c:dLbl>
              <c:idx val="205"/>
              <c:layout/>
              <c:tx>
                <c:strRef>
                  <c:f>institutions_spss!$U$209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{76D75E04-394D-4BD8-9D6C-7B717C273AE7}</c15:txfldGUID>
                      <c15:f>institutions_spss!$U$209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0235-4FEE-9FAC-95D5ECB60C56}"/>
                </c:ext>
              </c:extLst>
            </c:dLbl>
            <c:dLbl>
              <c:idx val="206"/>
              <c:layout/>
              <c:tx>
                <c:strRef>
                  <c:f>institutions_spss!$U$210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{B782895C-6D2D-4AFF-A80D-82370444AC82}</c15:txfldGUID>
                      <c15:f>institutions_spss!$U$210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0235-4FEE-9FAC-95D5ECB60C56}"/>
                </c:ext>
              </c:extLst>
            </c:dLbl>
            <c:dLbl>
              <c:idx val="207"/>
              <c:layout/>
              <c:tx>
                <c:strRef>
                  <c:f>institutions_spss!$U$211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{2AE48CD0-E4A1-4023-9648-EE8910E221CA}</c15:txfldGUID>
                      <c15:f>institutions_spss!$U$211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0235-4FEE-9FAC-95D5ECB60C56}"/>
                </c:ext>
              </c:extLst>
            </c:dLbl>
            <c:dLbl>
              <c:idx val="208"/>
              <c:layout/>
              <c:tx>
                <c:strRef>
                  <c:f>institutions_spss!$U$212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{A48A7A8A-FF85-426F-BC8F-7B5B3BAE3650}</c15:txfldGUID>
                      <c15:f>institutions_spss!$U$212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0235-4FEE-9FAC-95D5ECB60C56}"/>
                </c:ext>
              </c:extLst>
            </c:dLbl>
            <c:dLbl>
              <c:idx val="209"/>
              <c:layout/>
              <c:tx>
                <c:strRef>
                  <c:f>institutions_spss!$U$213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{AE1AB656-9610-41C2-98CE-E6FE5C1BE9C5}</c15:txfldGUID>
                      <c15:f>institutions_spss!$U$213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0235-4FEE-9FAC-95D5ECB60C56}"/>
                </c:ext>
              </c:extLst>
            </c:dLbl>
            <c:dLbl>
              <c:idx val="210"/>
              <c:layout>
                <c:manualLayout>
                  <c:x val="-3.4393058946234338E-2"/>
                  <c:y val="1.7937219730941558E-2"/>
                </c:manualLayout>
              </c:layout>
              <c:tx>
                <c:strRef>
                  <c:f>institutions_spss!$U$214</c:f>
                  <c:strCache>
                    <c:ptCount val="1"/>
                    <c:pt idx="0">
                      <c:v>emlyon BS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{650235CD-8D32-43A1-ADDB-8EC8CB65428F}</c15:txfldGUID>
                      <c15:f>institutions_spss!$U$214</c15:f>
                      <c15:dlblFieldTableCache>
                        <c:ptCount val="1"/>
                        <c:pt idx="0">
                          <c:v>emlyon BS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0235-4FEE-9FAC-95D5ECB60C56}"/>
                </c:ext>
              </c:extLst>
            </c:dLbl>
            <c:dLbl>
              <c:idx val="211"/>
              <c:layout/>
              <c:tx>
                <c:strRef>
                  <c:f>institutions_spss!$U$215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{1B7CA790-8D22-4D7D-8433-7EF25C633681}</c15:txfldGUID>
                      <c15:f>institutions_spss!$U$215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0235-4FEE-9FAC-95D5ECB60C56}"/>
                </c:ext>
              </c:extLst>
            </c:dLbl>
            <c:dLbl>
              <c:idx val="212"/>
              <c:layout/>
              <c:tx>
                <c:strRef>
                  <c:f>institutions_spss!$U$216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{AD6584A5-3CCD-4CB2-A8B4-715F00D47FF0}</c15:txfldGUID>
                      <c15:f>institutions_spss!$U$216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0235-4FEE-9FAC-95D5ECB60C56}"/>
                </c:ext>
              </c:extLst>
            </c:dLbl>
            <c:dLbl>
              <c:idx val="213"/>
              <c:layout/>
              <c:tx>
                <c:strRef>
                  <c:f>institutions_spss!$U$217</c:f>
                  <c:strCache>
                    <c:ptCount val="1"/>
                    <c:pt idx="0">
                      <c:v>Auton Barcelona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{558D0D8F-ADE1-498B-AFCE-078522847B67}</c15:txfldGUID>
                      <c15:f>institutions_spss!$U$217</c15:f>
                      <c15:dlblFieldTableCache>
                        <c:ptCount val="1"/>
                        <c:pt idx="0">
                          <c:v>Auton Barcelona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0235-4FEE-9FAC-95D5ECB60C56}"/>
                </c:ext>
              </c:extLst>
            </c:dLbl>
            <c:dLbl>
              <c:idx val="214"/>
              <c:layout/>
              <c:tx>
                <c:strRef>
                  <c:f>institutions_spss!$U$218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{C02AD5CA-F936-41BA-84E2-A57318F08629}</c15:txfldGUID>
                      <c15:f>institutions_spss!$U$218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0235-4FEE-9FAC-95D5ECB60C56}"/>
                </c:ext>
              </c:extLst>
            </c:dLbl>
            <c:dLbl>
              <c:idx val="215"/>
              <c:layout/>
              <c:tx>
                <c:strRef>
                  <c:f>institutions_spss!$U$219</c:f>
                  <c:strCache>
                    <c:ptCount val="1"/>
                    <c:pt idx="0">
                      <c:v>NEOMA BS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{862FF393-C892-4224-B710-AFC04F674D5C}</c15:txfldGUID>
                      <c15:f>institutions_spss!$U$219</c15:f>
                      <c15:dlblFieldTableCache>
                        <c:ptCount val="1"/>
                        <c:pt idx="0">
                          <c:v>NEOMA BS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3-0235-4FEE-9FAC-95D5ECB60C56}"/>
                </c:ext>
              </c:extLst>
            </c:dLbl>
            <c:dLbl>
              <c:idx val="216"/>
              <c:layout/>
              <c:tx>
                <c:strRef>
                  <c:f>institutions_spss!$U$220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{660251E2-7977-4E57-A570-86E83BF3F4D4}</c15:txfldGUID>
                      <c15:f>institutions_spss!$U$220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0235-4FEE-9FAC-95D5ECB60C56}"/>
                </c:ext>
              </c:extLst>
            </c:dLbl>
            <c:dLbl>
              <c:idx val="217"/>
              <c:layout/>
              <c:tx>
                <c:strRef>
                  <c:f>institutions_spss!$U$221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{A2AEE486-BC4C-48CD-ABDD-FB16D13FD650}</c15:txfldGUID>
                      <c15:f>institutions_spss!$U$221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0235-4FEE-9FAC-95D5ECB60C56}"/>
                </c:ext>
              </c:extLst>
            </c:dLbl>
            <c:dLbl>
              <c:idx val="218"/>
              <c:layout>
                <c:manualLayout>
                  <c:x val="7.5662070625451298E-3"/>
                  <c:y val="5.9790732436472349E-3"/>
                </c:manualLayout>
              </c:layout>
              <c:tx>
                <c:strRef>
                  <c:f>institutions_spss!$U$222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{DAB4818B-B3E0-4E8E-9537-C84DC021DF65}</c15:txfldGUID>
                      <c15:f>institutions_spss!$U$222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0235-4FEE-9FAC-95D5ECB60C56}"/>
                </c:ext>
              </c:extLst>
            </c:dLbl>
            <c:dLbl>
              <c:idx val="219"/>
              <c:layout/>
              <c:tx>
                <c:strRef>
                  <c:f>institutions_spss!$U$223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{19CCDF24-6BA2-4392-A719-8BDAE5CCD124}</c15:txfldGUID>
                      <c15:f>institutions_spss!$U$223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0235-4FEE-9FAC-95D5ECB60C56}"/>
                </c:ext>
              </c:extLst>
            </c:dLbl>
            <c:dLbl>
              <c:idx val="220"/>
              <c:layout/>
              <c:tx>
                <c:strRef>
                  <c:f>institutions_spss!$U$224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{14A670A2-2D14-41C5-8FEE-1726762DB3DF}</c15:txfldGUID>
                      <c15:f>institutions_spss!$U$224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0235-4FEE-9FAC-95D5ECB60C56}"/>
                </c:ext>
              </c:extLst>
            </c:dLbl>
            <c:dLbl>
              <c:idx val="221"/>
              <c:layout/>
              <c:tx>
                <c:strRef>
                  <c:f>institutions_spss!$U$225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{BA06BCE8-CD7B-42FC-AF1E-CD7C40395FA9}</c15:txfldGUID>
                      <c15:f>institutions_spss!$U$225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0235-4FEE-9FAC-95D5ECB60C56}"/>
                </c:ext>
              </c:extLst>
            </c:dLbl>
            <c:dLbl>
              <c:idx val="222"/>
              <c:layout/>
              <c:tx>
                <c:strRef>
                  <c:f>institutions_spss!$U$226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{A5D30B79-85DC-43C7-9A1A-1CB4EAA0D01A}</c15:txfldGUID>
                      <c15:f>institutions_spss!$U$226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0235-4FEE-9FAC-95D5ECB60C56}"/>
                </c:ext>
              </c:extLst>
            </c:dLbl>
            <c:dLbl>
              <c:idx val="223"/>
              <c:layout>
                <c:manualLayout>
                  <c:x val="-3.8570619720569861E-2"/>
                  <c:y val="-5.9790732436472349E-3"/>
                </c:manualLayout>
              </c:layout>
              <c:tx>
                <c:strRef>
                  <c:f>institutions_spss!$U$227</c:f>
                  <c:strCache>
                    <c:ptCount val="1"/>
                    <c:pt idx="0">
                      <c:v>DIW Berlin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{59147D12-2CEA-449A-9C78-4AE2D724E970}</c15:txfldGUID>
                      <c15:f>institutions_spss!$U$227</c15:f>
                      <c15:dlblFieldTableCache>
                        <c:ptCount val="1"/>
                        <c:pt idx="0">
                          <c:v>DIW Berlin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0235-4FEE-9FAC-95D5ECB60C56}"/>
                </c:ext>
              </c:extLst>
            </c:dLbl>
            <c:dLbl>
              <c:idx val="224"/>
              <c:layout/>
              <c:tx>
                <c:strRef>
                  <c:f>institutions_spss!$U$228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{A676FF22-54A2-40B5-AA69-745A1CCA21B1}</c15:txfldGUID>
                      <c15:f>institutions_spss!$U$228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0235-4FEE-9FAC-95D5ECB60C56}"/>
                </c:ext>
              </c:extLst>
            </c:dLbl>
            <c:dLbl>
              <c:idx val="225"/>
              <c:layout>
                <c:manualLayout>
                  <c:x val="-4.8299831516693689E-2"/>
                  <c:y val="7.9720976581962397E-3"/>
                </c:manualLayout>
              </c:layout>
              <c:tx>
                <c:strRef>
                  <c:f>institutions_spss!$U$229</c:f>
                  <c:strCache>
                    <c:ptCount val="1"/>
                    <c:pt idx="0">
                      <c:v>Technical Munich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{5E49C2F1-ED87-4E7E-AC91-30D776C6BD31}</c15:txfldGUID>
                      <c15:f>institutions_spss!$U$229</c15:f>
                      <c15:dlblFieldTableCache>
                        <c:ptCount val="1"/>
                        <c:pt idx="0">
                          <c:v>Technical Munich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0235-4FEE-9FAC-95D5ECB60C56}"/>
                </c:ext>
              </c:extLst>
            </c:dLbl>
            <c:dLbl>
              <c:idx val="226"/>
              <c:layout/>
              <c:tx>
                <c:strRef>
                  <c:f>institutions_spss!$U$230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{A8778BC4-B33F-47F5-9859-6903D85B115F}</c15:txfldGUID>
                      <c15:f>institutions_spss!$U$230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0235-4FEE-9FAC-95D5ECB60C56}"/>
                </c:ext>
              </c:extLst>
            </c:dLbl>
            <c:dLbl>
              <c:idx val="227"/>
              <c:layout/>
              <c:tx>
                <c:strRef>
                  <c:f>institutions_spss!$U$231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{016D1A4A-B090-438E-AC76-7ACA7FE3ED4D}</c15:txfldGUID>
                      <c15:f>institutions_spss!$U$231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0235-4FEE-9FAC-95D5ECB60C56}"/>
                </c:ext>
              </c:extLst>
            </c:dLbl>
            <c:dLbl>
              <c:idx val="228"/>
              <c:layout/>
              <c:tx>
                <c:strRef>
                  <c:f>institutions_spss!$U$232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{539739F9-BB25-4879-8AE0-BF936A81F4BC}</c15:txfldGUID>
                      <c15:f>institutions_spss!$U$232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0235-4FEE-9FAC-95D5ECB60C56}"/>
                </c:ext>
              </c:extLst>
            </c:dLbl>
            <c:dLbl>
              <c:idx val="229"/>
              <c:layout>
                <c:manualLayout>
                  <c:x val="-3.8687068046625174E-2"/>
                  <c:y val="-1.5944195316392771E-2"/>
                </c:manualLayout>
              </c:layout>
              <c:tx>
                <c:strRef>
                  <c:f>institutions_spss!$U$233</c:f>
                  <c:strCache>
                    <c:ptCount val="1"/>
                    <c:pt idx="0">
                      <c:v>Free Berlin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{A2E28D21-3FE3-4DCD-9830-5EDFC23022A8}</c15:txfldGUID>
                      <c15:f>institutions_spss!$U$233</c15:f>
                      <c15:dlblFieldTableCache>
                        <c:ptCount val="1"/>
                        <c:pt idx="0">
                          <c:v>Free Berlin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0235-4FEE-9FAC-95D5ECB60C56}"/>
                </c:ext>
              </c:extLst>
            </c:dLbl>
            <c:dLbl>
              <c:idx val="230"/>
              <c:layout/>
              <c:tx>
                <c:strRef>
                  <c:f>institutions_spss!$U$234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{B898DF89-07C7-4585-B11A-4411F252D350}</c15:txfldGUID>
                      <c15:f>institutions_spss!$U$234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0235-4FEE-9FAC-95D5ECB60C56}"/>
                </c:ext>
              </c:extLst>
            </c:dLbl>
            <c:dLbl>
              <c:idx val="231"/>
              <c:layout/>
              <c:tx>
                <c:strRef>
                  <c:f>institutions_spss!$U$235</c:f>
                  <c:strCache>
                    <c:ptCount val="1"/>
                    <c:pt idx="0">
                      <c:v>Carlos III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{A7F1B691-5F8F-4522-AB9C-7648D51CDF3A}</c15:txfldGUID>
                      <c15:f>institutions_spss!$U$235</c15:f>
                      <c15:dlblFieldTableCache>
                        <c:ptCount val="1"/>
                        <c:pt idx="0">
                          <c:v>Carlos III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0235-4FEE-9FAC-95D5ECB60C56}"/>
                </c:ext>
              </c:extLst>
            </c:dLbl>
            <c:dLbl>
              <c:idx val="232"/>
              <c:layout/>
              <c:tx>
                <c:strRef>
                  <c:f>institutions_spss!$U$236</c:f>
                  <c:strCache>
                    <c:ptCount val="1"/>
                    <c:pt idx="0">
                      <c:v>Frankfurt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{E3978102-0791-4CF8-AFC1-E9D9D7F9F4DD}</c15:txfldGUID>
                      <c15:f>institutions_spss!$U$236</c15:f>
                      <c15:dlblFieldTableCache>
                        <c:ptCount val="1"/>
                        <c:pt idx="0">
                          <c:v>Frankfurt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0235-4FEE-9FAC-95D5ECB60C56}"/>
                </c:ext>
              </c:extLst>
            </c:dLbl>
            <c:dLbl>
              <c:idx val="233"/>
              <c:layout/>
              <c:tx>
                <c:strRef>
                  <c:f>institutions_spss!$U$237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{D9619325-756B-4493-8C95-9860FFE1D9FF}</c15:txfldGUID>
                      <c15:f>institutions_spss!$U$237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0235-4FEE-9FAC-95D5ECB60C56}"/>
                </c:ext>
              </c:extLst>
            </c:dLbl>
            <c:dLbl>
              <c:idx val="234"/>
              <c:layout/>
              <c:tx>
                <c:strRef>
                  <c:f>institutions_spss!$U$238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{2D192D45-FBA2-4A99-B6FE-1005DC4D90BD}</c15:txfldGUID>
                      <c15:f>institutions_spss!$U$238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0235-4FEE-9FAC-95D5ECB60C56}"/>
                </c:ext>
              </c:extLst>
            </c:dLbl>
            <c:dLbl>
              <c:idx val="235"/>
              <c:layout/>
              <c:tx>
                <c:strRef>
                  <c:f>institutions_spss!$U$239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{CD423A53-AF98-43C2-A5D2-69ADEA43D851}</c15:txfldGUID>
                      <c15:f>institutions_spss!$U$239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0235-4FEE-9FAC-95D5ECB60C56}"/>
                </c:ext>
              </c:extLst>
            </c:dLbl>
            <c:dLbl>
              <c:idx val="236"/>
              <c:layout/>
              <c:tx>
                <c:strRef>
                  <c:f>institutions_spss!$U$240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{372D3A9C-7BEA-47F5-9499-9DB0C8D3A3F3}</c15:txfldGUID>
                      <c15:f>institutions_spss!$U$240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0235-4FEE-9FAC-95D5ECB60C56}"/>
                </c:ext>
              </c:extLst>
            </c:dLbl>
            <c:dLbl>
              <c:idx val="237"/>
              <c:layout/>
              <c:tx>
                <c:strRef>
                  <c:f>institutions_spss!$U$241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{026450E4-B894-440B-BE1F-2A589D5FD6DE}</c15:txfldGUID>
                      <c15:f>institutions_spss!$U$241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0235-4FEE-9FAC-95D5ECB60C56}"/>
                </c:ext>
              </c:extLst>
            </c:dLbl>
            <c:dLbl>
              <c:idx val="238"/>
              <c:layout/>
              <c:tx>
                <c:strRef>
                  <c:f>institutions_spss!$U$242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{414F27C3-9E01-462A-8A4F-99BCDEBAC2A5}</c15:txfldGUID>
                      <c15:f>institutions_spss!$U$242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0235-4FEE-9FAC-95D5ECB60C56}"/>
                </c:ext>
              </c:extLst>
            </c:dLbl>
            <c:dLbl>
              <c:idx val="239"/>
              <c:layout/>
              <c:tx>
                <c:strRef>
                  <c:f>institutions_spss!$U$243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{3B76CB6C-A294-418F-9955-EBB5744360E2}</c15:txfldGUID>
                      <c15:f>institutions_spss!$U$243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0235-4FEE-9FAC-95D5ECB60C56}"/>
                </c:ext>
              </c:extLst>
            </c:dLbl>
            <c:dLbl>
              <c:idx val="240"/>
              <c:layout/>
              <c:tx>
                <c:strRef>
                  <c:f>institutions_spss!$U$244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{86067AB2-FF23-4D81-A6BE-BE96DEC3F754}</c15:txfldGUID>
                      <c15:f>institutions_spss!$U$244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0235-4FEE-9FAC-95D5ECB60C56}"/>
                </c:ext>
              </c:extLst>
            </c:dLbl>
            <c:dLbl>
              <c:idx val="241"/>
              <c:layout/>
              <c:tx>
                <c:strRef>
                  <c:f>institutions_spss!$U$245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{CB34F56E-1002-49BF-88BC-FA5565A05903}</c15:txfldGUID>
                      <c15:f>institutions_spss!$U$245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0235-4FEE-9FAC-95D5ECB60C56}"/>
                </c:ext>
              </c:extLst>
            </c:dLbl>
            <c:dLbl>
              <c:idx val="242"/>
              <c:layout/>
              <c:tx>
                <c:strRef>
                  <c:f>institutions_spss!$U$246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{5922EA69-22A7-4711-A8A0-4E9AB4989522}</c15:txfldGUID>
                      <c15:f>institutions_spss!$U$246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0235-4FEE-9FAC-95D5ECB60C56}"/>
                </c:ext>
              </c:extLst>
            </c:dLbl>
            <c:dLbl>
              <c:idx val="243"/>
              <c:layout/>
              <c:tx>
                <c:strRef>
                  <c:f>institutions_spss!$U$247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{919DD414-3463-47C6-B769-75E88C3445D1}</c15:txfldGUID>
                      <c15:f>institutions_spss!$U$247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0235-4FEE-9FAC-95D5ECB60C56}"/>
                </c:ext>
              </c:extLst>
            </c:dLbl>
            <c:dLbl>
              <c:idx val="244"/>
              <c:layout/>
              <c:tx>
                <c:strRef>
                  <c:f>institutions_spss!$U$248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{336FD320-9373-4752-8420-FA9FEF26637A}</c15:txfldGUID>
                      <c15:f>institutions_spss!$U$248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0-0235-4FEE-9FAC-95D5ECB60C56}"/>
                </c:ext>
              </c:extLst>
            </c:dLbl>
            <c:dLbl>
              <c:idx val="245"/>
              <c:layout/>
              <c:tx>
                <c:strRef>
                  <c:f>institutions_spss!$U$249</c:f>
                  <c:strCache>
                    <c:ptCount val="1"/>
                    <c:pt idx="0">
                      <c:v>Cologne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{0700130B-9278-40DC-9F50-CB5C646A25A1}</c15:txfldGUID>
                      <c15:f>institutions_spss!$U$249</c15:f>
                      <c15:dlblFieldTableCache>
                        <c:ptCount val="1"/>
                        <c:pt idx="0">
                          <c:v>Cologne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1-0235-4FEE-9FAC-95D5ECB60C56}"/>
                </c:ext>
              </c:extLst>
            </c:dLbl>
            <c:dLbl>
              <c:idx val="246"/>
              <c:layout/>
              <c:tx>
                <c:strRef>
                  <c:f>institutions_spss!$U$250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{71FFA33F-F399-4D4E-9382-20FF418495E7}</c15:txfldGUID>
                      <c15:f>institutions_spss!$U$250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2-0235-4FEE-9FAC-95D5ECB60C56}"/>
                </c:ext>
              </c:extLst>
            </c:dLbl>
            <c:dLbl>
              <c:idx val="247"/>
              <c:layout>
                <c:manualLayout>
                  <c:x val="-3.8259143371270732E-2"/>
                  <c:y val="-1.9930244145490782E-2"/>
                </c:manualLayout>
              </c:layout>
              <c:tx>
                <c:strRef>
                  <c:f>institutions_spss!$U$251</c:f>
                  <c:strCache>
                    <c:ptCount val="1"/>
                    <c:pt idx="0">
                      <c:v>SKEMA BS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{28EDF2B5-F8F8-4E01-B3D7-D5A300224E77}</c15:txfldGUID>
                      <c15:f>institutions_spss!$U$251</c15:f>
                      <c15:dlblFieldTableCache>
                        <c:ptCount val="1"/>
                        <c:pt idx="0">
                          <c:v>SKEMA BS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3-0235-4FEE-9FAC-95D5ECB60C56}"/>
                </c:ext>
              </c:extLst>
            </c:dLbl>
            <c:dLbl>
              <c:idx val="248"/>
              <c:layout/>
              <c:tx>
                <c:strRef>
                  <c:f>institutions_spss!$U$252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{AFEAA13A-F491-4E87-8E90-E04BEFEA0ACD}</c15:txfldGUID>
                      <c15:f>institutions_spss!$U$252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4-0235-4FEE-9FAC-95D5ECB60C56}"/>
                </c:ext>
              </c:extLst>
            </c:dLbl>
            <c:dLbl>
              <c:idx val="249"/>
              <c:layout/>
              <c:tx>
                <c:strRef>
                  <c:f>institutions_spss!$U$253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{7750EE28-95B5-4D6D-9644-BF457FE82157}</c15:txfldGUID>
                      <c15:f>institutions_spss!$U$253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5-0235-4FEE-9FAC-95D5ECB60C56}"/>
                </c:ext>
              </c:extLst>
            </c:dLbl>
            <c:dLbl>
              <c:idx val="250"/>
              <c:layout/>
              <c:tx>
                <c:strRef>
                  <c:f>institutions_spss!$U$254</c:f>
                  <c:strCache>
                    <c:ptCount val="1"/>
                    <c:pt idx="0">
                      <c:v>Deutsche Bundesbank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{73F6FB58-BCBF-4086-A168-12F80E78B946}</c15:txfldGUID>
                      <c15:f>institutions_spss!$U$254</c15:f>
                      <c15:dlblFieldTableCache>
                        <c:ptCount val="1"/>
                        <c:pt idx="0">
                          <c:v>Deutsche Bundesbank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6-0235-4FEE-9FAC-95D5ECB60C56}"/>
                </c:ext>
              </c:extLst>
            </c:dLbl>
            <c:dLbl>
              <c:idx val="251"/>
              <c:layout/>
              <c:tx>
                <c:strRef>
                  <c:f>institutions_spss!$U$255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{4A979E92-75DA-4325-8EDE-FF38220F9593}</c15:txfldGUID>
                      <c15:f>institutions_spss!$U$255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7-0235-4FEE-9FAC-95D5ECB60C56}"/>
                </c:ext>
              </c:extLst>
            </c:dLbl>
            <c:dLbl>
              <c:idx val="252"/>
              <c:layout/>
              <c:tx>
                <c:strRef>
                  <c:f>institutions_spss!$U$256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{BCF13DAF-74F4-4280-8F60-E04355FECDAD}</c15:txfldGUID>
                      <c15:f>institutions_spss!$U$256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8-0235-4FEE-9FAC-95D5ECB60C56}"/>
                </c:ext>
              </c:extLst>
            </c:dLbl>
            <c:dLbl>
              <c:idx val="253"/>
              <c:layout/>
              <c:tx>
                <c:strRef>
                  <c:f>institutions_spss!$U$257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{AE81803A-2F7C-49BC-ADFE-392AE458D8B5}</c15:txfldGUID>
                      <c15:f>institutions_spss!$U$257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9-0235-4FEE-9FAC-95D5ECB60C56}"/>
                </c:ext>
              </c:extLst>
            </c:dLbl>
            <c:dLbl>
              <c:idx val="254"/>
              <c:layout/>
              <c:tx>
                <c:strRef>
                  <c:f>institutions_spss!$U$258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{F0EC4E9E-F3F0-4A77-9584-57B14C811CA9}</c15:txfldGUID>
                      <c15:f>institutions_spss!$U$258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A-0235-4FEE-9FAC-95D5ECB60C56}"/>
                </c:ext>
              </c:extLst>
            </c:dLbl>
            <c:dLbl>
              <c:idx val="255"/>
              <c:layout/>
              <c:tx>
                <c:strRef>
                  <c:f>institutions_spss!$U$259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{174E70EA-7F17-4D88-BFBF-3565A5E1A0C1}</c15:txfldGUID>
                      <c15:f>institutions_spss!$U$259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B-0235-4FEE-9FAC-95D5ECB60C56}"/>
                </c:ext>
              </c:extLst>
            </c:dLbl>
            <c:dLbl>
              <c:idx val="256"/>
              <c:layout/>
              <c:tx>
                <c:strRef>
                  <c:f>institutions_spss!$U$260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{466A549C-D96C-4F16-B921-9F563D22D472}</c15:txfldGUID>
                      <c15:f>institutions_spss!$U$260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C-0235-4FEE-9FAC-95D5ECB60C56}"/>
                </c:ext>
              </c:extLst>
            </c:dLbl>
            <c:dLbl>
              <c:idx val="257"/>
              <c:layout/>
              <c:tx>
                <c:strRef>
                  <c:f>institutions_spss!$U$261</c:f>
                  <c:strCache>
                    <c:ptCount val="1"/>
                    <c:pt idx="0">
                      <c:v>Audencia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{5B13CC4E-DF64-42C8-A98C-41F2A5F0FBEA}</c15:txfldGUID>
                      <c15:f>institutions_spss!$U$261</c15:f>
                      <c15:dlblFieldTableCache>
                        <c:ptCount val="1"/>
                        <c:pt idx="0">
                          <c:v>Audencia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D-0235-4FEE-9FAC-95D5ECB60C56}"/>
                </c:ext>
              </c:extLst>
            </c:dLbl>
            <c:dLbl>
              <c:idx val="258"/>
              <c:layout>
                <c:manualLayout>
                  <c:x val="-3.7062568052355985E-2"/>
                  <c:y val="-2.3916292974589012E-2"/>
                </c:manualLayout>
              </c:layout>
              <c:tx>
                <c:strRef>
                  <c:f>institutions_spss!$U$262</c:f>
                  <c:strCache>
                    <c:ptCount val="1"/>
                    <c:pt idx="0">
                      <c:v>UGA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{EDE12DD5-AFF6-4C15-8987-6EEB95D26378}</c15:txfldGUID>
                      <c15:f>institutions_spss!$U$262</c15:f>
                      <c15:dlblFieldTableCache>
                        <c:ptCount val="1"/>
                        <c:pt idx="0">
                          <c:v>UGA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E-0235-4FEE-9FAC-95D5ECB60C56}"/>
                </c:ext>
              </c:extLst>
            </c:dLbl>
            <c:dLbl>
              <c:idx val="259"/>
              <c:layout>
                <c:manualLayout>
                  <c:x val="-4.6599685956286115E-2"/>
                  <c:y val="0"/>
                </c:manualLayout>
              </c:layout>
              <c:tx>
                <c:strRef>
                  <c:f>institutions_spss!$U$263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{2284176B-8A1C-4504-80FA-BB3715AC46FD}</c15:txfldGUID>
                      <c15:f>institutions_spss!$U$263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F-0235-4FEE-9FAC-95D5ECB60C56}"/>
                </c:ext>
              </c:extLst>
            </c:dLbl>
            <c:dLbl>
              <c:idx val="260"/>
              <c:layout/>
              <c:tx>
                <c:strRef>
                  <c:f>institutions_spss!$U$264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{5BC3B580-ACC6-40AB-81C8-6BDBF0AAC4DA}</c15:txfldGUID>
                      <c15:f>institutions_spss!$U$264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0-0235-4FEE-9FAC-95D5ECB60C56}"/>
                </c:ext>
              </c:extLst>
            </c:dLbl>
            <c:dLbl>
              <c:idx val="261"/>
              <c:layout/>
              <c:tx>
                <c:strRef>
                  <c:f>institutions_spss!$U$265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{6CAA8E10-B6EA-4E24-9FFE-FF596C5EF1CC}</c15:txfldGUID>
                      <c15:f>institutions_spss!$U$265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1-0235-4FEE-9FAC-95D5ECB60C56}"/>
                </c:ext>
              </c:extLst>
            </c:dLbl>
            <c:dLbl>
              <c:idx val="262"/>
              <c:layout/>
              <c:tx>
                <c:strRef>
                  <c:f>institutions_spss!$U$266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{0C170920-A7F1-46E1-A2D4-15136EA1DFD7}</c15:txfldGUID>
                      <c15:f>institutions_spss!$U$266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2-0235-4FEE-9FAC-95D5ECB60C56}"/>
                </c:ext>
              </c:extLst>
            </c:dLbl>
            <c:dLbl>
              <c:idx val="263"/>
              <c:layout>
                <c:manualLayout>
                  <c:x val="-5.6532728168804225E-2"/>
                  <c:y val="-1.7937219730941704E-2"/>
                </c:manualLayout>
              </c:layout>
              <c:tx>
                <c:strRef>
                  <c:f>institutions_spss!$U$267</c:f>
                  <c:strCache>
                    <c:ptCount val="1"/>
                    <c:pt idx="0">
                      <c:v>Montpellier BS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{7AD47515-FE0E-4D4D-A2C4-6C63A2B9DB3A}</c15:txfldGUID>
                      <c15:f>institutions_spss!$U$267</c15:f>
                      <c15:dlblFieldTableCache>
                        <c:ptCount val="1"/>
                        <c:pt idx="0">
                          <c:v>Montpellier BS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3-0235-4FEE-9FAC-95D5ECB60C56}"/>
                </c:ext>
              </c:extLst>
            </c:dLbl>
            <c:dLbl>
              <c:idx val="264"/>
              <c:layout>
                <c:manualLayout>
                  <c:x val="-2.9158660844250364E-2"/>
                  <c:y val="5.9790732436470883E-3"/>
                </c:manualLayout>
              </c:layout>
              <c:tx>
                <c:strRef>
                  <c:f>institutions_spss!$U$268</c:f>
                  <c:strCache>
                    <c:ptCount val="1"/>
                    <c:pt idx="0">
                      <c:v>Munster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{0467673A-170B-483D-A39A-C85F11FD7039}</c15:txfldGUID>
                      <c15:f>institutions_spss!$U$268</c15:f>
                      <c15:dlblFieldTableCache>
                        <c:ptCount val="1"/>
                        <c:pt idx="0">
                          <c:v>Munster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4-0235-4FEE-9FAC-95D5ECB60C56}"/>
                </c:ext>
              </c:extLst>
            </c:dLbl>
            <c:dLbl>
              <c:idx val="265"/>
              <c:layout/>
              <c:tx>
                <c:strRef>
                  <c:f>institutions_spss!$U$269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{B844E809-CD48-4D74-A168-4A5FD01D698E}</c15:txfldGUID>
                      <c15:f>institutions_spss!$U$269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5-0235-4FEE-9FAC-95D5ECB60C56}"/>
                </c:ext>
              </c:extLst>
            </c:dLbl>
            <c:dLbl>
              <c:idx val="266"/>
              <c:layout/>
              <c:tx>
                <c:strRef>
                  <c:f>institutions_spss!$U$270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{4D1033EA-80C7-4B6F-8149-5EC7E089C06D}</c15:txfldGUID>
                      <c15:f>institutions_spss!$U$270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6-0235-4FEE-9FAC-95D5ECB60C56}"/>
                </c:ext>
              </c:extLst>
            </c:dLbl>
            <c:dLbl>
              <c:idx val="267"/>
              <c:layout/>
              <c:tx>
                <c:strRef>
                  <c:f>institutions_spss!$U$271</c:f>
                  <c:strCache>
                    <c:ptCount val="1"/>
                    <c:pt idx="0">
                      <c:v>Hamburg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{A9E5B273-1B39-41E9-A1BF-6E15737F78FC}</c15:txfldGUID>
                      <c15:f>institutions_spss!$U$271</c15:f>
                      <c15:dlblFieldTableCache>
                        <c:ptCount val="1"/>
                        <c:pt idx="0">
                          <c:v>Hamburg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7-0235-4FEE-9FAC-95D5ECB60C56}"/>
                </c:ext>
              </c:extLst>
            </c:dLbl>
            <c:dLbl>
              <c:idx val="268"/>
              <c:layout/>
              <c:tx>
                <c:strRef>
                  <c:f>institutions_spss!$U$272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{69F2F2B9-B3A0-45A9-8BAA-F912466A1BD0}</c15:txfldGUID>
                      <c15:f>institutions_spss!$U$272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8-0235-4FEE-9FAC-95D5ECB60C56}"/>
                </c:ext>
              </c:extLst>
            </c:dLbl>
            <c:dLbl>
              <c:idx val="269"/>
              <c:layout/>
              <c:tx>
                <c:strRef>
                  <c:f>institutions_spss!$U$273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{968C73E9-5470-4FED-A96B-787A3A8499D4}</c15:txfldGUID>
                      <c15:f>institutions_spss!$U$273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9-0235-4FEE-9FAC-95D5ECB60C56}"/>
                </c:ext>
              </c:extLst>
            </c:dLbl>
            <c:dLbl>
              <c:idx val="270"/>
              <c:layout/>
              <c:tx>
                <c:strRef>
                  <c:f>institutions_spss!$U$274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{9EF9B92C-6A40-408B-98D7-6B773B6C33C1}</c15:txfldGUID>
                      <c15:f>institutions_spss!$U$274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A-0235-4FEE-9FAC-95D5ECB60C56}"/>
                </c:ext>
              </c:extLst>
            </c:dLbl>
            <c:dLbl>
              <c:idx val="271"/>
              <c:layout/>
              <c:tx>
                <c:strRef>
                  <c:f>institutions_spss!$U$275</c:f>
                  <c:strCache>
                    <c:ptCount val="1"/>
                    <c:pt idx="0">
                      <c:v>Lyon 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{C12FDDCC-D9CC-4A74-8261-8CA5A09BCC0A}</c15:txfldGUID>
                      <c15:f>institutions_spss!$U$275</c15:f>
                      <c15:dlblFieldTableCache>
                        <c:ptCount val="1"/>
                        <c:pt idx="0">
                          <c:v>Lyon 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B-0235-4FEE-9FAC-95D5ECB60C56}"/>
                </c:ext>
              </c:extLst>
            </c:dLbl>
            <c:dLbl>
              <c:idx val="272"/>
              <c:layout/>
              <c:tx>
                <c:strRef>
                  <c:f>institutions_spss!$U$276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{A8DF40C2-C304-4CD9-8509-80C69001AE88}</c15:txfldGUID>
                      <c15:f>institutions_spss!$U$276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C-0235-4FEE-9FAC-95D5ECB60C56}"/>
                </c:ext>
              </c:extLst>
            </c:dLbl>
            <c:dLbl>
              <c:idx val="273"/>
              <c:layout>
                <c:manualLayout>
                  <c:x val="-4.8387213607032749E-2"/>
                  <c:y val="-1.195814648729447E-2"/>
                </c:manualLayout>
              </c:layout>
              <c:tx>
                <c:strRef>
                  <c:f>institutions_spss!$U$277</c:f>
                  <c:strCache>
                    <c:ptCount val="1"/>
                    <c:pt idx="0">
                      <c:v>Tech Dresden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{8D67D913-4DCE-4E8D-B8E6-E7CFDC872133}</c15:txfldGUID>
                      <c15:f>institutions_spss!$U$277</c15:f>
                      <c15:dlblFieldTableCache>
                        <c:ptCount val="1"/>
                        <c:pt idx="0">
                          <c:v>Tech Dresden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D-0235-4FEE-9FAC-95D5ECB60C56}"/>
                </c:ext>
              </c:extLst>
            </c:dLbl>
            <c:dLbl>
              <c:idx val="274"/>
              <c:layout/>
              <c:tx>
                <c:strRef>
                  <c:f>institutions_spss!$U$278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{27B5E197-8057-4C10-B156-E0A239C92C68}</c15:txfldGUID>
                      <c15:f>institutions_spss!$U$278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E-0235-4FEE-9FAC-95D5ECB60C56}"/>
                </c:ext>
              </c:extLst>
            </c:dLbl>
            <c:dLbl>
              <c:idx val="275"/>
              <c:layout/>
              <c:tx>
                <c:strRef>
                  <c:f>institutions_spss!$U$279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{5C155171-7A73-4B0B-B6DF-671E474B9274}</c15:txfldGUID>
                      <c15:f>institutions_spss!$U$279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F-0235-4FEE-9FAC-95D5ECB60C56}"/>
                </c:ext>
              </c:extLst>
            </c:dLbl>
            <c:dLbl>
              <c:idx val="276"/>
              <c:layout/>
              <c:tx>
                <c:strRef>
                  <c:f>institutions_spss!$U$280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{A1F82669-D4E5-4CBE-91A3-7A8B1684DD22}</c15:txfldGUID>
                      <c15:f>institutions_spss!$U$280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0-0235-4FEE-9FAC-95D5ECB60C56}"/>
                </c:ext>
              </c:extLst>
            </c:dLbl>
            <c:dLbl>
              <c:idx val="277"/>
              <c:layout/>
              <c:tx>
                <c:strRef>
                  <c:f>institutions_spss!$U$281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{B9665C5F-D491-4361-AC43-562CFAF4A487}</c15:txfldGUID>
                      <c15:f>institutions_spss!$U$281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1-0235-4FEE-9FAC-95D5ECB60C56}"/>
                </c:ext>
              </c:extLst>
            </c:dLbl>
            <c:dLbl>
              <c:idx val="278"/>
              <c:layout>
                <c:manualLayout>
                  <c:x val="-5.851757613267774E-4"/>
                  <c:y val="1.9930244145490637E-2"/>
                </c:manualLayout>
              </c:layout>
              <c:tx>
                <c:strRef>
                  <c:f>institutions_spss!$U$282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{F7B5A1CD-6090-4673-B533-EF8905C8C398}</c15:txfldGUID>
                      <c15:f>institutions_spss!$U$282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2-0235-4FEE-9FAC-95D5ECB60C56}"/>
                </c:ext>
              </c:extLst>
            </c:dLbl>
            <c:dLbl>
              <c:idx val="279"/>
              <c:layout/>
              <c:tx>
                <c:strRef>
                  <c:f>institutions_spss!$U$283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{9CB33922-B7C2-4835-B47D-C911556DA456}</c15:txfldGUID>
                      <c15:f>institutions_spss!$U$283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3-0235-4FEE-9FAC-95D5ECB60C56}"/>
                </c:ext>
              </c:extLst>
            </c:dLbl>
            <c:dLbl>
              <c:idx val="280"/>
              <c:layout>
                <c:manualLayout>
                  <c:x val="-2.3531272564728537E-2"/>
                  <c:y val="5.9790732436472349E-3"/>
                </c:manualLayout>
              </c:layout>
              <c:tx>
                <c:strRef>
                  <c:f>institutions_spss!$U$284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{187E0F42-F342-4660-807C-54B39C4EA31F}</c15:txfldGUID>
                      <c15:f>institutions_spss!$U$284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4-0235-4FEE-9FAC-95D5ECB60C56}"/>
                </c:ext>
              </c:extLst>
            </c:dLbl>
            <c:dLbl>
              <c:idx val="281"/>
              <c:layout>
                <c:manualLayout>
                  <c:x val="-4.5464360623044389E-2"/>
                  <c:y val="-9.9651220727455369E-3"/>
                </c:manualLayout>
              </c:layout>
              <c:tx>
                <c:strRef>
                  <c:f>institutions_spss!$U$285</c:f>
                  <c:strCache>
                    <c:ptCount val="1"/>
                    <c:pt idx="0">
                      <c:v>RWTH Aachen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{74EE6D1D-6FBA-477F-B4F0-9E5FC0FFE60C}</c15:txfldGUID>
                      <c15:f>institutions_spss!$U$285</c15:f>
                      <c15:dlblFieldTableCache>
                        <c:ptCount val="1"/>
                        <c:pt idx="0">
                          <c:v>RWTH Aachen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5-0235-4FEE-9FAC-95D5ECB60C56}"/>
                </c:ext>
              </c:extLst>
            </c:dLbl>
            <c:dLbl>
              <c:idx val="282"/>
              <c:layout/>
              <c:tx>
                <c:strRef>
                  <c:f>institutions_spss!$U$286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{CD6D480C-49D5-4AC2-82AA-19F5BCCA666C}</c15:txfldGUID>
                      <c15:f>institutions_spss!$U$286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6-0235-4FEE-9FAC-95D5ECB60C56}"/>
                </c:ext>
              </c:extLst>
            </c:dLbl>
            <c:dLbl>
              <c:idx val="283"/>
              <c:layout/>
              <c:tx>
                <c:strRef>
                  <c:f>institutions_spss!$U$287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{00CB7FD2-7501-4704-91FC-8DD574B8D2E7}</c15:txfldGUID>
                      <c15:f>institutions_spss!$U$287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7-0235-4FEE-9FAC-95D5ECB60C56}"/>
                </c:ext>
              </c:extLst>
            </c:dLbl>
            <c:dLbl>
              <c:idx val="284"/>
              <c:layout/>
              <c:tx>
                <c:strRef>
                  <c:f>institutions_spss!$U$288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{F29C94C5-2DBE-44EF-978D-173105641E57}</c15:txfldGUID>
                      <c15:f>institutions_spss!$U$288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8-0235-4FEE-9FAC-95D5ECB60C56}"/>
                </c:ext>
              </c:extLst>
            </c:dLbl>
            <c:dLbl>
              <c:idx val="285"/>
              <c:layout/>
              <c:tx>
                <c:strRef>
                  <c:f>institutions_spss!$U$289</c:f>
                  <c:strCache>
                    <c:ptCount val="1"/>
                    <c:pt idx="0">
                      <c:v>Max Planck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{584087E9-0B14-4792-AF7E-986181920BCF}</c15:txfldGUID>
                      <c15:f>institutions_spss!$U$289</c15:f>
                      <c15:dlblFieldTableCache>
                        <c:ptCount val="1"/>
                        <c:pt idx="0">
                          <c:v>Max Planck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9-0235-4FEE-9FAC-95D5ECB60C56}"/>
                </c:ext>
              </c:extLst>
            </c:dLbl>
            <c:dLbl>
              <c:idx val="286"/>
              <c:layout/>
              <c:tx>
                <c:strRef>
                  <c:f>institutions_spss!$U$290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{D39A7F9C-922B-44A5-AC4A-CD0F27CC5227}</c15:txfldGUID>
                      <c15:f>institutions_spss!$U$290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A-0235-4FEE-9FAC-95D5ECB60C56}"/>
                </c:ext>
              </c:extLst>
            </c:dLbl>
            <c:dLbl>
              <c:idx val="287"/>
              <c:layout/>
              <c:tx>
                <c:strRef>
                  <c:f>institutions_spss!$U$291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{5EFFC236-431D-4AF0-9A6A-98ACD99564CB}</c15:txfldGUID>
                      <c15:f>institutions_spss!$U$291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B-0235-4FEE-9FAC-95D5ECB60C56}"/>
                </c:ext>
              </c:extLst>
            </c:dLbl>
            <c:dLbl>
              <c:idx val="288"/>
              <c:layout/>
              <c:tx>
                <c:strRef>
                  <c:f>institutions_spss!$U$292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{EDC14A78-DEB4-44BE-ACB8-9880DF3F1E88}</c15:txfldGUID>
                      <c15:f>institutions_spss!$U$292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C-0235-4FEE-9FAC-95D5ECB60C56}"/>
                </c:ext>
              </c:extLst>
            </c:dLbl>
            <c:dLbl>
              <c:idx val="289"/>
              <c:layout/>
              <c:tx>
                <c:strRef>
                  <c:f>institutions_spss!$U$293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{050C4196-3EF4-4AE1-9B27-392959929F2E}</c15:txfldGUID>
                      <c15:f>institutions_spss!$U$293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D-0235-4FEE-9FAC-95D5ECB60C56}"/>
                </c:ext>
              </c:extLst>
            </c:dLbl>
            <c:dLbl>
              <c:idx val="290"/>
              <c:layout/>
              <c:tx>
                <c:strRef>
                  <c:f>institutions_spss!$U$294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{2BFFF2CF-D714-4609-AFA1-58D19B37B7BC}</c15:txfldGUID>
                      <c15:f>institutions_spss!$U$294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E-0235-4FEE-9FAC-95D5ECB60C56}"/>
                </c:ext>
              </c:extLst>
            </c:dLbl>
            <c:dLbl>
              <c:idx val="291"/>
              <c:layout/>
              <c:tx>
                <c:strRef>
                  <c:f>institutions_spss!$U$295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{BFC18AB2-9E2E-4B82-98AA-1B0B3A8AD09A}</c15:txfldGUID>
                      <c15:f>institutions_spss!$U$295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F-0235-4FEE-9FAC-95D5ECB60C56}"/>
                </c:ext>
              </c:extLst>
            </c:dLbl>
            <c:dLbl>
              <c:idx val="292"/>
              <c:layout/>
              <c:tx>
                <c:strRef>
                  <c:f>institutions_spss!$U$296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{51B2C971-1EE8-4FA1-843B-2D1C2A5B98EC}</c15:txfldGUID>
                      <c15:f>institutions_spss!$U$296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0-0235-4FEE-9FAC-95D5ECB60C56}"/>
                </c:ext>
              </c:extLst>
            </c:dLbl>
            <c:dLbl>
              <c:idx val="293"/>
              <c:layout/>
              <c:tx>
                <c:strRef>
                  <c:f>institutions_spss!$U$297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{761068C5-D99E-4BDD-88A8-B8FA7B953772}</c15:txfldGUID>
                      <c15:f>institutions_spss!$U$297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1-0235-4FEE-9FAC-95D5ECB60C56}"/>
                </c:ext>
              </c:extLst>
            </c:dLbl>
            <c:dLbl>
              <c:idx val="294"/>
              <c:layout>
                <c:manualLayout>
                  <c:x val="-3.8369723435225704E-2"/>
                  <c:y val="1.195814648729447E-2"/>
                </c:manualLayout>
              </c:layout>
              <c:tx>
                <c:strRef>
                  <c:f>institutions_spss!$U$298</c:f>
                  <c:strCache>
                    <c:ptCount val="1"/>
                    <c:pt idx="0">
                      <c:v>Tech Berlin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{ACE62146-6495-4EEB-8E21-1BA98AC96123}</c15:txfldGUID>
                      <c15:f>institutions_spss!$U$298</c15:f>
                      <c15:dlblFieldTableCache>
                        <c:ptCount val="1"/>
                        <c:pt idx="0">
                          <c:v>Tech Berlin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2-0235-4FEE-9FAC-95D5ECB60C56}"/>
                </c:ext>
              </c:extLst>
            </c:dLbl>
            <c:dLbl>
              <c:idx val="295"/>
              <c:layout/>
              <c:tx>
                <c:strRef>
                  <c:f>institutions_spss!$U$299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{943C54EB-9EF4-4F06-B023-C51EECD59BA2}</c15:txfldGUID>
                      <c15:f>institutions_spss!$U$299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3-0235-4FEE-9FAC-95D5ECB60C56}"/>
                </c:ext>
              </c:extLst>
            </c:dLbl>
            <c:dLbl>
              <c:idx val="296"/>
              <c:layout>
                <c:manualLayout>
                  <c:x val="-5.5251796582195867E-2"/>
                  <c:y val="9.965122072745464E-3"/>
                </c:manualLayout>
              </c:layout>
              <c:tx>
                <c:strRef>
                  <c:f>institutions_spss!$U$300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{6B867158-FADD-46E4-A426-B7561B37D145}</c15:txfldGUID>
                      <c15:f>institutions_spss!$U$300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4-0235-4FEE-9FAC-95D5ECB60C56}"/>
                </c:ext>
              </c:extLst>
            </c:dLbl>
            <c:dLbl>
              <c:idx val="297"/>
              <c:layout/>
              <c:tx>
                <c:strRef>
                  <c:f>institutions_spss!$U$301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{9CAF47A0-6C3B-48B4-8768-02F6AB7403AA}</c15:txfldGUID>
                      <c15:f>institutions_spss!$U$301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5-0235-4FEE-9FAC-95D5ECB60C56}"/>
                </c:ext>
              </c:extLst>
            </c:dLbl>
            <c:dLbl>
              <c:idx val="298"/>
              <c:layout/>
              <c:tx>
                <c:strRef>
                  <c:f>institutions_spss!$U$302</c:f>
                  <c:strCache>
                    <c:ptCount val="1"/>
                    <c:pt idx="0">
                      <c:v>Karlsruhe Inst Tech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{A49FE188-B12F-406D-9ED0-9AA4FB78312B}</c15:txfldGUID>
                      <c15:f>institutions_spss!$U$302</c15:f>
                      <c15:dlblFieldTableCache>
                        <c:ptCount val="1"/>
                        <c:pt idx="0">
                          <c:v>Karlsruhe Inst Tech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6-0235-4FEE-9FAC-95D5ECB60C56}"/>
                </c:ext>
              </c:extLst>
            </c:dLbl>
            <c:dLbl>
              <c:idx val="299"/>
              <c:layout/>
              <c:tx>
                <c:strRef>
                  <c:f>institutions_spss!$U$303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{890BF2A0-4DF8-4F77-B13B-F097696C41D5}</c15:txfldGUID>
                      <c15:f>institutions_spss!$U$303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7-0235-4FEE-9FAC-95D5ECB60C56}"/>
                </c:ext>
              </c:extLst>
            </c:dLbl>
            <c:dLbl>
              <c:idx val="300"/>
              <c:layout/>
              <c:tx>
                <c:strRef>
                  <c:f>institutions_spss!$U$304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{F8D90124-2766-4FB3-86EE-28F0CDEAAFDD}</c15:txfldGUID>
                      <c15:f>institutions_spss!$U$304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8-0235-4FEE-9FAC-95D5ECB60C56}"/>
                </c:ext>
              </c:extLst>
            </c:dLbl>
            <c:dLbl>
              <c:idx val="301"/>
              <c:layout/>
              <c:tx>
                <c:strRef>
                  <c:f>institutions_spss!$U$305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{85BCF6A1-8572-4DC4-9AA4-2807FB77BF2F}</c15:txfldGUID>
                      <c15:f>institutions_spss!$U$305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9-0235-4FEE-9FAC-95D5ECB60C56}"/>
                </c:ext>
              </c:extLst>
            </c:dLbl>
            <c:dLbl>
              <c:idx val="302"/>
              <c:layout/>
              <c:tx>
                <c:strRef>
                  <c:f>institutions_spss!$U$306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{B6C871CD-D30C-45D4-9718-03B51E3705DB}</c15:txfldGUID>
                      <c15:f>institutions_spss!$U$306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A-0235-4FEE-9FAC-95D5ECB60C56}"/>
                </c:ext>
              </c:extLst>
            </c:dLbl>
            <c:dLbl>
              <c:idx val="303"/>
              <c:layout/>
              <c:tx>
                <c:strRef>
                  <c:f>institutions_spss!$U$307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{941E05A8-6D6F-40E0-BF85-C9880AF99AC8}</c15:txfldGUID>
                      <c15:f>institutions_spss!$U$307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B-0235-4FEE-9FAC-95D5ECB60C56}"/>
                </c:ext>
              </c:extLst>
            </c:dLbl>
            <c:dLbl>
              <c:idx val="304"/>
              <c:layout/>
              <c:tx>
                <c:strRef>
                  <c:f>institutions_spss!$U$308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{3CE9F8BE-D0AA-42F4-8F40-A0F521F5BDF4}</c15:txfldGUID>
                      <c15:f>institutions_spss!$U$308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C-0235-4FEE-9FAC-95D5ECB60C56}"/>
                </c:ext>
              </c:extLst>
            </c:dLbl>
            <c:dLbl>
              <c:idx val="305"/>
              <c:layout/>
              <c:tx>
                <c:strRef>
                  <c:f>institutions_spss!$U$309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{C5550E1E-95EC-4562-8400-DD1EA529B748}</c15:txfldGUID>
                      <c15:f>institutions_spss!$U$309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D-0235-4FEE-9FAC-95D5ECB60C56}"/>
                </c:ext>
              </c:extLst>
            </c:dLbl>
            <c:dLbl>
              <c:idx val="306"/>
              <c:layout/>
              <c:tx>
                <c:strRef>
                  <c:f>institutions_spss!$U$310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{C6D88C0B-DE13-4E02-9AB9-4CACCCD94F0C}</c15:txfldGUID>
                      <c15:f>institutions_spss!$U$310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E-0235-4FEE-9FAC-95D5ECB60C56}"/>
                </c:ext>
              </c:extLst>
            </c:dLbl>
            <c:dLbl>
              <c:idx val="307"/>
              <c:layout/>
              <c:tx>
                <c:strRef>
                  <c:f>institutions_spss!$U$311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{73799151-A5D4-40E2-B02B-5D520AEF3E25}</c15:txfldGUID>
                      <c15:f>institutions_spss!$U$311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F-0235-4FEE-9FAC-95D5ECB60C56}"/>
                </c:ext>
              </c:extLst>
            </c:dLbl>
            <c:dLbl>
              <c:idx val="308"/>
              <c:layout/>
              <c:tx>
                <c:strRef>
                  <c:f>institutions_spss!$U$312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{47C916BB-BE62-41B1-9EF3-3618D70E50EE}</c15:txfldGUID>
                      <c15:f>institutions_spss!$U$312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0-0235-4FEE-9FAC-95D5ECB60C56}"/>
                </c:ext>
              </c:extLst>
            </c:dLbl>
            <c:dLbl>
              <c:idx val="309"/>
              <c:layout/>
              <c:tx>
                <c:strRef>
                  <c:f>institutions_spss!$U$313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{F7299E27-37CC-47B7-9F1B-E7208996E37E}</c15:txfldGUID>
                      <c15:f>institutions_spss!$U$313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1-0235-4FEE-9FAC-95D5ECB60C56}"/>
                </c:ext>
              </c:extLst>
            </c:dLbl>
            <c:dLbl>
              <c:idx val="310"/>
              <c:layout/>
              <c:tx>
                <c:strRef>
                  <c:f>institutions_spss!$U$314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{10F1A777-21E6-4298-A592-11A8EAC67650}</c15:txfldGUID>
                      <c15:f>institutions_spss!$U$314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2-0235-4FEE-9FAC-95D5ECB60C56}"/>
                </c:ext>
              </c:extLst>
            </c:dLbl>
            <c:dLbl>
              <c:idx val="311"/>
              <c:layout/>
              <c:tx>
                <c:strRef>
                  <c:f>institutions_spss!$U$315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{5FA80D95-A5CF-4435-8993-ADC78B585D31}</c15:txfldGUID>
                      <c15:f>institutions_spss!$U$315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3-0235-4FEE-9FAC-95D5ECB60C56}"/>
                </c:ext>
              </c:extLst>
            </c:dLbl>
            <c:dLbl>
              <c:idx val="312"/>
              <c:layout/>
              <c:tx>
                <c:strRef>
                  <c:f>institutions_spss!$U$316</c:f>
                  <c:strCache>
                    <c:ptCount val="1"/>
                    <c:pt idx="0">
                      <c:v>Bayreuth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{4A51CAE8-B344-4E37-98DC-505DC02108D3}</c15:txfldGUID>
                      <c15:f>institutions_spss!$U$316</c15:f>
                      <c15:dlblFieldTableCache>
                        <c:ptCount val="1"/>
                        <c:pt idx="0">
                          <c:v>Bayreuth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4-0235-4FEE-9FAC-95D5ECB60C56}"/>
                </c:ext>
              </c:extLst>
            </c:dLbl>
            <c:dLbl>
              <c:idx val="313"/>
              <c:layout/>
              <c:tx>
                <c:strRef>
                  <c:f>institutions_spss!$U$317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{772EBD2E-FF29-4796-AD07-B75470EA4F35}</c15:txfldGUID>
                      <c15:f>institutions_spss!$U$317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5-0235-4FEE-9FAC-95D5ECB60C56}"/>
                </c:ext>
              </c:extLst>
            </c:dLbl>
            <c:dLbl>
              <c:idx val="314"/>
              <c:layout/>
              <c:tx>
                <c:strRef>
                  <c:f>institutions_spss!$U$318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{019A785B-890E-4D10-B8F3-AF9986B78651}</c15:txfldGUID>
                      <c15:f>institutions_spss!$U$318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6-0235-4FEE-9FAC-95D5ECB60C56}"/>
                </c:ext>
              </c:extLst>
            </c:dLbl>
            <c:dLbl>
              <c:idx val="315"/>
              <c:layout>
                <c:manualLayout>
                  <c:x val="-5.0037845705968059E-2"/>
                  <c:y val="-1.195814648729447E-2"/>
                </c:manualLayout>
              </c:layout>
              <c:tx>
                <c:strRef>
                  <c:f>institutions_spss!$U$319</c:f>
                  <c:strCache>
                    <c:ptCount val="1"/>
                    <c:pt idx="0">
                      <c:v>Duisburg Essen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{694FA2E4-4FCF-47CC-9FFE-3E9A3D91FBEA}</c15:txfldGUID>
                      <c15:f>institutions_spss!$U$319</c15:f>
                      <c15:dlblFieldTableCache>
                        <c:ptCount val="1"/>
                        <c:pt idx="0">
                          <c:v>Duisburg Essen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7-0235-4FEE-9FAC-95D5ECB60C56}"/>
                </c:ext>
              </c:extLst>
            </c:dLbl>
            <c:dLbl>
              <c:idx val="316"/>
              <c:layout/>
              <c:tx>
                <c:strRef>
                  <c:f>institutions_spss!$U$320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{C63481C9-E629-4D15-B5CF-F5D353B1D3A6}</c15:txfldGUID>
                      <c15:f>institutions_spss!$U$320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8-0235-4FEE-9FAC-95D5ECB60C56}"/>
                </c:ext>
              </c:extLst>
            </c:dLbl>
            <c:dLbl>
              <c:idx val="317"/>
              <c:layout/>
              <c:tx>
                <c:strRef>
                  <c:f>institutions_spss!$U$321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{C138E072-1514-4D03-A7D2-3A5BC38E503D}</c15:txfldGUID>
                      <c15:f>institutions_spss!$U$321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9-0235-4FEE-9FAC-95D5ECB60C56}"/>
                </c:ext>
              </c:extLst>
            </c:dLbl>
            <c:dLbl>
              <c:idx val="318"/>
              <c:layout/>
              <c:tx>
                <c:strRef>
                  <c:f>institutions_spss!$U$322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{20BE1958-1D92-4159-BEA0-3E0970B25F4F}</c15:txfldGUID>
                      <c15:f>institutions_spss!$U$322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A-0235-4FEE-9FAC-95D5ECB60C56}"/>
                </c:ext>
              </c:extLst>
            </c:dLbl>
            <c:dLbl>
              <c:idx val="319"/>
              <c:layout/>
              <c:tx>
                <c:strRef>
                  <c:f>institutions_spss!$U$323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{62CA96E9-46EC-4F9E-A2CE-99DBE2A430B8}</c15:txfldGUID>
                      <c15:f>institutions_spss!$U$323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B-0235-4FEE-9FAC-95D5ECB60C56}"/>
                </c:ext>
              </c:extLst>
            </c:dLbl>
            <c:dLbl>
              <c:idx val="320"/>
              <c:layout/>
              <c:tx>
                <c:strRef>
                  <c:f>institutions_spss!$U$324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{347C7DDC-BC8A-44AA-AC4C-ACAA6534BFFA}</c15:txfldGUID>
                      <c15:f>institutions_spss!$U$324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C-0235-4FEE-9FAC-95D5ECB60C56}"/>
                </c:ext>
              </c:extLst>
            </c:dLbl>
            <c:dLbl>
              <c:idx val="321"/>
              <c:layout/>
              <c:tx>
                <c:strRef>
                  <c:f>institutions_spss!$U$325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{E177CC99-90A6-4648-AD5C-2C8F9D297EB1}</c15:txfldGUID>
                      <c15:f>institutions_spss!$U$325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D-0235-4FEE-9FAC-95D5ECB60C56}"/>
                </c:ext>
              </c:extLst>
            </c:dLbl>
            <c:dLbl>
              <c:idx val="322"/>
              <c:layout/>
              <c:tx>
                <c:strRef>
                  <c:f>institutions_spss!$U$326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{5C703DCE-7BAA-44BA-924A-FFEAE9390A84}</c15:txfldGUID>
                      <c15:f>institutions_spss!$U$326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E-0235-4FEE-9FAC-95D5ECB60C56}"/>
                </c:ext>
              </c:extLst>
            </c:dLbl>
            <c:dLbl>
              <c:idx val="323"/>
              <c:layout/>
              <c:tx>
                <c:strRef>
                  <c:f>institutions_spss!$U$327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{6DC6EB5B-6CE8-4B7D-946B-193ECE068EBA}</c15:txfldGUID>
                      <c15:f>institutions_spss!$U$327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F-0235-4FEE-9FAC-95D5ECB60C56}"/>
                </c:ext>
              </c:extLst>
            </c:dLbl>
            <c:dLbl>
              <c:idx val="324"/>
              <c:layout/>
              <c:tx>
                <c:strRef>
                  <c:f>institutions_spss!$U$328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Calibri" panose="020F0502020204030204" pitchFamily="34" charset="0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{9BA8735D-9B04-4B2C-BA19-AF4C1F369D0B}</c15:txfldGUID>
                      <c15:f>institutions_spss!$U$328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0-0235-4FEE-9FAC-95D5ECB60C56}"/>
                </c:ext>
              </c:extLst>
            </c:dLbl>
            <c:dLbl>
              <c:idx val="325"/>
              <c:layout/>
              <c:tx>
                <c:strRef>
                  <c:f>institutions_spss!$U$329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{04D39D7C-8FFF-476A-919D-A8ADC806C128}</c15:txfldGUID>
                      <c15:f>institutions_spss!$U$329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1-0235-4FEE-9FAC-95D5ECB60C56}"/>
                </c:ext>
              </c:extLst>
            </c:dLbl>
            <c:dLbl>
              <c:idx val="326"/>
              <c:layout/>
              <c:tx>
                <c:strRef>
                  <c:f>institutions_spss!$U$330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{85ED63E6-F9BE-4CCC-A837-C86D12ED3D89}</c15:txfldGUID>
                      <c15:f>institutions_spss!$U$330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2-0235-4FEE-9FAC-95D5ECB60C56}"/>
                </c:ext>
              </c:extLst>
            </c:dLbl>
            <c:dLbl>
              <c:idx val="327"/>
              <c:layout/>
              <c:tx>
                <c:strRef>
                  <c:f>institutions_spss!$U$331</c:f>
                  <c:strCache>
                    <c:ptCount val="1"/>
                    <c:pt idx="0">
                      <c:v>Hohenheim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{D7BB797D-AB44-47A6-B776-7ECF034948E5}</c15:txfldGUID>
                      <c15:f>institutions_spss!$U$331</c15:f>
                      <c15:dlblFieldTableCache>
                        <c:ptCount val="1"/>
                        <c:pt idx="0">
                          <c:v>Hohenheim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3-0235-4FEE-9FAC-95D5ECB60C56}"/>
                </c:ext>
              </c:extLst>
            </c:dLbl>
            <c:dLbl>
              <c:idx val="328"/>
              <c:layout/>
              <c:tx>
                <c:strRef>
                  <c:f>institutions_spss!$U$332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{E26A5864-90F2-4633-B6BB-55759BECB003}</c15:txfldGUID>
                      <c15:f>institutions_spss!$U$332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4-0235-4FEE-9FAC-95D5ECB60C56}"/>
                </c:ext>
              </c:extLst>
            </c:dLbl>
            <c:dLbl>
              <c:idx val="329"/>
              <c:layout/>
              <c:tx>
                <c:strRef>
                  <c:f>institutions_spss!$U$333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{2C51BBC8-0CA8-45F5-ADC4-DE9FBC6CA528}</c15:txfldGUID>
                      <c15:f>institutions_spss!$U$333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5-0235-4FEE-9FAC-95D5ECB60C56}"/>
                </c:ext>
              </c:extLst>
            </c:dLbl>
            <c:dLbl>
              <c:idx val="330"/>
              <c:layout/>
              <c:tx>
                <c:strRef>
                  <c:f>institutions_spss!$U$334</c:f>
                  <c:strCache>
                    <c:ptCount val="1"/>
                    <c:pt idx="0">
                      <c:v>Kedge BS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{26382DEC-5AF6-43FD-A472-04BC8B4DF351}</c15:txfldGUID>
                      <c15:f>institutions_spss!$U$334</c15:f>
                      <c15:dlblFieldTableCache>
                        <c:ptCount val="1"/>
                        <c:pt idx="0">
                          <c:v>Kedge BS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6-0235-4FEE-9FAC-95D5ECB60C56}"/>
                </c:ext>
              </c:extLst>
            </c:dLbl>
            <c:dLbl>
              <c:idx val="331"/>
              <c:layout/>
              <c:tx>
                <c:strRef>
                  <c:f>institutions_spss!$U$335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{B8E1E840-1D32-4B42-B503-257006ECCFAB}</c15:txfldGUID>
                      <c15:f>institutions_spss!$U$335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7-0235-4FEE-9FAC-95D5ECB60C56}"/>
                </c:ext>
              </c:extLst>
            </c:dLbl>
            <c:dLbl>
              <c:idx val="332"/>
              <c:layout/>
              <c:tx>
                <c:strRef>
                  <c:f>institutions_spss!$U$336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{B9F9EB92-E4A5-4F58-BD94-1E76422B967A}</c15:txfldGUID>
                      <c15:f>institutions_spss!$U$336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8-0235-4FEE-9FAC-95D5ECB60C56}"/>
                </c:ext>
              </c:extLst>
            </c:dLbl>
            <c:dLbl>
              <c:idx val="333"/>
              <c:layout/>
              <c:tx>
                <c:strRef>
                  <c:f>institutions_spss!$U$337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{B6D10D69-1A59-4339-B966-FD5886213AF3}</c15:txfldGUID>
                      <c15:f>institutions_spss!$U$337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9-0235-4FEE-9FAC-95D5ECB60C56}"/>
                </c:ext>
              </c:extLst>
            </c:dLbl>
            <c:dLbl>
              <c:idx val="334"/>
              <c:layout/>
              <c:tx>
                <c:strRef>
                  <c:f>institutions_spss!$U$338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{A60CF4DF-D71D-43AD-A3F5-F8BA4840AAC5}</c15:txfldGUID>
                      <c15:f>institutions_spss!$U$338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A-0235-4FEE-9FAC-95D5ECB60C56}"/>
                </c:ext>
              </c:extLst>
            </c:dLbl>
            <c:dLbl>
              <c:idx val="335"/>
              <c:layout/>
              <c:tx>
                <c:strRef>
                  <c:f>institutions_spss!$U$339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{73D78FC8-2268-4382-92ED-2E6178E6603C}</c15:txfldGUID>
                      <c15:f>institutions_spss!$U$339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B-0235-4FEE-9FAC-95D5ECB60C56}"/>
                </c:ext>
              </c:extLst>
            </c:dLbl>
            <c:dLbl>
              <c:idx val="336"/>
              <c:layout/>
              <c:tx>
                <c:strRef>
                  <c:f>institutions_spss!$U$340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{9520419D-C0D0-4545-B0EC-BF86A6308A8B}</c15:txfldGUID>
                      <c15:f>institutions_spss!$U$340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C-0235-4FEE-9FAC-95D5ECB60C56}"/>
                </c:ext>
              </c:extLst>
            </c:dLbl>
            <c:dLbl>
              <c:idx val="337"/>
              <c:layout/>
              <c:tx>
                <c:strRef>
                  <c:f>institutions_spss!$U$341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{94ED77C2-55F2-4960-A38E-FFAF0731E9F7}</c15:txfldGUID>
                      <c15:f>institutions_spss!$U$341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D-0235-4FEE-9FAC-95D5ECB60C56}"/>
                </c:ext>
              </c:extLst>
            </c:dLbl>
            <c:dLbl>
              <c:idx val="338"/>
              <c:layout/>
              <c:tx>
                <c:strRef>
                  <c:f>institutions_spss!$U$342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{EEA86F2F-3236-40F7-96A2-49583D887353}</c15:txfldGUID>
                      <c15:f>institutions_spss!$U$342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E-0235-4FEE-9FAC-95D5ECB60C56}"/>
                </c:ext>
              </c:extLst>
            </c:dLbl>
            <c:dLbl>
              <c:idx val="339"/>
              <c:layout/>
              <c:tx>
                <c:strRef>
                  <c:f>institutions_spss!$U$343</c:f>
                  <c:strCache>
                    <c:ptCount val="1"/>
                    <c:pt idx="0">
                      <c:v>Cote Azur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{58B291F2-0553-40EA-A0E1-753815FC6C5D}</c15:txfldGUID>
                      <c15:f>institutions_spss!$U$343</c15:f>
                      <c15:dlblFieldTableCache>
                        <c:ptCount val="1"/>
                        <c:pt idx="0">
                          <c:v>Cote Azur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F-0235-4FEE-9FAC-95D5ECB60C56}"/>
                </c:ext>
              </c:extLst>
            </c:dLbl>
            <c:dLbl>
              <c:idx val="340"/>
              <c:layout/>
              <c:tx>
                <c:strRef>
                  <c:f>institutions_spss!$U$344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{5DC4B456-EDAA-4B2C-8B16-942A9C509900}</c15:txfldGUID>
                      <c15:f>institutions_spss!$U$344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0-0235-4FEE-9FAC-95D5ECB60C56}"/>
                </c:ext>
              </c:extLst>
            </c:dLbl>
            <c:dLbl>
              <c:idx val="341"/>
              <c:layout/>
              <c:tx>
                <c:strRef>
                  <c:f>institutions_spss!$U$345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{151E883E-E26C-4FDA-A5FC-A3266940EEE6}</c15:txfldGUID>
                      <c15:f>institutions_spss!$U$345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1-0235-4FEE-9FAC-95D5ECB60C56}"/>
                </c:ext>
              </c:extLst>
            </c:dLbl>
            <c:dLbl>
              <c:idx val="342"/>
              <c:layout/>
              <c:tx>
                <c:strRef>
                  <c:f>institutions_spss!$U$346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{DFE004F7-0836-4DD8-AE3A-E8D2F11F5D0E}</c15:txfldGUID>
                      <c15:f>institutions_spss!$U$346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2-0235-4FEE-9FAC-95D5ECB60C56}"/>
                </c:ext>
              </c:extLst>
            </c:dLbl>
            <c:dLbl>
              <c:idx val="343"/>
              <c:layout/>
              <c:tx>
                <c:strRef>
                  <c:f>institutions_spss!$U$347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{DA408175-E687-48BB-ADB8-C210E9A88E98}</c15:txfldGUID>
                      <c15:f>institutions_spss!$U$347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3-0235-4FEE-9FAC-95D5ECB60C56}"/>
                </c:ext>
              </c:extLst>
            </c:dLbl>
            <c:dLbl>
              <c:idx val="344"/>
              <c:layout/>
              <c:tx>
                <c:strRef>
                  <c:f>institutions_spss!$U$348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{B4EB9B19-6F8A-49A6-A3BD-6556CC724E4E}</c15:txfldGUID>
                      <c15:f>institutions_spss!$U$348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4-0235-4FEE-9FAC-95D5ECB60C56}"/>
                </c:ext>
              </c:extLst>
            </c:dLbl>
            <c:dLbl>
              <c:idx val="345"/>
              <c:layout/>
              <c:tx>
                <c:strRef>
                  <c:f>institutions_spss!$U$349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{0B2C003D-F454-4697-B9CD-59E3C35E0ECE}</c15:txfldGUID>
                      <c15:f>institutions_spss!$U$349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5-0235-4FEE-9FAC-95D5ECB60C56}"/>
                </c:ext>
              </c:extLst>
            </c:dLbl>
            <c:dLbl>
              <c:idx val="346"/>
              <c:layout/>
              <c:tx>
                <c:strRef>
                  <c:f>institutions_spss!$U$350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{14ACFF92-B517-4990-BC84-6E2F5F4F455D}</c15:txfldGUID>
                      <c15:f>institutions_spss!$U$350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6-0235-4FEE-9FAC-95D5ECB60C56}"/>
                </c:ext>
              </c:extLst>
            </c:dLbl>
            <c:dLbl>
              <c:idx val="347"/>
              <c:layout/>
              <c:tx>
                <c:strRef>
                  <c:f>institutions_spss!$U$351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{3DD425D5-443B-4155-A2EE-E6B08F4777A6}</c15:txfldGUID>
                      <c15:f>institutions_spss!$U$351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7-0235-4FEE-9FAC-95D5ECB60C56}"/>
                </c:ext>
              </c:extLst>
            </c:dLbl>
            <c:dLbl>
              <c:idx val="348"/>
              <c:layout/>
              <c:tx>
                <c:strRef>
                  <c:f>institutions_spss!$U$352</c:f>
                  <c:strCache>
                    <c:ptCount val="1"/>
                    <c:pt idx="0">
                      <c:v>Basque Country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{CC144A26-B29E-4147-AD72-41D9348A0C3A}</c15:txfldGUID>
                      <c15:f>institutions_spss!$U$352</c15:f>
                      <c15:dlblFieldTableCache>
                        <c:ptCount val="1"/>
                        <c:pt idx="0">
                          <c:v>Basque Country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8-0235-4FEE-9FAC-95D5ECB60C56}"/>
                </c:ext>
              </c:extLst>
            </c:dLbl>
            <c:dLbl>
              <c:idx val="349"/>
              <c:layout/>
              <c:tx>
                <c:strRef>
                  <c:f>institutions_spss!$U$353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{A8DE7F78-B4E6-4912-8F15-D8D104DF8568}</c15:txfldGUID>
                      <c15:f>institutions_spss!$U$353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9-0235-4FEE-9FAC-95D5ECB60C56}"/>
                </c:ext>
              </c:extLst>
            </c:dLbl>
            <c:dLbl>
              <c:idx val="350"/>
              <c:layout/>
              <c:tx>
                <c:strRef>
                  <c:f>institutions_spss!$U$354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{D4D45CA9-56CF-4986-AEDA-DC47A338F765}</c15:txfldGUID>
                      <c15:f>institutions_spss!$U$354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A-0235-4FEE-9FAC-95D5ECB60C56}"/>
                </c:ext>
              </c:extLst>
            </c:dLbl>
            <c:dLbl>
              <c:idx val="351"/>
              <c:layout/>
              <c:tx>
                <c:strRef>
                  <c:f>institutions_spss!$U$355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{090D5FDE-D669-41E0-901E-23041B163E38}</c15:txfldGUID>
                      <c15:f>institutions_spss!$U$355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B-0235-4FEE-9FAC-95D5ECB60C56}"/>
                </c:ext>
              </c:extLst>
            </c:dLbl>
            <c:dLbl>
              <c:idx val="352"/>
              <c:layout/>
              <c:tx>
                <c:strRef>
                  <c:f>institutions_spss!$U$356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{B2508F45-B8FC-48E6-8F67-CD1078EC4AD6}</c15:txfldGUID>
                      <c15:f>institutions_spss!$U$356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C-0235-4FEE-9FAC-95D5ECB60C56}"/>
                </c:ext>
              </c:extLst>
            </c:dLbl>
            <c:dLbl>
              <c:idx val="353"/>
              <c:layout/>
              <c:tx>
                <c:strRef>
                  <c:f>institutions_spss!$U$357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{C2AA05CE-BE4D-41B3-BBA3-04ED6170FFA1}</c15:txfldGUID>
                      <c15:f>institutions_spss!$U$357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D-0235-4FEE-9FAC-95D5ECB60C56}"/>
                </c:ext>
              </c:extLst>
            </c:dLbl>
            <c:dLbl>
              <c:idx val="354"/>
              <c:layout/>
              <c:tx>
                <c:strRef>
                  <c:f>institutions_spss!$U$358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{397C2FAF-4783-48C5-AE27-94441071662B}</c15:txfldGUID>
                      <c15:f>institutions_spss!$U$358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E-0235-4FEE-9FAC-95D5ECB60C56}"/>
                </c:ext>
              </c:extLst>
            </c:dLbl>
            <c:dLbl>
              <c:idx val="355"/>
              <c:layout/>
              <c:tx>
                <c:strRef>
                  <c:f>institutions_spss!$U$359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{B2C6C6A7-CF51-474A-B75E-ED04AC44646E}</c15:txfldGUID>
                      <c15:f>institutions_spss!$U$359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F-0235-4FEE-9FAC-95D5ECB60C56}"/>
                </c:ext>
              </c:extLst>
            </c:dLbl>
            <c:dLbl>
              <c:idx val="356"/>
              <c:layout/>
              <c:tx>
                <c:strRef>
                  <c:f>institutions_spss!$U$360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{3A040FE8-2AA7-4ED9-82E1-1AFA07414D42}</c15:txfldGUID>
                      <c15:f>institutions_spss!$U$360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0-0235-4FEE-9FAC-95D5ECB60C56}"/>
                </c:ext>
              </c:extLst>
            </c:dLbl>
            <c:dLbl>
              <c:idx val="357"/>
              <c:layout/>
              <c:tx>
                <c:strRef>
                  <c:f>institutions_spss!$U$361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{06B0F241-5409-4CC3-88BE-A4AD4DEB4A37}</c15:txfldGUID>
                      <c15:f>institutions_spss!$U$361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1-0235-4FEE-9FAC-95D5ECB60C56}"/>
                </c:ext>
              </c:extLst>
            </c:dLbl>
            <c:dLbl>
              <c:idx val="358"/>
              <c:layout/>
              <c:tx>
                <c:strRef>
                  <c:f>institutions_spss!$U$362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{1190F23E-DD23-47C2-AE9A-12EC6E20CECD}</c15:txfldGUID>
                      <c15:f>institutions_spss!$U$362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2-0235-4FEE-9FAC-95D5ECB60C56}"/>
                </c:ext>
              </c:extLst>
            </c:dLbl>
            <c:dLbl>
              <c:idx val="359"/>
              <c:layout/>
              <c:tx>
                <c:strRef>
                  <c:f>institutions_spss!$U$363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{A2B78B7D-6653-4D4B-B2DF-0C50086B1143}</c15:txfldGUID>
                      <c15:f>institutions_spss!$U$363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3-0235-4FEE-9FAC-95D5ECB60C56}"/>
                </c:ext>
              </c:extLst>
            </c:dLbl>
            <c:dLbl>
              <c:idx val="360"/>
              <c:layout/>
              <c:tx>
                <c:strRef>
                  <c:f>institutions_spss!$U$364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{94480555-0E03-46C1-90AC-E242E629EA73}</c15:txfldGUID>
                      <c15:f>institutions_spss!$U$364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4-0235-4FEE-9FAC-95D5ECB60C56}"/>
                </c:ext>
              </c:extLst>
            </c:dLbl>
            <c:dLbl>
              <c:idx val="361"/>
              <c:layout/>
              <c:tx>
                <c:strRef>
                  <c:f>institutions_spss!$U$365</c:f>
                  <c:strCache>
                    <c:ptCount val="1"/>
                    <c:pt idx="0">
                      <c:v>ZEW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{2E5E824A-2E2F-4FD1-94B5-5DD1CA9DAF12}</c15:txfldGUID>
                      <c15:f>institutions_spss!$U$365</c15:f>
                      <c15:dlblFieldTableCache>
                        <c:ptCount val="1"/>
                        <c:pt idx="0">
                          <c:v>ZEW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5-0235-4FEE-9FAC-95D5ECB60C56}"/>
                </c:ext>
              </c:extLst>
            </c:dLbl>
            <c:dLbl>
              <c:idx val="362"/>
              <c:layout/>
              <c:tx>
                <c:strRef>
                  <c:f>institutions_spss!$U$366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{9863DFE7-6B88-43A5-9254-F0C897C3F2EB}</c15:txfldGUID>
                      <c15:f>institutions_spss!$U$366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6-0235-4FEE-9FAC-95D5ECB60C56}"/>
                </c:ext>
              </c:extLst>
            </c:dLbl>
            <c:dLbl>
              <c:idx val="363"/>
              <c:layout/>
              <c:tx>
                <c:strRef>
                  <c:f>institutions_spss!$U$367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{B6ADD257-BF19-4A91-A09A-1E1FC828A669}</c15:txfldGUID>
                      <c15:f>institutions_spss!$U$367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7-0235-4FEE-9FAC-95D5ECB60C56}"/>
                </c:ext>
              </c:extLst>
            </c:dLbl>
            <c:dLbl>
              <c:idx val="364"/>
              <c:layout/>
              <c:tx>
                <c:strRef>
                  <c:f>institutions_spss!$U$368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{0DDE656B-AB35-4EE0-9C4B-269DA8AA96F0}</c15:txfldGUID>
                      <c15:f>institutions_spss!$U$368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8-0235-4FEE-9FAC-95D5ECB60C56}"/>
                </c:ext>
              </c:extLst>
            </c:dLbl>
            <c:dLbl>
              <c:idx val="365"/>
              <c:layout/>
              <c:tx>
                <c:strRef>
                  <c:f>institutions_spss!$U$369</c:f>
                  <c:strCache>
                    <c:ptCount val="1"/>
                    <c:pt idx="0">
                      <c:v>Konstanz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{7742DB68-B01A-41FE-906A-FA310357C261}</c15:txfldGUID>
                      <c15:f>institutions_spss!$U$369</c15:f>
                      <c15:dlblFieldTableCache>
                        <c:ptCount val="1"/>
                        <c:pt idx="0">
                          <c:v>Konstanz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9-0235-4FEE-9FAC-95D5ECB60C56}"/>
                </c:ext>
              </c:extLst>
            </c:dLbl>
            <c:dLbl>
              <c:idx val="366"/>
              <c:layout/>
              <c:tx>
                <c:strRef>
                  <c:f>institutions_spss!$U$370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{E75B6F34-AE48-45FE-BAD0-80BB012DF8D1}</c15:txfldGUID>
                      <c15:f>institutions_spss!$U$370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A-0235-4FEE-9FAC-95D5ECB60C56}"/>
                </c:ext>
              </c:extLst>
            </c:dLbl>
            <c:dLbl>
              <c:idx val="367"/>
              <c:layout/>
              <c:tx>
                <c:strRef>
                  <c:f>institutions_spss!$U$371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{582A9790-F655-471E-86F9-0432E59F13C3}</c15:txfldGUID>
                      <c15:f>institutions_spss!$U$371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B-0235-4FEE-9FAC-95D5ECB60C56}"/>
                </c:ext>
              </c:extLst>
            </c:dLbl>
            <c:dLbl>
              <c:idx val="368"/>
              <c:layout/>
              <c:tx>
                <c:strRef>
                  <c:f>institutions_spss!$U$372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{F3BBFF74-9EC7-408E-9C97-5D3AB963A189}</c15:txfldGUID>
                      <c15:f>institutions_spss!$U$372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C-0235-4FEE-9FAC-95D5ECB60C56}"/>
                </c:ext>
              </c:extLst>
            </c:dLbl>
            <c:dLbl>
              <c:idx val="369"/>
              <c:layout>
                <c:manualLayout>
                  <c:x val="-2.5618631732168849E-2"/>
                  <c:y val="-1.7937219730941704E-2"/>
                </c:manualLayout>
              </c:layout>
              <c:tx>
                <c:strRef>
                  <c:f>institutions_spss!$U$373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{D3F902B6-D7BD-482D-BE0A-9771E02A04A9}</c15:txfldGUID>
                      <c15:f>institutions_spss!$U$373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D-0235-4FEE-9FAC-95D5ECB60C56}"/>
                </c:ext>
              </c:extLst>
            </c:dLbl>
            <c:dLbl>
              <c:idx val="370"/>
              <c:layout/>
              <c:tx>
                <c:strRef>
                  <c:f>institutions_spss!$U$374</c:f>
                  <c:strCache>
                    <c:ptCount val="1"/>
                    <c:pt idx="0">
                      <c:v>Gottingen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{7612879C-BC32-4205-B799-425844261E4D}</c15:txfldGUID>
                      <c15:f>institutions_spss!$U$374</c15:f>
                      <c15:dlblFieldTableCache>
                        <c:ptCount val="1"/>
                        <c:pt idx="0">
                          <c:v>Gottingen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E-0235-4FEE-9FAC-95D5ECB60C56}"/>
                </c:ext>
              </c:extLst>
            </c:dLbl>
            <c:dLbl>
              <c:idx val="371"/>
              <c:layout/>
              <c:tx>
                <c:strRef>
                  <c:f>institutions_spss!$U$375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{5A9FFE0E-B75C-40F6-8209-04E6E9AC0BFA}</c15:txfldGUID>
                      <c15:f>institutions_spss!$U$375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F-0235-4FEE-9FAC-95D5ECB60C56}"/>
                </c:ext>
              </c:extLst>
            </c:dLbl>
            <c:dLbl>
              <c:idx val="372"/>
              <c:layout/>
              <c:tx>
                <c:strRef>
                  <c:f>institutions_spss!$U$376</c:f>
                  <c:strCache>
                    <c:ptCount val="1"/>
                    <c:pt idx="0">
                      <c:v>Heidelberg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{E84FA0D0-5C8D-4242-B969-AC4FE885DED5}</c15:txfldGUID>
                      <c15:f>institutions_spss!$U$376</c15:f>
                      <c15:dlblFieldTableCache>
                        <c:ptCount val="1"/>
                        <c:pt idx="0">
                          <c:v>Heidelberg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0-0235-4FEE-9FAC-95D5ECB60C56}"/>
                </c:ext>
              </c:extLst>
            </c:dLbl>
            <c:dLbl>
              <c:idx val="373"/>
              <c:layout/>
              <c:tx>
                <c:strRef>
                  <c:f>institutions_spss!$U$377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{FAD963A6-58A4-49D5-9B08-7B219B011C85}</c15:txfldGUID>
                      <c15:f>institutions_spss!$U$377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1-0235-4FEE-9FAC-95D5ECB60C56}"/>
                </c:ext>
              </c:extLst>
            </c:dLbl>
            <c:dLbl>
              <c:idx val="374"/>
              <c:layout/>
              <c:tx>
                <c:strRef>
                  <c:f>institutions_spss!$U$378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{156FC85A-61D4-47AD-B68A-42AA23E38AAD}</c15:txfldGUID>
                      <c15:f>institutions_spss!$U$378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2-0235-4FEE-9FAC-95D5ECB60C56}"/>
                </c:ext>
              </c:extLst>
            </c:dLbl>
            <c:dLbl>
              <c:idx val="375"/>
              <c:layout>
                <c:manualLayout>
                  <c:x val="-3.5202328966521104E-2"/>
                  <c:y val="-1.1958146487294543E-2"/>
                </c:manualLayout>
              </c:layout>
              <c:tx>
                <c:strRef>
                  <c:f>institutions_spss!$U$379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{D8142F4E-A10A-491B-B493-60954AAC91AE}</c15:txfldGUID>
                      <c15:f>institutions_spss!$U$379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3-0235-4FEE-9FAC-95D5ECB60C56}"/>
                </c:ext>
              </c:extLst>
            </c:dLbl>
            <c:dLbl>
              <c:idx val="376"/>
              <c:layout/>
              <c:tx>
                <c:strRef>
                  <c:f>institutions_spss!$U$380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{80D7A177-9065-422E-9B64-5ED79552CCD5}</c15:txfldGUID>
                      <c15:f>institutions_spss!$U$380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4-0235-4FEE-9FAC-95D5ECB60C56}"/>
                </c:ext>
              </c:extLst>
            </c:dLbl>
            <c:dLbl>
              <c:idx val="377"/>
              <c:layout/>
              <c:tx>
                <c:strRef>
                  <c:f>institutions_spss!$U$381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{B9D4A4AE-1D08-49E9-AA24-00C3BA0A152C}</c15:txfldGUID>
                      <c15:f>institutions_spss!$U$381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5-0235-4FEE-9FAC-95D5ECB60C56}"/>
                </c:ext>
              </c:extLst>
            </c:dLbl>
            <c:dLbl>
              <c:idx val="378"/>
              <c:layout>
                <c:manualLayout>
                  <c:x val="-3.8474526928675402E-2"/>
                  <c:y val="-9.9651220727453912E-3"/>
                </c:manualLayout>
              </c:layout>
              <c:tx>
                <c:strRef>
                  <c:f>institutions_spss!$U$382</c:f>
                  <c:strCache>
                    <c:ptCount val="1"/>
                    <c:pt idx="0">
                      <c:v>Salamanca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{0B0A67F9-18B7-4141-B38A-07318BE5CB82}</c15:txfldGUID>
                      <c15:f>institutions_spss!$U$382</c15:f>
                      <c15:dlblFieldTableCache>
                        <c:ptCount val="1"/>
                        <c:pt idx="0">
                          <c:v>Salamanca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6-0235-4FEE-9FAC-95D5ECB60C56}"/>
                </c:ext>
              </c:extLst>
            </c:dLbl>
            <c:dLbl>
              <c:idx val="379"/>
              <c:layout/>
              <c:tx>
                <c:strRef>
                  <c:f>institutions_spss!$U$383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{E4C64839-5749-4F90-98AA-3DAC1E867D7B}</c15:txfldGUID>
                      <c15:f>institutions_spss!$U$383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7-0235-4FEE-9FAC-95D5ECB60C56}"/>
                </c:ext>
              </c:extLst>
            </c:dLbl>
            <c:dLbl>
              <c:idx val="380"/>
              <c:layout/>
              <c:tx>
                <c:strRef>
                  <c:f>institutions_spss!$U$384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{8D8E3D95-958C-46E5-BEA6-B1FA76DF1224}</c15:txfldGUID>
                      <c15:f>institutions_spss!$U$384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8-0235-4FEE-9FAC-95D5ECB60C56}"/>
                </c:ext>
              </c:extLst>
            </c:dLbl>
            <c:dLbl>
              <c:idx val="381"/>
              <c:layout/>
              <c:tx>
                <c:strRef>
                  <c:f>institutions_spss!$U$385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{7221B3D1-8645-4896-BB5C-F84CB17D5591}</c15:txfldGUID>
                      <c15:f>institutions_spss!$U$385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9-0235-4FEE-9FAC-95D5ECB60C56}"/>
                </c:ext>
              </c:extLst>
            </c:dLbl>
            <c:dLbl>
              <c:idx val="382"/>
              <c:layout/>
              <c:tx>
                <c:strRef>
                  <c:f>institutions_spss!$U$386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{8564436D-EF57-4ABA-A9E7-D41CB57EBEBC}</c15:txfldGUID>
                      <c15:f>institutions_spss!$U$386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A-0235-4FEE-9FAC-95D5ECB60C56}"/>
                </c:ext>
              </c:extLst>
            </c:dLbl>
            <c:dLbl>
              <c:idx val="383"/>
              <c:layout/>
              <c:tx>
                <c:strRef>
                  <c:f>institutions_spss!$U$387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{E04A5A48-234A-4F9D-A6C6-657F8DD28E44}</c15:txfldGUID>
                      <c15:f>institutions_spss!$U$387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B-0235-4FEE-9FAC-95D5ECB60C56}"/>
                </c:ext>
              </c:extLst>
            </c:dLbl>
            <c:dLbl>
              <c:idx val="384"/>
              <c:layout/>
              <c:tx>
                <c:strRef>
                  <c:f>institutions_spss!$U$388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{0970B0F7-8DE6-4794-8868-81C8FE8CE2EB}</c15:txfldGUID>
                      <c15:f>institutions_spss!$U$388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C-0235-4FEE-9FAC-95D5ECB60C56}"/>
                </c:ext>
              </c:extLst>
            </c:dLbl>
            <c:dLbl>
              <c:idx val="385"/>
              <c:layout/>
              <c:tx>
                <c:strRef>
                  <c:f>institutions_spss!$U$389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{3D5EEC8A-2BD7-459A-8B10-E9F773D69874}</c15:txfldGUID>
                      <c15:f>institutions_spss!$U$389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D-0235-4FEE-9FAC-95D5ECB60C56}"/>
                </c:ext>
              </c:extLst>
            </c:dLbl>
            <c:dLbl>
              <c:idx val="386"/>
              <c:layout/>
              <c:tx>
                <c:strRef>
                  <c:f>institutions_spss!$U$390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{C08C078B-5DBD-467C-839A-69D4BDE1A24C}</c15:txfldGUID>
                      <c15:f>institutions_spss!$U$390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E-0235-4FEE-9FAC-95D5ECB60C56}"/>
                </c:ext>
              </c:extLst>
            </c:dLbl>
            <c:dLbl>
              <c:idx val="387"/>
              <c:layout/>
              <c:tx>
                <c:strRef>
                  <c:f>institutions_spss!$U$391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{B4C13DD1-E88F-4681-AEAA-53E73D471977}</c15:txfldGUID>
                      <c15:f>institutions_spss!$U$391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F-0235-4FEE-9FAC-95D5ECB60C56}"/>
                </c:ext>
              </c:extLst>
            </c:dLbl>
            <c:dLbl>
              <c:idx val="388"/>
              <c:layout/>
              <c:tx>
                <c:strRef>
                  <c:f>institutions_spss!$U$392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{702309AD-7F2D-4091-BECC-BCD3D1B4CBD2}</c15:txfldGUID>
                      <c15:f>institutions_spss!$U$392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0-0235-4FEE-9FAC-95D5ECB60C56}"/>
                </c:ext>
              </c:extLst>
            </c:dLbl>
            <c:dLbl>
              <c:idx val="389"/>
              <c:layout/>
              <c:tx>
                <c:strRef>
                  <c:f>institutions_spss!$U$393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{BAE32B0C-D08E-46BC-B394-8C08627AD079}</c15:txfldGUID>
                      <c15:f>institutions_spss!$U$393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1-0235-4FEE-9FAC-95D5ECB60C56}"/>
                </c:ext>
              </c:extLst>
            </c:dLbl>
            <c:dLbl>
              <c:idx val="390"/>
              <c:layout/>
              <c:tx>
                <c:strRef>
                  <c:f>institutions_spss!$U$394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{89BCC1BB-F48D-41A8-9D81-04EAFA9BCD36}</c15:txfldGUID>
                      <c15:f>institutions_spss!$U$394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2-0235-4FEE-9FAC-95D5ECB60C56}"/>
                </c:ext>
              </c:extLst>
            </c:dLbl>
            <c:dLbl>
              <c:idx val="391"/>
              <c:layout>
                <c:manualLayout>
                  <c:x val="-5.540317940606769E-2"/>
                  <c:y val="4.1853512705530643E-2"/>
                </c:manualLayout>
              </c:layout>
              <c:tx>
                <c:strRef>
                  <c:f>institutions_spss!$U$395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{A101D248-7366-4B23-A2DE-D1458B774F02}</c15:txfldGUID>
                      <c15:f>institutions_spss!$U$395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3-0235-4FEE-9FAC-95D5ECB60C56}"/>
                </c:ext>
              </c:extLst>
            </c:dLbl>
            <c:dLbl>
              <c:idx val="392"/>
              <c:layout/>
              <c:tx>
                <c:strRef>
                  <c:f>institutions_spss!$U$396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{403597E9-A593-4169-B173-3DEFE9DC0EBC}</c15:txfldGUID>
                      <c15:f>institutions_spss!$U$396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4-0235-4FEE-9FAC-95D5ECB60C56}"/>
                </c:ext>
              </c:extLst>
            </c:dLbl>
            <c:dLbl>
              <c:idx val="393"/>
              <c:layout/>
              <c:tx>
                <c:strRef>
                  <c:f>institutions_spss!$U$397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{B226327B-AAB9-4E56-B470-92C469673AF5}</c15:txfldGUID>
                      <c15:f>institutions_spss!$U$397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5-0235-4FEE-9FAC-95D5ECB60C56}"/>
                </c:ext>
              </c:extLst>
            </c:dLbl>
            <c:dLbl>
              <c:idx val="394"/>
              <c:layout/>
              <c:tx>
                <c:strRef>
                  <c:f>institutions_spss!$U$398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{A77F339F-E6C7-4D06-9B7B-9DCA7052B81C}</c15:txfldGUID>
                      <c15:f>institutions_spss!$U$398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6-0235-4FEE-9FAC-95D5ECB60C56}"/>
                </c:ext>
              </c:extLst>
            </c:dLbl>
            <c:dLbl>
              <c:idx val="395"/>
              <c:layout/>
              <c:tx>
                <c:strRef>
                  <c:f>institutions_spss!$U$399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{35A09831-F110-42E5-92FD-D3665B35E484}</c15:txfldGUID>
                      <c15:f>institutions_spss!$U$399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7-0235-4FEE-9FAC-95D5ECB60C56}"/>
                </c:ext>
              </c:extLst>
            </c:dLbl>
            <c:dLbl>
              <c:idx val="396"/>
              <c:layout/>
              <c:tx>
                <c:strRef>
                  <c:f>institutions_spss!$U$400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{44C88938-26E3-475C-B248-5CEE9654A2F1}</c15:txfldGUID>
                      <c15:f>institutions_spss!$U$400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8-0235-4FEE-9FAC-95D5ECB60C56}"/>
                </c:ext>
              </c:extLst>
            </c:dLbl>
            <c:dLbl>
              <c:idx val="397"/>
              <c:layout/>
              <c:tx>
                <c:strRef>
                  <c:f>institutions_spss!$U$401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{4FD2D398-1D70-408B-BE38-677D160B71E5}</c15:txfldGUID>
                      <c15:f>institutions_spss!$U$401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9-0235-4FEE-9FAC-95D5ECB60C56}"/>
                </c:ext>
              </c:extLst>
            </c:dLbl>
            <c:dLbl>
              <c:idx val="398"/>
              <c:layout/>
              <c:tx>
                <c:strRef>
                  <c:f>institutions_spss!$U$402</c:f>
                  <c:strCache>
                    <c:ptCount val="1"/>
                    <c:pt idx="0">
                      <c:v>Erlangen Nur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{56EA5075-437A-4E3C-A9F3-1C9E211377DD}</c15:txfldGUID>
                      <c15:f>institutions_spss!$U$402</c15:f>
                      <c15:dlblFieldTableCache>
                        <c:ptCount val="1"/>
                        <c:pt idx="0">
                          <c:v>Erlangen Nur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A-0235-4FEE-9FAC-95D5ECB60C56}"/>
                </c:ext>
              </c:extLst>
            </c:dLbl>
            <c:dLbl>
              <c:idx val="399"/>
              <c:layout/>
              <c:tx>
                <c:strRef>
                  <c:f>institutions_spss!$U$403</c:f>
                  <c:strCache>
                    <c:ptCount val="1"/>
                    <c:pt idx="0">
                      <c:v>Granada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{05D855DE-AB42-4B9C-B8A2-C53B78F8D4D2}</c15:txfldGUID>
                      <c15:f>institutions_spss!$U$403</c15:f>
                      <c15:dlblFieldTableCache>
                        <c:ptCount val="1"/>
                        <c:pt idx="0">
                          <c:v>Granada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B-0235-4FEE-9FAC-95D5ECB60C56}"/>
                </c:ext>
              </c:extLst>
            </c:dLbl>
            <c:dLbl>
              <c:idx val="400"/>
              <c:layout/>
              <c:tx>
                <c:strRef>
                  <c:f>institutions_spss!$U$404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{E254BC83-2C5F-4A41-9D06-2D7AA7812CD6}</c15:txfldGUID>
                      <c15:f>institutions_spss!$U$404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C-0235-4FEE-9FAC-95D5ECB60C56}"/>
                </c:ext>
              </c:extLst>
            </c:dLbl>
            <c:dLbl>
              <c:idx val="401"/>
              <c:layout/>
              <c:tx>
                <c:strRef>
                  <c:f>institutions_spss!$U$405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{18C50FF6-BB39-498A-83EC-DA2AB1196135}</c15:txfldGUID>
                      <c15:f>institutions_spss!$U$405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D-0235-4FEE-9FAC-95D5ECB60C56}"/>
                </c:ext>
              </c:extLst>
            </c:dLbl>
            <c:dLbl>
              <c:idx val="402"/>
              <c:layout/>
              <c:tx>
                <c:strRef>
                  <c:f>institutions_spss!$U$406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{AB166145-9480-49BC-A602-344DA313D836}</c15:txfldGUID>
                      <c15:f>institutions_spss!$U$406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E-0235-4FEE-9FAC-95D5ECB60C56}"/>
                </c:ext>
              </c:extLst>
            </c:dLbl>
            <c:dLbl>
              <c:idx val="403"/>
              <c:layout/>
              <c:tx>
                <c:strRef>
                  <c:f>institutions_spss!$U$407</c:f>
                  <c:strCache>
                    <c:ptCount val="1"/>
                    <c:pt idx="0">
                      <c:v>Pablo Olavide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{29C6AD3B-BE02-41BD-AB09-3A9EA739CC31}</c15:txfldGUID>
                      <c15:f>institutions_spss!$U$407</c15:f>
                      <c15:dlblFieldTableCache>
                        <c:ptCount val="1"/>
                        <c:pt idx="0">
                          <c:v>Pablo Olavide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F-0235-4FEE-9FAC-95D5ECB60C56}"/>
                </c:ext>
              </c:extLst>
            </c:dLbl>
            <c:dLbl>
              <c:idx val="404"/>
              <c:layout/>
              <c:tx>
                <c:strRef>
                  <c:f>institutions_spss!$U$408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{53ED0269-D9B3-4941-AEFF-920A6C9647FE}</c15:txfldGUID>
                      <c15:f>institutions_spss!$U$408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0-0235-4FEE-9FAC-95D5ECB60C56}"/>
                </c:ext>
              </c:extLst>
            </c:dLbl>
            <c:dLbl>
              <c:idx val="405"/>
              <c:layout/>
              <c:tx>
                <c:strRef>
                  <c:f>institutions_spss!$U$409</c:f>
                  <c:strCache>
                    <c:ptCount val="1"/>
                    <c:pt idx="0">
                      <c:v>OECD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{085B1392-9535-435D-967A-0067CDCE80D8}</c15:txfldGUID>
                      <c15:f>institutions_spss!$U$409</c15:f>
                      <c15:dlblFieldTableCache>
                        <c:ptCount val="1"/>
                        <c:pt idx="0">
                          <c:v>OECD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1-0235-4FEE-9FAC-95D5ECB60C56}"/>
                </c:ext>
              </c:extLst>
            </c:dLbl>
            <c:dLbl>
              <c:idx val="406"/>
              <c:layout/>
              <c:tx>
                <c:strRef>
                  <c:f>institutions_spss!$U$410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{426A1602-A0D2-4EBB-8089-F4F69DD6AC84}</c15:txfldGUID>
                      <c15:f>institutions_spss!$U$410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2-0235-4FEE-9FAC-95D5ECB60C56}"/>
                </c:ext>
              </c:extLst>
            </c:dLbl>
            <c:dLbl>
              <c:idx val="407"/>
              <c:layout/>
              <c:tx>
                <c:strRef>
                  <c:f>institutions_spss!$U$411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{795CF057-DF3D-4384-9559-CDBA6E57F2DD}</c15:txfldGUID>
                      <c15:f>institutions_spss!$U$411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3-0235-4FEE-9FAC-95D5ECB60C56}"/>
                </c:ext>
              </c:extLst>
            </c:dLbl>
            <c:dLbl>
              <c:idx val="408"/>
              <c:layout/>
              <c:tx>
                <c:strRef>
                  <c:f>institutions_spss!$U$412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{52C1C5B2-083D-471C-B2A5-C351EDBDF97A}</c15:txfldGUID>
                      <c15:f>institutions_spss!$U$412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4-0235-4FEE-9FAC-95D5ECB60C56}"/>
                </c:ext>
              </c:extLst>
            </c:dLbl>
            <c:dLbl>
              <c:idx val="409"/>
              <c:layout/>
              <c:tx>
                <c:strRef>
                  <c:f>institutions_spss!$U$413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{932C0EB7-047E-4446-9AD9-A94FDBD4ADA8}</c15:txfldGUID>
                      <c15:f>institutions_spss!$U$413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5-0235-4FEE-9FAC-95D5ECB60C56}"/>
                </c:ext>
              </c:extLst>
            </c:dLbl>
            <c:dLbl>
              <c:idx val="410"/>
              <c:layout/>
              <c:tx>
                <c:strRef>
                  <c:f>institutions_spss!$U$414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{BF045964-F320-41D6-82AE-AF3678F000E9}</c15:txfldGUID>
                      <c15:f>institutions_spss!$U$414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6-0235-4FEE-9FAC-95D5ECB60C56}"/>
                </c:ext>
              </c:extLst>
            </c:dLbl>
            <c:dLbl>
              <c:idx val="411"/>
              <c:layout/>
              <c:tx>
                <c:strRef>
                  <c:f>institutions_spss!$U$415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{7C921A70-87FD-41FE-A278-95719EAF3CD6}</c15:txfldGUID>
                      <c15:f>institutions_spss!$U$415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7-0235-4FEE-9FAC-95D5ECB60C56}"/>
                </c:ext>
              </c:extLst>
            </c:dLbl>
            <c:dLbl>
              <c:idx val="412"/>
              <c:layout/>
              <c:tx>
                <c:strRef>
                  <c:f>institutions_spss!$U$416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{7C1B7C33-4EA7-46C1-9DEB-42F397CD2D17}</c15:txfldGUID>
                      <c15:f>institutions_spss!$U$416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8-0235-4FEE-9FAC-95D5ECB60C56}"/>
                </c:ext>
              </c:extLst>
            </c:dLbl>
            <c:dLbl>
              <c:idx val="413"/>
              <c:layout/>
              <c:tx>
                <c:strRef>
                  <c:f>institutions_spss!$U$417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{35FEB5A0-0263-4CE2-8162-CADA72B29EE3}</c15:txfldGUID>
                      <c15:f>institutions_spss!$U$417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9-0235-4FEE-9FAC-95D5ECB60C56}"/>
                </c:ext>
              </c:extLst>
            </c:dLbl>
            <c:dLbl>
              <c:idx val="414"/>
              <c:layout/>
              <c:tx>
                <c:strRef>
                  <c:f>institutions_spss!$U$418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{35DA392A-493C-49BD-89E0-9152D700BA04}</c15:txfldGUID>
                      <c15:f>institutions_spss!$U$418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A-0235-4FEE-9FAC-95D5ECB60C56}"/>
                </c:ext>
              </c:extLst>
            </c:dLbl>
            <c:dLbl>
              <c:idx val="415"/>
              <c:layout/>
              <c:tx>
                <c:strRef>
                  <c:f>institutions_spss!$U$419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{FC8C2E05-F795-47F0-B8E2-9AEB16E17919}</c15:txfldGUID>
                      <c15:f>institutions_spss!$U$419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B-0235-4FEE-9FAC-95D5ECB60C56}"/>
                </c:ext>
              </c:extLst>
            </c:dLbl>
            <c:dLbl>
              <c:idx val="416"/>
              <c:layout/>
              <c:tx>
                <c:strRef>
                  <c:f>institutions_spss!$U$420</c:f>
                  <c:strCache>
                    <c:ptCount val="1"/>
                    <c:pt idx="0">
                      <c:v>CNRS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{F5C1F144-1663-4A33-9B16-06CE81C8E2E4}</c15:txfldGUID>
                      <c15:f>institutions_spss!$U$420</c15:f>
                      <c15:dlblFieldTableCache>
                        <c:ptCount val="1"/>
                        <c:pt idx="0">
                          <c:v>CNRS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C-0235-4FEE-9FAC-95D5ECB60C56}"/>
                </c:ext>
              </c:extLst>
            </c:dLbl>
            <c:dLbl>
              <c:idx val="417"/>
              <c:layout/>
              <c:tx>
                <c:strRef>
                  <c:f>institutions_spss!$U$421</c:f>
                  <c:strCache>
                    <c:ptCount val="1"/>
                    <c:pt idx="0">
                      <c:v>Montpellier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{A30E92FF-C43C-4080-B976-6DD12A2C17C5}</c15:txfldGUID>
                      <c15:f>institutions_spss!$U$421</c15:f>
                      <c15:dlblFieldTableCache>
                        <c:ptCount val="1"/>
                        <c:pt idx="0">
                          <c:v>Montpellier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D-0235-4FEE-9FAC-95D5ECB60C56}"/>
                </c:ext>
              </c:extLst>
            </c:dLbl>
            <c:dLbl>
              <c:idx val="418"/>
              <c:layout/>
              <c:tx>
                <c:strRef>
                  <c:f>institutions_spss!$U$422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{41C91781-ED52-4599-9159-C23A0906BA9A}</c15:txfldGUID>
                      <c15:f>institutions_spss!$U$422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E-0235-4FEE-9FAC-95D5ECB60C56}"/>
                </c:ext>
              </c:extLst>
            </c:dLbl>
            <c:dLbl>
              <c:idx val="419"/>
              <c:layout/>
              <c:tx>
                <c:strRef>
                  <c:f>institutions_spss!$U$423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{BDE15863-4F4E-4D60-8B02-5F829A5F2E3D}</c15:txfldGUID>
                      <c15:f>institutions_spss!$U$423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F-0235-4FEE-9FAC-95D5ECB60C56}"/>
                </c:ext>
              </c:extLst>
            </c:dLbl>
            <c:dLbl>
              <c:idx val="420"/>
              <c:layout/>
              <c:tx>
                <c:strRef>
                  <c:f>institutions_spss!$U$424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{A191CD71-969F-40F2-966E-4CCBB362F502}</c15:txfldGUID>
                      <c15:f>institutions_spss!$U$424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0-0235-4FEE-9FAC-95D5ECB60C56}"/>
                </c:ext>
              </c:extLst>
            </c:dLbl>
            <c:dLbl>
              <c:idx val="421"/>
              <c:layout/>
              <c:tx>
                <c:strRef>
                  <c:f>institutions_spss!$U$425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{CD391C02-5281-4CD7-8D42-2F76BDF6B7D1}</c15:txfldGUID>
                      <c15:f>institutions_spss!$U$425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1-0235-4FEE-9FAC-95D5ECB60C56}"/>
                </c:ext>
              </c:extLst>
            </c:dLbl>
            <c:dLbl>
              <c:idx val="422"/>
              <c:layout/>
              <c:tx>
                <c:strRef>
                  <c:f>institutions_spss!$U$426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{280DE348-6DBC-4D1C-B514-2E877BCCEFBE}</c15:txfldGUID>
                      <c15:f>institutions_spss!$U$426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2-0235-4FEE-9FAC-95D5ECB60C56}"/>
                </c:ext>
              </c:extLst>
            </c:dLbl>
            <c:dLbl>
              <c:idx val="423"/>
              <c:layout/>
              <c:tx>
                <c:strRef>
                  <c:f>institutions_spss!$U$427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{AF56BA2E-7162-424F-A945-AD3590806D92}</c15:txfldGUID>
                      <c15:f>institutions_spss!$U$427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3-0235-4FEE-9FAC-95D5ECB60C56}"/>
                </c:ext>
              </c:extLst>
            </c:dLbl>
            <c:dLbl>
              <c:idx val="424"/>
              <c:layout/>
              <c:tx>
                <c:strRef>
                  <c:f>institutions_spss!$U$428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{32D68A88-C9BC-4EC5-8E59-63D61C06F877}</c15:txfldGUID>
                      <c15:f>institutions_spss!$U$428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4-0235-4FEE-9FAC-95D5ECB60C56}"/>
                </c:ext>
              </c:extLst>
            </c:dLbl>
            <c:dLbl>
              <c:idx val="425"/>
              <c:layout/>
              <c:tx>
                <c:strRef>
                  <c:f>institutions_spss!$U$429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{EDFE470A-A038-4B19-AD20-8CB75BC24531}</c15:txfldGUID>
                      <c15:f>institutions_spss!$U$429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5-0235-4FEE-9FAC-95D5ECB60C56}"/>
                </c:ext>
              </c:extLst>
            </c:dLbl>
            <c:dLbl>
              <c:idx val="426"/>
              <c:layout/>
              <c:tx>
                <c:strRef>
                  <c:f>institutions_spss!$U$430</c:f>
                  <c:strCache>
                    <c:ptCount val="1"/>
                    <c:pt idx="0">
                      <c:v>Kiel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{7DB3EC38-B1AE-481C-88A5-0FBB84119420}</c15:txfldGUID>
                      <c15:f>institutions_spss!$U$430</c15:f>
                      <c15:dlblFieldTableCache>
                        <c:ptCount val="1"/>
                        <c:pt idx="0">
                          <c:v>Kiel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6-0235-4FEE-9FAC-95D5ECB60C56}"/>
                </c:ext>
              </c:extLst>
            </c:dLbl>
            <c:dLbl>
              <c:idx val="427"/>
              <c:layout/>
              <c:tx>
                <c:strRef>
                  <c:f>institutions_spss!$U$431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{8D77EE20-1858-4E04-A737-063A5FA69393}</c15:txfldGUID>
                      <c15:f>institutions_spss!$U$431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7-0235-4FEE-9FAC-95D5ECB60C56}"/>
                </c:ext>
              </c:extLst>
            </c:dLbl>
            <c:dLbl>
              <c:idx val="428"/>
              <c:layout/>
              <c:tx>
                <c:strRef>
                  <c:f>institutions_spss!$U$432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{4B7E1E2B-1F69-426F-A08A-ED4DE59DD452}</c15:txfldGUID>
                      <c15:f>institutions_spss!$U$432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8-0235-4FEE-9FAC-95D5ECB60C56}"/>
                </c:ext>
              </c:extLst>
            </c:dLbl>
            <c:dLbl>
              <c:idx val="429"/>
              <c:layout/>
              <c:tx>
                <c:strRef>
                  <c:f>institutions_spss!$U$433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{9985112E-4095-4DF4-AF0B-45096FCDDAD4}</c15:txfldGUID>
                      <c15:f>institutions_spss!$U$433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9-0235-4FEE-9FAC-95D5ECB60C56}"/>
                </c:ext>
              </c:extLst>
            </c:dLbl>
            <c:dLbl>
              <c:idx val="430"/>
              <c:layout/>
              <c:tx>
                <c:strRef>
                  <c:f>institutions_spss!$U$434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{6408F2DD-43ED-4D2D-8C7F-EDF8A72E596B}</c15:txfldGUID>
                      <c15:f>institutions_spss!$U$434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A-0235-4FEE-9FAC-95D5ECB60C56}"/>
                </c:ext>
              </c:extLst>
            </c:dLbl>
            <c:dLbl>
              <c:idx val="431"/>
              <c:layout/>
              <c:tx>
                <c:strRef>
                  <c:f>institutions_spss!$U$435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{EEE488D7-B8CC-4F20-BB8E-934B3251CB9F}</c15:txfldGUID>
                      <c15:f>institutions_spss!$U$435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B-0235-4FEE-9FAC-95D5ECB60C56}"/>
                </c:ext>
              </c:extLst>
            </c:dLbl>
            <c:dLbl>
              <c:idx val="432"/>
              <c:layout/>
              <c:tx>
                <c:strRef>
                  <c:f>institutions_spss!$U$436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{53641889-361C-4226-AA11-EC3D03C66200}</c15:txfldGUID>
                      <c15:f>institutions_spss!$U$436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C-0235-4FEE-9FAC-95D5ECB60C56}"/>
                </c:ext>
              </c:extLst>
            </c:dLbl>
            <c:dLbl>
              <c:idx val="433"/>
              <c:layout>
                <c:manualLayout>
                  <c:x val="-2.6436704145606296E-2"/>
                  <c:y val="-5.9790732436472349E-3"/>
                </c:manualLayout>
              </c:layout>
              <c:tx>
                <c:strRef>
                  <c:f>institutions_spss!$U$437</c:f>
                  <c:strCache>
                    <c:ptCount val="1"/>
                    <c:pt idx="0">
                      <c:v>INRAE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{81B32587-4903-42C7-80A1-C331DEDDA86B}</c15:txfldGUID>
                      <c15:f>institutions_spss!$U$437</c15:f>
                      <c15:dlblFieldTableCache>
                        <c:ptCount val="1"/>
                        <c:pt idx="0">
                          <c:v>INRAE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D-0235-4FEE-9FAC-95D5ECB60C56}"/>
                </c:ext>
              </c:extLst>
            </c:dLbl>
            <c:dLbl>
              <c:idx val="434"/>
              <c:layout/>
              <c:tx>
                <c:strRef>
                  <c:f>institutions_spss!$U$438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{379F4BA1-422E-4EF7-9144-651D310123B4}</c15:txfldGUID>
                      <c15:f>institutions_spss!$U$438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E-0235-4FEE-9FAC-95D5ECB60C56}"/>
                </c:ext>
              </c:extLst>
            </c:dLbl>
            <c:dLbl>
              <c:idx val="435"/>
              <c:layout/>
              <c:tx>
                <c:strRef>
                  <c:f>institutions_spss!$U$439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{2D83E969-CC9F-4B7D-825E-9BC30267DFB2}</c15:txfldGUID>
                      <c15:f>institutions_spss!$U$439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F-0235-4FEE-9FAC-95D5ECB60C56}"/>
                </c:ext>
              </c:extLst>
            </c:dLbl>
            <c:dLbl>
              <c:idx val="436"/>
              <c:layout/>
              <c:tx>
                <c:strRef>
                  <c:f>institutions_spss!$U$440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{976548D6-6073-499F-9417-B240ADF5D17B}</c15:txfldGUID>
                      <c15:f>institutions_spss!$U$440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0-0235-4FEE-9FAC-95D5ECB60C56}"/>
                </c:ext>
              </c:extLst>
            </c:dLbl>
            <c:dLbl>
              <c:idx val="437"/>
              <c:layout>
                <c:manualLayout>
                  <c:x val="-5.1213973799126636E-2"/>
                  <c:y val="5.9790732436472349E-3"/>
                </c:manualLayout>
              </c:layout>
              <c:tx>
                <c:strRef>
                  <c:f>institutions_spss!$U$441</c:f>
                  <c:strCache>
                    <c:ptCount val="1"/>
                    <c:pt idx="0">
                      <c:v>Zaragoza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{82119B21-46F5-47AB-AA5C-597BF75C7222}</c15:txfldGUID>
                      <c15:f>institutions_spss!$U$441</c15:f>
                      <c15:dlblFieldTableCache>
                        <c:ptCount val="1"/>
                        <c:pt idx="0">
                          <c:v>Zaragoza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1-0235-4FEE-9FAC-95D5ECB60C56}"/>
                </c:ext>
              </c:extLst>
            </c:dLbl>
            <c:dLbl>
              <c:idx val="438"/>
              <c:layout/>
              <c:tx>
                <c:strRef>
                  <c:f>institutions_spss!$U$442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{435DBC33-3665-4F8E-92DA-25A1D6574FE9}</c15:txfldGUID>
                      <c15:f>institutions_spss!$U$442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2-0235-4FEE-9FAC-95D5ECB60C56}"/>
                </c:ext>
              </c:extLst>
            </c:dLbl>
            <c:dLbl>
              <c:idx val="439"/>
              <c:layout/>
              <c:tx>
                <c:strRef>
                  <c:f>institutions_spss!$U$443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{D6600431-CA8E-41A4-A68F-08642874E7AC}</c15:txfldGUID>
                      <c15:f>institutions_spss!$U$443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3-0235-4FEE-9FAC-95D5ECB60C56}"/>
                </c:ext>
              </c:extLst>
            </c:dLbl>
            <c:dLbl>
              <c:idx val="440"/>
              <c:layout/>
              <c:tx>
                <c:strRef>
                  <c:f>institutions_spss!$U$444</c:f>
                  <c:strCache>
                    <c:ptCount val="1"/>
                    <c:pt idx="0">
                      <c:v>Barcelona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{78C0B020-0D51-4161-8F18-08896A11FA41}</c15:txfldGUID>
                      <c15:f>institutions_spss!$U$444</c15:f>
                      <c15:dlblFieldTableCache>
                        <c:ptCount val="1"/>
                        <c:pt idx="0">
                          <c:v>Barcelona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4-0235-4FEE-9FAC-95D5ECB60C56}"/>
                </c:ext>
              </c:extLst>
            </c:dLbl>
            <c:dLbl>
              <c:idx val="441"/>
              <c:layout/>
              <c:tx>
                <c:strRef>
                  <c:f>institutions_spss!$U$445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{DEAE2E72-3107-4A80-A150-FEEFBD69F167}</c15:txfldGUID>
                      <c15:f>institutions_spss!$U$445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5-0235-4FEE-9FAC-95D5ECB60C56}"/>
                </c:ext>
              </c:extLst>
            </c:dLbl>
            <c:dLbl>
              <c:idx val="442"/>
              <c:layout/>
              <c:tx>
                <c:strRef>
                  <c:f>institutions_spss!$U$446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{3D401527-8B8B-4158-80FD-1755C53E6853}</c15:txfldGUID>
                      <c15:f>institutions_spss!$U$446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6-0235-4FEE-9FAC-95D5ECB60C56}"/>
                </c:ext>
              </c:extLst>
            </c:dLbl>
            <c:dLbl>
              <c:idx val="443"/>
              <c:layout/>
              <c:tx>
                <c:strRef>
                  <c:f>institutions_spss!$U$447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{4E8FA674-10D3-4CE9-A51C-F47DE296B23C}</c15:txfldGUID>
                      <c15:f>institutions_spss!$U$447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7-0235-4FEE-9FAC-95D5ECB60C56}"/>
                </c:ext>
              </c:extLst>
            </c:dLbl>
            <c:dLbl>
              <c:idx val="444"/>
              <c:layout/>
              <c:tx>
                <c:strRef>
                  <c:f>institutions_spss!$U$448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{72DD2363-C756-4B83-BBBE-84AB017FCA30}</c15:txfldGUID>
                      <c15:f>institutions_spss!$U$448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8-0235-4FEE-9FAC-95D5ECB60C56}"/>
                </c:ext>
              </c:extLst>
            </c:dLbl>
            <c:dLbl>
              <c:idx val="445"/>
              <c:layout/>
              <c:tx>
                <c:strRef>
                  <c:f>institutions_spss!$U$449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{BCA4395E-57D5-487A-9ABD-B8FD28F6A56B}</c15:txfldGUID>
                      <c15:f>institutions_spss!$U$449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9-0235-4FEE-9FAC-95D5ECB60C56}"/>
                </c:ext>
              </c:extLst>
            </c:dLbl>
            <c:dLbl>
              <c:idx val="446"/>
              <c:layout/>
              <c:tx>
                <c:strRef>
                  <c:f>institutions_spss!$U$450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{A4A0EBEF-0A56-4819-B2E1-C38E928D9A5F}</c15:txfldGUID>
                      <c15:f>institutions_spss!$U$450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A-0235-4FEE-9FAC-95D5ECB60C56}"/>
                </c:ext>
              </c:extLst>
            </c:dLbl>
            <c:dLbl>
              <c:idx val="447"/>
              <c:layout/>
              <c:tx>
                <c:strRef>
                  <c:f>institutions_spss!$U$451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{E5477DCC-D27A-4DC5-B418-CA490A168DF6}</c15:txfldGUID>
                      <c15:f>institutions_spss!$U$451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B-0235-4FEE-9FAC-95D5ECB60C56}"/>
                </c:ext>
              </c:extLst>
            </c:dLbl>
            <c:dLbl>
              <c:idx val="448"/>
              <c:layout/>
              <c:tx>
                <c:strRef>
                  <c:f>institutions_spss!$U$452</c:f>
                  <c:strCache>
                    <c:ptCount val="1"/>
                    <c:pt idx="0">
                      <c:v>Valencia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{BD83DD90-9254-4D41-99C6-0819596D46DF}</c15:txfldGUID>
                      <c15:f>institutions_spss!$U$452</c15:f>
                      <c15:dlblFieldTableCache>
                        <c:ptCount val="1"/>
                        <c:pt idx="0">
                          <c:v>Valencia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C-0235-4FEE-9FAC-95D5ECB60C56}"/>
                </c:ext>
              </c:extLst>
            </c:dLbl>
            <c:dLbl>
              <c:idx val="449"/>
              <c:layout/>
              <c:tx>
                <c:strRef>
                  <c:f>institutions_spss!$U$453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{9EA461A7-66A1-4100-9C7D-D3A3B43725FC}</c15:txfldGUID>
                      <c15:f>institutions_spss!$U$453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D-0235-4FEE-9FAC-95D5ECB60C56}"/>
                </c:ext>
              </c:extLst>
            </c:dLbl>
            <c:dLbl>
              <c:idx val="450"/>
              <c:layout>
                <c:manualLayout>
                  <c:x val="-4.5015988721933776E-2"/>
                  <c:y val="-1.3951170901843548E-2"/>
                </c:manualLayout>
              </c:layout>
              <c:tx>
                <c:strRef>
                  <c:f>institutions_spss!$U$454</c:f>
                  <c:strCache>
                    <c:ptCount val="1"/>
                    <c:pt idx="0">
                      <c:v>Aix-Marseille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{AEBAA299-F905-44CD-BC7E-120FA59F5A6A}</c15:txfldGUID>
                      <c15:f>institutions_spss!$U$454</c15:f>
                      <c15:dlblFieldTableCache>
                        <c:ptCount val="1"/>
                        <c:pt idx="0">
                          <c:v>Aix-Marseille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E-0235-4FEE-9FAC-95D5ECB60C56}"/>
                </c:ext>
              </c:extLst>
            </c:dLbl>
            <c:dLbl>
              <c:idx val="451"/>
              <c:layout/>
              <c:tx>
                <c:strRef>
                  <c:f>institutions_spss!$U$455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{FA889DC6-DA2E-4B89-8169-861C3BD5510A}</c15:txfldGUID>
                      <c15:f>institutions_spss!$U$455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F-0235-4FEE-9FAC-95D5ECB60C56}"/>
                </c:ext>
              </c:extLst>
            </c:dLbl>
            <c:dLbl>
              <c:idx val="452"/>
              <c:layout/>
              <c:tx>
                <c:strRef>
                  <c:f>institutions_spss!$U$456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Calibri" panose="020F0502020204030204" pitchFamily="34" charset="0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{A552237C-E818-4051-903C-9A0C9F51828B}</c15:txfldGUID>
                      <c15:f>institutions_spss!$U$456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0-0235-4FEE-9FAC-95D5ECB60C56}"/>
                </c:ext>
              </c:extLst>
            </c:dLbl>
            <c:dLbl>
              <c:idx val="453"/>
              <c:layout/>
              <c:tx>
                <c:strRef>
                  <c:f>institutions_spss!$U$457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{B71F291D-1D30-4285-B9C9-37BCFF0A02C8}</c15:txfldGUID>
                      <c15:f>institutions_spss!$U$457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1-0235-4FEE-9FAC-95D5ECB60C56}"/>
                </c:ext>
              </c:extLst>
            </c:dLbl>
            <c:dLbl>
              <c:idx val="454"/>
              <c:layout/>
              <c:tx>
                <c:strRef>
                  <c:f>institutions_spss!$U$458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{45D8A85C-196D-4AE4-A0C8-C9CE797A9136}</c15:txfldGUID>
                      <c15:f>institutions_spss!$U$458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2-0235-4FEE-9FAC-95D5ECB60C56}"/>
                </c:ext>
              </c:extLst>
            </c:dLbl>
            <c:dLbl>
              <c:idx val="455"/>
              <c:layout/>
              <c:tx>
                <c:strRef>
                  <c:f>institutions_spss!$U$459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{9DF5E89E-95F0-4706-83A6-862028AFCE4C}</c15:txfldGUID>
                      <c15:f>institutions_spss!$U$459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3-0235-4FEE-9FAC-95D5ECB60C56}"/>
                </c:ext>
              </c:extLst>
            </c:dLbl>
            <c:dLbl>
              <c:idx val="456"/>
              <c:layout/>
              <c:tx>
                <c:strRef>
                  <c:f>institutions_spss!$U$460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{68988FB8-A672-4DE2-A71A-57CB81EEAFA8}</c15:txfldGUID>
                      <c15:f>institutions_spss!$U$460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4-0235-4FEE-9FAC-95D5ECB60C56}"/>
                </c:ext>
              </c:extLst>
            </c:dLbl>
            <c:dLbl>
              <c:idx val="457"/>
              <c:layout/>
              <c:tx>
                <c:strRef>
                  <c:f>institutions_spss!$U$461</c:f>
                  <c:strCache>
                    <c:ptCount val="1"/>
                    <c:pt idx="0">
                      <c:v>Strasbourg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{1FBB1F99-185D-4B2A-B6A8-5F81A372B259}</c15:txfldGUID>
                      <c15:f>institutions_spss!$U$461</c15:f>
                      <c15:dlblFieldTableCache>
                        <c:ptCount val="1"/>
                        <c:pt idx="0">
                          <c:v>Strasbourg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5-0235-4FEE-9FAC-95D5ECB60C56}"/>
                </c:ext>
              </c:extLst>
            </c:dLbl>
            <c:dLbl>
              <c:idx val="458"/>
              <c:layout/>
              <c:tx>
                <c:strRef>
                  <c:f>institutions_spss!$U$462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{C3BCE1FE-DC9C-440C-B9A3-38E9E02AF74C}</c15:txfldGUID>
                      <c15:f>institutions_spss!$U$462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6-0235-4FEE-9FAC-95D5ECB60C56}"/>
                </c:ext>
              </c:extLst>
            </c:dLbl>
            <c:dLbl>
              <c:idx val="459"/>
              <c:layout/>
              <c:tx>
                <c:strRef>
                  <c:f>institutions_spss!$U$463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{508FDC86-CF58-4A80-A441-A0F3B81737BF}</c15:txfldGUID>
                      <c15:f>institutions_spss!$U$463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7-0235-4FEE-9FAC-95D5ECB60C56}"/>
                </c:ext>
              </c:extLst>
            </c:dLbl>
            <c:dLbl>
              <c:idx val="460"/>
              <c:layout/>
              <c:tx>
                <c:strRef>
                  <c:f>institutions_spss!$U$464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{ABD3CAE9-EF33-4164-8747-8F8AE36AEA26}</c15:txfldGUID>
                      <c15:f>institutions_spss!$U$464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8-0235-4FEE-9FAC-95D5ECB60C56}"/>
                </c:ext>
              </c:extLst>
            </c:dLbl>
            <c:dLbl>
              <c:idx val="461"/>
              <c:layout/>
              <c:tx>
                <c:strRef>
                  <c:f>institutions_spss!$U$465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{0A06674C-5EB4-4A62-8324-28DE6267D5AF}</c15:txfldGUID>
                      <c15:f>institutions_spss!$U$465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9-0235-4FEE-9FAC-95D5ECB60C56}"/>
                </c:ext>
              </c:extLst>
            </c:dLbl>
            <c:dLbl>
              <c:idx val="462"/>
              <c:layout/>
              <c:tx>
                <c:strRef>
                  <c:f>institutions_spss!$U$466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{AFEEFEDD-8491-4B95-94B5-664CFFEA1176}</c15:txfldGUID>
                      <c15:f>institutions_spss!$U$466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A-0235-4FEE-9FAC-95D5ECB60C56}"/>
                </c:ext>
              </c:extLst>
            </c:dLbl>
            <c:dLbl>
              <c:idx val="463"/>
              <c:layout/>
              <c:tx>
                <c:strRef>
                  <c:f>institutions_spss!$U$467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{CDF55398-9237-4751-A760-FE12DD7EE573}</c15:txfldGUID>
                      <c15:f>institutions_spss!$U$467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B-0235-4FEE-9FAC-95D5ECB60C56}"/>
                </c:ext>
              </c:extLst>
            </c:dLbl>
            <c:dLbl>
              <c:idx val="464"/>
              <c:layout/>
              <c:tx>
                <c:strRef>
                  <c:f>institutions_spss!$U$468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{4A8F7819-B1AE-42E5-A01F-AA9322870E08}</c15:txfldGUID>
                      <c15:f>institutions_spss!$U$468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C-0235-4FEE-9FAC-95D5ECB60C56}"/>
                </c:ext>
              </c:extLst>
            </c:dLbl>
            <c:dLbl>
              <c:idx val="465"/>
              <c:layout/>
              <c:tx>
                <c:strRef>
                  <c:f>institutions_spss!$U$469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{D8D59487-0801-4B60-9C57-C5FF0ADB330D}</c15:txfldGUID>
                      <c15:f>institutions_spss!$U$469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D-0235-4FEE-9FAC-95D5ECB60C56}"/>
                </c:ext>
              </c:extLst>
            </c:dLbl>
            <c:dLbl>
              <c:idx val="466"/>
              <c:layout/>
              <c:tx>
                <c:strRef>
                  <c:f>institutions_spss!$U$470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{5858175B-BBCE-4413-AFA5-A0DD8C3B2364}</c15:txfldGUID>
                      <c15:f>institutions_spss!$U$470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E-0235-4FEE-9FAC-95D5ECB60C56}"/>
                </c:ext>
              </c:extLst>
            </c:dLbl>
            <c:dLbl>
              <c:idx val="467"/>
              <c:layout/>
              <c:tx>
                <c:strRef>
                  <c:f>institutions_spss!$U$471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{E1C9CC43-525D-4BB9-9B0F-5C4F45F7C0FB}</c15:txfldGUID>
                      <c15:f>institutions_spss!$U$471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F-0235-4FEE-9FAC-95D5ECB60C56}"/>
                </c:ext>
              </c:extLst>
            </c:dLbl>
            <c:dLbl>
              <c:idx val="468"/>
              <c:layout/>
              <c:tx>
                <c:strRef>
                  <c:f>institutions_spss!$U$472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{B0FC46B0-77FA-4355-91A1-9EAE13C80F23}</c15:txfldGUID>
                      <c15:f>institutions_spss!$U$472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0-0235-4FEE-9FAC-95D5ECB60C56}"/>
                </c:ext>
              </c:extLst>
            </c:dLbl>
            <c:dLbl>
              <c:idx val="469"/>
              <c:layout/>
              <c:tx>
                <c:strRef>
                  <c:f>institutions_spss!$U$473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{64A0F291-62CD-4D22-96AA-04ECB3F594AA}</c15:txfldGUID>
                      <c15:f>institutions_spss!$U$473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1-0235-4FEE-9FAC-95D5ECB60C56}"/>
                </c:ext>
              </c:extLst>
            </c:dLbl>
            <c:dLbl>
              <c:idx val="470"/>
              <c:layout/>
              <c:tx>
                <c:strRef>
                  <c:f>institutions_spss!$U$474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{747C84C9-E02B-48F6-884F-4A0B8DC8582C}</c15:txfldGUID>
                      <c15:f>institutions_spss!$U$474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2-0235-4FEE-9FAC-95D5ECB60C56}"/>
                </c:ext>
              </c:extLst>
            </c:dLbl>
            <c:dLbl>
              <c:idx val="471"/>
              <c:layout/>
              <c:tx>
                <c:strRef>
                  <c:f>institutions_spss!$U$475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{BD9EE0E3-C452-49E3-B809-2ABA5355753C}</c15:txfldGUID>
                      <c15:f>institutions_spss!$U$475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3-0235-4FEE-9FAC-95D5ECB60C56}"/>
                </c:ext>
              </c:extLst>
            </c:dLbl>
            <c:dLbl>
              <c:idx val="472"/>
              <c:layout/>
              <c:tx>
                <c:strRef>
                  <c:f>institutions_spss!$U$476</c:f>
                  <c:strCache>
                    <c:ptCount val="1"/>
                    <c:pt idx="0">
                      <c:v>CSIC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{F876F71F-B34A-4308-89AD-A5735B9AA01F}</c15:txfldGUID>
                      <c15:f>institutions_spss!$U$476</c15:f>
                      <c15:dlblFieldTableCache>
                        <c:ptCount val="1"/>
                        <c:pt idx="0">
                          <c:v>CSIC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4-0235-4FEE-9FAC-95D5ECB60C56}"/>
                </c:ext>
              </c:extLst>
            </c:dLbl>
            <c:dLbl>
              <c:idx val="473"/>
              <c:layout/>
              <c:tx>
                <c:strRef>
                  <c:f>institutions_spss!$U$477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{CD07956B-ADCF-4C5E-8D20-3AAEE4B7FF4F}</c15:txfldGUID>
                      <c15:f>institutions_spss!$U$477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5-0235-4FEE-9FAC-95D5ECB60C56}"/>
                </c:ext>
              </c:extLst>
            </c:dLbl>
            <c:dLbl>
              <c:idx val="474"/>
              <c:layout/>
              <c:tx>
                <c:strRef>
                  <c:f>institutions_spss!$U$478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{5FA870C8-9D7E-4092-A6A5-0C113FE73E46}</c15:txfldGUID>
                      <c15:f>institutions_spss!$U$478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6-0235-4FEE-9FAC-95D5ECB60C56}"/>
                </c:ext>
              </c:extLst>
            </c:dLbl>
            <c:dLbl>
              <c:idx val="475"/>
              <c:layout/>
              <c:tx>
                <c:strRef>
                  <c:f>institutions_spss!$U$479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{10DACB04-F1B4-4FBE-8503-98531543CA70}</c15:txfldGUID>
                      <c15:f>institutions_spss!$U$479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7-0235-4FEE-9FAC-95D5ECB60C56}"/>
                </c:ext>
              </c:extLst>
            </c:dLbl>
            <c:dLbl>
              <c:idx val="476"/>
              <c:layout/>
              <c:tx>
                <c:strRef>
                  <c:f>institutions_spss!$U$480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{0EFF7E2A-A5E7-43C1-87A3-F0CF4194F1CA}</c15:txfldGUID>
                      <c15:f>institutions_spss!$U$480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8-0235-4FEE-9FAC-95D5ECB60C56}"/>
                </c:ext>
              </c:extLst>
            </c:dLbl>
            <c:dLbl>
              <c:idx val="477"/>
              <c:layout/>
              <c:tx>
                <c:strRef>
                  <c:f>institutions_spss!$U$481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{E329BED2-2CAD-4B33-9AD2-7D4283CDE5EB}</c15:txfldGUID>
                      <c15:f>institutions_spss!$U$481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9-0235-4FEE-9FAC-95D5ECB60C56}"/>
                </c:ext>
              </c:extLst>
            </c:dLbl>
            <c:dLbl>
              <c:idx val="478"/>
              <c:layout/>
              <c:tx>
                <c:strRef>
                  <c:f>institutions_spss!$U$482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{47075196-8BE1-4113-9037-5CC6AB99D107}</c15:txfldGUID>
                      <c15:f>institutions_spss!$U$482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A-0235-4FEE-9FAC-95D5ECB60C56}"/>
                </c:ext>
              </c:extLst>
            </c:dLbl>
            <c:dLbl>
              <c:idx val="479"/>
              <c:layout/>
              <c:tx>
                <c:strRef>
                  <c:f>institutions_spss!$U$483</c:f>
                  <c:strCache>
                    <c:ptCount val="1"/>
                    <c:pt idx="0">
                      <c:v>Rennes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{A622D358-6827-4D5A-9E63-6D73C754D087}</c15:txfldGUID>
                      <c15:f>institutions_spss!$U$483</c15:f>
                      <c15:dlblFieldTableCache>
                        <c:ptCount val="1"/>
                        <c:pt idx="0">
                          <c:v>Rennes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B-0235-4FEE-9FAC-95D5ECB60C56}"/>
                </c:ext>
              </c:extLst>
            </c:dLbl>
            <c:dLbl>
              <c:idx val="480"/>
              <c:layout/>
              <c:tx>
                <c:strRef>
                  <c:f>institutions_spss!$U$484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{6BFB0F28-CF5B-4D2C-AB77-EE116E17ADDF}</c15:txfldGUID>
                      <c15:f>institutions_spss!$U$484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C-0235-4FEE-9FAC-95D5ECB60C56}"/>
                </c:ext>
              </c:extLst>
            </c:dLbl>
            <c:dLbl>
              <c:idx val="481"/>
              <c:layout/>
              <c:tx>
                <c:strRef>
                  <c:f>institutions_spss!$U$485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{BB96A550-18A8-4312-B573-187F94F6880C}</c15:txfldGUID>
                      <c15:f>institutions_spss!$U$485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D-0235-4FEE-9FAC-95D5ECB60C56}"/>
                </c:ext>
              </c:extLst>
            </c:dLbl>
            <c:dLbl>
              <c:idx val="482"/>
              <c:layout/>
              <c:tx>
                <c:strRef>
                  <c:f>institutions_spss!$U$486</c:f>
                  <c:strCache>
                    <c:ptCount val="1"/>
                    <c:pt idx="0">
                      <c:v>IPAG BS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{8B8E3757-917B-4022-BB69-ECE8DE339833}</c15:txfldGUID>
                      <c15:f>institutions_spss!$U$486</c15:f>
                      <c15:dlblFieldTableCache>
                        <c:ptCount val="1"/>
                        <c:pt idx="0">
                          <c:v>IPAG BS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E-0235-4FEE-9FAC-95D5ECB60C56}"/>
                </c:ext>
              </c:extLst>
            </c:dLbl>
            <c:dLbl>
              <c:idx val="483"/>
              <c:layout/>
              <c:tx>
                <c:strRef>
                  <c:f>institutions_spss!$U$487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{62457142-474C-4F7F-B60D-5C50FC6239F0}</c15:txfldGUID>
                      <c15:f>institutions_spss!$U$487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F-0235-4FEE-9FAC-95D5ECB60C56}"/>
                </c:ext>
              </c:extLst>
            </c:dLbl>
            <c:dLbl>
              <c:idx val="484"/>
              <c:layout/>
              <c:tx>
                <c:strRef>
                  <c:f>institutions_spss!$U$488</c:f>
                  <c:strCache>
                    <c:ptCount val="1"/>
                    <c:pt idx="0">
                      <c:v>PSL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{9F8E3E1A-1B96-4790-A5B2-778DDB930B2E}</c15:txfldGUID>
                      <c15:f>institutions_spss!$U$488</c15:f>
                      <c15:dlblFieldTableCache>
                        <c:ptCount val="1"/>
                        <c:pt idx="0">
                          <c:v>PSL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0-0235-4FEE-9FAC-95D5ECB60C56}"/>
                </c:ext>
              </c:extLst>
            </c:dLbl>
            <c:dLbl>
              <c:idx val="485"/>
              <c:layout/>
              <c:tx>
                <c:strRef>
                  <c:f>institutions_spss!$U$489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{D911AB44-1951-4312-981E-5815DF314721}</c15:txfldGUID>
                      <c15:f>institutions_spss!$U$489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1-0235-4FEE-9FAC-95D5ECB60C56}"/>
                </c:ext>
              </c:extLst>
            </c:dLbl>
            <c:dLbl>
              <c:idx val="486"/>
              <c:layout/>
              <c:tx>
                <c:strRef>
                  <c:f>institutions_spss!$U$490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{A51BD5EB-5F58-40B7-AE6B-BBBF58BD3E04}</c15:txfldGUID>
                      <c15:f>institutions_spss!$U$490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2-0235-4FEE-9FAC-95D5ECB60C56}"/>
                </c:ext>
              </c:extLst>
            </c:dLbl>
            <c:dLbl>
              <c:idx val="487"/>
              <c:layout/>
              <c:tx>
                <c:strRef>
                  <c:f>institutions_spss!$U$491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{7BE3D5FB-B198-457C-B6AC-10B87EA5BA80}</c15:txfldGUID>
                      <c15:f>institutions_spss!$U$491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3-0235-4FEE-9FAC-95D5ECB60C56}"/>
                </c:ext>
              </c:extLst>
            </c:dLbl>
            <c:dLbl>
              <c:idx val="488"/>
              <c:layout/>
              <c:tx>
                <c:strRef>
                  <c:f>institutions_spss!$U$492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{3E1FD94B-6867-4111-9B97-C83D717EED34}</c15:txfldGUID>
                      <c15:f>institutions_spss!$U$492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4-0235-4FEE-9FAC-95D5ECB60C56}"/>
                </c:ext>
              </c:extLst>
            </c:dLbl>
            <c:dLbl>
              <c:idx val="489"/>
              <c:layout/>
              <c:tx>
                <c:strRef>
                  <c:f>institutions_spss!$U$493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{B9337F2C-33E9-4B07-985D-33E8E90B9DBC}</c15:txfldGUID>
                      <c15:f>institutions_spss!$U$493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5-0235-4FEE-9FAC-95D5ECB60C56}"/>
                </c:ext>
              </c:extLst>
            </c:dLbl>
            <c:dLbl>
              <c:idx val="490"/>
              <c:layout/>
              <c:tx>
                <c:strRef>
                  <c:f>institutions_spss!$U$494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{37F04F8C-1732-4068-8F4F-29FF1881BE8C}</c15:txfldGUID>
                      <c15:f>institutions_spss!$U$494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6-0235-4FEE-9FAC-95D5ECB60C56}"/>
                </c:ext>
              </c:extLst>
            </c:dLbl>
            <c:dLbl>
              <c:idx val="491"/>
              <c:layout/>
              <c:tx>
                <c:strRef>
                  <c:f>institutions_spss!$U$495</c:f>
                  <c:strCache>
                    <c:ptCount val="1"/>
                    <c:pt idx="0">
                      <c:v>Lille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{CB522FB9-4C17-4773-A42F-446CB94B63CF}</c15:txfldGUID>
                      <c15:f>institutions_spss!$U$495</c15:f>
                      <c15:dlblFieldTableCache>
                        <c:ptCount val="1"/>
                        <c:pt idx="0">
                          <c:v>Lille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7-0235-4FEE-9FAC-95D5ECB60C56}"/>
                </c:ext>
              </c:extLst>
            </c:dLbl>
            <c:dLbl>
              <c:idx val="492"/>
              <c:layout/>
              <c:tx>
                <c:strRef>
                  <c:f>institutions_spss!$U$496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{A29F8CBF-D2CD-42EA-B684-4DB28CB04462}</c15:txfldGUID>
                      <c15:f>institutions_spss!$U$496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8-0235-4FEE-9FAC-95D5ECB60C56}"/>
                </c:ext>
              </c:extLst>
            </c:dLbl>
            <c:dLbl>
              <c:idx val="493"/>
              <c:layout/>
              <c:tx>
                <c:strRef>
                  <c:f>institutions_spss!$U$497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{7B25C6B0-0B61-46FA-A043-20155DAB297E}</c15:txfldGUID>
                      <c15:f>institutions_spss!$U$497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9-0235-4FEE-9FAC-95D5ECB60C56}"/>
                </c:ext>
              </c:extLst>
            </c:dLbl>
            <c:dLbl>
              <c:idx val="494"/>
              <c:layout/>
              <c:tx>
                <c:strRef>
                  <c:f>institutions_spss!$U$498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{514A50F6-ABAF-4F36-AF92-9F91B191D225}</c15:txfldGUID>
                      <c15:f>institutions_spss!$U$498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A-0235-4FEE-9FAC-95D5ECB60C56}"/>
                </c:ext>
              </c:extLst>
            </c:dLbl>
            <c:dLbl>
              <c:idx val="495"/>
              <c:layout/>
              <c:tx>
                <c:strRef>
                  <c:f>institutions_spss!$U$499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{37437A9F-F090-4E07-BEC6-36EF1C7826BE}</c15:txfldGUID>
                      <c15:f>institutions_spss!$U$499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B-0235-4FEE-9FAC-95D5ECB60C56}"/>
                </c:ext>
              </c:extLst>
            </c:dLbl>
            <c:dLbl>
              <c:idx val="496"/>
              <c:layout/>
              <c:tx>
                <c:strRef>
                  <c:f>institutions_spss!$U$500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{E90A68CE-B1FC-4134-84D7-4DC113C60405}</c15:txfldGUID>
                      <c15:f>institutions_spss!$U$500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C-0235-4FEE-9FAC-95D5ECB60C56}"/>
                </c:ext>
              </c:extLst>
            </c:dLbl>
            <c:dLbl>
              <c:idx val="497"/>
              <c:layout/>
              <c:tx>
                <c:strRef>
                  <c:f>institutions_spss!$U$501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{3DF62345-D168-4B3B-9C06-9C35702588CF}</c15:txfldGUID>
                      <c15:f>institutions_spss!$U$501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D-0235-4FEE-9FAC-95D5ECB60C56}"/>
                </c:ext>
              </c:extLst>
            </c:dLbl>
            <c:dLbl>
              <c:idx val="498"/>
              <c:layout/>
              <c:tx>
                <c:strRef>
                  <c:f>institutions_spss!$U$502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{AE282CC9-5661-4F05-942F-C569EF9DF233}</c15:txfldGUID>
                      <c15:f>institutions_spss!$U$502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E-0235-4FEE-9FAC-95D5ECB60C56}"/>
                </c:ext>
              </c:extLst>
            </c:dLbl>
            <c:dLbl>
              <c:idx val="499"/>
              <c:layout/>
              <c:tx>
                <c:strRef>
                  <c:f>institutions_spss!$U$503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{BFF08B28-5E0A-4F45-ADA7-0038B3894738}</c15:txfldGUID>
                      <c15:f>institutions_spss!$U$503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F-0235-4FEE-9FAC-95D5ECB60C56}"/>
                </c:ext>
              </c:extLst>
            </c:dLbl>
            <c:dLbl>
              <c:idx val="500"/>
              <c:layout/>
              <c:tx>
                <c:strRef>
                  <c:f>institutions_spss!$U$504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{FB949839-4D18-4C3E-87A8-F6DD0305093D}</c15:txfldGUID>
                      <c15:f>institutions_spss!$U$504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0-0235-4FEE-9FAC-95D5ECB60C56}"/>
                </c:ext>
              </c:extLst>
            </c:dLbl>
            <c:dLbl>
              <c:idx val="501"/>
              <c:layout/>
              <c:tx>
                <c:strRef>
                  <c:f>institutions_spss!$U$505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{D8DD5B69-4F7A-44D6-93F6-81006070408A}</c15:txfldGUID>
                      <c15:f>institutions_spss!$U$505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1-0235-4FEE-9FAC-95D5ECB60C56}"/>
                </c:ext>
              </c:extLst>
            </c:dLbl>
            <c:dLbl>
              <c:idx val="502"/>
              <c:layout/>
              <c:tx>
                <c:strRef>
                  <c:f>institutions_spss!$U$506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{A7D1465D-02ED-47BB-A50F-20BC6C5785BF}</c15:txfldGUID>
                      <c15:f>institutions_spss!$U$506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2-0235-4FEE-9FAC-95D5ECB60C56}"/>
                </c:ext>
              </c:extLst>
            </c:dLbl>
            <c:dLbl>
              <c:idx val="503"/>
              <c:layout/>
              <c:tx>
                <c:strRef>
                  <c:f>institutions_spss!$U$507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{CFF3712A-564F-4A58-B277-2C70C49123FF}</c15:txfldGUID>
                      <c15:f>institutions_spss!$U$507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3-0235-4FEE-9FAC-95D5ECB60C56}"/>
                </c:ext>
              </c:extLst>
            </c:dLbl>
            <c:dLbl>
              <c:idx val="504"/>
              <c:layout/>
              <c:tx>
                <c:strRef>
                  <c:f>institutions_spss!$U$508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{02C7D6EE-94AE-416B-B533-DC74F1110D50}</c15:txfldGUID>
                      <c15:f>institutions_spss!$U$508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4-0235-4FEE-9FAC-95D5ECB60C56}"/>
                </c:ext>
              </c:extLst>
            </c:dLbl>
            <c:dLbl>
              <c:idx val="505"/>
              <c:layout/>
              <c:tx>
                <c:strRef>
                  <c:f>institutions_spss!$U$509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{66E49A19-9D62-40A7-8459-8F1C2E8C1B9A}</c15:txfldGUID>
                      <c15:f>institutions_spss!$U$509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5-0235-4FEE-9FAC-95D5ECB60C56}"/>
                </c:ext>
              </c:extLst>
            </c:dLbl>
            <c:dLbl>
              <c:idx val="506"/>
              <c:layout/>
              <c:tx>
                <c:strRef>
                  <c:f>institutions_spss!$U$510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{C619DE89-41E8-4CD3-B26A-5E293C46C421}</c15:txfldGUID>
                      <c15:f>institutions_spss!$U$510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6-0235-4FEE-9FAC-95D5ECB60C56}"/>
                </c:ext>
              </c:extLst>
            </c:dLbl>
            <c:dLbl>
              <c:idx val="507"/>
              <c:layout/>
              <c:tx>
                <c:strRef>
                  <c:f>institutions_spss!$U$511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{822A9826-EB70-4D2E-842D-1CA33AB2427F}</c15:txfldGUID>
                      <c15:f>institutions_spss!$U$511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7-0235-4FEE-9FAC-95D5ECB60C56}"/>
                </c:ext>
              </c:extLst>
            </c:dLbl>
            <c:dLbl>
              <c:idx val="508"/>
              <c:layout/>
              <c:tx>
                <c:strRef>
                  <c:f>institutions_spss!$U$512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{0E7EF158-0611-48B4-95AB-B2EF1C1E08C2}</c15:txfldGUID>
                      <c15:f>institutions_spss!$U$512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8-0235-4FEE-9FAC-95D5ECB60C56}"/>
                </c:ext>
              </c:extLst>
            </c:dLbl>
            <c:dLbl>
              <c:idx val="509"/>
              <c:layout/>
              <c:tx>
                <c:strRef>
                  <c:f>institutions_spss!$U$513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{02ABB622-0946-441F-973E-D40845EB8E43}</c15:txfldGUID>
                      <c15:f>institutions_spss!$U$513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9-0235-4FEE-9FAC-95D5ECB60C56}"/>
                </c:ext>
              </c:extLst>
            </c:dLbl>
            <c:dLbl>
              <c:idx val="510"/>
              <c:layout>
                <c:manualLayout>
                  <c:x val="-4.7251796582195825E-2"/>
                  <c:y val="3.9860488290981563E-3"/>
                </c:manualLayout>
              </c:layout>
              <c:tx>
                <c:strRef>
                  <c:f>institutions_spss!$U$514</c:f>
                  <c:strCache>
                    <c:ptCount val="1"/>
                    <c:pt idx="0">
                      <c:v>Auton Madrid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{DF012495-5BFA-4A56-AEA3-6F8E1895F6BF}</c15:txfldGUID>
                      <c15:f>institutions_spss!$U$514</c15:f>
                      <c15:dlblFieldTableCache>
                        <c:ptCount val="1"/>
                        <c:pt idx="0">
                          <c:v>Auton Madrid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A-0235-4FEE-9FAC-95D5ECB60C56}"/>
                </c:ext>
              </c:extLst>
            </c:dLbl>
            <c:dLbl>
              <c:idx val="511"/>
              <c:layout/>
              <c:tx>
                <c:strRef>
                  <c:f>institutions_spss!$U$515</c:f>
                  <c:strCache>
                    <c:ptCount val="1"/>
                    <c:pt idx="0">
                      <c:v>Hannover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{06B1144F-3ADF-4630-A84D-5C17B6D3706F}</c15:txfldGUID>
                      <c15:f>institutions_spss!$U$515</c15:f>
                      <c15:dlblFieldTableCache>
                        <c:ptCount val="1"/>
                        <c:pt idx="0">
                          <c:v>Hannover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B-0235-4FEE-9FAC-95D5ECB60C56}"/>
                </c:ext>
              </c:extLst>
            </c:dLbl>
            <c:dLbl>
              <c:idx val="512"/>
              <c:layout/>
              <c:tx>
                <c:strRef>
                  <c:f>institutions_spss!$U$516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{4CB4CAF7-852E-43FB-9EE8-3A84BFAB8AC6}</c15:txfldGUID>
                      <c15:f>institutions_spss!$U$516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C-0235-4FEE-9FAC-95D5ECB60C56}"/>
                </c:ext>
              </c:extLst>
            </c:dLbl>
            <c:dLbl>
              <c:idx val="513"/>
              <c:layout>
                <c:manualLayout>
                  <c:x val="-3.9793327144150646E-2"/>
                  <c:y val="-5.9790732436472349E-3"/>
                </c:manualLayout>
              </c:layout>
              <c:tx>
                <c:strRef>
                  <c:f>institutions_spss!$U$517</c:f>
                  <c:strCache>
                    <c:ptCount val="1"/>
                    <c:pt idx="0">
                      <c:v>Paris Saclay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{495E972B-E262-4E4A-B5CE-F1F49245C886}</c15:txfldGUID>
                      <c15:f>institutions_spss!$U$517</c15:f>
                      <c15:dlblFieldTableCache>
                        <c:ptCount val="1"/>
                        <c:pt idx="0">
                          <c:v>Paris Saclay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D-0235-4FEE-9FAC-95D5ECB60C56}"/>
                </c:ext>
              </c:extLst>
            </c:dLbl>
            <c:dLbl>
              <c:idx val="514"/>
              <c:layout/>
              <c:tx>
                <c:strRef>
                  <c:f>institutions_spss!$U$518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{365CA283-A9CC-49BC-87B2-CA8AF910D56E}</c15:txfldGUID>
                      <c15:f>institutions_spss!$U$518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E-0235-4FEE-9FAC-95D5ECB60C56}"/>
                </c:ext>
              </c:extLst>
            </c:dLbl>
            <c:dLbl>
              <c:idx val="515"/>
              <c:layout/>
              <c:tx>
                <c:strRef>
                  <c:f>institutions_spss!$U$519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{DCECA4B9-80E9-4761-B29A-A2053E8F60FA}</c15:txfldGUID>
                      <c15:f>institutions_spss!$U$519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F-0235-4FEE-9FAC-95D5ECB60C56}"/>
                </c:ext>
              </c:extLst>
            </c:dLbl>
            <c:dLbl>
              <c:idx val="516"/>
              <c:layout/>
              <c:tx>
                <c:strRef>
                  <c:f>institutions_spss!$U$520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{47F7CC17-5B83-4F8F-86A6-017BA72D09CD}</c15:txfldGUID>
                      <c15:f>institutions_spss!$U$520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0-0235-4FEE-9FAC-95D5ECB60C56}"/>
                </c:ext>
              </c:extLst>
            </c:dLbl>
            <c:dLbl>
              <c:idx val="517"/>
              <c:layout/>
              <c:tx>
                <c:strRef>
                  <c:f>institutions_spss!$U$521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{BEC23F6C-43B0-426D-94E9-351856AA24C9}</c15:txfldGUID>
                      <c15:f>institutions_spss!$U$521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1-0235-4FEE-9FAC-95D5ECB60C56}"/>
                </c:ext>
              </c:extLst>
            </c:dLbl>
            <c:dLbl>
              <c:idx val="518"/>
              <c:layout/>
              <c:tx>
                <c:strRef>
                  <c:f>institutions_spss!$U$522</c:f>
                  <c:strCache>
                    <c:ptCount val="1"/>
                    <c:pt idx="0">
                      <c:v>Compostela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{947B18D6-B7ED-45C2-91FE-6DE068E910BB}</c15:txfldGUID>
                      <c15:f>institutions_spss!$U$522</c15:f>
                      <c15:dlblFieldTableCache>
                        <c:ptCount val="1"/>
                        <c:pt idx="0">
                          <c:v>Compostela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2-0235-4FEE-9FAC-95D5ECB60C56}"/>
                </c:ext>
              </c:extLst>
            </c:dLbl>
            <c:dLbl>
              <c:idx val="519"/>
              <c:layout/>
              <c:tx>
                <c:strRef>
                  <c:f>institutions_spss!$U$523</c:f>
                  <c:strCache>
                    <c:ptCount val="1"/>
                    <c:pt idx="0">
                      <c:v>Bielefeld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{D3692420-21A0-4C6C-BE4D-6F15EF6ED7D4}</c15:txfldGUID>
                      <c15:f>institutions_spss!$U$523</c15:f>
                      <c15:dlblFieldTableCache>
                        <c:ptCount val="1"/>
                        <c:pt idx="0">
                          <c:v>Bielefeld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3-0235-4FEE-9FAC-95D5ECB60C56}"/>
                </c:ext>
              </c:extLst>
            </c:dLbl>
            <c:dLbl>
              <c:idx val="520"/>
              <c:layout/>
              <c:tx>
                <c:strRef>
                  <c:f>institutions_spss!$U$524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{C273CB81-5EAE-408A-9FF2-D479E41544FB}</c15:txfldGUID>
                      <c15:f>institutions_spss!$U$524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4-0235-4FEE-9FAC-95D5ECB60C56}"/>
                </c:ext>
              </c:extLst>
            </c:dLbl>
            <c:dLbl>
              <c:idx val="521"/>
              <c:layout/>
              <c:tx>
                <c:strRef>
                  <c:f>institutions_spss!$U$525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{D1F252C9-1844-4F54-BFA5-A4AC67D6642E}</c15:txfldGUID>
                      <c15:f>institutions_spss!$U$525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5-0235-4FEE-9FAC-95D5ECB60C56}"/>
                </c:ext>
              </c:extLst>
            </c:dLbl>
            <c:dLbl>
              <c:idx val="522"/>
              <c:layout/>
              <c:tx>
                <c:strRef>
                  <c:f>institutions_spss!$U$526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{5E28E776-0F08-46D3-98B5-B4B13A7D7579}</c15:txfldGUID>
                      <c15:f>institutions_spss!$U$526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6-0235-4FEE-9FAC-95D5ECB60C56}"/>
                </c:ext>
              </c:extLst>
            </c:dLbl>
            <c:dLbl>
              <c:idx val="523"/>
              <c:layout/>
              <c:tx>
                <c:strRef>
                  <c:f>institutions_spss!$U$527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{F88F7F48-A7D2-4A0E-A402-0253D635FF7E}</c15:txfldGUID>
                      <c15:f>institutions_spss!$U$527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7-0235-4FEE-9FAC-95D5ECB60C56}"/>
                </c:ext>
              </c:extLst>
            </c:dLbl>
            <c:dLbl>
              <c:idx val="524"/>
              <c:layout/>
              <c:tx>
                <c:strRef>
                  <c:f>institutions_spss!$U$528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{853505C6-EC45-40A4-9C7C-FD45332002E7}</c15:txfldGUID>
                      <c15:f>institutions_spss!$U$528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8-0235-4FEE-9FAC-95D5ECB60C56}"/>
                </c:ext>
              </c:extLst>
            </c:dLbl>
            <c:dLbl>
              <c:idx val="525"/>
              <c:layout/>
              <c:tx>
                <c:strRef>
                  <c:f>institutions_spss!$U$529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{DAA4F650-FDD6-4BBF-98DD-EC903DDB5050}</c15:txfldGUID>
                      <c15:f>institutions_spss!$U$529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9-0235-4FEE-9FAC-95D5ECB60C56}"/>
                </c:ext>
              </c:extLst>
            </c:dLbl>
            <c:dLbl>
              <c:idx val="526"/>
              <c:layout/>
              <c:tx>
                <c:strRef>
                  <c:f>institutions_spss!$U$530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{1CC2F48E-2140-4A8D-BA26-2B5D542B4DD7}</c15:txfldGUID>
                      <c15:f>institutions_spss!$U$530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A-0235-4FEE-9FAC-95D5ECB60C56}"/>
                </c:ext>
              </c:extLst>
            </c:dLbl>
            <c:dLbl>
              <c:idx val="527"/>
              <c:layout/>
              <c:tx>
                <c:strRef>
                  <c:f>institutions_spss!$U$531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{B0406EA0-E81E-465A-9CBE-9889F7CC78A4}</c15:txfldGUID>
                      <c15:f>institutions_spss!$U$531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B-0235-4FEE-9FAC-95D5ECB60C56}"/>
                </c:ext>
              </c:extLst>
            </c:dLbl>
            <c:dLbl>
              <c:idx val="528"/>
              <c:layout/>
              <c:tx>
                <c:strRef>
                  <c:f>institutions_spss!$U$532</c:f>
                  <c:strCache>
                    <c:ptCount val="1"/>
                    <c:pt idx="0">
                      <c:v>Sevilla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{ED953204-CC97-4E07-9E28-B31AF948D9CB}</c15:txfldGUID>
                      <c15:f>institutions_spss!$U$532</c15:f>
                      <c15:dlblFieldTableCache>
                        <c:ptCount val="1"/>
                        <c:pt idx="0">
                          <c:v>Sevilla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C-0235-4FEE-9FAC-95D5ECB60C56}"/>
                </c:ext>
              </c:extLst>
            </c:dLbl>
            <c:dLbl>
              <c:idx val="529"/>
              <c:layout/>
              <c:tx>
                <c:strRef>
                  <c:f>institutions_spss!$U$533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{FEF59A5E-DBD4-4845-93B3-A4D9738C5507}</c15:txfldGUID>
                      <c15:f>institutions_spss!$U$533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D-0235-4FEE-9FAC-95D5ECB60C56}"/>
                </c:ext>
              </c:extLst>
            </c:dLbl>
            <c:dLbl>
              <c:idx val="530"/>
              <c:layout/>
              <c:tx>
                <c:strRef>
                  <c:f>institutions_spss!$U$534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{C05EDDE3-6FAB-403D-8778-86989821BB35}</c15:txfldGUID>
                      <c15:f>institutions_spss!$U$534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E-0235-4FEE-9FAC-95D5ECB60C56}"/>
                </c:ext>
              </c:extLst>
            </c:dLbl>
            <c:dLbl>
              <c:idx val="531"/>
              <c:layout/>
              <c:tx>
                <c:strRef>
                  <c:f>institutions_spss!$U$535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{BC89B386-3315-4B6B-8047-9C36E705DA91}</c15:txfldGUID>
                      <c15:f>institutions_spss!$U$535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F-0235-4FEE-9FAC-95D5ECB60C56}"/>
                </c:ext>
              </c:extLst>
            </c:dLbl>
            <c:dLbl>
              <c:idx val="532"/>
              <c:layout/>
              <c:tx>
                <c:strRef>
                  <c:f>institutions_spss!$U$536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F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{E2363DC4-343C-49AC-B476-EBDDDAB81619}</c15:txfldGUID>
                      <c15:f>institutions_spss!$U$536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0-0235-4FEE-9FAC-95D5ECB60C56}"/>
                </c:ext>
              </c:extLst>
            </c:dLbl>
            <c:dLbl>
              <c:idx val="533"/>
              <c:layout/>
              <c:tx>
                <c:strRef>
                  <c:f>institutions_spss!$U$537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{45343DFA-FAF2-488F-8A5F-359FADFCBFA8}</c15:txfldGUID>
                      <c15:f>institutions_spss!$U$537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1-0235-4FEE-9FAC-95D5ECB60C56}"/>
                </c:ext>
              </c:extLst>
            </c:dLbl>
            <c:dLbl>
              <c:idx val="534"/>
              <c:layout/>
              <c:tx>
                <c:strRef>
                  <c:f>institutions_spss!$U$538</c:f>
                  <c:strCache>
                    <c:ptCount val="1"/>
                    <c:pt idx="0">
                      <c:v>Polit Valencia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{F32C88ED-7A5A-4308-A121-37E7A4262F2F}</c15:txfldGUID>
                      <c15:f>institutions_spss!$U$538</c15:f>
                      <c15:dlblFieldTableCache>
                        <c:ptCount val="1"/>
                        <c:pt idx="0">
                          <c:v>Polit Valencia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2-0235-4FEE-9FAC-95D5ECB60C56}"/>
                </c:ext>
              </c:extLst>
            </c:dLbl>
            <c:dLbl>
              <c:idx val="535"/>
              <c:layout/>
              <c:tx>
                <c:strRef>
                  <c:f>institutions_spss!$U$539</c:f>
                  <c:strCache>
                    <c:ptCount val="1"/>
                    <c:pt idx="0">
                      <c:v>Lorraine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206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{D3E9B802-5B50-4099-8CE0-0E5C87321029}</c15:txfldGUID>
                      <c15:f>institutions_spss!$U$539</c15:f>
                      <c15:dlblFieldTableCache>
                        <c:ptCount val="1"/>
                        <c:pt idx="0">
                          <c:v>Lorraine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3-0235-4FEE-9FAC-95D5ECB60C56}"/>
                </c:ext>
              </c:extLst>
            </c:dLbl>
            <c:dLbl>
              <c:idx val="536"/>
              <c:layout/>
              <c:tx>
                <c:strRef>
                  <c:f>institutions_spss!$U$540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{8BEE8FAD-D656-43A3-AEA0-526EAF78328B}</c15:txfldGUID>
                      <c15:f>institutions_spss!$U$540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4-0235-4FEE-9FAC-95D5ECB60C56}"/>
                </c:ext>
              </c:extLst>
            </c:dLbl>
            <c:dLbl>
              <c:idx val="537"/>
              <c:layout/>
              <c:tx>
                <c:strRef>
                  <c:f>institutions_spss!$U$541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{A79B9022-001E-46FB-9BC9-0519E429A021}</c15:txfldGUID>
                      <c15:f>institutions_spss!$U$541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5-0235-4FEE-9FAC-95D5ECB60C56}"/>
                </c:ext>
              </c:extLst>
            </c:dLbl>
            <c:dLbl>
              <c:idx val="538"/>
              <c:layout/>
              <c:tx>
                <c:strRef>
                  <c:f>institutions_spss!$U$542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{27523DA7-7C4F-43DB-8BBE-7EBE679A776B}</c15:txfldGUID>
                      <c15:f>institutions_spss!$U$542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6-0235-4FEE-9FAC-95D5ECB60C56}"/>
                </c:ext>
              </c:extLst>
            </c:dLbl>
            <c:dLbl>
              <c:idx val="539"/>
              <c:layout/>
              <c:tx>
                <c:strRef>
                  <c:f>institutions_spss!$U$543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{46EBE46D-BE53-4472-838F-9349E6680391}</c15:txfldGUID>
                      <c15:f>institutions_spss!$U$543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7-0235-4FEE-9FAC-95D5ECB60C56}"/>
                </c:ext>
              </c:extLst>
            </c:dLbl>
            <c:dLbl>
              <c:idx val="540"/>
              <c:layout/>
              <c:tx>
                <c:strRef>
                  <c:f>institutions_spss!$U$544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00B05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{0039DC7C-A795-4865-8B70-641EA8053D26}</c15:txfldGUID>
                      <c15:f>institutions_spss!$U$544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8-0235-4FEE-9FAC-95D5ECB60C56}"/>
                </c:ext>
              </c:extLst>
            </c:dLbl>
            <c:dLbl>
              <c:idx val="541"/>
              <c:layout/>
              <c:tx>
                <c:strRef>
                  <c:f>institutions_spss!$U$545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{744EF337-38EB-4A80-A6F5-635D22811AE8}</c15:txfldGUID>
                      <c15:f>institutions_spss!$U$545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9-0235-4FEE-9FAC-95D5ECB60C56}"/>
                </c:ext>
              </c:extLst>
            </c:dLbl>
            <c:dLbl>
              <c:idx val="542"/>
              <c:layout/>
              <c:tx>
                <c:strRef>
                  <c:f>institutions_spss!$U$546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{2911CF75-DEF7-46E4-B854-11A0D630F2B2}</c15:txfldGUID>
                      <c15:f>institutions_spss!$U$546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A-0235-4FEE-9FAC-95D5ECB60C56}"/>
                </c:ext>
              </c:extLst>
            </c:dLbl>
            <c:dLbl>
              <c:idx val="543"/>
              <c:layout/>
              <c:tx>
                <c:strRef>
                  <c:f>institutions_spss!$U$547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{0D4364AC-211A-48EC-BCB3-5D9FF7DF4128}</c15:txfldGUID>
                      <c15:f>institutions_spss!$U$547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B-0235-4FEE-9FAC-95D5ECB60C56}"/>
                </c:ext>
              </c:extLst>
            </c:dLbl>
            <c:dLbl>
              <c:idx val="544"/>
              <c:layout>
                <c:manualLayout>
                  <c:x val="-4.5560453414938855E-2"/>
                  <c:y val="-1.5944195316392698E-2"/>
                </c:manualLayout>
              </c:layout>
              <c:tx>
                <c:strRef>
                  <c:f>institutions_spss!$U$548</c:f>
                  <c:strCache>
                    <c:ptCount val="1"/>
                    <c:pt idx="0">
                      <c:v>Complutense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{4E4F7146-F821-44C6-A36C-AE96B25CAED4}</c15:txfldGUID>
                      <c15:f>institutions_spss!$U$548</c15:f>
                      <c15:dlblFieldTableCache>
                        <c:ptCount val="1"/>
                        <c:pt idx="0">
                          <c:v>Complutense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C-0235-4FEE-9FAC-95D5ECB60C56}"/>
                </c:ext>
              </c:extLst>
            </c:dLbl>
            <c:dLbl>
              <c:idx val="545"/>
              <c:layout/>
              <c:tx>
                <c:strRef>
                  <c:f>institutions_spss!$U$549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{6912CA89-6A61-4FC0-B5E2-1BB5450C2C31}</c15:txfldGUID>
                      <c15:f>institutions_spss!$U$549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D-0235-4FEE-9FAC-95D5ECB60C56}"/>
                </c:ext>
              </c:extLst>
            </c:dLbl>
            <c:dLbl>
              <c:idx val="546"/>
              <c:layout/>
              <c:tx>
                <c:strRef>
                  <c:f>institutions_spss!$U$550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{9C59ACBF-4B98-49C1-A61B-B875025F400B}</c15:txfldGUID>
                      <c15:f>institutions_spss!$U$550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E-0235-4FEE-9FAC-95D5ECB60C56}"/>
                </c:ext>
              </c:extLst>
            </c:dLbl>
            <c:dLbl>
              <c:idx val="547"/>
              <c:layout/>
              <c:tx>
                <c:strRef>
                  <c:f>institutions_spss!$U$551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{95EE0559-253D-4EA1-BA3A-B8213320553D}</c15:txfldGUID>
                      <c15:f>institutions_spss!$U$551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F-0235-4FEE-9FAC-95D5ECB60C56}"/>
                </c:ext>
              </c:extLst>
            </c:dLbl>
            <c:dLbl>
              <c:idx val="548"/>
              <c:layout/>
              <c:tx>
                <c:strRef>
                  <c:f>institutions_spss!$U$552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{FF1CEEEA-9DF9-423D-90EF-F3D85599FC0C}</c15:txfldGUID>
                      <c15:f>institutions_spss!$U$552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0-0235-4FEE-9FAC-95D5ECB60C56}"/>
                </c:ext>
              </c:extLst>
            </c:dLbl>
            <c:dLbl>
              <c:idx val="549"/>
              <c:layout/>
              <c:tx>
                <c:strRef>
                  <c:f>institutions_spss!$U$553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{C58298ED-3864-461A-A172-7D37FCA94A71}</c15:txfldGUID>
                      <c15:f>institutions_spss!$U$553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1-0235-4FEE-9FAC-95D5ECB60C56}"/>
                </c:ext>
              </c:extLst>
            </c:dLbl>
            <c:dLbl>
              <c:idx val="550"/>
              <c:layout/>
              <c:tx>
                <c:strRef>
                  <c:f>institutions_spss!$U$554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{B5E81D86-EAD6-437A-BC6A-1CF97AAA4E5D}</c15:txfldGUID>
                      <c15:f>institutions_spss!$U$554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2-0235-4FEE-9FAC-95D5ECB60C56}"/>
                </c:ext>
              </c:extLst>
            </c:dLbl>
            <c:dLbl>
              <c:idx val="551"/>
              <c:layout/>
              <c:tx>
                <c:strRef>
                  <c:f>institutions_spss!$U$555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{6963FD59-54E0-4923-84A9-1E389A1AFE6A}</c15:txfldGUID>
                      <c15:f>institutions_spss!$U$555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3-0235-4FEE-9FAC-95D5ECB60C56}"/>
                </c:ext>
              </c:extLst>
            </c:dLbl>
            <c:dLbl>
              <c:idx val="552"/>
              <c:layout/>
              <c:tx>
                <c:strRef>
                  <c:f>institutions_spss!$U$556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{891DC1E8-C234-44DA-8A3B-C19EB82A7070}</c15:txfldGUID>
                      <c15:f>institutions_spss!$U$556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4-0235-4FEE-9FAC-95D5ECB60C56}"/>
                </c:ext>
              </c:extLst>
            </c:dLbl>
            <c:dLbl>
              <c:idx val="553"/>
              <c:layout/>
              <c:tx>
                <c:strRef>
                  <c:f>institutions_spss!$U$557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{C3110279-41AE-446D-8E85-512ED46E795F}</c15:txfldGUID>
                      <c15:f>institutions_spss!$U$557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5-0235-4FEE-9FAC-95D5ECB60C56}"/>
                </c:ext>
              </c:extLst>
            </c:dLbl>
            <c:dLbl>
              <c:idx val="554"/>
              <c:layout/>
              <c:tx>
                <c:strRef>
                  <c:f>institutions_spss!$U$558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{51E00E81-0AD0-44F0-BDB1-F81D5D456E57}</c15:txfldGUID>
                      <c15:f>institutions_spss!$U$558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6-0235-4FEE-9FAC-95D5ECB60C56}"/>
                </c:ext>
              </c:extLst>
            </c:dLbl>
            <c:dLbl>
              <c:idx val="555"/>
              <c:layout/>
              <c:tx>
                <c:strRef>
                  <c:f>institutions_spss!$U$559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{75767D7F-0B5E-4783-8E17-29A2D25F8313}</c15:txfldGUID>
                      <c15:f>institutions_spss!$U$559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7-0235-4FEE-9FAC-95D5ECB60C56}"/>
                </c:ext>
              </c:extLst>
            </c:dLbl>
            <c:dLbl>
              <c:idx val="556"/>
              <c:layout/>
              <c:tx>
                <c:strRef>
                  <c:f>institutions_spss!$U$560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{2868D0AF-CA56-4995-93F5-B5C784857FC7}</c15:txfldGUID>
                      <c15:f>institutions_spss!$U$560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8-0235-4FEE-9FAC-95D5ECB60C56}"/>
                </c:ext>
              </c:extLst>
            </c:dLbl>
            <c:dLbl>
              <c:idx val="557"/>
              <c:layout>
                <c:manualLayout>
                  <c:x val="-5.9860307854531281E-2"/>
                  <c:y val="-1.7937219730941704E-2"/>
                </c:manualLayout>
              </c:layout>
              <c:tx>
                <c:strRef>
                  <c:f>institutions_spss!$U$561</c:f>
                  <c:strCache>
                    <c:ptCount val="1"/>
                    <c:pt idx="0">
                      <c:v>Castilla-La Mancha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{46667875-5721-4865-97FE-8E940D56AABE}</c15:txfldGUID>
                      <c15:f>institutions_spss!$U$561</c15:f>
                      <c15:dlblFieldTableCache>
                        <c:ptCount val="1"/>
                        <c:pt idx="0">
                          <c:v>Castilla-La Mancha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9-0235-4FEE-9FAC-95D5ECB60C56}"/>
                </c:ext>
              </c:extLst>
            </c:dLbl>
            <c:dLbl>
              <c:idx val="558"/>
              <c:layout>
                <c:manualLayout>
                  <c:x val="-2.9589519650655021E-2"/>
                  <c:y val="7.9720976581963126E-3"/>
                </c:manualLayout>
              </c:layout>
              <c:tx>
                <c:strRef>
                  <c:f>institutions_spss!$U$562</c:f>
                  <c:strCache>
                    <c:ptCount val="1"/>
                    <c:pt idx="0">
                      <c:v>Malaga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{ACEDB5B3-0F87-40D5-B8F3-E512F350FCF4}</c15:txfldGUID>
                      <c15:f>institutions_spss!$U$562</c15:f>
                      <c15:dlblFieldTableCache>
                        <c:ptCount val="1"/>
                        <c:pt idx="0">
                          <c:v>Malaga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A-0235-4FEE-9FAC-95D5ECB60C56}"/>
                </c:ext>
              </c:extLst>
            </c:dLbl>
            <c:dLbl>
              <c:idx val="559"/>
              <c:layout>
                <c:manualLayout>
                  <c:x val="-5.1179039301310042E-2"/>
                  <c:y val="7.9720976581962397E-3"/>
                </c:manualLayout>
              </c:layout>
              <c:tx>
                <c:strRef>
                  <c:f>institutions_spss!$U$563</c:f>
                  <c:strCache>
                    <c:ptCount val="1"/>
                    <c:pt idx="0">
                      <c:v>P Navarra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{53333D98-3EA5-4BC0-908C-E70093F94CF4}</c15:txfldGUID>
                      <c15:f>institutions_spss!$U$563</c15:f>
                      <c15:dlblFieldTableCache>
                        <c:ptCount val="1"/>
                        <c:pt idx="0">
                          <c:v>P Navarra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B-0235-4FEE-9FAC-95D5ECB60C56}"/>
                </c:ext>
              </c:extLst>
            </c:dLbl>
            <c:dLbl>
              <c:idx val="560"/>
              <c:layout/>
              <c:tx>
                <c:strRef>
                  <c:f>institutions_spss!$U$564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{D74F570A-46D6-4DAE-8619-7C97719BCACB}</c15:txfldGUID>
                      <c15:f>institutions_spss!$U$564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C-0235-4FEE-9FAC-95D5ECB60C56}"/>
                </c:ext>
              </c:extLst>
            </c:dLbl>
            <c:dLbl>
              <c:idx val="561"/>
              <c:layout/>
              <c:tx>
                <c:strRef>
                  <c:f>institutions_spss!$U$565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{1A487D1A-7ACD-4643-B16C-6789FAC332F2}</c15:txfldGUID>
                      <c15:f>institutions_spss!$U$565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D-0235-4FEE-9FAC-95D5ECB60C56}"/>
                </c:ext>
              </c:extLst>
            </c:dLbl>
            <c:dLbl>
              <c:idx val="562"/>
              <c:layout/>
              <c:tx>
                <c:strRef>
                  <c:f>institutions_spss!$U$566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{3D1D2A0E-0B19-4725-9AD5-DBC9792509F3}</c15:txfldGUID>
                      <c15:f>institutions_spss!$U$566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E-0235-4FEE-9FAC-95D5ECB60C56}"/>
                </c:ext>
              </c:extLst>
            </c:dLbl>
            <c:dLbl>
              <c:idx val="563"/>
              <c:layout/>
              <c:tx>
                <c:strRef>
                  <c:f>institutions_spss!$U$567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{ED94DBD5-351C-493D-B2F2-021F0B403174}</c15:txfldGUID>
                      <c15:f>institutions_spss!$U$567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F-0235-4FEE-9FAC-95D5ECB60C56}"/>
                </c:ext>
              </c:extLst>
            </c:dLbl>
            <c:dLbl>
              <c:idx val="564"/>
              <c:layout/>
              <c:tx>
                <c:strRef>
                  <c:f>institutions_spss!$U$568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{4AB69B84-D38A-4FEC-BF50-4C4DB5A4E0DE}</c15:txfldGUID>
                      <c15:f>institutions_spss!$U$568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0-0235-4FEE-9FAC-95D5ECB60C56}"/>
                </c:ext>
              </c:extLst>
            </c:dLbl>
            <c:dLbl>
              <c:idx val="565"/>
              <c:layout/>
              <c:tx>
                <c:strRef>
                  <c:f>institutions_spss!$U$569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{129E12ED-F1BC-4FD4-BF9A-E2D6F648D871}</c15:txfldGUID>
                      <c15:f>institutions_spss!$U$569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1-0235-4FEE-9FAC-95D5ECB60C56}"/>
                </c:ext>
              </c:extLst>
            </c:dLbl>
            <c:dLbl>
              <c:idx val="566"/>
              <c:layout/>
              <c:tx>
                <c:strRef>
                  <c:f>institutions_spss!$U$570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{4F667D40-FA02-49DC-816A-6C8362572058}</c15:txfldGUID>
                      <c15:f>institutions_spss!$U$570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2-0235-4FEE-9FAC-95D5ECB60C56}"/>
                </c:ext>
              </c:extLst>
            </c:dLbl>
            <c:dLbl>
              <c:idx val="567"/>
              <c:layout/>
              <c:tx>
                <c:strRef>
                  <c:f>institutions_spss!$U$571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{06C1606B-6640-41F0-B2AC-2E0999B2C535}</c15:txfldGUID>
                      <c15:f>institutions_spss!$U$571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3-0235-4FEE-9FAC-95D5ECB60C56}"/>
                </c:ext>
              </c:extLst>
            </c:dLbl>
            <c:dLbl>
              <c:idx val="568"/>
              <c:layout/>
              <c:tx>
                <c:strRef>
                  <c:f>institutions_spss!$U$572</c:f>
                  <c:strCache>
                    <c:ptCount val="1"/>
                    <c:pt idx="0">
                      <c:v>Alacant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{C2B958D7-0CE5-4C78-AB5C-799768362D5E}</c15:txfldGUID>
                      <c15:f>institutions_spss!$U$572</c15:f>
                      <c15:dlblFieldTableCache>
                        <c:ptCount val="1"/>
                        <c:pt idx="0">
                          <c:v>Alacant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4-0235-4FEE-9FAC-95D5ECB60C56}"/>
                </c:ext>
              </c:extLst>
            </c:dLbl>
            <c:dLbl>
              <c:idx val="569"/>
              <c:layout/>
              <c:tx>
                <c:strRef>
                  <c:f>institutions_spss!$U$573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{23E243EF-2D24-41D4-9249-F4B501B78506}</c15:txfldGUID>
                      <c15:f>institutions_spss!$U$573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5-0235-4FEE-9FAC-95D5ECB60C56}"/>
                </c:ext>
              </c:extLst>
            </c:dLbl>
            <c:dLbl>
              <c:idx val="570"/>
              <c:layout>
                <c:manualLayout>
                  <c:x val="-5.1213973799126657E-2"/>
                  <c:y val="-1.195814648729447E-2"/>
                </c:manualLayout>
              </c:layout>
              <c:tx>
                <c:strRef>
                  <c:f>institutions_spss!$U$574</c:f>
                  <c:strCache>
                    <c:ptCount val="1"/>
                    <c:pt idx="0">
                      <c:v>Rey Juan Carlos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{A7CA35F4-8359-46DA-B3EA-8312C63242CA}</c15:txfldGUID>
                      <c15:f>institutions_spss!$U$574</c15:f>
                      <c15:dlblFieldTableCache>
                        <c:ptCount val="1"/>
                        <c:pt idx="0">
                          <c:v>Rey Juan Carlos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6-0235-4FEE-9FAC-95D5ECB60C56}"/>
                </c:ext>
              </c:extLst>
            </c:dLbl>
            <c:dLbl>
              <c:idx val="571"/>
              <c:layout/>
              <c:tx>
                <c:strRef>
                  <c:f>institutions_spss!$U$575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{51E3CC5D-00CE-4AA2-84D6-93D950B8A9A4}</c15:txfldGUID>
                      <c15:f>institutions_spss!$U$575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7-0235-4FEE-9FAC-95D5ECB60C56}"/>
                </c:ext>
              </c:extLst>
            </c:dLbl>
            <c:dLbl>
              <c:idx val="572"/>
              <c:layout/>
              <c:tx>
                <c:strRef>
                  <c:f>institutions_spss!$U$576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{47FF42C5-7BF6-46BC-ACF7-9C481A8A3D90}</c15:txfldGUID>
                      <c15:f>institutions_spss!$U$576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8-0235-4FEE-9FAC-95D5ECB60C56}"/>
                </c:ext>
              </c:extLst>
            </c:dLbl>
            <c:dLbl>
              <c:idx val="573"/>
              <c:layout/>
              <c:tx>
                <c:strRef>
                  <c:f>institutions_spss!$U$577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{6036EE8F-0714-44C6-B78A-529C1EF0BC93}</c15:txfldGUID>
                      <c15:f>institutions_spss!$U$577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9-0235-4FEE-9FAC-95D5ECB60C56}"/>
                </c:ext>
              </c:extLst>
            </c:dLbl>
            <c:dLbl>
              <c:idx val="574"/>
              <c:layout/>
              <c:tx>
                <c:strRef>
                  <c:f>institutions_spss!$U$578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{C3AE8D69-9529-4056-AD9A-72CD30240A15}</c15:txfldGUID>
                      <c15:f>institutions_spss!$U$578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A-0235-4FEE-9FAC-95D5ECB60C56}"/>
                </c:ext>
              </c:extLst>
            </c:dLbl>
            <c:dLbl>
              <c:idx val="575"/>
              <c:layout/>
              <c:tx>
                <c:strRef>
                  <c:f>institutions_spss!$U$579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{BBB380AB-264D-4B68-8C1A-04D91039763A}</c15:txfldGUID>
                      <c15:f>institutions_spss!$U$579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B-0235-4FEE-9FAC-95D5ECB60C56}"/>
                </c:ext>
              </c:extLst>
            </c:dLbl>
            <c:dLbl>
              <c:idx val="576"/>
              <c:layout/>
              <c:tx>
                <c:strRef>
                  <c:f>institutions_spss!$U$580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{E11F047A-3AC4-4A35-86CB-9F6119786B5A}</c15:txfldGUID>
                      <c15:f>institutions_spss!$U$580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C-0235-4FEE-9FAC-95D5ECB60C56}"/>
                </c:ext>
              </c:extLst>
            </c:dLbl>
            <c:dLbl>
              <c:idx val="577"/>
              <c:layout/>
              <c:tx>
                <c:strRef>
                  <c:f>institutions_spss!$U$581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{AFF5BD83-29E7-4575-894A-041421AA61F3}</c15:txfldGUID>
                      <c15:f>institutions_spss!$U$581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D-0235-4FEE-9FAC-95D5ECB60C56}"/>
                </c:ext>
              </c:extLst>
            </c:dLbl>
            <c:dLbl>
              <c:idx val="578"/>
              <c:layout/>
              <c:tx>
                <c:strRef>
                  <c:f>institutions_spss!$U$582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{2046048D-8BB7-4BA6-9B52-A81725950F95}</c15:txfldGUID>
                      <c15:f>institutions_spss!$U$582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E-0235-4FEE-9FAC-95D5ECB60C56}"/>
                </c:ext>
              </c:extLst>
            </c:dLbl>
            <c:dLbl>
              <c:idx val="579"/>
              <c:layout/>
              <c:tx>
                <c:strRef>
                  <c:f>institutions_spss!$U$583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{4E73C163-DD39-4A74-BF39-3EB7FB64A75E}</c15:txfldGUID>
                      <c15:f>institutions_spss!$U$583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F-0235-4FEE-9FAC-95D5ECB60C56}"/>
                </c:ext>
              </c:extLst>
            </c:dLbl>
            <c:dLbl>
              <c:idx val="580"/>
              <c:layout/>
              <c:tx>
                <c:strRef>
                  <c:f>institutions_spss!$U$584</c:f>
                  <c:strCache>
                    <c:ptCount val="1"/>
                    <c:pt idx="0">
                      <c:v>Vigo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{5CAE16B4-A341-4E76-BACD-D98CEAF50444}</c15:txfldGUID>
                      <c15:f>institutions_spss!$U$584</c15:f>
                      <c15:dlblFieldTableCache>
                        <c:ptCount val="1"/>
                        <c:pt idx="0">
                          <c:v>Vigo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0-0235-4FEE-9FAC-95D5ECB60C56}"/>
                </c:ext>
              </c:extLst>
            </c:dLbl>
            <c:dLbl>
              <c:idx val="581"/>
              <c:layout/>
              <c:tx>
                <c:strRef>
                  <c:f>institutions_spss!$U$585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{BA456EA5-68C4-4BF1-B22E-836A67FEDD34}</c15:txfldGUID>
                      <c15:f>institutions_spss!$U$585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1-0235-4FEE-9FAC-95D5ECB60C56}"/>
                </c:ext>
              </c:extLst>
            </c:dLbl>
            <c:dLbl>
              <c:idx val="582"/>
              <c:layout/>
              <c:tx>
                <c:strRef>
                  <c:f>institutions_spss!$U$586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{5F1CD7F8-E6BB-4E16-A0C5-92C8620E16B6}</c15:txfldGUID>
                      <c15:f>institutions_spss!$U$586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2-0235-4FEE-9FAC-95D5ECB60C56}"/>
                </c:ext>
              </c:extLst>
            </c:dLbl>
            <c:dLbl>
              <c:idx val="583"/>
              <c:layout/>
              <c:tx>
                <c:strRef>
                  <c:f>institutions_spss!$U$587</c:f>
                  <c:strCache>
                    <c:ptCount val="1"/>
                    <c:pt idx="0">
                      <c:v>Murcia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{72B61591-E4F1-4E04-A35A-53194D8167A3}</c15:txfldGUID>
                      <c15:f>institutions_spss!$U$587</c15:f>
                      <c15:dlblFieldTableCache>
                        <c:ptCount val="1"/>
                        <c:pt idx="0">
                          <c:v>Murcia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3-0235-4FEE-9FAC-95D5ECB60C56}"/>
                </c:ext>
              </c:extLst>
            </c:dLbl>
            <c:dLbl>
              <c:idx val="584"/>
              <c:layout/>
              <c:tx>
                <c:strRef>
                  <c:f>institutions_spss!$U$588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{AD14B37E-BB00-4A47-8405-BBFCE51812E7}</c15:txfldGUID>
                      <c15:f>institutions_spss!$U$588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4-0235-4FEE-9FAC-95D5ECB60C56}"/>
                </c:ext>
              </c:extLst>
            </c:dLbl>
            <c:dLbl>
              <c:idx val="585"/>
              <c:layout/>
              <c:tx>
                <c:strRef>
                  <c:f>institutions_spss!$U$589</c:f>
                  <c:strCache>
                    <c:ptCount val="1"/>
                    <c:pt idx="0">
                      <c:v>Jaume I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{EAB5F6FA-9495-4839-B84B-84DEE280DF2F}</c15:txfldGUID>
                      <c15:f>institutions_spss!$U$589</c15:f>
                      <c15:dlblFieldTableCache>
                        <c:ptCount val="1"/>
                        <c:pt idx="0">
                          <c:v>Jaume 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5-0235-4FEE-9FAC-95D5ECB60C56}"/>
                </c:ext>
              </c:extLst>
            </c:dLbl>
            <c:dLbl>
              <c:idx val="586"/>
              <c:layout/>
              <c:tx>
                <c:strRef>
                  <c:f>institutions_spss!$U$590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{0FB8EF8A-6DF7-4412-91B1-B9CEB348E65D}</c15:txfldGUID>
                      <c15:f>institutions_spss!$U$590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6-0235-4FEE-9FAC-95D5ECB60C56}"/>
                </c:ext>
              </c:extLst>
            </c:dLbl>
            <c:dLbl>
              <c:idx val="587"/>
              <c:layout/>
              <c:tx>
                <c:strRef>
                  <c:f>institutions_spss!$U$591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{638E645A-217F-449E-85A5-21CB66C42039}</c15:txfldGUID>
                      <c15:f>institutions_spss!$U$591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7-0235-4FEE-9FAC-95D5ECB60C56}"/>
                </c:ext>
              </c:extLst>
            </c:dLbl>
            <c:dLbl>
              <c:idx val="588"/>
              <c:layout/>
              <c:tx>
                <c:strRef>
                  <c:f>institutions_spss!$U$592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{6DCB9CF8-AD0A-4500-9F00-2913366041A1}</c15:txfldGUID>
                      <c15:f>institutions_spss!$U$592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8-0235-4FEE-9FAC-95D5ECB60C56}"/>
                </c:ext>
              </c:extLst>
            </c:dLbl>
            <c:dLbl>
              <c:idx val="589"/>
              <c:layout/>
              <c:tx>
                <c:strRef>
                  <c:f>institutions_spss!$U$593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{8ACA7BA5-6FCB-4892-B678-90B516D84FD9}</c15:txfldGUID>
                      <c15:f>institutions_spss!$U$593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9-0235-4FEE-9FAC-95D5ECB60C56}"/>
                </c:ext>
              </c:extLst>
            </c:dLbl>
            <c:dLbl>
              <c:idx val="590"/>
              <c:layout/>
              <c:tx>
                <c:strRef>
                  <c:f>institutions_spss!$U$594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{B3F24A69-FFB6-4C1B-9292-EFD1EBCF3E33}</c15:txfldGUID>
                      <c15:f>institutions_spss!$U$594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A-0235-4FEE-9FAC-95D5ECB60C56}"/>
                </c:ext>
              </c:extLst>
            </c:dLbl>
            <c:dLbl>
              <c:idx val="591"/>
              <c:layout/>
              <c:tx>
                <c:strRef>
                  <c:f>institutions_spss!$U$595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 b="1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{8DB4D8BF-8CBD-47CE-909C-422C18DFE2BA}</c15:txfldGUID>
                      <c15:f>institutions_spss!$U$595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B-0235-4FEE-9FAC-95D5ECB60C56}"/>
                </c:ext>
              </c:extLst>
            </c:dLbl>
            <c:dLbl>
              <c:idx val="592"/>
              <c:layout/>
              <c:tx>
                <c:strRef>
                  <c:f>institutions_spss!$U$596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{5F9B8E46-F400-42D5-A7B0-837D5C7A2630}</c15:txfldGUID>
                      <c15:f>institutions_spss!$U$596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C-0235-4FEE-9FAC-95D5ECB60C56}"/>
                </c:ext>
              </c:extLst>
            </c:dLbl>
            <c:dLbl>
              <c:idx val="593"/>
              <c:layout/>
              <c:tx>
                <c:strRef>
                  <c:f>institutions_spss!$U$597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{830CB0C8-8ED8-4222-B028-8A30E480FFD5}</c15:txfldGUID>
                      <c15:f>institutions_spss!$U$597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D-0235-4FEE-9FAC-95D5ECB60C56}"/>
                </c:ext>
              </c:extLst>
            </c:dLbl>
            <c:dLbl>
              <c:idx val="594"/>
              <c:layout/>
              <c:tx>
                <c:strRef>
                  <c:f>institutions_spss!$U$598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{1BD642D8-912D-451D-AF3F-04C0EAB24CF7}</c15:txfldGUID>
                      <c15:f>institutions_spss!$U$598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E-0235-4FEE-9FAC-95D5ECB60C56}"/>
                </c:ext>
              </c:extLst>
            </c:dLbl>
            <c:dLbl>
              <c:idx val="595"/>
              <c:layout/>
              <c:tx>
                <c:strRef>
                  <c:f>institutions_spss!$U$599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{D50E1E78-B792-4E38-83BE-7249ACC1FE51}</c15:txfldGUID>
                      <c15:f>institutions_spss!$U$599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F-0235-4FEE-9FAC-95D5ECB60C56}"/>
                </c:ext>
              </c:extLst>
            </c:dLbl>
            <c:dLbl>
              <c:idx val="596"/>
              <c:layout/>
              <c:tx>
                <c:strRef>
                  <c:f>institutions_spss!$U$600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{7DA5665C-AB6F-43FD-8E2F-1A154E275F7F}</c15:txfldGUID>
                      <c15:f>institutions_spss!$U$600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0-0235-4FEE-9FAC-95D5ECB60C56}"/>
                </c:ext>
              </c:extLst>
            </c:dLbl>
            <c:dLbl>
              <c:idx val="597"/>
              <c:layout/>
              <c:tx>
                <c:strRef>
                  <c:f>institutions_spss!$U$601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{76A6F732-BDB3-4785-A180-3362DD0C9499}</c15:txfldGUID>
                      <c15:f>institutions_spss!$U$601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1-0235-4FEE-9FAC-95D5ECB60C56}"/>
                </c:ext>
              </c:extLst>
            </c:dLbl>
            <c:dLbl>
              <c:idx val="598"/>
              <c:layout/>
              <c:tx>
                <c:strRef>
                  <c:f>institutions_spss!$U$602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{8B55BB09-E85C-44CE-B14E-B9FB1A700CA5}</c15:txfldGUID>
                      <c15:f>institutions_spss!$U$602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2-0235-4FEE-9FAC-95D5ECB60C56}"/>
                </c:ext>
              </c:extLst>
            </c:dLbl>
            <c:dLbl>
              <c:idx val="599"/>
              <c:layout/>
              <c:tx>
                <c:strRef>
                  <c:f>institutions_spss!$U$603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{A68B8F0F-BF79-41D6-A94B-4057B72D6923}</c15:txfldGUID>
                      <c15:f>institutions_spss!$U$603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3-0235-4FEE-9FAC-95D5ECB60C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latin typeface="+mn-lt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institutions_spss!$R$4:$R$603</c:f>
              <c:numCache>
                <c:formatCode>General</c:formatCode>
                <c:ptCount val="600"/>
                <c:pt idx="0">
                  <c:v>-0.1779845289861002</c:v>
                </c:pt>
                <c:pt idx="1">
                  <c:v>1.8264022038468479</c:v>
                </c:pt>
                <c:pt idx="2">
                  <c:v>1.942969961597137</c:v>
                </c:pt>
                <c:pt idx="3">
                  <c:v>-0.26489819519766977</c:v>
                </c:pt>
                <c:pt idx="4">
                  <c:v>3.307286940887689</c:v>
                </c:pt>
                <c:pt idx="5">
                  <c:v>3.2931033092378752</c:v>
                </c:pt>
                <c:pt idx="6">
                  <c:v>-1.8967601801999421</c:v>
                </c:pt>
                <c:pt idx="7">
                  <c:v>3.3628844269974181</c:v>
                </c:pt>
                <c:pt idx="8">
                  <c:v>2.8317179868951459</c:v>
                </c:pt>
                <c:pt idx="9">
                  <c:v>3.0357170239138598</c:v>
                </c:pt>
                <c:pt idx="10">
                  <c:v>-0.26964347922995829</c:v>
                </c:pt>
                <c:pt idx="11">
                  <c:v>2.9439367857038241</c:v>
                </c:pt>
                <c:pt idx="12">
                  <c:v>2.8421817843601711</c:v>
                </c:pt>
                <c:pt idx="13">
                  <c:v>3.14726587154825</c:v>
                </c:pt>
                <c:pt idx="14">
                  <c:v>-0.42553529128499878</c:v>
                </c:pt>
                <c:pt idx="15">
                  <c:v>-0.41754600094937822</c:v>
                </c:pt>
                <c:pt idx="16">
                  <c:v>2.4969474289735278</c:v>
                </c:pt>
                <c:pt idx="17">
                  <c:v>3.1534352704098629</c:v>
                </c:pt>
                <c:pt idx="18">
                  <c:v>0.13309472147822099</c:v>
                </c:pt>
                <c:pt idx="19">
                  <c:v>2.2217004692009512</c:v>
                </c:pt>
                <c:pt idx="20">
                  <c:v>3.2632195936700801</c:v>
                </c:pt>
                <c:pt idx="21">
                  <c:v>2.1468809188320339</c:v>
                </c:pt>
                <c:pt idx="22">
                  <c:v>3.227925571612134</c:v>
                </c:pt>
                <c:pt idx="23">
                  <c:v>-0.72997424908372344</c:v>
                </c:pt>
                <c:pt idx="24">
                  <c:v>3.0997316401793928</c:v>
                </c:pt>
                <c:pt idx="25">
                  <c:v>3.1168739059547481</c:v>
                </c:pt>
                <c:pt idx="26">
                  <c:v>3.0715424463594641</c:v>
                </c:pt>
                <c:pt idx="27">
                  <c:v>3.0995200371052452</c:v>
                </c:pt>
                <c:pt idx="28">
                  <c:v>3.0676234773365509</c:v>
                </c:pt>
                <c:pt idx="29">
                  <c:v>2.8497207791995862</c:v>
                </c:pt>
                <c:pt idx="30">
                  <c:v>2.2036163684584791</c:v>
                </c:pt>
                <c:pt idx="31">
                  <c:v>3.033722611004527</c:v>
                </c:pt>
                <c:pt idx="32">
                  <c:v>2.946023102055503</c:v>
                </c:pt>
                <c:pt idx="33">
                  <c:v>3.054004782078823</c:v>
                </c:pt>
                <c:pt idx="34">
                  <c:v>2.8698209075007961</c:v>
                </c:pt>
                <c:pt idx="35">
                  <c:v>2.5924494348895899</c:v>
                </c:pt>
                <c:pt idx="36">
                  <c:v>2.9648275662825889</c:v>
                </c:pt>
                <c:pt idx="37">
                  <c:v>2.9633211292670749</c:v>
                </c:pt>
                <c:pt idx="38">
                  <c:v>-0.5262082032637887</c:v>
                </c:pt>
                <c:pt idx="39">
                  <c:v>2.6709670228665119</c:v>
                </c:pt>
                <c:pt idx="40">
                  <c:v>3.0581980152209711</c:v>
                </c:pt>
                <c:pt idx="41">
                  <c:v>2.2832869748131128</c:v>
                </c:pt>
                <c:pt idx="42">
                  <c:v>2.639485309856644</c:v>
                </c:pt>
                <c:pt idx="43">
                  <c:v>-0.51199823356137808</c:v>
                </c:pt>
                <c:pt idx="44">
                  <c:v>2.960879077548753</c:v>
                </c:pt>
                <c:pt idx="45">
                  <c:v>2.7635838109992519</c:v>
                </c:pt>
                <c:pt idx="46">
                  <c:v>2.3429121496548708</c:v>
                </c:pt>
                <c:pt idx="47">
                  <c:v>2.8054323779763601</c:v>
                </c:pt>
                <c:pt idx="48">
                  <c:v>3.1239623835686778</c:v>
                </c:pt>
                <c:pt idx="49">
                  <c:v>2.9958952755233681</c:v>
                </c:pt>
                <c:pt idx="50">
                  <c:v>2.9437813328828368</c:v>
                </c:pt>
                <c:pt idx="51">
                  <c:v>2.426127579428484</c:v>
                </c:pt>
                <c:pt idx="52">
                  <c:v>2.721766855161841</c:v>
                </c:pt>
                <c:pt idx="53">
                  <c:v>2.807022868546182</c:v>
                </c:pt>
                <c:pt idx="54">
                  <c:v>3.0429743010301871</c:v>
                </c:pt>
                <c:pt idx="55">
                  <c:v>2.826654743648342</c:v>
                </c:pt>
                <c:pt idx="56">
                  <c:v>2.415644599270236</c:v>
                </c:pt>
                <c:pt idx="57">
                  <c:v>2.5747031031294769</c:v>
                </c:pt>
                <c:pt idx="58">
                  <c:v>2.5105085946362351</c:v>
                </c:pt>
                <c:pt idx="59">
                  <c:v>2.5845453205734108</c:v>
                </c:pt>
                <c:pt idx="60">
                  <c:v>1.476670856635603</c:v>
                </c:pt>
                <c:pt idx="61">
                  <c:v>2.3339187883617409</c:v>
                </c:pt>
                <c:pt idx="62">
                  <c:v>2.7069217842221498</c:v>
                </c:pt>
                <c:pt idx="63">
                  <c:v>2.770530341052412</c:v>
                </c:pt>
                <c:pt idx="64">
                  <c:v>2.1976113326518072</c:v>
                </c:pt>
                <c:pt idx="65">
                  <c:v>2.2805306801219229</c:v>
                </c:pt>
                <c:pt idx="66">
                  <c:v>2.810258855920936</c:v>
                </c:pt>
                <c:pt idx="67">
                  <c:v>2.692319097904635</c:v>
                </c:pt>
                <c:pt idx="68">
                  <c:v>2.698330084278957</c:v>
                </c:pt>
                <c:pt idx="69">
                  <c:v>2.332579014372584</c:v>
                </c:pt>
                <c:pt idx="70">
                  <c:v>2.820891273567423</c:v>
                </c:pt>
                <c:pt idx="71">
                  <c:v>1.2919679798105921</c:v>
                </c:pt>
                <c:pt idx="72">
                  <c:v>-1.6435429596267099</c:v>
                </c:pt>
                <c:pt idx="73">
                  <c:v>2.3013293240031332</c:v>
                </c:pt>
                <c:pt idx="74">
                  <c:v>2.4702479827743078</c:v>
                </c:pt>
                <c:pt idx="75">
                  <c:v>2.5034889385202259</c:v>
                </c:pt>
                <c:pt idx="76">
                  <c:v>2.5625093919241659</c:v>
                </c:pt>
                <c:pt idx="77">
                  <c:v>1.583568901497346</c:v>
                </c:pt>
                <c:pt idx="78">
                  <c:v>2.2847107139554632</c:v>
                </c:pt>
                <c:pt idx="79">
                  <c:v>2.424465018754129</c:v>
                </c:pt>
                <c:pt idx="80">
                  <c:v>2.242822498701158</c:v>
                </c:pt>
                <c:pt idx="81">
                  <c:v>2.424465018754129</c:v>
                </c:pt>
                <c:pt idx="82">
                  <c:v>1.7889690544262919</c:v>
                </c:pt>
                <c:pt idx="83">
                  <c:v>0.86722408615230628</c:v>
                </c:pt>
                <c:pt idx="84">
                  <c:v>1.8823363620337401</c:v>
                </c:pt>
                <c:pt idx="85">
                  <c:v>2.3827809010050598</c:v>
                </c:pt>
                <c:pt idx="86">
                  <c:v>2.3725041967637761</c:v>
                </c:pt>
                <c:pt idx="87">
                  <c:v>2.1289901961763378</c:v>
                </c:pt>
                <c:pt idx="88">
                  <c:v>1.7381078161678449</c:v>
                </c:pt>
                <c:pt idx="89">
                  <c:v>2.5497069975692339</c:v>
                </c:pt>
                <c:pt idx="90">
                  <c:v>2.396898000158028</c:v>
                </c:pt>
                <c:pt idx="91">
                  <c:v>2.0952957030010961</c:v>
                </c:pt>
                <c:pt idx="92">
                  <c:v>2.6536804412504029</c:v>
                </c:pt>
                <c:pt idx="93">
                  <c:v>-1.340592769993227</c:v>
                </c:pt>
                <c:pt idx="94">
                  <c:v>1.996862702060606</c:v>
                </c:pt>
                <c:pt idx="95">
                  <c:v>1.723156294899358</c:v>
                </c:pt>
                <c:pt idx="96">
                  <c:v>-1.0204901736992129</c:v>
                </c:pt>
                <c:pt idx="97">
                  <c:v>0.95198709625939404</c:v>
                </c:pt>
                <c:pt idx="98">
                  <c:v>2.4826387901648199</c:v>
                </c:pt>
                <c:pt idx="99">
                  <c:v>1.4432672872757391</c:v>
                </c:pt>
                <c:pt idx="100">
                  <c:v>2.1915137788485359</c:v>
                </c:pt>
                <c:pt idx="101">
                  <c:v>1.803628046748168</c:v>
                </c:pt>
                <c:pt idx="102">
                  <c:v>1.9338381081043821</c:v>
                </c:pt>
                <c:pt idx="103">
                  <c:v>2.012024377195833</c:v>
                </c:pt>
                <c:pt idx="104">
                  <c:v>1.6243704960042471</c:v>
                </c:pt>
                <c:pt idx="105">
                  <c:v>0.76676826773037776</c:v>
                </c:pt>
                <c:pt idx="106">
                  <c:v>2.3365494345404052</c:v>
                </c:pt>
                <c:pt idx="107">
                  <c:v>1.235411193172701</c:v>
                </c:pt>
                <c:pt idx="108">
                  <c:v>2.0104535836553592</c:v>
                </c:pt>
                <c:pt idx="109">
                  <c:v>1.0169916076657191</c:v>
                </c:pt>
                <c:pt idx="110">
                  <c:v>1.083830035615643</c:v>
                </c:pt>
                <c:pt idx="111">
                  <c:v>2.1500555475406409</c:v>
                </c:pt>
                <c:pt idx="112">
                  <c:v>2.0524960329629591</c:v>
                </c:pt>
                <c:pt idx="113">
                  <c:v>1.658426849727429</c:v>
                </c:pt>
                <c:pt idx="114">
                  <c:v>1.737232455043429</c:v>
                </c:pt>
                <c:pt idx="115">
                  <c:v>2.3549253664902539</c:v>
                </c:pt>
                <c:pt idx="116">
                  <c:v>1.801519356048906</c:v>
                </c:pt>
                <c:pt idx="117">
                  <c:v>1.9958146644366379</c:v>
                </c:pt>
                <c:pt idx="118">
                  <c:v>1.6096344030622309</c:v>
                </c:pt>
                <c:pt idx="119">
                  <c:v>1.6501394946006891</c:v>
                </c:pt>
                <c:pt idx="120">
                  <c:v>-0.33918771681674381</c:v>
                </c:pt>
                <c:pt idx="121">
                  <c:v>1.971864228429195</c:v>
                </c:pt>
                <c:pt idx="122">
                  <c:v>2.4302102479287528</c:v>
                </c:pt>
                <c:pt idx="123">
                  <c:v>1.091280060094078</c:v>
                </c:pt>
                <c:pt idx="124">
                  <c:v>1.8229398983813669</c:v>
                </c:pt>
                <c:pt idx="125">
                  <c:v>2.2646873773355272</c:v>
                </c:pt>
                <c:pt idx="126">
                  <c:v>2.0431952360756722</c:v>
                </c:pt>
                <c:pt idx="127">
                  <c:v>2.093541481709531</c:v>
                </c:pt>
                <c:pt idx="128">
                  <c:v>2.233985809764353</c:v>
                </c:pt>
                <c:pt idx="129">
                  <c:v>1.905231355371229</c:v>
                </c:pt>
                <c:pt idx="130">
                  <c:v>2.1440470576514641</c:v>
                </c:pt>
                <c:pt idx="131">
                  <c:v>2.0797061734653548</c:v>
                </c:pt>
                <c:pt idx="132">
                  <c:v>2.206937401228191</c:v>
                </c:pt>
                <c:pt idx="133">
                  <c:v>2.1190252566832459</c:v>
                </c:pt>
                <c:pt idx="134">
                  <c:v>-0.54752311065659409</c:v>
                </c:pt>
                <c:pt idx="135">
                  <c:v>0.68778528331465072</c:v>
                </c:pt>
                <c:pt idx="136">
                  <c:v>-1.0072558509518219</c:v>
                </c:pt>
                <c:pt idx="137">
                  <c:v>1.879103471777444</c:v>
                </c:pt>
                <c:pt idx="138">
                  <c:v>1.557217253364426</c:v>
                </c:pt>
                <c:pt idx="139">
                  <c:v>1.8705983070423531</c:v>
                </c:pt>
                <c:pt idx="140">
                  <c:v>1.1689679153150869</c:v>
                </c:pt>
                <c:pt idx="141">
                  <c:v>0.78640336135017574</c:v>
                </c:pt>
                <c:pt idx="142">
                  <c:v>2.000071195995186</c:v>
                </c:pt>
                <c:pt idx="143">
                  <c:v>1.8028324742389279</c:v>
                </c:pt>
                <c:pt idx="144">
                  <c:v>1.8510382195543611</c:v>
                </c:pt>
                <c:pt idx="145">
                  <c:v>1.140426236147192</c:v>
                </c:pt>
                <c:pt idx="146">
                  <c:v>0.32823421234974942</c:v>
                </c:pt>
                <c:pt idx="147">
                  <c:v>1.8929937220026269</c:v>
                </c:pt>
                <c:pt idx="148">
                  <c:v>2.047878973242975</c:v>
                </c:pt>
                <c:pt idx="149">
                  <c:v>0.13932391506616421</c:v>
                </c:pt>
                <c:pt idx="150">
                  <c:v>1.729131498839183</c:v>
                </c:pt>
                <c:pt idx="151">
                  <c:v>0.79067464993352876</c:v>
                </c:pt>
                <c:pt idx="152">
                  <c:v>1.0417387565603731</c:v>
                </c:pt>
                <c:pt idx="153">
                  <c:v>1.798472371968086</c:v>
                </c:pt>
                <c:pt idx="154">
                  <c:v>1.5380628833841139</c:v>
                </c:pt>
                <c:pt idx="155">
                  <c:v>1.7405458320806371</c:v>
                </c:pt>
                <c:pt idx="156">
                  <c:v>1.7405458320806371</c:v>
                </c:pt>
                <c:pt idx="157">
                  <c:v>0.6735505994075488</c:v>
                </c:pt>
                <c:pt idx="158">
                  <c:v>1.41440081768452</c:v>
                </c:pt>
                <c:pt idx="159">
                  <c:v>1.371528233848367</c:v>
                </c:pt>
                <c:pt idx="160">
                  <c:v>1.5293818034371209</c:v>
                </c:pt>
                <c:pt idx="161">
                  <c:v>0.33618065497676458</c:v>
                </c:pt>
                <c:pt idx="162">
                  <c:v>1.462843699459651</c:v>
                </c:pt>
                <c:pt idx="163">
                  <c:v>1.076445811375337</c:v>
                </c:pt>
                <c:pt idx="164">
                  <c:v>1.3217857330415861</c:v>
                </c:pt>
                <c:pt idx="165">
                  <c:v>-1.0465227605053939</c:v>
                </c:pt>
                <c:pt idx="166">
                  <c:v>1.8521578001044909</c:v>
                </c:pt>
                <c:pt idx="167">
                  <c:v>1.68650579129097</c:v>
                </c:pt>
                <c:pt idx="168">
                  <c:v>0.39540041083511313</c:v>
                </c:pt>
                <c:pt idx="169">
                  <c:v>1.485979497152053</c:v>
                </c:pt>
                <c:pt idx="170">
                  <c:v>1.309863514962851</c:v>
                </c:pt>
                <c:pt idx="171">
                  <c:v>1.1206317411808511</c:v>
                </c:pt>
                <c:pt idx="172">
                  <c:v>1.6002152383614749</c:v>
                </c:pt>
                <c:pt idx="173">
                  <c:v>1.3378280949556001</c:v>
                </c:pt>
                <c:pt idx="174">
                  <c:v>0.17010374693032301</c:v>
                </c:pt>
                <c:pt idx="175">
                  <c:v>1.3308668678918301</c:v>
                </c:pt>
                <c:pt idx="176">
                  <c:v>0.99167785937730502</c:v>
                </c:pt>
                <c:pt idx="177">
                  <c:v>0.32557667559223818</c:v>
                </c:pt>
                <c:pt idx="178">
                  <c:v>1.127393893747572</c:v>
                </c:pt>
                <c:pt idx="179">
                  <c:v>1.5754765853133821</c:v>
                </c:pt>
                <c:pt idx="180">
                  <c:v>0.97057945262776335</c:v>
                </c:pt>
                <c:pt idx="181">
                  <c:v>-1.299779080790904</c:v>
                </c:pt>
                <c:pt idx="182">
                  <c:v>1.251358454979445</c:v>
                </c:pt>
                <c:pt idx="183">
                  <c:v>1.292589526123149</c:v>
                </c:pt>
                <c:pt idx="184">
                  <c:v>1.251358454979445</c:v>
                </c:pt>
                <c:pt idx="185">
                  <c:v>0.91818289792297425</c:v>
                </c:pt>
                <c:pt idx="186">
                  <c:v>-1.9356456268702531</c:v>
                </c:pt>
                <c:pt idx="187">
                  <c:v>1.846465595797207E-3</c:v>
                </c:pt>
                <c:pt idx="188">
                  <c:v>0.91693548023487148</c:v>
                </c:pt>
                <c:pt idx="189">
                  <c:v>1.255198087858358</c:v>
                </c:pt>
                <c:pt idx="190">
                  <c:v>0.6855273522277302</c:v>
                </c:pt>
                <c:pt idx="191">
                  <c:v>-0.69847348166512868</c:v>
                </c:pt>
                <c:pt idx="192">
                  <c:v>0.94954027446063116</c:v>
                </c:pt>
                <c:pt idx="193">
                  <c:v>2.111213150414748</c:v>
                </c:pt>
                <c:pt idx="194">
                  <c:v>0.50780451592675147</c:v>
                </c:pt>
                <c:pt idx="195">
                  <c:v>1.593452576610862</c:v>
                </c:pt>
                <c:pt idx="196">
                  <c:v>1.2826382611842211</c:v>
                </c:pt>
                <c:pt idx="197">
                  <c:v>-0.38020505831617202</c:v>
                </c:pt>
                <c:pt idx="198">
                  <c:v>-1.2506609355035381</c:v>
                </c:pt>
                <c:pt idx="199">
                  <c:v>0.69610489303278966</c:v>
                </c:pt>
                <c:pt idx="200">
                  <c:v>0.88055740886315526</c:v>
                </c:pt>
                <c:pt idx="201">
                  <c:v>0.96960911624489532</c:v>
                </c:pt>
                <c:pt idx="202">
                  <c:v>-0.693837500712712</c:v>
                </c:pt>
                <c:pt idx="203">
                  <c:v>1.5974341915028869</c:v>
                </c:pt>
                <c:pt idx="204">
                  <c:v>1.412484241817469</c:v>
                </c:pt>
                <c:pt idx="205">
                  <c:v>0.73596688909110375</c:v>
                </c:pt>
                <c:pt idx="206">
                  <c:v>1.3289250111675559</c:v>
                </c:pt>
                <c:pt idx="207">
                  <c:v>1.743171350077843</c:v>
                </c:pt>
                <c:pt idx="208">
                  <c:v>0.7601610600254588</c:v>
                </c:pt>
                <c:pt idx="209">
                  <c:v>-1.504873523038236</c:v>
                </c:pt>
                <c:pt idx="210">
                  <c:v>0.63065956998956574</c:v>
                </c:pt>
                <c:pt idx="211">
                  <c:v>0.6971076500061707</c:v>
                </c:pt>
                <c:pt idx="212">
                  <c:v>1.999637060223793</c:v>
                </c:pt>
                <c:pt idx="213">
                  <c:v>1.1284046971591439</c:v>
                </c:pt>
                <c:pt idx="214">
                  <c:v>-0.90608211788066129</c:v>
                </c:pt>
                <c:pt idx="215">
                  <c:v>-0.46230417922236039</c:v>
                </c:pt>
                <c:pt idx="216">
                  <c:v>0.16267423662659841</c:v>
                </c:pt>
                <c:pt idx="217">
                  <c:v>8.8873247998681085E-2</c:v>
                </c:pt>
                <c:pt idx="218">
                  <c:v>1.117865885431536</c:v>
                </c:pt>
                <c:pt idx="219">
                  <c:v>0.97102993488991252</c:v>
                </c:pt>
                <c:pt idx="220">
                  <c:v>0.75051139110133114</c:v>
                </c:pt>
                <c:pt idx="221">
                  <c:v>0.93156794378660712</c:v>
                </c:pt>
                <c:pt idx="222">
                  <c:v>0.99469600252198775</c:v>
                </c:pt>
                <c:pt idx="223">
                  <c:v>-1.486378794878378</c:v>
                </c:pt>
                <c:pt idx="224">
                  <c:v>0.7189108996818534</c:v>
                </c:pt>
                <c:pt idx="225">
                  <c:v>1.027397731613493</c:v>
                </c:pt>
                <c:pt idx="226">
                  <c:v>1.135488891334798</c:v>
                </c:pt>
                <c:pt idx="227">
                  <c:v>1.013866835269861</c:v>
                </c:pt>
                <c:pt idx="228">
                  <c:v>0.78621255911687671</c:v>
                </c:pt>
                <c:pt idx="229">
                  <c:v>0.2259900337072297</c:v>
                </c:pt>
                <c:pt idx="230">
                  <c:v>1.160382699881926</c:v>
                </c:pt>
                <c:pt idx="231">
                  <c:v>1.8693214765585551</c:v>
                </c:pt>
                <c:pt idx="232">
                  <c:v>2.010461683465282</c:v>
                </c:pt>
                <c:pt idx="233">
                  <c:v>0.96168232801318787</c:v>
                </c:pt>
                <c:pt idx="234">
                  <c:v>0.70568936247841019</c:v>
                </c:pt>
                <c:pt idx="235">
                  <c:v>0.93935877308752369</c:v>
                </c:pt>
                <c:pt idx="236">
                  <c:v>0.6730292880149279</c:v>
                </c:pt>
                <c:pt idx="237">
                  <c:v>0.72904968560598238</c:v>
                </c:pt>
                <c:pt idx="238">
                  <c:v>0.6435196468574822</c:v>
                </c:pt>
                <c:pt idx="239">
                  <c:v>0.92792584840660197</c:v>
                </c:pt>
                <c:pt idx="240">
                  <c:v>-3.4647209271580479</c:v>
                </c:pt>
                <c:pt idx="241">
                  <c:v>0.74497435037801052</c:v>
                </c:pt>
                <c:pt idx="242">
                  <c:v>1.2080017064959701</c:v>
                </c:pt>
                <c:pt idx="243">
                  <c:v>-0.53941517233613823</c:v>
                </c:pt>
                <c:pt idx="244">
                  <c:v>0.14914889704832429</c:v>
                </c:pt>
                <c:pt idx="245">
                  <c:v>1.1202498502547791</c:v>
                </c:pt>
                <c:pt idx="246">
                  <c:v>0.86159796876640404</c:v>
                </c:pt>
                <c:pt idx="247">
                  <c:v>0.1682949500043659</c:v>
                </c:pt>
                <c:pt idx="248">
                  <c:v>0.12949009933144609</c:v>
                </c:pt>
                <c:pt idx="249">
                  <c:v>0.88512488386626886</c:v>
                </c:pt>
                <c:pt idx="250">
                  <c:v>-1.2819604304108121</c:v>
                </c:pt>
                <c:pt idx="251">
                  <c:v>0.64373563032227854</c:v>
                </c:pt>
                <c:pt idx="252">
                  <c:v>0.32432407616011211</c:v>
                </c:pt>
                <c:pt idx="253">
                  <c:v>0.1559205237257052</c:v>
                </c:pt>
                <c:pt idx="254">
                  <c:v>0.61409608465196608</c:v>
                </c:pt>
                <c:pt idx="255">
                  <c:v>-0.1535356171798295</c:v>
                </c:pt>
                <c:pt idx="256">
                  <c:v>0.49186809304444779</c:v>
                </c:pt>
                <c:pt idx="257">
                  <c:v>-0.1997327233555039</c:v>
                </c:pt>
                <c:pt idx="258">
                  <c:v>-0.83505220881457043</c:v>
                </c:pt>
                <c:pt idx="259">
                  <c:v>-0.2394132841188352</c:v>
                </c:pt>
                <c:pt idx="260">
                  <c:v>-1.4232476312444069</c:v>
                </c:pt>
                <c:pt idx="261">
                  <c:v>0.48032560230207211</c:v>
                </c:pt>
                <c:pt idx="262">
                  <c:v>-0.43701474226498699</c:v>
                </c:pt>
                <c:pt idx="263">
                  <c:v>0.44235276147013108</c:v>
                </c:pt>
                <c:pt idx="264">
                  <c:v>-0.21708374718576109</c:v>
                </c:pt>
                <c:pt idx="265">
                  <c:v>-0.81642687808112635</c:v>
                </c:pt>
                <c:pt idx="266">
                  <c:v>-1.424462162990469</c:v>
                </c:pt>
                <c:pt idx="267">
                  <c:v>0.97515992841472476</c:v>
                </c:pt>
                <c:pt idx="268">
                  <c:v>-0.26153101199458367</c:v>
                </c:pt>
                <c:pt idx="269">
                  <c:v>0.50253902695382535</c:v>
                </c:pt>
                <c:pt idx="270">
                  <c:v>-0.34741580731880911</c:v>
                </c:pt>
                <c:pt idx="271">
                  <c:v>-1.4298636598843391</c:v>
                </c:pt>
                <c:pt idx="272">
                  <c:v>0.2880046697178818</c:v>
                </c:pt>
                <c:pt idx="273">
                  <c:v>8.9305428813751975E-2</c:v>
                </c:pt>
                <c:pt idx="274">
                  <c:v>0.61150729591598163</c:v>
                </c:pt>
                <c:pt idx="275">
                  <c:v>0.53636029450250677</c:v>
                </c:pt>
                <c:pt idx="276">
                  <c:v>0.4877291781336095</c:v>
                </c:pt>
                <c:pt idx="277">
                  <c:v>0.69172242958262931</c:v>
                </c:pt>
                <c:pt idx="278">
                  <c:v>0.42921598287529228</c:v>
                </c:pt>
                <c:pt idx="279">
                  <c:v>0.55534090408536008</c:v>
                </c:pt>
                <c:pt idx="280">
                  <c:v>0.1019350702118086</c:v>
                </c:pt>
                <c:pt idx="281">
                  <c:v>0.59737840409706544</c:v>
                </c:pt>
                <c:pt idx="282">
                  <c:v>-0.29679875709352882</c:v>
                </c:pt>
                <c:pt idx="283">
                  <c:v>-0.77214773754662935</c:v>
                </c:pt>
                <c:pt idx="284">
                  <c:v>0.72725036984886127</c:v>
                </c:pt>
                <c:pt idx="285">
                  <c:v>1.6714284768646761</c:v>
                </c:pt>
                <c:pt idx="286">
                  <c:v>-0.52580331651159662</c:v>
                </c:pt>
                <c:pt idx="287">
                  <c:v>0.38881065782637841</c:v>
                </c:pt>
                <c:pt idx="288">
                  <c:v>-0.25206660393120289</c:v>
                </c:pt>
                <c:pt idx="289">
                  <c:v>0.45966567179871221</c:v>
                </c:pt>
                <c:pt idx="290">
                  <c:v>0.54230064533008349</c:v>
                </c:pt>
                <c:pt idx="291">
                  <c:v>0.4808235183698728</c:v>
                </c:pt>
                <c:pt idx="292">
                  <c:v>0.72134392661554281</c:v>
                </c:pt>
                <c:pt idx="293">
                  <c:v>1.068268108524733</c:v>
                </c:pt>
                <c:pt idx="294">
                  <c:v>-1.494318088824907</c:v>
                </c:pt>
                <c:pt idx="295">
                  <c:v>-1.214608129408008</c:v>
                </c:pt>
                <c:pt idx="296">
                  <c:v>0.47927622609599663</c:v>
                </c:pt>
                <c:pt idx="297">
                  <c:v>1.185623783937235</c:v>
                </c:pt>
                <c:pt idx="298">
                  <c:v>2.8624570808250979E-2</c:v>
                </c:pt>
                <c:pt idx="299">
                  <c:v>0.86093435949451336</c:v>
                </c:pt>
                <c:pt idx="300">
                  <c:v>-0.23615513828667931</c:v>
                </c:pt>
                <c:pt idx="301">
                  <c:v>0.27338781798519363</c:v>
                </c:pt>
                <c:pt idx="302">
                  <c:v>0.44771604914098889</c:v>
                </c:pt>
                <c:pt idx="303">
                  <c:v>-0.12546713555458849</c:v>
                </c:pt>
                <c:pt idx="304">
                  <c:v>0.77456740089054588</c:v>
                </c:pt>
                <c:pt idx="305">
                  <c:v>0.93060561529268171</c:v>
                </c:pt>
                <c:pt idx="306">
                  <c:v>0.67391660845121226</c:v>
                </c:pt>
                <c:pt idx="307">
                  <c:v>-0.36425625589504429</c:v>
                </c:pt>
                <c:pt idx="308">
                  <c:v>-8.3979486183080987E-2</c:v>
                </c:pt>
                <c:pt idx="309">
                  <c:v>0.39011975886125783</c:v>
                </c:pt>
                <c:pt idx="310">
                  <c:v>0.78333760537737673</c:v>
                </c:pt>
                <c:pt idx="311">
                  <c:v>0.25466097264252541</c:v>
                </c:pt>
                <c:pt idx="312">
                  <c:v>-0.85219936722187672</c:v>
                </c:pt>
                <c:pt idx="313">
                  <c:v>-0.6719336993495576</c:v>
                </c:pt>
                <c:pt idx="314">
                  <c:v>-1.145460940920473E-2</c:v>
                </c:pt>
                <c:pt idx="315">
                  <c:v>0.9517026716675685</c:v>
                </c:pt>
                <c:pt idx="316">
                  <c:v>0.55127096105696538</c:v>
                </c:pt>
                <c:pt idx="317">
                  <c:v>1.076225965155581</c:v>
                </c:pt>
                <c:pt idx="318">
                  <c:v>8.764288740077098E-4</c:v>
                </c:pt>
                <c:pt idx="319">
                  <c:v>-1.8169443648248702E-2</c:v>
                </c:pt>
                <c:pt idx="320">
                  <c:v>0.68477830007837115</c:v>
                </c:pt>
                <c:pt idx="321">
                  <c:v>-6.7728850501143523E-2</c:v>
                </c:pt>
                <c:pt idx="322">
                  <c:v>0.55506109818266491</c:v>
                </c:pt>
                <c:pt idx="323">
                  <c:v>0.1427863250254027</c:v>
                </c:pt>
                <c:pt idx="324">
                  <c:v>0.28592287284137557</c:v>
                </c:pt>
                <c:pt idx="325">
                  <c:v>-2.634019923416784E-2</c:v>
                </c:pt>
                <c:pt idx="326">
                  <c:v>-0.14014594043572701</c:v>
                </c:pt>
                <c:pt idx="327">
                  <c:v>-8.5755970504203374E-2</c:v>
                </c:pt>
                <c:pt idx="328">
                  <c:v>0.68231750165329119</c:v>
                </c:pt>
                <c:pt idx="329">
                  <c:v>-9.0511249923387549E-2</c:v>
                </c:pt>
                <c:pt idx="330">
                  <c:v>-1.0909964382583579</c:v>
                </c:pt>
                <c:pt idx="331">
                  <c:v>-1.8388198103877069</c:v>
                </c:pt>
                <c:pt idx="332">
                  <c:v>-0.23674480408350759</c:v>
                </c:pt>
                <c:pt idx="333">
                  <c:v>-0.33285721513536343</c:v>
                </c:pt>
                <c:pt idx="334">
                  <c:v>0.21274336710740269</c:v>
                </c:pt>
                <c:pt idx="335">
                  <c:v>-0.34526501331507631</c:v>
                </c:pt>
                <c:pt idx="336">
                  <c:v>-0.76115857516754504</c:v>
                </c:pt>
                <c:pt idx="337">
                  <c:v>0.1205078004446188</c:v>
                </c:pt>
                <c:pt idx="338">
                  <c:v>-0.39451260131636012</c:v>
                </c:pt>
                <c:pt idx="339">
                  <c:v>-0.1124804335540658</c:v>
                </c:pt>
                <c:pt idx="340">
                  <c:v>0.1205078004446188</c:v>
                </c:pt>
                <c:pt idx="341">
                  <c:v>-3.6246460908551659E-2</c:v>
                </c:pt>
                <c:pt idx="342">
                  <c:v>0.3412516602816747</c:v>
                </c:pt>
                <c:pt idx="343">
                  <c:v>-0.90821084626987192</c:v>
                </c:pt>
                <c:pt idx="344">
                  <c:v>-1.1045874188762339</c:v>
                </c:pt>
                <c:pt idx="345">
                  <c:v>-0.45017639525794889</c:v>
                </c:pt>
                <c:pt idx="346">
                  <c:v>-0.43103698693600251</c:v>
                </c:pt>
                <c:pt idx="347">
                  <c:v>-0.12507860913198601</c:v>
                </c:pt>
                <c:pt idx="348">
                  <c:v>-1.0580968214128781</c:v>
                </c:pt>
                <c:pt idx="349">
                  <c:v>0.35490287690085509</c:v>
                </c:pt>
                <c:pt idx="350">
                  <c:v>-0.72502047671488012</c:v>
                </c:pt>
                <c:pt idx="351">
                  <c:v>-1.756134977093714</c:v>
                </c:pt>
                <c:pt idx="352">
                  <c:v>-0.87090988131643932</c:v>
                </c:pt>
                <c:pt idx="353">
                  <c:v>-0.12657209429901239</c:v>
                </c:pt>
                <c:pt idx="354">
                  <c:v>-5.094345129594758E-2</c:v>
                </c:pt>
                <c:pt idx="355">
                  <c:v>-1.273239795595291</c:v>
                </c:pt>
                <c:pt idx="356">
                  <c:v>-0.77884836344076502</c:v>
                </c:pt>
                <c:pt idx="357">
                  <c:v>-0.39702947425376739</c:v>
                </c:pt>
                <c:pt idx="358">
                  <c:v>-1.0809691788399891</c:v>
                </c:pt>
                <c:pt idx="359">
                  <c:v>-1.2945256221371829E-2</c:v>
                </c:pt>
                <c:pt idx="360">
                  <c:v>-1.016321453984119</c:v>
                </c:pt>
                <c:pt idx="361">
                  <c:v>-1.294257198424027</c:v>
                </c:pt>
                <c:pt idx="362">
                  <c:v>-0.58943370232684722</c:v>
                </c:pt>
                <c:pt idx="363">
                  <c:v>-0.68642099727693562</c:v>
                </c:pt>
                <c:pt idx="364">
                  <c:v>0.30859632174847262</c:v>
                </c:pt>
                <c:pt idx="365">
                  <c:v>0.1581969505610874</c:v>
                </c:pt>
                <c:pt idx="366">
                  <c:v>-0.16636185783744281</c:v>
                </c:pt>
                <c:pt idx="367">
                  <c:v>-0.64943445095901475</c:v>
                </c:pt>
                <c:pt idx="368">
                  <c:v>-0.13322669451808</c:v>
                </c:pt>
                <c:pt idx="369">
                  <c:v>-0.66901098645019808</c:v>
                </c:pt>
                <c:pt idx="370">
                  <c:v>0.45569043906409989</c:v>
                </c:pt>
                <c:pt idx="371">
                  <c:v>-1.086749087087481</c:v>
                </c:pt>
                <c:pt idx="372">
                  <c:v>-2.480745560444543</c:v>
                </c:pt>
                <c:pt idx="373">
                  <c:v>-1.8431166825115171</c:v>
                </c:pt>
                <c:pt idx="374">
                  <c:v>-0.48678923737662488</c:v>
                </c:pt>
                <c:pt idx="375">
                  <c:v>-1.034715427375231</c:v>
                </c:pt>
                <c:pt idx="376">
                  <c:v>-0.38319885473712811</c:v>
                </c:pt>
                <c:pt idx="377">
                  <c:v>-1.3399217190103541</c:v>
                </c:pt>
                <c:pt idx="378">
                  <c:v>-0.71227283097452387</c:v>
                </c:pt>
                <c:pt idx="379">
                  <c:v>-0.63402219456973419</c:v>
                </c:pt>
                <c:pt idx="380">
                  <c:v>-0.55654853568776685</c:v>
                </c:pt>
                <c:pt idx="381">
                  <c:v>-1.153624389488243</c:v>
                </c:pt>
                <c:pt idx="382">
                  <c:v>-1.013629874061436</c:v>
                </c:pt>
                <c:pt idx="383">
                  <c:v>-1.043428241708537</c:v>
                </c:pt>
                <c:pt idx="384">
                  <c:v>-0.1329445025081526</c:v>
                </c:pt>
                <c:pt idx="385">
                  <c:v>-0.87167791679599482</c:v>
                </c:pt>
                <c:pt idx="386">
                  <c:v>0.19925200338126431</c:v>
                </c:pt>
                <c:pt idx="387">
                  <c:v>-0.22064737285645061</c:v>
                </c:pt>
                <c:pt idx="388">
                  <c:v>-0.33693285139246132</c:v>
                </c:pt>
                <c:pt idx="389">
                  <c:v>-0.72880700460252146</c:v>
                </c:pt>
                <c:pt idx="390">
                  <c:v>-0.63488930783105291</c:v>
                </c:pt>
                <c:pt idx="391">
                  <c:v>-0.45026298641714158</c:v>
                </c:pt>
                <c:pt idx="392">
                  <c:v>-1.271609105583003</c:v>
                </c:pt>
                <c:pt idx="393">
                  <c:v>-0.89213405446947125</c:v>
                </c:pt>
                <c:pt idx="394">
                  <c:v>-0.73687372579271126</c:v>
                </c:pt>
                <c:pt idx="395">
                  <c:v>-1.142201716949633</c:v>
                </c:pt>
                <c:pt idx="396">
                  <c:v>-0.8427260301381081</c:v>
                </c:pt>
                <c:pt idx="397">
                  <c:v>-0.68844939463425603</c:v>
                </c:pt>
                <c:pt idx="398">
                  <c:v>-0.69016415905217188</c:v>
                </c:pt>
                <c:pt idx="399">
                  <c:v>-0.39745510290916042</c:v>
                </c:pt>
                <c:pt idx="400">
                  <c:v>-0.47334887451303559</c:v>
                </c:pt>
                <c:pt idx="401">
                  <c:v>-0.92467141469726666</c:v>
                </c:pt>
                <c:pt idx="402">
                  <c:v>-0.47149470003289218</c:v>
                </c:pt>
                <c:pt idx="403">
                  <c:v>-1.7679018430740969</c:v>
                </c:pt>
                <c:pt idx="404">
                  <c:v>-0.30230902933917148</c:v>
                </c:pt>
                <c:pt idx="405">
                  <c:v>-2.1804726728850299</c:v>
                </c:pt>
                <c:pt idx="406">
                  <c:v>-0.7470139675587022</c:v>
                </c:pt>
                <c:pt idx="407">
                  <c:v>-0.1671387091751641</c:v>
                </c:pt>
                <c:pt idx="408">
                  <c:v>-0.94062314375677136</c:v>
                </c:pt>
                <c:pt idx="409">
                  <c:v>-0.3492535098666672</c:v>
                </c:pt>
                <c:pt idx="410">
                  <c:v>-0.9024924563401705</c:v>
                </c:pt>
                <c:pt idx="411">
                  <c:v>2.644917482842362E-2</c:v>
                </c:pt>
                <c:pt idx="412">
                  <c:v>-1.3228805688266509</c:v>
                </c:pt>
                <c:pt idx="413">
                  <c:v>-0.18924344923816519</c:v>
                </c:pt>
                <c:pt idx="414">
                  <c:v>-1.113875077113526</c:v>
                </c:pt>
                <c:pt idx="415">
                  <c:v>-0.6894181767295765</c:v>
                </c:pt>
                <c:pt idx="416">
                  <c:v>-0.75497630506068159</c:v>
                </c:pt>
                <c:pt idx="417">
                  <c:v>-0.58146526779158236</c:v>
                </c:pt>
                <c:pt idx="418">
                  <c:v>-0.91461791851448959</c:v>
                </c:pt>
                <c:pt idx="419">
                  <c:v>-0.83894643224411614</c:v>
                </c:pt>
                <c:pt idx="420">
                  <c:v>-0.55177403540755054</c:v>
                </c:pt>
                <c:pt idx="421">
                  <c:v>-1.053263062117046</c:v>
                </c:pt>
                <c:pt idx="422">
                  <c:v>-0.69222516353552055</c:v>
                </c:pt>
                <c:pt idx="423">
                  <c:v>-1.2915138774340389</c:v>
                </c:pt>
                <c:pt idx="424">
                  <c:v>-0.64620597074395836</c:v>
                </c:pt>
                <c:pt idx="425">
                  <c:v>-1.5813187559780091</c:v>
                </c:pt>
                <c:pt idx="426">
                  <c:v>-1.778787903755277</c:v>
                </c:pt>
                <c:pt idx="427">
                  <c:v>-1.1721628782852269</c:v>
                </c:pt>
                <c:pt idx="428">
                  <c:v>-0.68343745582543336</c:v>
                </c:pt>
                <c:pt idx="429">
                  <c:v>-1.069616452622866</c:v>
                </c:pt>
                <c:pt idx="430">
                  <c:v>-0.80635480767011924</c:v>
                </c:pt>
                <c:pt idx="431">
                  <c:v>-1.019028097754427</c:v>
                </c:pt>
                <c:pt idx="432">
                  <c:v>-1.170192190125215</c:v>
                </c:pt>
                <c:pt idx="433">
                  <c:v>-0.80774037065373194</c:v>
                </c:pt>
                <c:pt idx="434">
                  <c:v>4.3945344117951729E-2</c:v>
                </c:pt>
                <c:pt idx="435">
                  <c:v>-0.92218127837405595</c:v>
                </c:pt>
                <c:pt idx="436">
                  <c:v>-1.094819025105062</c:v>
                </c:pt>
                <c:pt idx="437">
                  <c:v>-1.897152149523651E-2</c:v>
                </c:pt>
                <c:pt idx="438">
                  <c:v>-0.92768771694891683</c:v>
                </c:pt>
                <c:pt idx="439">
                  <c:v>-1.431751658268859</c:v>
                </c:pt>
                <c:pt idx="440">
                  <c:v>-0.79626070359295942</c:v>
                </c:pt>
                <c:pt idx="441">
                  <c:v>-0.90775876532573396</c:v>
                </c:pt>
                <c:pt idx="442">
                  <c:v>-1.017489116321495</c:v>
                </c:pt>
                <c:pt idx="443">
                  <c:v>-1.2505377472920609</c:v>
                </c:pt>
                <c:pt idx="444">
                  <c:v>-0.99264536055254071</c:v>
                </c:pt>
                <c:pt idx="445">
                  <c:v>-0.93239351021861816</c:v>
                </c:pt>
                <c:pt idx="446">
                  <c:v>-1.052885708784087</c:v>
                </c:pt>
                <c:pt idx="447">
                  <c:v>-0.47874549045275577</c:v>
                </c:pt>
                <c:pt idx="448">
                  <c:v>-1.272258666901799</c:v>
                </c:pt>
                <c:pt idx="449">
                  <c:v>-1.2974428233379349</c:v>
                </c:pt>
                <c:pt idx="450">
                  <c:v>-1.432806527267541</c:v>
                </c:pt>
                <c:pt idx="451">
                  <c:v>-1.4704693624263441</c:v>
                </c:pt>
                <c:pt idx="452">
                  <c:v>-1.4961581661689749</c:v>
                </c:pt>
                <c:pt idx="453">
                  <c:v>-0.30335434419212759</c:v>
                </c:pt>
                <c:pt idx="454">
                  <c:v>-1.393277766061396</c:v>
                </c:pt>
                <c:pt idx="455">
                  <c:v>-1.759379863714569</c:v>
                </c:pt>
                <c:pt idx="456">
                  <c:v>-1.129418773678232</c:v>
                </c:pt>
                <c:pt idx="457">
                  <c:v>-0.30813485249112438</c:v>
                </c:pt>
                <c:pt idx="458">
                  <c:v>-1.3173639069336851</c:v>
                </c:pt>
                <c:pt idx="459">
                  <c:v>-1.6083192630189229</c:v>
                </c:pt>
                <c:pt idx="460">
                  <c:v>-1.250263311625303</c:v>
                </c:pt>
                <c:pt idx="461">
                  <c:v>-1.081337213967043</c:v>
                </c:pt>
                <c:pt idx="462">
                  <c:v>-1.1190691400453281</c:v>
                </c:pt>
                <c:pt idx="463">
                  <c:v>-1.198181438104851</c:v>
                </c:pt>
                <c:pt idx="464">
                  <c:v>-1.5696401899437751</c:v>
                </c:pt>
                <c:pt idx="465">
                  <c:v>-1.4511735099500429</c:v>
                </c:pt>
                <c:pt idx="466">
                  <c:v>-1.243025869966939</c:v>
                </c:pt>
                <c:pt idx="467">
                  <c:v>-1.797511437163235</c:v>
                </c:pt>
                <c:pt idx="468">
                  <c:v>-1.6764970434132109</c:v>
                </c:pt>
                <c:pt idx="469">
                  <c:v>-1.302757767495625</c:v>
                </c:pt>
                <c:pt idx="470">
                  <c:v>-1.379771152477846</c:v>
                </c:pt>
                <c:pt idx="471">
                  <c:v>-1.623750414942738</c:v>
                </c:pt>
                <c:pt idx="472">
                  <c:v>-1.9970135624162511</c:v>
                </c:pt>
                <c:pt idx="473">
                  <c:v>-1.751750279350655</c:v>
                </c:pt>
                <c:pt idx="474">
                  <c:v>-0.83506882157396134</c:v>
                </c:pt>
                <c:pt idx="475">
                  <c:v>-0.7515846216466433</c:v>
                </c:pt>
                <c:pt idx="476">
                  <c:v>-1.7961292054758149</c:v>
                </c:pt>
                <c:pt idx="477">
                  <c:v>-1.600012982396237</c:v>
                </c:pt>
                <c:pt idx="478">
                  <c:v>-1.3121881477233659</c:v>
                </c:pt>
                <c:pt idx="479">
                  <c:v>-1.6222876261665331</c:v>
                </c:pt>
                <c:pt idx="480">
                  <c:v>-1.8997280138751631</c:v>
                </c:pt>
                <c:pt idx="481">
                  <c:v>-1.6430018618969251</c:v>
                </c:pt>
                <c:pt idx="482">
                  <c:v>-1.4209289827513689</c:v>
                </c:pt>
                <c:pt idx="483">
                  <c:v>-1.4824798512299879</c:v>
                </c:pt>
                <c:pt idx="484">
                  <c:v>-1.2274676183184881</c:v>
                </c:pt>
                <c:pt idx="485">
                  <c:v>-1.9219909542908009</c:v>
                </c:pt>
                <c:pt idx="486">
                  <c:v>-2.039827849600174</c:v>
                </c:pt>
                <c:pt idx="487">
                  <c:v>-1.9166518791483991</c:v>
                </c:pt>
                <c:pt idx="488">
                  <c:v>-0.91831885142897907</c:v>
                </c:pt>
                <c:pt idx="489">
                  <c:v>-1.1130570060150211</c:v>
                </c:pt>
                <c:pt idx="490">
                  <c:v>-1.8191574928348839</c:v>
                </c:pt>
                <c:pt idx="491">
                  <c:v>-1.653256302494561</c:v>
                </c:pt>
                <c:pt idx="492">
                  <c:v>-1.723647686967303</c:v>
                </c:pt>
                <c:pt idx="493">
                  <c:v>-1.9959144787007379</c:v>
                </c:pt>
                <c:pt idx="494">
                  <c:v>-1.6496365359162279</c:v>
                </c:pt>
                <c:pt idx="495">
                  <c:v>-1.5267894873299921</c:v>
                </c:pt>
                <c:pt idx="496">
                  <c:v>-1.278191392285787</c:v>
                </c:pt>
                <c:pt idx="497">
                  <c:v>-1.581760422687648</c:v>
                </c:pt>
                <c:pt idx="498">
                  <c:v>-1.5669274114378371</c:v>
                </c:pt>
                <c:pt idx="499">
                  <c:v>-1.536568926148693</c:v>
                </c:pt>
                <c:pt idx="500">
                  <c:v>-1.5427505332706091</c:v>
                </c:pt>
                <c:pt idx="501">
                  <c:v>-2.525439859355711</c:v>
                </c:pt>
                <c:pt idx="502">
                  <c:v>-1.5131101912631111</c:v>
                </c:pt>
                <c:pt idx="503">
                  <c:v>-1.4076152650093681</c:v>
                </c:pt>
                <c:pt idx="504">
                  <c:v>-1.1375390370645351</c:v>
                </c:pt>
                <c:pt idx="505">
                  <c:v>-0.90781705060042417</c:v>
                </c:pt>
                <c:pt idx="506">
                  <c:v>-2.0037688888815688</c:v>
                </c:pt>
                <c:pt idx="507">
                  <c:v>-1.1884168971859741</c:v>
                </c:pt>
                <c:pt idx="508">
                  <c:v>-1.608636948454373</c:v>
                </c:pt>
                <c:pt idx="509">
                  <c:v>-1.4908844926642919</c:v>
                </c:pt>
                <c:pt idx="510">
                  <c:v>-1.4986042700449731</c:v>
                </c:pt>
                <c:pt idx="511">
                  <c:v>-0.55741431898190019</c:v>
                </c:pt>
                <c:pt idx="512">
                  <c:v>-1.339271411230702</c:v>
                </c:pt>
                <c:pt idx="513">
                  <c:v>-1.019105186297582</c:v>
                </c:pt>
                <c:pt idx="514">
                  <c:v>-1.5055017793725549</c:v>
                </c:pt>
                <c:pt idx="515">
                  <c:v>-1.6035571704246081</c:v>
                </c:pt>
                <c:pt idx="516">
                  <c:v>-1.48709057464667</c:v>
                </c:pt>
                <c:pt idx="517">
                  <c:v>-1.4701965773071719</c:v>
                </c:pt>
                <c:pt idx="518">
                  <c:v>-1.8010775984466909</c:v>
                </c:pt>
                <c:pt idx="519">
                  <c:v>-2.3232310998507648</c:v>
                </c:pt>
                <c:pt idx="520">
                  <c:v>-1.908824632563229</c:v>
                </c:pt>
                <c:pt idx="521">
                  <c:v>-1.3807646852045721</c:v>
                </c:pt>
                <c:pt idx="522">
                  <c:v>-1.9040791929670999</c:v>
                </c:pt>
                <c:pt idx="523">
                  <c:v>-2.025753670936473</c:v>
                </c:pt>
                <c:pt idx="524">
                  <c:v>-1.4470573202769339</c:v>
                </c:pt>
                <c:pt idx="525">
                  <c:v>-1.8610565915644</c:v>
                </c:pt>
                <c:pt idx="526">
                  <c:v>-2.224433758616867</c:v>
                </c:pt>
                <c:pt idx="527">
                  <c:v>-1.614421771007575</c:v>
                </c:pt>
                <c:pt idx="528">
                  <c:v>-1.870205008610625</c:v>
                </c:pt>
                <c:pt idx="529">
                  <c:v>-2.505312553555874</c:v>
                </c:pt>
                <c:pt idx="530">
                  <c:v>-2.0795580032722749</c:v>
                </c:pt>
                <c:pt idx="531">
                  <c:v>-2.2093286936718139</c:v>
                </c:pt>
                <c:pt idx="532">
                  <c:v>-1.9190752016943711</c:v>
                </c:pt>
                <c:pt idx="533">
                  <c:v>-1.9696406007101199</c:v>
                </c:pt>
                <c:pt idx="534">
                  <c:v>-2.3953677983198371</c:v>
                </c:pt>
                <c:pt idx="535">
                  <c:v>-1.466679006272037</c:v>
                </c:pt>
                <c:pt idx="536">
                  <c:v>-2.144674617809085</c:v>
                </c:pt>
                <c:pt idx="537">
                  <c:v>-2.078764958999852</c:v>
                </c:pt>
                <c:pt idx="538">
                  <c:v>-2.135099461337878</c:v>
                </c:pt>
                <c:pt idx="539">
                  <c:v>-2.1913272910167141</c:v>
                </c:pt>
                <c:pt idx="540">
                  <c:v>-2.0342031572413291</c:v>
                </c:pt>
                <c:pt idx="541">
                  <c:v>-2.4391616763396211</c:v>
                </c:pt>
                <c:pt idx="542">
                  <c:v>-1.830381289374122</c:v>
                </c:pt>
                <c:pt idx="543">
                  <c:v>-1.8058982573580411</c:v>
                </c:pt>
                <c:pt idx="544">
                  <c:v>-2.0940868721488202</c:v>
                </c:pt>
                <c:pt idx="545">
                  <c:v>-2.0011858695572138</c:v>
                </c:pt>
                <c:pt idx="546">
                  <c:v>-1.95060923892809</c:v>
                </c:pt>
                <c:pt idx="547">
                  <c:v>-2.3611515711910509</c:v>
                </c:pt>
                <c:pt idx="548">
                  <c:v>-1.9717251007154311</c:v>
                </c:pt>
                <c:pt idx="549">
                  <c:v>-2.115588043546031</c:v>
                </c:pt>
                <c:pt idx="550">
                  <c:v>-2.3027920446214778</c:v>
                </c:pt>
                <c:pt idx="551">
                  <c:v>-2.2009261549749199</c:v>
                </c:pt>
                <c:pt idx="552">
                  <c:v>-2.1249058919205659</c:v>
                </c:pt>
                <c:pt idx="553">
                  <c:v>-2.364278281175193</c:v>
                </c:pt>
                <c:pt idx="554">
                  <c:v>-2.2682813958506478</c:v>
                </c:pt>
                <c:pt idx="555">
                  <c:v>-2.4723534864602201</c:v>
                </c:pt>
                <c:pt idx="556">
                  <c:v>-2.424768904175052</c:v>
                </c:pt>
                <c:pt idx="557">
                  <c:v>-2.1769783128919151</c:v>
                </c:pt>
                <c:pt idx="558">
                  <c:v>-2.8248813997269182</c:v>
                </c:pt>
                <c:pt idx="559">
                  <c:v>-1.978173524475795</c:v>
                </c:pt>
                <c:pt idx="560">
                  <c:v>-2.727832474393963</c:v>
                </c:pt>
                <c:pt idx="561">
                  <c:v>-2.4473195562656058</c:v>
                </c:pt>
                <c:pt idx="562">
                  <c:v>-2.1883588288877491</c:v>
                </c:pt>
                <c:pt idx="563">
                  <c:v>-2.184000815242773</c:v>
                </c:pt>
                <c:pt idx="564">
                  <c:v>-2.597539557883489</c:v>
                </c:pt>
                <c:pt idx="565">
                  <c:v>-2.682673863534768</c:v>
                </c:pt>
                <c:pt idx="566">
                  <c:v>-2.1655713556593219</c:v>
                </c:pt>
                <c:pt idx="567">
                  <c:v>-2.4637874600153449</c:v>
                </c:pt>
                <c:pt idx="568">
                  <c:v>-2.2528909499016829</c:v>
                </c:pt>
                <c:pt idx="569">
                  <c:v>-2.5793445424496388</c:v>
                </c:pt>
                <c:pt idx="570">
                  <c:v>-2.816457587996926</c:v>
                </c:pt>
                <c:pt idx="571">
                  <c:v>-2.294572474845304</c:v>
                </c:pt>
                <c:pt idx="572">
                  <c:v>-2.5342524740594849</c:v>
                </c:pt>
                <c:pt idx="573">
                  <c:v>-2.597282360288192</c:v>
                </c:pt>
                <c:pt idx="574">
                  <c:v>-2.578124552042528</c:v>
                </c:pt>
                <c:pt idx="575">
                  <c:v>-2.4472771987187958</c:v>
                </c:pt>
                <c:pt idx="576">
                  <c:v>-2.653071380810446</c:v>
                </c:pt>
                <c:pt idx="577">
                  <c:v>-2.4916868102168319</c:v>
                </c:pt>
                <c:pt idx="578">
                  <c:v>-2.6161562805512748</c:v>
                </c:pt>
                <c:pt idx="579">
                  <c:v>-2.5967388123081849</c:v>
                </c:pt>
                <c:pt idx="580">
                  <c:v>-2.8396599283548332</c:v>
                </c:pt>
                <c:pt idx="581">
                  <c:v>-2.7045079980728222</c:v>
                </c:pt>
                <c:pt idx="582">
                  <c:v>-2.3339784785072082</c:v>
                </c:pt>
                <c:pt idx="583">
                  <c:v>-2.8695915996148962</c:v>
                </c:pt>
                <c:pt idx="584">
                  <c:v>-1.958062974456739</c:v>
                </c:pt>
                <c:pt idx="585">
                  <c:v>-2.6873798762801719</c:v>
                </c:pt>
                <c:pt idx="586">
                  <c:v>-2.306800799042934</c:v>
                </c:pt>
                <c:pt idx="587">
                  <c:v>-2.8712920438405138</c:v>
                </c:pt>
                <c:pt idx="588">
                  <c:v>-2.683733525903135</c:v>
                </c:pt>
                <c:pt idx="589">
                  <c:v>-2.798943421399978</c:v>
                </c:pt>
                <c:pt idx="590">
                  <c:v>-2.5708133191196061</c:v>
                </c:pt>
                <c:pt idx="591">
                  <c:v>-2.804815283271572</c:v>
                </c:pt>
                <c:pt idx="592">
                  <c:v>-2.8572504238058629</c:v>
                </c:pt>
                <c:pt idx="593">
                  <c:v>-2.9182598182683668</c:v>
                </c:pt>
                <c:pt idx="594">
                  <c:v>-2.9306345813578729</c:v>
                </c:pt>
                <c:pt idx="595">
                  <c:v>-2.8590279992604621</c:v>
                </c:pt>
                <c:pt idx="596">
                  <c:v>-2.3462608986911069</c:v>
                </c:pt>
                <c:pt idx="597">
                  <c:v>-3.0055324610144361</c:v>
                </c:pt>
                <c:pt idx="598">
                  <c:v>-2.6737543188116311</c:v>
                </c:pt>
                <c:pt idx="599">
                  <c:v>-3.2706433507812909</c:v>
                </c:pt>
              </c:numCache>
            </c:numRef>
          </c:xVal>
          <c:yVal>
            <c:numRef>
              <c:f>institutions_spss!$S$4:$S$603</c:f>
              <c:numCache>
                <c:formatCode>General</c:formatCode>
                <c:ptCount val="600"/>
                <c:pt idx="0">
                  <c:v>3.3912835376784569</c:v>
                </c:pt>
                <c:pt idx="1">
                  <c:v>1.5762561050481589</c:v>
                </c:pt>
                <c:pt idx="2">
                  <c:v>0.69464890061842377</c:v>
                </c:pt>
                <c:pt idx="3">
                  <c:v>3.315712358330865</c:v>
                </c:pt>
                <c:pt idx="4">
                  <c:v>0.20496759066299941</c:v>
                </c:pt>
                <c:pt idx="5">
                  <c:v>0.23502349892972649</c:v>
                </c:pt>
                <c:pt idx="6">
                  <c:v>1.915782598717499</c:v>
                </c:pt>
                <c:pt idx="7">
                  <c:v>0.15090246836820481</c:v>
                </c:pt>
                <c:pt idx="8">
                  <c:v>0.39027412401104911</c:v>
                </c:pt>
                <c:pt idx="9">
                  <c:v>0.32121493095188219</c:v>
                </c:pt>
                <c:pt idx="10">
                  <c:v>3.284628122142637</c:v>
                </c:pt>
                <c:pt idx="11">
                  <c:v>0.4201117206022274</c:v>
                </c:pt>
                <c:pt idx="12">
                  <c:v>0.49589008531464301</c:v>
                </c:pt>
                <c:pt idx="13">
                  <c:v>-6.0146610303390267E-2</c:v>
                </c:pt>
                <c:pt idx="14">
                  <c:v>2.7570239769836711</c:v>
                </c:pt>
                <c:pt idx="15">
                  <c:v>3.1656107701020062</c:v>
                </c:pt>
                <c:pt idx="16">
                  <c:v>0.62375294251500102</c:v>
                </c:pt>
                <c:pt idx="17">
                  <c:v>0.29705997450444133</c:v>
                </c:pt>
                <c:pt idx="18">
                  <c:v>2.0264172267932281</c:v>
                </c:pt>
                <c:pt idx="19">
                  <c:v>1.029286656010479</c:v>
                </c:pt>
                <c:pt idx="20">
                  <c:v>0.11723192381080989</c:v>
                </c:pt>
                <c:pt idx="21">
                  <c:v>0.59057788386672327</c:v>
                </c:pt>
                <c:pt idx="22">
                  <c:v>7.7831462521492867E-2</c:v>
                </c:pt>
                <c:pt idx="23">
                  <c:v>2.8979648807644529</c:v>
                </c:pt>
                <c:pt idx="24">
                  <c:v>0.2402366822389011</c:v>
                </c:pt>
                <c:pt idx="25">
                  <c:v>-0.1205830799058264</c:v>
                </c:pt>
                <c:pt idx="26">
                  <c:v>0.180526995203251</c:v>
                </c:pt>
                <c:pt idx="27">
                  <c:v>0.26480669663918699</c:v>
                </c:pt>
                <c:pt idx="28">
                  <c:v>-0.22068666427974629</c:v>
                </c:pt>
                <c:pt idx="29">
                  <c:v>8.9855107081040747E-2</c:v>
                </c:pt>
                <c:pt idx="30">
                  <c:v>0.89697927629014851</c:v>
                </c:pt>
                <c:pt idx="31">
                  <c:v>5.3100547974362942E-2</c:v>
                </c:pt>
                <c:pt idx="32">
                  <c:v>-8.0308937644535602E-2</c:v>
                </c:pt>
                <c:pt idx="33">
                  <c:v>-1.641322379472786E-5</c:v>
                </c:pt>
                <c:pt idx="34">
                  <c:v>4.3957727084782239E-2</c:v>
                </c:pt>
                <c:pt idx="35">
                  <c:v>0.11792911522523671</c:v>
                </c:pt>
                <c:pt idx="36">
                  <c:v>-0.1510179144908616</c:v>
                </c:pt>
                <c:pt idx="37">
                  <c:v>9.994974650590141E-2</c:v>
                </c:pt>
                <c:pt idx="38">
                  <c:v>3.0560630711801711</c:v>
                </c:pt>
                <c:pt idx="39">
                  <c:v>0.43038114071525979</c:v>
                </c:pt>
                <c:pt idx="40">
                  <c:v>-0.1271881526801904</c:v>
                </c:pt>
                <c:pt idx="41">
                  <c:v>0.88579297689730763</c:v>
                </c:pt>
                <c:pt idx="42">
                  <c:v>0.58214180745830646</c:v>
                </c:pt>
                <c:pt idx="43">
                  <c:v>3.0643027228387658</c:v>
                </c:pt>
                <c:pt idx="44">
                  <c:v>6.7429340504719742E-2</c:v>
                </c:pt>
                <c:pt idx="45">
                  <c:v>-8.0339467763686865E-3</c:v>
                </c:pt>
                <c:pt idx="46">
                  <c:v>1.047767625847337</c:v>
                </c:pt>
                <c:pt idx="47">
                  <c:v>0.14215436090416461</c:v>
                </c:pt>
                <c:pt idx="48">
                  <c:v>-0.17759022961348289</c:v>
                </c:pt>
                <c:pt idx="49">
                  <c:v>-0.13016370224996821</c:v>
                </c:pt>
                <c:pt idx="50">
                  <c:v>-4.1136562090734248E-2</c:v>
                </c:pt>
                <c:pt idx="51">
                  <c:v>-8.7630819388093389E-2</c:v>
                </c:pt>
                <c:pt idx="52">
                  <c:v>0.2712715384887775</c:v>
                </c:pt>
                <c:pt idx="53">
                  <c:v>0.38364286839346767</c:v>
                </c:pt>
                <c:pt idx="54">
                  <c:v>-0.20093415168858941</c:v>
                </c:pt>
                <c:pt idx="55">
                  <c:v>-0.40566589347409238</c:v>
                </c:pt>
                <c:pt idx="56">
                  <c:v>0.49342721147335739</c:v>
                </c:pt>
                <c:pt idx="57">
                  <c:v>0.1249431436067209</c:v>
                </c:pt>
                <c:pt idx="58">
                  <c:v>0.49800561014921563</c:v>
                </c:pt>
                <c:pt idx="59">
                  <c:v>-6.4550987891265552E-2</c:v>
                </c:pt>
                <c:pt idx="60">
                  <c:v>-1.118239014600209</c:v>
                </c:pt>
                <c:pt idx="61">
                  <c:v>0.25471176988881611</c:v>
                </c:pt>
                <c:pt idx="62">
                  <c:v>8.0922680154214225E-3</c:v>
                </c:pt>
                <c:pt idx="63">
                  <c:v>0.1394325289937105</c:v>
                </c:pt>
                <c:pt idx="64">
                  <c:v>-2.630252488740578E-3</c:v>
                </c:pt>
                <c:pt idx="65">
                  <c:v>0.74237362000668083</c:v>
                </c:pt>
                <c:pt idx="66">
                  <c:v>-0.11389829971317481</c:v>
                </c:pt>
                <c:pt idx="67">
                  <c:v>-0.1049918911282253</c:v>
                </c:pt>
                <c:pt idx="68">
                  <c:v>1.956131915785915E-2</c:v>
                </c:pt>
                <c:pt idx="69">
                  <c:v>0.5824153490585039</c:v>
                </c:pt>
                <c:pt idx="70">
                  <c:v>-0.1300721876028324</c:v>
                </c:pt>
                <c:pt idx="71">
                  <c:v>1.17855871295437</c:v>
                </c:pt>
                <c:pt idx="72">
                  <c:v>1.562379822950096</c:v>
                </c:pt>
                <c:pt idx="73">
                  <c:v>0.27819386104455701</c:v>
                </c:pt>
                <c:pt idx="74">
                  <c:v>-0.19962427072903469</c:v>
                </c:pt>
                <c:pt idx="75">
                  <c:v>-0.61047029184907631</c:v>
                </c:pt>
                <c:pt idx="76">
                  <c:v>0.36874519201198702</c:v>
                </c:pt>
                <c:pt idx="77">
                  <c:v>0.87624405774968861</c:v>
                </c:pt>
                <c:pt idx="78">
                  <c:v>0.64590576055562088</c:v>
                </c:pt>
                <c:pt idx="79">
                  <c:v>-0.15922774943108109</c:v>
                </c:pt>
                <c:pt idx="80">
                  <c:v>-0.28842789697690308</c:v>
                </c:pt>
                <c:pt idx="81">
                  <c:v>-0.15922774943108109</c:v>
                </c:pt>
                <c:pt idx="82">
                  <c:v>0.33300153252935011</c:v>
                </c:pt>
                <c:pt idx="83">
                  <c:v>0.45822618829897521</c:v>
                </c:pt>
                <c:pt idx="84">
                  <c:v>0.88281021637891488</c:v>
                </c:pt>
                <c:pt idx="85">
                  <c:v>4.4614751125672897E-2</c:v>
                </c:pt>
                <c:pt idx="86">
                  <c:v>0.29526612412912062</c:v>
                </c:pt>
                <c:pt idx="87">
                  <c:v>-0.54384331673365049</c:v>
                </c:pt>
                <c:pt idx="88">
                  <c:v>0.73079620297283809</c:v>
                </c:pt>
                <c:pt idx="89">
                  <c:v>-0.17098538912845421</c:v>
                </c:pt>
                <c:pt idx="90">
                  <c:v>-0.29211377638136998</c:v>
                </c:pt>
                <c:pt idx="91">
                  <c:v>0.8821128683380739</c:v>
                </c:pt>
                <c:pt idx="92">
                  <c:v>-8.7112347576641814E-3</c:v>
                </c:pt>
                <c:pt idx="93">
                  <c:v>2.30989760682737</c:v>
                </c:pt>
                <c:pt idx="94">
                  <c:v>0.64610911811777438</c:v>
                </c:pt>
                <c:pt idx="95">
                  <c:v>1.0005595832570919</c:v>
                </c:pt>
                <c:pt idx="96">
                  <c:v>2.5902610371310302</c:v>
                </c:pt>
                <c:pt idx="97">
                  <c:v>1.343147854843797</c:v>
                </c:pt>
                <c:pt idx="98">
                  <c:v>-6.6427601328793259E-2</c:v>
                </c:pt>
                <c:pt idx="99">
                  <c:v>0.95130805609889491</c:v>
                </c:pt>
                <c:pt idx="100">
                  <c:v>-0.3097362401531491</c:v>
                </c:pt>
                <c:pt idx="101">
                  <c:v>0.1131791441825639</c:v>
                </c:pt>
                <c:pt idx="102">
                  <c:v>0.35961446112606421</c:v>
                </c:pt>
                <c:pt idx="103">
                  <c:v>-0.18402510382736331</c:v>
                </c:pt>
                <c:pt idx="104">
                  <c:v>0.70490408324772147</c:v>
                </c:pt>
                <c:pt idx="105">
                  <c:v>0.98621839374340881</c:v>
                </c:pt>
                <c:pt idx="106">
                  <c:v>-5.8952104332889527E-2</c:v>
                </c:pt>
                <c:pt idx="107">
                  <c:v>-1.0936210551094521</c:v>
                </c:pt>
                <c:pt idx="108">
                  <c:v>0.2740264494924009</c:v>
                </c:pt>
                <c:pt idx="109">
                  <c:v>-1.6907269476887929</c:v>
                </c:pt>
                <c:pt idx="110">
                  <c:v>-0.51013002958738363</c:v>
                </c:pt>
                <c:pt idx="111">
                  <c:v>0.47545463944262728</c:v>
                </c:pt>
                <c:pt idx="112">
                  <c:v>-8.9892680493640742E-2</c:v>
                </c:pt>
                <c:pt idx="113">
                  <c:v>0.75276001802499959</c:v>
                </c:pt>
                <c:pt idx="114">
                  <c:v>0.99845943768020584</c:v>
                </c:pt>
                <c:pt idx="115">
                  <c:v>-0.5460100152521864</c:v>
                </c:pt>
                <c:pt idx="116">
                  <c:v>-0.44513005538534589</c:v>
                </c:pt>
                <c:pt idx="117">
                  <c:v>-0.92974668227835233</c:v>
                </c:pt>
                <c:pt idx="118">
                  <c:v>-0.38573648391175491</c:v>
                </c:pt>
                <c:pt idx="119">
                  <c:v>0.50541209094433659</c:v>
                </c:pt>
                <c:pt idx="120">
                  <c:v>-2.6882591466671109</c:v>
                </c:pt>
                <c:pt idx="121">
                  <c:v>-7.2330615945135665E-2</c:v>
                </c:pt>
                <c:pt idx="122">
                  <c:v>-0.47526375289780909</c:v>
                </c:pt>
                <c:pt idx="123">
                  <c:v>-0.72078610236005558</c:v>
                </c:pt>
                <c:pt idx="124">
                  <c:v>-0.6311643202378443</c:v>
                </c:pt>
                <c:pt idx="125">
                  <c:v>-0.93011053520302067</c:v>
                </c:pt>
                <c:pt idx="126">
                  <c:v>-0.60586604669073207</c:v>
                </c:pt>
                <c:pt idx="127">
                  <c:v>-0.4021521956450374</c:v>
                </c:pt>
                <c:pt idx="128">
                  <c:v>-9.4184806350788519E-2</c:v>
                </c:pt>
                <c:pt idx="129">
                  <c:v>0.25804325140766632</c:v>
                </c:pt>
                <c:pt idx="130">
                  <c:v>-0.18013667500423869</c:v>
                </c:pt>
                <c:pt idx="131">
                  <c:v>-0.41001188955392459</c:v>
                </c:pt>
                <c:pt idx="132">
                  <c:v>-0.26397223685374249</c:v>
                </c:pt>
                <c:pt idx="133">
                  <c:v>-0.2028782744335498</c:v>
                </c:pt>
                <c:pt idx="134">
                  <c:v>1.4839702351370181</c:v>
                </c:pt>
                <c:pt idx="135">
                  <c:v>-1.4048205371570011</c:v>
                </c:pt>
                <c:pt idx="136">
                  <c:v>2.5559468525881122</c:v>
                </c:pt>
                <c:pt idx="137">
                  <c:v>-0.29147209402586333</c:v>
                </c:pt>
                <c:pt idx="138">
                  <c:v>0.86765317716260448</c:v>
                </c:pt>
                <c:pt idx="139">
                  <c:v>-1.277497570439422</c:v>
                </c:pt>
                <c:pt idx="140">
                  <c:v>0.40774153476895031</c:v>
                </c:pt>
                <c:pt idx="141">
                  <c:v>1.548967252033365</c:v>
                </c:pt>
                <c:pt idx="142">
                  <c:v>0.13635340798253659</c:v>
                </c:pt>
                <c:pt idx="143">
                  <c:v>-0.44539263857635669</c:v>
                </c:pt>
                <c:pt idx="144">
                  <c:v>0.1004676809369705</c:v>
                </c:pt>
                <c:pt idx="145">
                  <c:v>3.4304735169235628E-2</c:v>
                </c:pt>
                <c:pt idx="146">
                  <c:v>0.49209407000787769</c:v>
                </c:pt>
                <c:pt idx="147">
                  <c:v>-0.2045346297758957</c:v>
                </c:pt>
                <c:pt idx="148">
                  <c:v>-0.81864670156588892</c:v>
                </c:pt>
                <c:pt idx="149">
                  <c:v>-0.17584284782447329</c:v>
                </c:pt>
                <c:pt idx="150">
                  <c:v>0.13059873468744429</c:v>
                </c:pt>
                <c:pt idx="151">
                  <c:v>1.0256920233356841</c:v>
                </c:pt>
                <c:pt idx="152">
                  <c:v>-0.22669987614505699</c:v>
                </c:pt>
                <c:pt idx="153">
                  <c:v>-0.90097081400418788</c:v>
                </c:pt>
                <c:pt idx="154">
                  <c:v>-1.368828353787412</c:v>
                </c:pt>
                <c:pt idx="155">
                  <c:v>0.16479444241991989</c:v>
                </c:pt>
                <c:pt idx="156">
                  <c:v>0.16479444241991989</c:v>
                </c:pt>
                <c:pt idx="157">
                  <c:v>0.61500181717256086</c:v>
                </c:pt>
                <c:pt idx="158">
                  <c:v>-0.6293454762507491</c:v>
                </c:pt>
                <c:pt idx="159">
                  <c:v>-0.96203945667642454</c:v>
                </c:pt>
                <c:pt idx="160">
                  <c:v>0.60332389266978426</c:v>
                </c:pt>
                <c:pt idx="161">
                  <c:v>1.693237220544521</c:v>
                </c:pt>
                <c:pt idx="162">
                  <c:v>-0.20037790625528579</c:v>
                </c:pt>
                <c:pt idx="163">
                  <c:v>1.2790581712310261</c:v>
                </c:pt>
                <c:pt idx="164">
                  <c:v>-0.22422584197887849</c:v>
                </c:pt>
                <c:pt idx="165">
                  <c:v>2.510140210505448</c:v>
                </c:pt>
                <c:pt idx="166">
                  <c:v>-0.17772741387710131</c:v>
                </c:pt>
                <c:pt idx="167">
                  <c:v>-0.36101112244423988</c:v>
                </c:pt>
                <c:pt idx="168">
                  <c:v>-1.275759012428958</c:v>
                </c:pt>
                <c:pt idx="169">
                  <c:v>-1.452411201413444</c:v>
                </c:pt>
                <c:pt idx="170">
                  <c:v>0.1129659258485312</c:v>
                </c:pt>
                <c:pt idx="171">
                  <c:v>-0.54488024987986916</c:v>
                </c:pt>
                <c:pt idx="172">
                  <c:v>-0.1686813714445882</c:v>
                </c:pt>
                <c:pt idx="173">
                  <c:v>-0.1002769884427212</c:v>
                </c:pt>
                <c:pt idx="174">
                  <c:v>1.2770989008105991</c:v>
                </c:pt>
                <c:pt idx="175">
                  <c:v>-0.90394169305797889</c:v>
                </c:pt>
                <c:pt idx="176">
                  <c:v>0.16101073756894849</c:v>
                </c:pt>
                <c:pt idx="177">
                  <c:v>-0.83903591869993099</c:v>
                </c:pt>
                <c:pt idx="178">
                  <c:v>-1.22039335443118</c:v>
                </c:pt>
                <c:pt idx="179">
                  <c:v>0.43386020854862789</c:v>
                </c:pt>
                <c:pt idx="180">
                  <c:v>1.3357766757129399</c:v>
                </c:pt>
                <c:pt idx="181">
                  <c:v>2.285165630392807</c:v>
                </c:pt>
                <c:pt idx="182">
                  <c:v>0.17335174434167569</c:v>
                </c:pt>
                <c:pt idx="183">
                  <c:v>-1.3089738090259819</c:v>
                </c:pt>
                <c:pt idx="184">
                  <c:v>0.17335174434167569</c:v>
                </c:pt>
                <c:pt idx="185">
                  <c:v>-1.0897549050238911</c:v>
                </c:pt>
                <c:pt idx="186">
                  <c:v>1.7459049188801219</c:v>
                </c:pt>
                <c:pt idx="187">
                  <c:v>1.756864506531574</c:v>
                </c:pt>
                <c:pt idx="188">
                  <c:v>0.12959059891009941</c:v>
                </c:pt>
                <c:pt idx="189">
                  <c:v>0.16259242833479859</c:v>
                </c:pt>
                <c:pt idx="190">
                  <c:v>0.95495314082171201</c:v>
                </c:pt>
                <c:pt idx="191">
                  <c:v>-2.2991289054155102</c:v>
                </c:pt>
                <c:pt idx="192">
                  <c:v>0.98521335668389831</c:v>
                </c:pt>
                <c:pt idx="193">
                  <c:v>-0.45841761727868258</c:v>
                </c:pt>
                <c:pt idx="194">
                  <c:v>-0.43477426058007518</c:v>
                </c:pt>
                <c:pt idx="195">
                  <c:v>-0.91397380408747186</c:v>
                </c:pt>
                <c:pt idx="196">
                  <c:v>0.41854645820021918</c:v>
                </c:pt>
                <c:pt idx="197">
                  <c:v>-2.05920929511564</c:v>
                </c:pt>
                <c:pt idx="198">
                  <c:v>2.026171355960571</c:v>
                </c:pt>
                <c:pt idx="199">
                  <c:v>-1.2350929139918749</c:v>
                </c:pt>
                <c:pt idx="200">
                  <c:v>0.40672912800444599</c:v>
                </c:pt>
                <c:pt idx="201">
                  <c:v>-0.14747125243648809</c:v>
                </c:pt>
                <c:pt idx="202">
                  <c:v>-2.5455375656261512</c:v>
                </c:pt>
                <c:pt idx="203">
                  <c:v>-1.4670638443969941</c:v>
                </c:pt>
                <c:pt idx="204">
                  <c:v>-0.31894176110423222</c:v>
                </c:pt>
                <c:pt idx="205">
                  <c:v>-0.19695603717272031</c:v>
                </c:pt>
                <c:pt idx="206">
                  <c:v>0.92128970818957212</c:v>
                </c:pt>
                <c:pt idx="207">
                  <c:v>-0.31435352301002539</c:v>
                </c:pt>
                <c:pt idx="208">
                  <c:v>1.047326777236391</c:v>
                </c:pt>
                <c:pt idx="209">
                  <c:v>2.0988934266674981</c:v>
                </c:pt>
                <c:pt idx="210">
                  <c:v>-0.77981158172603271</c:v>
                </c:pt>
                <c:pt idx="211">
                  <c:v>-0.60494941273307046</c:v>
                </c:pt>
                <c:pt idx="212">
                  <c:v>-0.35931201354743919</c:v>
                </c:pt>
                <c:pt idx="213">
                  <c:v>-0.51414427023206577</c:v>
                </c:pt>
                <c:pt idx="214">
                  <c:v>-2.4930649651392969</c:v>
                </c:pt>
                <c:pt idx="215">
                  <c:v>-0.93783100464102609</c:v>
                </c:pt>
                <c:pt idx="216">
                  <c:v>1.08136819980774</c:v>
                </c:pt>
                <c:pt idx="217">
                  <c:v>-0.9867842026615038</c:v>
                </c:pt>
                <c:pt idx="218">
                  <c:v>-0.35627941620150838</c:v>
                </c:pt>
                <c:pt idx="219">
                  <c:v>-0.4064104656284005</c:v>
                </c:pt>
                <c:pt idx="220">
                  <c:v>0.13401783845649839</c:v>
                </c:pt>
                <c:pt idx="221">
                  <c:v>0.39782153094775458</c:v>
                </c:pt>
                <c:pt idx="222">
                  <c:v>-0.90437162658588011</c:v>
                </c:pt>
                <c:pt idx="223">
                  <c:v>2.1046013174352112</c:v>
                </c:pt>
                <c:pt idx="224">
                  <c:v>-0.26479367927582481</c:v>
                </c:pt>
                <c:pt idx="225">
                  <c:v>-0.4016330919231374</c:v>
                </c:pt>
                <c:pt idx="226">
                  <c:v>0.33769679626279808</c:v>
                </c:pt>
                <c:pt idx="227">
                  <c:v>-0.1050606537871135</c:v>
                </c:pt>
                <c:pt idx="228">
                  <c:v>1.0255867860350909</c:v>
                </c:pt>
                <c:pt idx="229">
                  <c:v>-1.304205330971496</c:v>
                </c:pt>
                <c:pt idx="230">
                  <c:v>-0.5271157687230994</c:v>
                </c:pt>
                <c:pt idx="231">
                  <c:v>-0.47752160735454657</c:v>
                </c:pt>
                <c:pt idx="232">
                  <c:v>-0.3447159127515762</c:v>
                </c:pt>
                <c:pt idx="233">
                  <c:v>-0.33185573294417109</c:v>
                </c:pt>
                <c:pt idx="234">
                  <c:v>1.0395500266610129</c:v>
                </c:pt>
                <c:pt idx="235">
                  <c:v>0.14023058589886991</c:v>
                </c:pt>
                <c:pt idx="236">
                  <c:v>-0.71255597379183389</c:v>
                </c:pt>
                <c:pt idx="237">
                  <c:v>1.2821644360490769</c:v>
                </c:pt>
                <c:pt idx="238">
                  <c:v>-0.25567203339882361</c:v>
                </c:pt>
                <c:pt idx="239">
                  <c:v>-0.89923816250810351</c:v>
                </c:pt>
                <c:pt idx="240">
                  <c:v>-0.176869623579895</c:v>
                </c:pt>
                <c:pt idx="241">
                  <c:v>-0.238982611671891</c:v>
                </c:pt>
                <c:pt idx="242">
                  <c:v>-1.594283456112966E-2</c:v>
                </c:pt>
                <c:pt idx="243">
                  <c:v>0.50915183058190938</c:v>
                </c:pt>
                <c:pt idx="244">
                  <c:v>1.647688953484616</c:v>
                </c:pt>
                <c:pt idx="245">
                  <c:v>-0.5286928602269072</c:v>
                </c:pt>
                <c:pt idx="246">
                  <c:v>-2.0761862867198921</c:v>
                </c:pt>
                <c:pt idx="247">
                  <c:v>-0.17969695357326371</c:v>
                </c:pt>
                <c:pt idx="248">
                  <c:v>-1.6930181980309951</c:v>
                </c:pt>
                <c:pt idx="249">
                  <c:v>-0.28277492526340942</c:v>
                </c:pt>
                <c:pt idx="250">
                  <c:v>2.1612658841393499</c:v>
                </c:pt>
                <c:pt idx="251">
                  <c:v>-0.59494208478905719</c:v>
                </c:pt>
                <c:pt idx="252">
                  <c:v>-0.96075192411640087</c:v>
                </c:pt>
                <c:pt idx="253">
                  <c:v>-0.46551790690087802</c:v>
                </c:pt>
                <c:pt idx="254">
                  <c:v>1.1740607710385209</c:v>
                </c:pt>
                <c:pt idx="255">
                  <c:v>-1.532414555594265</c:v>
                </c:pt>
                <c:pt idx="256">
                  <c:v>0.24999455037354901</c:v>
                </c:pt>
                <c:pt idx="257">
                  <c:v>-1.4053196096799949</c:v>
                </c:pt>
                <c:pt idx="258">
                  <c:v>-1.632789377833064</c:v>
                </c:pt>
                <c:pt idx="259">
                  <c:v>0.57849582411859291</c:v>
                </c:pt>
                <c:pt idx="260">
                  <c:v>1.5796539184734659</c:v>
                </c:pt>
                <c:pt idx="261">
                  <c:v>0.84900468473966384</c:v>
                </c:pt>
                <c:pt idx="262">
                  <c:v>1.7405483761279259</c:v>
                </c:pt>
                <c:pt idx="263">
                  <c:v>-0.53937226141815597</c:v>
                </c:pt>
                <c:pt idx="264">
                  <c:v>-1.140529540716487</c:v>
                </c:pt>
                <c:pt idx="265">
                  <c:v>0.82228041712003019</c:v>
                </c:pt>
                <c:pt idx="266">
                  <c:v>-1.9109793890261011</c:v>
                </c:pt>
                <c:pt idx="267">
                  <c:v>-1.6449357216523279</c:v>
                </c:pt>
                <c:pt idx="268">
                  <c:v>-0.75075226450264099</c:v>
                </c:pt>
                <c:pt idx="269">
                  <c:v>4.2978344031500887E-2</c:v>
                </c:pt>
                <c:pt idx="270">
                  <c:v>-1.52575066567523</c:v>
                </c:pt>
                <c:pt idx="271">
                  <c:v>2.0909246000409389</c:v>
                </c:pt>
                <c:pt idx="272">
                  <c:v>-0.4091564200881555</c:v>
                </c:pt>
                <c:pt idx="273">
                  <c:v>-0.78266101437532964</c:v>
                </c:pt>
                <c:pt idx="274">
                  <c:v>-0.20101219504702181</c:v>
                </c:pt>
                <c:pt idx="275">
                  <c:v>0.58112096933092483</c:v>
                </c:pt>
                <c:pt idx="276">
                  <c:v>0.15678604552212569</c:v>
                </c:pt>
                <c:pt idx="277">
                  <c:v>0.5847354747150314</c:v>
                </c:pt>
                <c:pt idx="278">
                  <c:v>-0.13877184655955421</c:v>
                </c:pt>
                <c:pt idx="279">
                  <c:v>-0.59869822884487001</c:v>
                </c:pt>
                <c:pt idx="280">
                  <c:v>1.0210493572695689</c:v>
                </c:pt>
                <c:pt idx="281">
                  <c:v>-0.82349711299565398</c:v>
                </c:pt>
                <c:pt idx="282">
                  <c:v>-1.0946194560120901</c:v>
                </c:pt>
                <c:pt idx="283">
                  <c:v>0.59219979381778021</c:v>
                </c:pt>
                <c:pt idx="284">
                  <c:v>-1.136636857234784</c:v>
                </c:pt>
                <c:pt idx="285">
                  <c:v>-0.22340177093991781</c:v>
                </c:pt>
                <c:pt idx="286">
                  <c:v>0.95989352220893431</c:v>
                </c:pt>
                <c:pt idx="287">
                  <c:v>-1.3516451592782519</c:v>
                </c:pt>
                <c:pt idx="288">
                  <c:v>5.8537467765863563E-2</c:v>
                </c:pt>
                <c:pt idx="289">
                  <c:v>-0.19829216828136159</c:v>
                </c:pt>
                <c:pt idx="290">
                  <c:v>0.69654444689176631</c:v>
                </c:pt>
                <c:pt idx="291">
                  <c:v>-0.43161461728811612</c:v>
                </c:pt>
                <c:pt idx="292">
                  <c:v>-0.6257795006438871</c:v>
                </c:pt>
                <c:pt idx="293">
                  <c:v>0.36500887655424202</c:v>
                </c:pt>
                <c:pt idx="294">
                  <c:v>0.69187956265297168</c:v>
                </c:pt>
                <c:pt idx="295">
                  <c:v>-0.38898804785719449</c:v>
                </c:pt>
                <c:pt idx="296">
                  <c:v>0.17473947552035851</c:v>
                </c:pt>
                <c:pt idx="297">
                  <c:v>-0.66593847038948617</c:v>
                </c:pt>
                <c:pt idx="298">
                  <c:v>1.238114974163977</c:v>
                </c:pt>
                <c:pt idx="299">
                  <c:v>-0.40662652467208188</c:v>
                </c:pt>
                <c:pt idx="300">
                  <c:v>1.0682493867280081</c:v>
                </c:pt>
                <c:pt idx="301">
                  <c:v>0.15358828587791201</c:v>
                </c:pt>
                <c:pt idx="302">
                  <c:v>3.7507860210304389E-2</c:v>
                </c:pt>
                <c:pt idx="303">
                  <c:v>-1.276554771900454</c:v>
                </c:pt>
                <c:pt idx="304">
                  <c:v>-9.0906735215450812E-2</c:v>
                </c:pt>
                <c:pt idx="305">
                  <c:v>-0.45874044331366792</c:v>
                </c:pt>
                <c:pt idx="306">
                  <c:v>-0.1557723127738298</c:v>
                </c:pt>
                <c:pt idx="307">
                  <c:v>-1.160460453448227</c:v>
                </c:pt>
                <c:pt idx="308">
                  <c:v>-1.1392055784450319</c:v>
                </c:pt>
                <c:pt idx="309">
                  <c:v>0.57997635366849343</c:v>
                </c:pt>
                <c:pt idx="310">
                  <c:v>0.13016554838217301</c:v>
                </c:pt>
                <c:pt idx="311">
                  <c:v>0.28516562131297563</c:v>
                </c:pt>
                <c:pt idx="312">
                  <c:v>-1.038179307567068</c:v>
                </c:pt>
                <c:pt idx="313">
                  <c:v>1.4021624483356581</c:v>
                </c:pt>
                <c:pt idx="314">
                  <c:v>-0.1271915084518789</c:v>
                </c:pt>
                <c:pt idx="315">
                  <c:v>0.5138912432998759</c:v>
                </c:pt>
                <c:pt idx="316">
                  <c:v>-0.88614060287921781</c:v>
                </c:pt>
                <c:pt idx="317">
                  <c:v>-0.72267996935044509</c:v>
                </c:pt>
                <c:pt idx="318">
                  <c:v>-0.73909635669585838</c:v>
                </c:pt>
                <c:pt idx="319">
                  <c:v>4.9431918808114012E-2</c:v>
                </c:pt>
                <c:pt idx="320">
                  <c:v>-0.40148456999363957</c:v>
                </c:pt>
                <c:pt idx="321">
                  <c:v>-0.29754167183894081</c:v>
                </c:pt>
                <c:pt idx="322">
                  <c:v>-0.2107329935509647</c:v>
                </c:pt>
                <c:pt idx="323">
                  <c:v>-1.092883726902584</c:v>
                </c:pt>
                <c:pt idx="324">
                  <c:v>-5.1187731601579529E-2</c:v>
                </c:pt>
                <c:pt idx="325">
                  <c:v>0.24263605238734451</c:v>
                </c:pt>
                <c:pt idx="326">
                  <c:v>9.3720631643683355E-2</c:v>
                </c:pt>
                <c:pt idx="327">
                  <c:v>-6.9702215715968921E-2</c:v>
                </c:pt>
                <c:pt idx="328">
                  <c:v>-0.19895746195035871</c:v>
                </c:pt>
                <c:pt idx="329">
                  <c:v>0.19641163994453481</c:v>
                </c:pt>
                <c:pt idx="330">
                  <c:v>-1.0116352706353891</c:v>
                </c:pt>
                <c:pt idx="331">
                  <c:v>1.4569443200137731</c:v>
                </c:pt>
                <c:pt idx="332">
                  <c:v>4.5004684627026351E-2</c:v>
                </c:pt>
                <c:pt idx="333">
                  <c:v>-0.56744394774176588</c:v>
                </c:pt>
                <c:pt idx="334">
                  <c:v>-0.6966237127947239</c:v>
                </c:pt>
                <c:pt idx="335">
                  <c:v>-2.0931518028581531</c:v>
                </c:pt>
                <c:pt idx="336">
                  <c:v>-0.91606366868972988</c:v>
                </c:pt>
                <c:pt idx="337">
                  <c:v>0.29939124677133461</c:v>
                </c:pt>
                <c:pt idx="338">
                  <c:v>-1.701008472594983</c:v>
                </c:pt>
                <c:pt idx="339">
                  <c:v>9.5389358521708489E-2</c:v>
                </c:pt>
                <c:pt idx="340">
                  <c:v>0.29939124677133461</c:v>
                </c:pt>
                <c:pt idx="341">
                  <c:v>-0.65742815584755443</c:v>
                </c:pt>
                <c:pt idx="342">
                  <c:v>-0.91470903651733404</c:v>
                </c:pt>
                <c:pt idx="343">
                  <c:v>-1.1450160969072409</c:v>
                </c:pt>
                <c:pt idx="344">
                  <c:v>-0.12880105528152119</c:v>
                </c:pt>
                <c:pt idx="345">
                  <c:v>-0.85008350871012406</c:v>
                </c:pt>
                <c:pt idx="346">
                  <c:v>-0.74977939169852703</c:v>
                </c:pt>
                <c:pt idx="347">
                  <c:v>0.84681967657974133</c:v>
                </c:pt>
                <c:pt idx="348">
                  <c:v>0.40917719781749651</c:v>
                </c:pt>
                <c:pt idx="349">
                  <c:v>-0.86915134995978338</c:v>
                </c:pt>
                <c:pt idx="350">
                  <c:v>-0.18617594377183619</c:v>
                </c:pt>
                <c:pt idx="351">
                  <c:v>-1.572337480016708</c:v>
                </c:pt>
                <c:pt idx="352">
                  <c:v>-1.045206656055039</c:v>
                </c:pt>
                <c:pt idx="353">
                  <c:v>1.192209385899528</c:v>
                </c:pt>
                <c:pt idx="354">
                  <c:v>0.53022340547627933</c:v>
                </c:pt>
                <c:pt idx="355">
                  <c:v>0.61609199381851409</c:v>
                </c:pt>
                <c:pt idx="356">
                  <c:v>5.3821200036236168E-3</c:v>
                </c:pt>
                <c:pt idx="357">
                  <c:v>-0.1387233293815236</c:v>
                </c:pt>
                <c:pt idx="358">
                  <c:v>-0.48961045536949099</c:v>
                </c:pt>
                <c:pt idx="359">
                  <c:v>-1.101390007399466</c:v>
                </c:pt>
                <c:pt idx="360">
                  <c:v>-0.9064387552793538</c:v>
                </c:pt>
                <c:pt idx="361">
                  <c:v>0.72127574617822499</c:v>
                </c:pt>
                <c:pt idx="362">
                  <c:v>0.77945113523156917</c:v>
                </c:pt>
                <c:pt idx="363">
                  <c:v>-1.3695073715129451</c:v>
                </c:pt>
                <c:pt idx="364">
                  <c:v>-0.85440199611390333</c:v>
                </c:pt>
                <c:pt idx="365">
                  <c:v>0.94141431174017265</c:v>
                </c:pt>
                <c:pt idx="366">
                  <c:v>0.81292643916323015</c:v>
                </c:pt>
                <c:pt idx="367">
                  <c:v>0.94725355081811247</c:v>
                </c:pt>
                <c:pt idx="368">
                  <c:v>-6.8873175747181312E-2</c:v>
                </c:pt>
                <c:pt idx="369">
                  <c:v>-1.09571133339208</c:v>
                </c:pt>
                <c:pt idx="370">
                  <c:v>-1.624658812834411</c:v>
                </c:pt>
                <c:pt idx="371">
                  <c:v>-1.5051822868331559</c:v>
                </c:pt>
                <c:pt idx="372">
                  <c:v>1.136376413882245</c:v>
                </c:pt>
                <c:pt idx="373">
                  <c:v>1.701090146819763</c:v>
                </c:pt>
                <c:pt idx="374">
                  <c:v>-0.34022349705166838</c:v>
                </c:pt>
                <c:pt idx="375">
                  <c:v>-0.81501353861156289</c:v>
                </c:pt>
                <c:pt idx="376">
                  <c:v>-0.63390121949922962</c:v>
                </c:pt>
                <c:pt idx="377">
                  <c:v>-2.4678685346758728E-3</c:v>
                </c:pt>
                <c:pt idx="378">
                  <c:v>-1.1291820362656739</c:v>
                </c:pt>
                <c:pt idx="379">
                  <c:v>-0.55585615766049123</c:v>
                </c:pt>
                <c:pt idx="380">
                  <c:v>-0.8481130356112504</c:v>
                </c:pt>
                <c:pt idx="381">
                  <c:v>1.046255552650923</c:v>
                </c:pt>
                <c:pt idx="382">
                  <c:v>-0.74839688609643118</c:v>
                </c:pt>
                <c:pt idx="383">
                  <c:v>-0.87190224041016906</c:v>
                </c:pt>
                <c:pt idx="384">
                  <c:v>0.30437033382495898</c:v>
                </c:pt>
                <c:pt idx="385">
                  <c:v>0.80061239372936921</c:v>
                </c:pt>
                <c:pt idx="386">
                  <c:v>-0.82045389586071205</c:v>
                </c:pt>
                <c:pt idx="387">
                  <c:v>-0.17512440668646209</c:v>
                </c:pt>
                <c:pt idx="388">
                  <c:v>-0.25591220262003778</c:v>
                </c:pt>
                <c:pt idx="389">
                  <c:v>1.1545805662909481</c:v>
                </c:pt>
                <c:pt idx="390">
                  <c:v>9.54155363629616E-2</c:v>
                </c:pt>
                <c:pt idx="391">
                  <c:v>0.39978696783160378</c:v>
                </c:pt>
                <c:pt idx="392">
                  <c:v>-1.071004902956519</c:v>
                </c:pt>
                <c:pt idx="393">
                  <c:v>0.5089872264413573</c:v>
                </c:pt>
                <c:pt idx="394">
                  <c:v>-1.634831891198558</c:v>
                </c:pt>
                <c:pt idx="395">
                  <c:v>0.89781904197369777</c:v>
                </c:pt>
                <c:pt idx="396">
                  <c:v>0.73072136509326202</c:v>
                </c:pt>
                <c:pt idx="397">
                  <c:v>0.86009698845724181</c:v>
                </c:pt>
                <c:pt idx="398">
                  <c:v>0.35390950792316</c:v>
                </c:pt>
                <c:pt idx="399">
                  <c:v>-1.098558510744976</c:v>
                </c:pt>
                <c:pt idx="400">
                  <c:v>-2.8527174049231149E-2</c:v>
                </c:pt>
                <c:pt idx="401">
                  <c:v>-0.55975788651901004</c:v>
                </c:pt>
                <c:pt idx="402">
                  <c:v>0.40378569082017929</c:v>
                </c:pt>
                <c:pt idx="403">
                  <c:v>-0.37519581165513533</c:v>
                </c:pt>
                <c:pt idx="404">
                  <c:v>0.87229107745507295</c:v>
                </c:pt>
                <c:pt idx="405">
                  <c:v>1.171381865077548</c:v>
                </c:pt>
                <c:pt idx="406">
                  <c:v>0.66922482442241948</c:v>
                </c:pt>
                <c:pt idx="407">
                  <c:v>1.218498213138193</c:v>
                </c:pt>
                <c:pt idx="408">
                  <c:v>-0.86846110517328801</c:v>
                </c:pt>
                <c:pt idx="409">
                  <c:v>0.71889289348130259</c:v>
                </c:pt>
                <c:pt idx="410">
                  <c:v>0.81759003361767002</c:v>
                </c:pt>
                <c:pt idx="411">
                  <c:v>-0.43226787501904701</c:v>
                </c:pt>
                <c:pt idx="412">
                  <c:v>-1.095354114344169</c:v>
                </c:pt>
                <c:pt idx="413">
                  <c:v>0.35624031616151269</c:v>
                </c:pt>
                <c:pt idx="414">
                  <c:v>1.113022362575699</c:v>
                </c:pt>
                <c:pt idx="415">
                  <c:v>0.37502308450845517</c:v>
                </c:pt>
                <c:pt idx="416">
                  <c:v>-0.23171114845199611</c:v>
                </c:pt>
                <c:pt idx="417">
                  <c:v>-1.181716463396562</c:v>
                </c:pt>
                <c:pt idx="418">
                  <c:v>0.77189885522421287</c:v>
                </c:pt>
                <c:pt idx="419">
                  <c:v>0.56165880889281994</c:v>
                </c:pt>
                <c:pt idx="420">
                  <c:v>-1.5511113617238861</c:v>
                </c:pt>
                <c:pt idx="421">
                  <c:v>9.5178566994239183E-2</c:v>
                </c:pt>
                <c:pt idx="422">
                  <c:v>0.95826639272942038</c:v>
                </c:pt>
                <c:pt idx="423">
                  <c:v>-0.95627347010237651</c:v>
                </c:pt>
                <c:pt idx="424">
                  <c:v>7.2325680599689759E-2</c:v>
                </c:pt>
                <c:pt idx="425">
                  <c:v>1.206671825991783</c:v>
                </c:pt>
                <c:pt idx="426">
                  <c:v>0.6127214992979807</c:v>
                </c:pt>
                <c:pt idx="427">
                  <c:v>-1.3169984791246021</c:v>
                </c:pt>
                <c:pt idx="428">
                  <c:v>-0.35754571833407811</c:v>
                </c:pt>
                <c:pt idx="429">
                  <c:v>0.48710309586197548</c:v>
                </c:pt>
                <c:pt idx="430">
                  <c:v>0.19021052158867119</c:v>
                </c:pt>
                <c:pt idx="431">
                  <c:v>7.8072262367362533E-2</c:v>
                </c:pt>
                <c:pt idx="432">
                  <c:v>-0.29800043652274932</c:v>
                </c:pt>
                <c:pt idx="433">
                  <c:v>0.84618389049881459</c:v>
                </c:pt>
                <c:pt idx="434">
                  <c:v>0.17231222540979921</c:v>
                </c:pt>
                <c:pt idx="435">
                  <c:v>-7.1332765686594385E-2</c:v>
                </c:pt>
                <c:pt idx="436">
                  <c:v>0.15950264983152029</c:v>
                </c:pt>
                <c:pt idx="437">
                  <c:v>0.10025284638811149</c:v>
                </c:pt>
                <c:pt idx="438">
                  <c:v>-0.23286889604081901</c:v>
                </c:pt>
                <c:pt idx="439">
                  <c:v>-0.54201474035290365</c:v>
                </c:pt>
                <c:pt idx="440">
                  <c:v>-0.73670063753394177</c:v>
                </c:pt>
                <c:pt idx="441">
                  <c:v>2.4060539633222709E-2</c:v>
                </c:pt>
                <c:pt idx="442">
                  <c:v>0.46162697948890191</c:v>
                </c:pt>
                <c:pt idx="443">
                  <c:v>0.71433963262779576</c:v>
                </c:pt>
                <c:pt idx="444">
                  <c:v>0.79448231367551037</c:v>
                </c:pt>
                <c:pt idx="445">
                  <c:v>0.20939204784704599</c:v>
                </c:pt>
                <c:pt idx="446">
                  <c:v>1.1254579138362211</c:v>
                </c:pt>
                <c:pt idx="447">
                  <c:v>-0.58752929069273818</c:v>
                </c:pt>
                <c:pt idx="448">
                  <c:v>-0.80825472795393982</c:v>
                </c:pt>
                <c:pt idx="449">
                  <c:v>-0.16697406723331909</c:v>
                </c:pt>
                <c:pt idx="450">
                  <c:v>0.26470318160291839</c:v>
                </c:pt>
                <c:pt idx="451">
                  <c:v>-7.5863094653828983E-2</c:v>
                </c:pt>
                <c:pt idx="452">
                  <c:v>-0.28008027145834852</c:v>
                </c:pt>
                <c:pt idx="453">
                  <c:v>-0.325573327079555</c:v>
                </c:pt>
                <c:pt idx="454">
                  <c:v>-0.1528864352350631</c:v>
                </c:pt>
                <c:pt idx="455">
                  <c:v>-0.31471083923367599</c:v>
                </c:pt>
                <c:pt idx="456">
                  <c:v>-0.2811862976704087</c:v>
                </c:pt>
                <c:pt idx="457">
                  <c:v>-0.27480775224491982</c:v>
                </c:pt>
                <c:pt idx="458">
                  <c:v>-0.88550486156615782</c:v>
                </c:pt>
                <c:pt idx="459">
                  <c:v>-0.94683356940088115</c:v>
                </c:pt>
                <c:pt idx="460">
                  <c:v>-1.163776867757768</c:v>
                </c:pt>
                <c:pt idx="461">
                  <c:v>-0.20849092493458199</c:v>
                </c:pt>
                <c:pt idx="462">
                  <c:v>0.44308819970882263</c:v>
                </c:pt>
                <c:pt idx="463">
                  <c:v>2.185624403250807E-2</c:v>
                </c:pt>
                <c:pt idx="464">
                  <c:v>0.7912515011299146</c:v>
                </c:pt>
                <c:pt idx="465">
                  <c:v>1.1139165419917869</c:v>
                </c:pt>
                <c:pt idx="466">
                  <c:v>-0.29066159631490163</c:v>
                </c:pt>
                <c:pt idx="467">
                  <c:v>-1.5076717473490711</c:v>
                </c:pt>
                <c:pt idx="468">
                  <c:v>-0.65139107264854768</c:v>
                </c:pt>
                <c:pt idx="469">
                  <c:v>-0.6273034165522392</c:v>
                </c:pt>
                <c:pt idx="470">
                  <c:v>-0.68498804699407234</c:v>
                </c:pt>
                <c:pt idx="471">
                  <c:v>-0.94342172425423754</c:v>
                </c:pt>
                <c:pt idx="472">
                  <c:v>6.3584685928101042E-2</c:v>
                </c:pt>
                <c:pt idx="473">
                  <c:v>-1.014123239486473</c:v>
                </c:pt>
                <c:pt idx="474">
                  <c:v>-0.68041303924689012</c:v>
                </c:pt>
                <c:pt idx="475">
                  <c:v>-0.71644276055311473</c:v>
                </c:pt>
                <c:pt idx="476">
                  <c:v>-0.34941748641136372</c:v>
                </c:pt>
                <c:pt idx="477">
                  <c:v>0.87522383530179015</c:v>
                </c:pt>
                <c:pt idx="478">
                  <c:v>-0.15816520088515429</c:v>
                </c:pt>
                <c:pt idx="479">
                  <c:v>-0.33032077877092519</c:v>
                </c:pt>
                <c:pt idx="480">
                  <c:v>-1.318458695966662</c:v>
                </c:pt>
                <c:pt idx="481">
                  <c:v>0.12110303569778789</c:v>
                </c:pt>
                <c:pt idx="482">
                  <c:v>0.19103756867490421</c:v>
                </c:pt>
                <c:pt idx="483">
                  <c:v>-8.9923230386447589E-2</c:v>
                </c:pt>
                <c:pt idx="484">
                  <c:v>-0.1124175470566411</c:v>
                </c:pt>
                <c:pt idx="485">
                  <c:v>-1.088370644903097</c:v>
                </c:pt>
                <c:pt idx="486">
                  <c:v>-0.56561851847611866</c:v>
                </c:pt>
                <c:pt idx="487">
                  <c:v>0.59286609311833449</c:v>
                </c:pt>
                <c:pt idx="488">
                  <c:v>0.71149155363675343</c:v>
                </c:pt>
                <c:pt idx="489">
                  <c:v>0.13367988011970661</c:v>
                </c:pt>
                <c:pt idx="490">
                  <c:v>-0.41382778230507961</c:v>
                </c:pt>
                <c:pt idx="491">
                  <c:v>-0.31346004161690472</c:v>
                </c:pt>
                <c:pt idx="492">
                  <c:v>0.70242399984959658</c:v>
                </c:pt>
                <c:pt idx="493">
                  <c:v>0.1046322423069046</c:v>
                </c:pt>
                <c:pt idx="494">
                  <c:v>-1.2216061774338011E-2</c:v>
                </c:pt>
                <c:pt idx="495">
                  <c:v>-0.52484339664926438</c:v>
                </c:pt>
                <c:pt idx="496">
                  <c:v>-0.37319297315028133</c:v>
                </c:pt>
                <c:pt idx="497">
                  <c:v>0.2480089739247523</c:v>
                </c:pt>
                <c:pt idx="498">
                  <c:v>-0.42298131011393142</c:v>
                </c:pt>
                <c:pt idx="499">
                  <c:v>0.61322277816797754</c:v>
                </c:pt>
                <c:pt idx="500">
                  <c:v>0.21016454834417311</c:v>
                </c:pt>
                <c:pt idx="501">
                  <c:v>0.40877223665423162</c:v>
                </c:pt>
                <c:pt idx="502">
                  <c:v>-0.43562937255892548</c:v>
                </c:pt>
                <c:pt idx="503">
                  <c:v>0.61938345514847915</c:v>
                </c:pt>
                <c:pt idx="504">
                  <c:v>-7.2212410173275274E-2</c:v>
                </c:pt>
                <c:pt idx="505">
                  <c:v>-1.38218696124406</c:v>
                </c:pt>
                <c:pt idx="506">
                  <c:v>-0.25787121084732989</c:v>
                </c:pt>
                <c:pt idx="507">
                  <c:v>-0.19475520654753581</c:v>
                </c:pt>
                <c:pt idx="508">
                  <c:v>-0.67727688511075534</c:v>
                </c:pt>
                <c:pt idx="509">
                  <c:v>0.40453696300225322</c:v>
                </c:pt>
                <c:pt idx="510">
                  <c:v>0.33442503239489041</c:v>
                </c:pt>
                <c:pt idx="511">
                  <c:v>-0.81062405484540512</c:v>
                </c:pt>
                <c:pt idx="512">
                  <c:v>0.27178603972312909</c:v>
                </c:pt>
                <c:pt idx="513">
                  <c:v>0.48264966747140492</c:v>
                </c:pt>
                <c:pt idx="514">
                  <c:v>0.29174199700328157</c:v>
                </c:pt>
                <c:pt idx="515">
                  <c:v>-0.92563932764599999</c:v>
                </c:pt>
                <c:pt idx="516">
                  <c:v>0.1346499550606427</c:v>
                </c:pt>
                <c:pt idx="517">
                  <c:v>1.2080244426249851</c:v>
                </c:pt>
                <c:pt idx="518">
                  <c:v>-0.2113925839277121</c:v>
                </c:pt>
                <c:pt idx="519">
                  <c:v>0.46456190836493311</c:v>
                </c:pt>
                <c:pt idx="520">
                  <c:v>-1.068511935336548</c:v>
                </c:pt>
                <c:pt idx="521">
                  <c:v>0.79560422518830098</c:v>
                </c:pt>
                <c:pt idx="522">
                  <c:v>0.2370141064731503</c:v>
                </c:pt>
                <c:pt idx="523">
                  <c:v>0.91443630912481699</c:v>
                </c:pt>
                <c:pt idx="524">
                  <c:v>-0.38508098633154741</c:v>
                </c:pt>
                <c:pt idx="525">
                  <c:v>0.28458626427785222</c:v>
                </c:pt>
                <c:pt idx="526">
                  <c:v>-9.4974082627740947E-3</c:v>
                </c:pt>
                <c:pt idx="527">
                  <c:v>-0.34593979336475122</c:v>
                </c:pt>
                <c:pt idx="528">
                  <c:v>-0.51647912273649821</c:v>
                </c:pt>
                <c:pt idx="529">
                  <c:v>0.97405813773227301</c:v>
                </c:pt>
                <c:pt idx="530">
                  <c:v>-0.43727941079040572</c:v>
                </c:pt>
                <c:pt idx="531">
                  <c:v>-0.86161776121974798</c:v>
                </c:pt>
                <c:pt idx="532">
                  <c:v>-0.43187261046221259</c:v>
                </c:pt>
                <c:pt idx="533">
                  <c:v>-0.32978100891184098</c:v>
                </c:pt>
                <c:pt idx="534">
                  <c:v>-1.002232458795989</c:v>
                </c:pt>
                <c:pt idx="535">
                  <c:v>-0.17871858735640031</c:v>
                </c:pt>
                <c:pt idx="536">
                  <c:v>0.54211675469943044</c:v>
                </c:pt>
                <c:pt idx="537">
                  <c:v>0.60480107710714692</c:v>
                </c:pt>
                <c:pt idx="538">
                  <c:v>-0.47874240867791262</c:v>
                </c:pt>
                <c:pt idx="539">
                  <c:v>0.58867075461529694</c:v>
                </c:pt>
                <c:pt idx="540">
                  <c:v>-0.3866721470113586</c:v>
                </c:pt>
                <c:pt idx="541">
                  <c:v>-2.8298199831287311E-3</c:v>
                </c:pt>
                <c:pt idx="542">
                  <c:v>-0.70893381923483345</c:v>
                </c:pt>
                <c:pt idx="543">
                  <c:v>-0.21569950874407781</c:v>
                </c:pt>
                <c:pt idx="544">
                  <c:v>-0.27953164252652879</c:v>
                </c:pt>
                <c:pt idx="545">
                  <c:v>4.7502337723716342E-2</c:v>
                </c:pt>
                <c:pt idx="546">
                  <c:v>-0.21408833435232141</c:v>
                </c:pt>
                <c:pt idx="547">
                  <c:v>0.33413769721549841</c:v>
                </c:pt>
                <c:pt idx="548">
                  <c:v>-0.466323531966157</c:v>
                </c:pt>
                <c:pt idx="549">
                  <c:v>0.47364165587695273</c:v>
                </c:pt>
                <c:pt idx="550">
                  <c:v>-0.2058729602544789</c:v>
                </c:pt>
                <c:pt idx="551">
                  <c:v>0.23380667586978171</c:v>
                </c:pt>
                <c:pt idx="552">
                  <c:v>-6.1196048204087562E-2</c:v>
                </c:pt>
                <c:pt idx="553">
                  <c:v>0.14599185314010771</c:v>
                </c:pt>
                <c:pt idx="554">
                  <c:v>-0.18951337185641981</c:v>
                </c:pt>
                <c:pt idx="555">
                  <c:v>-0.15630205265086539</c:v>
                </c:pt>
                <c:pt idx="556">
                  <c:v>-0.12309565789503631</c:v>
                </c:pt>
                <c:pt idx="557">
                  <c:v>-7.5318271090298074E-3</c:v>
                </c:pt>
                <c:pt idx="558">
                  <c:v>-0.36807719219188112</c:v>
                </c:pt>
                <c:pt idx="559">
                  <c:v>-0.37595004119980269</c:v>
                </c:pt>
                <c:pt idx="560">
                  <c:v>-0.4234196135570692</c:v>
                </c:pt>
                <c:pt idx="561">
                  <c:v>-1.8256664283666822E-2</c:v>
                </c:pt>
                <c:pt idx="562">
                  <c:v>-0.40571007047072122</c:v>
                </c:pt>
                <c:pt idx="563">
                  <c:v>0.28577435390866529</c:v>
                </c:pt>
                <c:pt idx="564">
                  <c:v>-0.6132785510782468</c:v>
                </c:pt>
                <c:pt idx="565">
                  <c:v>0.32168567369177681</c:v>
                </c:pt>
                <c:pt idx="566">
                  <c:v>0.27446039137200362</c:v>
                </c:pt>
                <c:pt idx="567">
                  <c:v>-8.8044116489659985E-2</c:v>
                </c:pt>
                <c:pt idx="568">
                  <c:v>0.1443440593438341</c:v>
                </c:pt>
                <c:pt idx="569">
                  <c:v>-0.12575679578783169</c:v>
                </c:pt>
                <c:pt idx="570">
                  <c:v>-0.34562341168156341</c:v>
                </c:pt>
                <c:pt idx="571">
                  <c:v>3.1293460117200883E-2</c:v>
                </c:pt>
                <c:pt idx="572">
                  <c:v>-0.20363514487593071</c:v>
                </c:pt>
                <c:pt idx="573">
                  <c:v>0.29063997779464168</c:v>
                </c:pt>
                <c:pt idx="574">
                  <c:v>-0.17372310455334</c:v>
                </c:pt>
                <c:pt idx="575">
                  <c:v>0.12814753448634619</c:v>
                </c:pt>
                <c:pt idx="576">
                  <c:v>-0.3331728568771643</c:v>
                </c:pt>
                <c:pt idx="577">
                  <c:v>-0.22685764703251909</c:v>
                </c:pt>
                <c:pt idx="578">
                  <c:v>-9.6675344183596135E-2</c:v>
                </c:pt>
                <c:pt idx="579">
                  <c:v>-0.20458576180458149</c:v>
                </c:pt>
                <c:pt idx="580">
                  <c:v>-0.42137860571907959</c:v>
                </c:pt>
                <c:pt idx="581">
                  <c:v>-0.31397527276174281</c:v>
                </c:pt>
                <c:pt idx="582">
                  <c:v>-0.46253759643757208</c:v>
                </c:pt>
                <c:pt idx="583">
                  <c:v>-0.2946774984263662</c:v>
                </c:pt>
                <c:pt idx="584">
                  <c:v>-0.80028150273925847</c:v>
                </c:pt>
                <c:pt idx="585">
                  <c:v>-0.14296820074404801</c:v>
                </c:pt>
                <c:pt idx="586">
                  <c:v>-0.1794714789062419</c:v>
                </c:pt>
                <c:pt idx="587">
                  <c:v>-0.48856156041446569</c:v>
                </c:pt>
                <c:pt idx="588">
                  <c:v>0.22183582615809261</c:v>
                </c:pt>
                <c:pt idx="589">
                  <c:v>-0.18470228377834469</c:v>
                </c:pt>
                <c:pt idx="590">
                  <c:v>0.16307708136283439</c:v>
                </c:pt>
                <c:pt idx="591">
                  <c:v>-0.61782057558601378</c:v>
                </c:pt>
                <c:pt idx="592">
                  <c:v>-0.29900823688685929</c:v>
                </c:pt>
                <c:pt idx="593">
                  <c:v>-4.7396680254798602E-2</c:v>
                </c:pt>
                <c:pt idx="594">
                  <c:v>-0.14652630180090001</c:v>
                </c:pt>
                <c:pt idx="595">
                  <c:v>-0.26301980968739952</c:v>
                </c:pt>
                <c:pt idx="596">
                  <c:v>0.48173389961058588</c:v>
                </c:pt>
                <c:pt idx="597">
                  <c:v>-0.24327208436724901</c:v>
                </c:pt>
                <c:pt idx="598">
                  <c:v>7.1151503436162084E-2</c:v>
                </c:pt>
                <c:pt idx="599">
                  <c:v>-0.3242230962102961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4DCF-4EBE-B9CB-14CB46DEF5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7542656"/>
        <c:axId val="81092608"/>
      </c:scatterChart>
      <c:valAx>
        <c:axId val="47542656"/>
        <c:scaling>
          <c:orientation val="minMax"/>
          <c:max val="3.5"/>
          <c:min val="-3.5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"/>
            </a:pPr>
            <a:endParaRPr lang="es-ES"/>
          </a:p>
        </c:txPr>
        <c:crossAx val="81092608"/>
        <c:crossesAt val="0"/>
        <c:crossBetween val="midCat"/>
      </c:valAx>
      <c:valAx>
        <c:axId val="81092608"/>
        <c:scaling>
          <c:orientation val="minMax"/>
          <c:max val="3.2"/>
          <c:min val="-2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"/>
            </a:pPr>
            <a:endParaRPr lang="es-ES"/>
          </a:p>
        </c:txPr>
        <c:crossAx val="47542656"/>
        <c:crossesAt val="0"/>
        <c:crossBetween val="midCat"/>
      </c:valAx>
      <c:spPr>
        <a:solidFill>
          <a:srgbClr val="F79646">
            <a:lumMod val="20000"/>
            <a:lumOff val="80000"/>
          </a:srgbClr>
        </a:solidFill>
        <a:ln w="19050" cap="rnd" cmpd="thickThin">
          <a:solidFill>
            <a:srgbClr val="1F497D">
              <a:lumMod val="50000"/>
            </a:srgbClr>
          </a:solidFill>
        </a:ln>
        <a:effectLst>
          <a:outerShdw blurRad="152400" dist="317500" dir="5400000" sx="90000" sy="-19000" rotWithShape="0">
            <a:schemeClr val="tx1">
              <a:lumMod val="75000"/>
              <a:lumOff val="25000"/>
              <a:alpha val="15000"/>
            </a:schemeClr>
          </a:outerShdw>
        </a:effectLst>
      </c:spPr>
    </c:plotArea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600075</xdr:colOff>
      <xdr:row>14</xdr:row>
      <xdr:rowOff>19050</xdr:rowOff>
    </xdr:from>
    <xdr:to>
      <xdr:col>42</xdr:col>
      <xdr:colOff>19050</xdr:colOff>
      <xdr:row>52</xdr:row>
      <xdr:rowOff>142875</xdr:rowOff>
    </xdr:to>
    <xdr:graphicFrame macro="">
      <xdr:nvGraphicFramePr>
        <xdr:cNvPr id="4" name="2 Gráfico">
          <a:extLst>
            <a:ext uri="{FF2B5EF4-FFF2-40B4-BE49-F238E27FC236}">
              <a16:creationId xmlns:a16="http://schemas.microsoft.com/office/drawing/2014/main" id="{87ED22D7-3FD4-4758-B961-86B5A9F17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24</xdr:col>
      <xdr:colOff>0</xdr:colOff>
      <xdr:row>54</xdr:row>
      <xdr:rowOff>0</xdr:rowOff>
    </xdr:from>
    <xdr:to>
      <xdr:col>24</xdr:col>
      <xdr:colOff>304800</xdr:colOff>
      <xdr:row>55</xdr:row>
      <xdr:rowOff>114300</xdr:rowOff>
    </xdr:to>
    <xdr:sp macro="" textlink="">
      <xdr:nvSpPr>
        <xdr:cNvPr id="1025" name="AutoShape 1" descr="data:image/png;base64,iVBORw0KGgoAAAANSUhEUgAAAkQAAAHJCAYAAABkJibBAAAAOXRFWHRTb2Z0d2FyZQBNYXRwbG90bGliIHZlcnNpb24zLjkuMiwgaHR0cHM6Ly9tYXRwbG90bGliLm9yZy8hTgPZAAAACXBIWXMAAA9hAAAPYQGoP6dpAACjP0lEQVR4nOzdd3xT5f4H8M9Jmu6dTtrSpgtLoZRR6ICLgOOqIHIBrzhBwYFXcKEgKCIgVlEZ6lVBQeWHXkaVcVniYLWUWcqS1RYolNK9S5vk/P7ITUjSJD3ZJ833/Xr5kiZnPOfJGd/zTIZlWRaEEEIIIU5MYO8EEEIIIYTYGwVEhBBCCHF6FBARQgghxOlRQEQIIYQQp0cBESGEEEKcHgVEhBBCCHF6FBARQgghxOlRQEQIIYQQp0cBESGEEEKcHgVEhBCTrV69GgzDYPXq1WZtp6SkBAzDYOLEiRZJl6389ttvGDx4MAICAsAwDB566CF7J4kQYiIKiAghAACGYTr85+bmhpiYGDz11FM4e/asvZPYKUsFaFxcvnwZo0aNwqVLlzBp0iTMnTsXjzzyiMF1/vzzzw557OrqisjISDz88MM4dOiQ3nV//fVXPPbYY5BIJPD09ISHhwfi4+PxxBNPYPv27Qb3e/fdd4NhGERFRUEmk5l0vIR0dS72TgAhhF/mzp2r+nddXR0OHTqE77//Hhs3bsT+/fuRmpqq+n7MmDFIT09HeHi4HVJqX7/++itaWlqwcuVKPProo0atGx0drSoNa2pqwsGDB7F+/Xrk5OQgJycHDz74oGrZhoYGPPnkk/jll1/g7u6O4cOH4x//+AdEIhFKSkqwY8cOrFmzBq+99hoWL17cYV9FRUX47bffwDAMSktLsWPHDjzwwANmHTshXREFRIQQDe+++26Hz1566SV89tlnWLJkiUbpi5+fH/z8/GyXOB65fv06AKBbt25GrxsTE9Mhn+fOnYv33nsPr7zyiiogksvlGD9+PHbu3Ilhw4ZhzZo1HfbX1taGr7/+Gn/99ZfOfa1YsQIsy2L27NlYuHAhvv76awqICNGFJYQQlmUBsPpuCZs3b2YBsPfff7/G56tWrWIBsKtWrdL4PDo6mo2OjmZra2vZF198ke3WrRvr5ubGJiUlsUuXLmXlcrnG8sXFxSwA9qmnnuqw72vXrrEvvPACGx0dzYpEIjYoKIh96KGH2EOHDmksN3ToUNUxaP9XXFzMKQ9++ukndvDgwayvry/r7u7OJicnswsXLmRbWlpUy/zxxx969/PHH38Y3L5y3aFDh3b4rry8XLWdiooKlmVZ9ocffmABsPHx8WxjY6PBbbe2tnb4rL29nQ0LC2MDAgLY1tZWtm/fvqxQKGSvXbvWeWYQ4mSohIgQ0qndu3cDAAYOHMh5nba2Ntx1112ora3FI488gra2NmzcuBHTp0/HuXPn8Pnnn3e6jaKiIgwePBhlZWUYMWIEJkyYgKtXr2L9+vX473//i/Xr12P06NEAgIkTJ8Lf3x+bNm3C6NGjNar2/P39O93Xm2++iQ8//BDBwcF47LHH4OXlhW3btmH27NnYsWMHdu/eDVdXV8TExGDu3Ln4888/sWfPHjz11FOIiYkBANX/LWXFihUAgNdffx1eXl4Gl3Vzc+vw2ebNm3Hjxg288MILcHNzw8SJEzF9+nR8++23mDNnjkXTSojDs3dERgjhB/yvdGLu3Lmq/1555RV28ODBLMMw7OjRo9mGhgaNdQyVEAFgs7KyNEouqqqq2NjYWBYAu2fPHtXn+kqI7r77bhYA+8EHH2h8vm/fPlYgELABAQFsfX19p+npzP79+1kAbHR0NFteXq76vL29nb3//vtZAOyCBQs01pk7dy6nUiF1hkqI3n33XRYAK5FIVPt2dXVlAbAXLlww6niU7r33XhYAe/DgQZZlWbayspJ1dXVlY2JiOpTSEeLsqISIEKJh3rx5HT7r2bMnxo0bB29vb6O2tWjRIo2Si8DAQLz99tuYNGkSVq1ahb/97W961y0tLcWvv/6K6OhovPbaaxrfDR48GI888gjWrl2Ln3/+GU8++aRR6dK2atUqAMCcOXMQEhKi+tzFxQWffPIJduzYgW+++QazZ882az9KJSUlqjZEzc3NyM/Px969eyEQCPDxxx8DAKqrq9HW1gYAiIyMNHofly9fxq+//oqkpCQMGjQIACAWizFy5Ejk5OTg119/xT333GOR4yGkK6Bu94QQDSzLqv5rbGxEfn4+QkND8cQTTxgVELi4uCAzM7PD53feeScA4Pjx4wbXV34/ZMgQuLh0fHe76667AADHjh3jnKbO9jVs2LAO3/Xo0QORkZEoLi5GbW2t2fsCFMHKvHnzMG/ePHz66ae4cOEC/vGPf2Dfvn0YM2YMAMXvYI6VK1dCLpfjqaee0vhc2bvt66+/Nmv7hHQ1FBARQvTy8vLCwIEDkZOTAy8vL3z44Ye4evUqp3WDgoIgFAo7fB4WFgZA0aXfEOX3yuW1Kbv6d7YdLmy5LwAYOnSoKuhsb2/H9evXsXHjRo0AUiwWw9XVFQBw7do1o7Yvk8mwatUqCAQCPPHEExrf3XfffQgNDcXmzZtx8+ZN8w+GkC6CAiJCSKf8/f3Ro0cPSKVSziUylZWVOgcBvHHjBgB02l1f+b1yeW1lZWWctsOFLffFlYuLC9LT0wEoRsQ2xtatW3Ht2jXI5XJERERoDAQpEolQXl6O9vZ2VVUhIYTGISKEcFRTUwNAMTYOF1KpFLm5uRgyZIjG53/++ScAoG/fvgbXV36/f/9+SKXSDtVmf/zxBwCgX79+qs+UJVLGjsbct29fHDt2DH/++Sfi4uI0vrt48SJKS0shkUg49VazpGeffRZ79+7F4sWL8fjjj8PT01Pvsrdu3VK111L2Ths5ciRCQ0M7LNve3o7vv/8eK1euxBtvvAGGYaxzAIQ4ECohIoR06pdffkFxcTFEIpHOdkH6zJo1C7du3VL9XV1djQULFgAAJk2aZHDdyMhI3H333SgpKcGSJUs0vsvPz8fatWsREBCganMDKKqZAHCu1lN6+umnAQALFixARUWF6nOZTIbXX38dcrkczzzzjFHbtIQJEybg3nvvxYULFzB69GhVSZW6trY2fP7556qG58rRqAMCArB+/XqsXLmyw3/fffcd0tPTcfHiRVVgSYizoxIiQogG9RGUm5qacObMGdVcWe+//77OEgddwsPD0dbWhl69euHBBx9Ee3s7NmzYgLKyMkydOtVgDzOlL7/8EllZWZgxYwZ27dqFAQMGqMYhEggEWLVqFXx8fFTLZ2RkwNPTE0uWLEFVVZUqrS+99JLB6q7MzEy88cYb+PDDD9GrVy+MGzcOXl5e2L59O06dOoXBgwdjxowZnI7bkgQCAdavX48nnngCmzZtQmxsLEaMGIGkpCQIhUJcvnwZv/32GyoqKvD6668DUDSmlslkePzxx+Hu7q5325MnT8bBgwexYsUKDB8+3FaHRAh/2bPPPyGEP6Bj5GWhUMiGhYWxDz74ILtr164O63AZqXrq1Klst27dWFdXV/aOO+4weqTq0tJS9vnnn2e7d+/OikQiViwWs6NHj+4wUrXS9u3b2fT0dNbLy8vokap//PFHNisri/X29mbd3NzYnj17sgsWLNAYqVrJ0uMQdWbnzp3shAkT2JiYGNbd3Z11c3NjJRIJO2HCBHb79u0sy7KsTCZjo6KiWADsiRMnDG6vsbGR9fHxYd3c3FQjYxPizBiWNbNvJyGEaFGO2FxSUmLXdBBCCFfUhogQQgghTo8CIkIIIYQ4PQqICCGEEOL0qA0RIYQQQpwelRARQgghxOlRQEQIIYQQp0cBESGEEEKcHgVEhBBCCHF6NHWHEWpqaiCVSu2dDN4IDg7WmPeJWBblr/VQ3loP5a31UN4az8XFBQEBAdyWtXJauhSpVIr29nZ7J4MXlLNjS6VSUEdFy6P8tR7KW+uhvLUeylvroyozQgghhDg9CogIIYQQ4vQoICKEEEKI06OAiBBCCCFOjwIiQgghhDg9CogIIYQQ4vQoICKEEEKI06OAiBBCCCFOjwIiQgghhJjs6tWriIiIwKlTp+ydFLNQQEQIIYQQp0cBESGEEOJkWJaluTm1UEBECCGEdAEsy+KLL75ARkYG4uLicNddd2Hr1q0AgNzcXERERODPP//EfffdB4lEgvz8fJSUlGDSpEno06cPEhIScP/992Pv3r0a2x00aBCWLVuGV199FYmJiUhLS8OaNWv0pkMul2PGjBkYPHgwSktLrXrMlkQBESGEENIFZGdn4z//+Q8WLVqE33//HVOmTMG0adOQl5enWmbBggWYNWsW/vzzTyQlJaGpqQnDhw/HTz/9hJ07d2Lo0KGYNGkSrl27prHtr776CikpKdi5cyeeeuopzJo1CxcvXuyQhra2Njz33HM4ceIEfvnlF0RGRlr9uC2FZrsnhBBCHFxzczNWrFiB//znPxgwYAAAIDo6GocPH8aaNWvw2GOPAQBmzJiBv/3tb6r1AgMDkZycrPr7zTffxPZt27H156147l/PqT4fPnw4Jk6cCAB48cUXsWLFCuTm5iI+Pl4jDU8++SRaW1uxYcMG+Pr6WvOQLY4CIkIIIcTBnT9/Hq2trZgwYYLG5+3t7ejVq5fq75SUFI3vm5ub8cknn2D37t0oLy9H+612tN5qRdGpIo3levbsqfo3wzAIDg5GVVWVxjJTp05FeHg41q1bBw8PD0sdms04ZEC0c+dObN68GbW1tYiMjMTEiRORlJSkd/n29nZs2LAB+/btQ21tLcRiMcaMGYPhw4fbMNWEEEKIdcjlcgDA999/j7CwMI3vXF1dcfnyZQCAp6enxnfz58/Hnj178PbbbyPYIxiX1l7CZ0c/g2uQq8ZyLi6a4QLDMKp9Kg0fPhw5OTk4evQoBg8ebJHjsiWHC4hyc3OxevVqTJ48GT169MDu3bvx/vvv49NPP0VQUJDOdT799FPU1dXh+eefR1hYGOrr6yGTyWycckIIIcQ6EhMT4ebmhmvXriEjI6PD98qASNuhQ4cwfvx4pMeno/DfhRgwYQAq91WCETBGp+HJJ5/EHXfcgUmTJuH777/XmQ4+c7iAaOvWrRg+fDhGjBgBAJg4cSJOnDiBXbt24dFHH+2wfEFBAc6cOYPPPvsM3t7eAICQkBCbppkQQgixJm9vbzz33HN49913IZfLMXDgQDQ2NuLIkSPw9PTU27g5JiYGW3K2ILAwEPEPxWP+d/M7lPwY4+mnn4ZMJsNTTz2FNWvWYODAgSZvy9YcKiCSSqUoKirCQw89pPF5SkoKzp07p3OdI0eOIC4uDps2bcLevXvh7u6O/v3745FHHoGrq6vOddrb29He3q76m2EYVX0owxgfNXdFynyg/LAOyl/roby1Hspb6+GSt2+++SaCgoLw2Wef4cqVK/D19UXv3r0xbdo0VZDDMIzGNqY+OBUz352J9/a8h8BTgXjxxRfR2NjYYTntv3V9rvz3s88+C5Zl8cQTT+D//u//kJaWZpE8sDaGZVnW3ongqrq6Gs8//zzmz5+PHj16qD7PycnBnj17sHTp0g7rLFy4EGfOnEHv3r0xbtw41NfX45tvvkFycjKmTp2qcz/r1q3Dhg0bVH9LJBJkZ2db/oAIIYQQOzm3+RzObT6Hoe8MhV93P3snx+4cqoRISV+Uqosy3ps2bZqqMVl7ezs++eQTTJ48WWcp0ZgxYzBy5MgO266oqKCRPf+HYRiEhYXhxo0bcKCY2mFQ/loP5a31UN5ajyXzlmVZXNhwAWX5ZUh7Mw3NomY0lzVbKKX84uLiguDgYG7LWjktFuXr6wuBQIDa2lqNz+vq6uDnpzu69ff3R2BgoEbL+oiICLAsi6qqKoSHh3dYRyQSQSQS6dweXeSaWJalPLEiyl/roby1Hspb6zE3b1mWxZnVZ1D9VzUGvjUQ7gHu9Fv9j0ONVO3i4oLY2FgUFhZqfF5YWKhRhabujjvuQE1NDVpbW1WflZWVgWEYiMViq6aXEEII4Qu5TI4Tn51AzfkaDHp7ENwD3O2dJF5xqIAIAEaOHInffvsNv//+O0pLS7F69WpUVlbi7rvvBgCsXbsWn332mWr5wYMHw8fHB1988QVKS0tx5swZrFmzBsOGDdPbqJoQQgjpSuTtchz58AiabjQh/Z10uHrT80+bQ1WZAUBmZiYaGhqwceNG1NTUICoqCrNmzVLVEdbU1KCyslK1vLu7O+bMmYNvv/0WM2fOhI+PDzIyMvDII4/Y6xAIIYQQm5HdkuHg/IMQugqRPjcdQlehvZPESw7Vy8zeKioqNLrjOzOGYRAeHo6ysjKqf7YCyl/roby1Hspb6zE1b9ub25G/IB8eYg/0nd4XAheHqxgyi0gk6pqNqgkhhBDCTVt9G/Lfz4efxA+9p/Q2afRpZ0IBESGEENLFtFS34PAHhxGSGoIeE3rQYJkcUEBECCGEdCFNN5pwdPFRRN4ZCckDEgqGOKKAiBBCCOki6krqULC8AHEPxiFyqO75y4huztW6ihDS5RQXC7F2rQeKi6nnDHFu1WerUbCsAD0e6UHBkAmohIgQ4rCKi4UYOzYI5eVChIbKsHFjJSQSmb2TRYjN3Tx2E2fXnEXvKb0RmBRo7+Q4JCohIoQ4rLw8V5SXK0qGysuFOHiQBpsjzqd0bynO/t9ZpL6USsGQGSggIoQ4rIyMNoSGKkqEQkNlyMhos3OKCLGt4v8Wo2hzEQa8PgB+Epqx3hxUZUYIcRjFxULk5bkiI6MNEokMEomimuzgQcVnMTFUXUacA8uyOP/TeZQfL0farDR4iD3snSSHRwERIcQhFBcLMXp0EKqqhBCLZdi0qVIVFEkkLfZOHiE2w8pZnFp5CrWXapE+Jx2uvlRVbAlUZUYIcQhbtrijqkrRXqiqSoitW2mmbuJ85DI5ji05hrqSOqTPpWDIkqiEiBDikGisOeJsZG0yHFp4CNJbUqS/kw4Xd3qEWxKVEBFCHMKoUa0QixVthMRiGUaObLVzigixHWmrFDtf2wnGhUHG3AwKhqyAcpQQ4hAkEkW7IWpATZxNe1M78hfmIyw+DHET42iSViuhgIgQ4jCoATVxNrfqbuHQ+4cQeEcghrw1BDdu3ADLsvZOVpdEVWaEELuj6TcI6ai5shn5C/IR2j8UyZOSaZJWK6MSIkKIXdH0G4R01HitEUc/OYrou6MR8/cYCoZsgEqICCF2RdNvEKKp9lItjn58FAn/SEDM32PsnRynQQERIcSuaPoNQm6rPFWJE5+fQNKTSeiW1c3eyXEqVGVGCLErmn6DEIWy/DKc/895pDyfgoDEAHsnx+lQQEQIsRntuciUqPcYcXZXfruC4m3F6PdKP/hE+dg7OU6JAiJCiE3s2+eKKVMC0dAgoMbThPwPy7K4tOkSru+/jgFvDoBXiJe9k+S0qA0RIcTqiouFqmAIoMbThACKYOjsD2dRlluGtLfSKBiyMyohIoRYXV6eqyoYAgAfHzk1niZOjZWzKPyyEA1XGjDo7UFw9aEXBHujEiJCiNWp9yTz8ZFj5cpqajxNnJZcKseRxUfQeK1RMWM9BUO8QCVEhBCro55khCjIbslw6P1DYMEi/Z10CN1odHa+oICIEGIT1JOMODtpixT5C/Lh6ueK/q/2h8CFKmn4hAIiQgghxMraGttwaMEh+HT3QcrzKTRjPQ9RQEQIIYRYUUt1C45kH4E4WYykJ5JoXjKeovI6QojRaHZ6QrhputmEw+8fRnhGOAVDPEclRIQQo9Ds9IRw03C1AceWHIPkAQm6D+9u7+SQTlAJESHEKDQ7PSGdqzlfg2OfHkPiw4kUDDkICogIIUah2ekJMexmwU0UflmI5KeTET4o3N7JIRxRlRkhxCg0phAh+l0/cB0XNl5Anxf7wD/O397JIUaggIgQYjQaU4iQjkp2lODyr5fR/7X+8I7wtndyiJEoICKEEELMwLIsLqy/gBuHbyBtVho8gzztnSRiAmpDRAixO+rGTxwVy7I4veo0yo+WY9CcQRQMOTAqISKE2BV14yeOSi6T48RnJ9B0ownp76RD5CWyd5KIGaiEiBBiV9SNnzgiebscR7KPoPlmM9LnUjDUFVBARAixK+rGTxyNtFWKvHl5kMvkSJ+bDhd3qmzpCiggIoTYlbIb/+LFNcjJqaRu/ITX2pvbcfC9g3APdMfAtwZC6Nr12r2xLIs33ngDycnJiIiIwKlTp6y2r5dffhlPP/201bZvDAprCSF2R934iSNoq29D/sJ8+Mf5o9fkXl12xvo//vgD69atw/r16xEdHY3AwEB7J8kmKCAihBBCOtFS1YLDHxxGaL9QJD6S2KUnab18+TJCQkKQlpam8/u2tja4una9tn5UZUYIIYQY0HSjCYcXHUbUnVHoMaFHlw6GXn75ZcyZMwfXrl1DREQEBg0ahHHjxmH27Nl499130atXL0yYMAEA8NVXX2HEiBGIj4/HgAEDMGvWLDQ1Nam29Z///AdJSUn4888/MXToUCQkJOCxxx5DeXm53v0XFhYiJSUFS5cutfqxaqOAiBAnQuP9EGKcupI6HPnwCGIfjIXkAYm9k2N17733Hl5//XWEh4fj+PHj2LZtGwBg/fr1cHFxwS+//ILs7GwAgEAgwHvvvYfff/8dS5YswYEDB7BgwQKN7bW0tODLL7/EsmXLkJOTg2vXrmH+/Pk6952bm4t//vOfeO211zB9+nTrHqgOVGVGiJOg8X4IMU712WqcXHESSY8nIaRfiL2TYxO+vr7w9vaGUChESMjtY46JicGcOXM0lp0yZYrq3927d8eMGTMwa9YsvL/wfbRUKdoEtre344MPPkBMTAwAYOLEiViyZEmH/e7cuRPTpk1DdnY2HnroIYsfFxcUEBHiJLTH+9m61R0vvdTUyVqEOKcbR27g3Npz6D2lNwKTnKNRsSF9+vTp8NmBAwewfPlyXLhwAQ0NDZDJZGhtbcX2qdsREhcCRAEeHh6qYAgAQkNDUVlZqbGd48ePY/fu3fjqq69w3333WftQ9KIqM0KcREZGG8Ti2yVCK1Z4U9UZITpc/fMqzv14DqnTUikY+h8PDw+Nv0tLS/Hkk0+iR48e+Prrr7H1l614/q7nAQAhaSHo/WxvgAFEIs0BKxmGAcuyGp9FR0cjPj4eP/30E9ra7DcOGQVEhDiB4mIh8vJcMXZss+qzqioaFZoQdSzLomhLEYq3FmPAjAHwi/Gzd5J468SJE5BKpXjn7XcQ2hiK8tXlqKxVlPwkjEuAm58b520FBgZi3bp1uHz5Ml544QW0t7dbK9kGUUBESBenbDs0Y0YANm70VJUS0ajQhNzGsizO/XgOpftKkfZWGrzCvOydJF6Ljo6GVCrF2+PeRv6GfFyOv4zdF3ebvL2goCCsW7cOFy9exNSpUyGVSi2YWm4cMiDauXMnXnzxRTz22GN48803cfbsWU7r/fXXX3jkkUcwY8YMK6eQEP5QbztUVSXElCmNNCo0IWpYOYuTX59ERWEF0uekwyPQo/OVnFh7Uzvaf2vHE/2ewH8v/BdvbHsD2/dsx6xZs8zabkhICNatW4e//voL//rXvyCT2fb+xLDalXk8l5ubi+XLl2Py5Mno0aMHdu/ejd9++w2ffvopgoKC9K7X3NyMN998E2FhYaitrcVHH31k9L4rKirsVpTHNwzDIDw8HGVlZR3qg4n5LJm/2r3LnD0QonPXehwxb+VSOY4vPY6WqhYMmjMIIk9+TtLKh7xl5Syu/HYFl3+9DH+JP3pO7AkXD373zRKJRAgODua0LL+PRIetW7di+PDhGDFiBABFF74TJ05g165dePTRR/Wu9/XXXyMrKwsCgQCHDx+2VXIJsTvlXGEHD7oiI6PNqYMhQtTJ2mQ4/MFhyNvlyJibAaEbdTLQp664Die/PglGwKDfK/3gHe5t7yRZnEMFRFKpFEVFRR3GKEhJScG5c+f0rvfHH3+gvLwcL730EjZu3Njpftrb2zVKghiGUbWw78ojlBpDmQ+UH9Zh6fyNjZUjNrZVuXWLbNNR0blrPY6Ut9IWKQ7OPwhXb1cMemsQBCJ+tyCxV962Nbah8ItCNFc2I35MPMLTwx3i9zWFQwVE9fX1kMvl8PPTbPnv5+eH2tpaneuUlZVh7dq1mDdvHoRCbtH/zz//jA0bNqj+lkgkyM7O5lzs5kzCwsLsnYQujfLXeihvrYfvedvW2IZf5/+KsMQwZL2RBYGQ38GQOlvlrVwmx1+//IVLOy8hpHcI+i/qDxd3hwoZjOaQR6crOtX1mVwux7JlyzB+/Hh069aN8/bHjBmDkSNHdth2RUWFXVq+8xHDMAgLC8ONGzccpq2AI6H8tR7KW+txhLxtrWnFoUWHIE4SI+6pOJTf1D+vFp/YMm9rLtTg1DenwAgZ9J3eF14hXqioqbDqPq3FxcWla7Yh8vX1hUAg6FAaVFdX16HUCFDMoXLp0iUUFxfj22+/BaDoWsmyLB555BHMmTMHvXr16rCeSCTqMJiUEl8vcntR5iexDspf66G8tR6+5m1zRTOOfHgEYYPCkDA2AYDj3dOtmbe36m7hxGcncKv+FhIfTkRIvxCdAyl2VQ4VELm4uCA2NhaFhYUYOHCg6vPCwkKkpaV1WN7DwwOLFy/W+GzXrl04deoUXn31VY15WgghhHRdjdcacfSTo4j5ewyi7462d3J4RS6Vo2hLEa7nXkdwn2D0H9/fKRuYO1RABAAjR47E8uXLERsbi8TEROzevRuVlZW4++67AQBr165FdXU1/vWvf0EgEKB79+4a6/v6+kIkEnX4nBC+uXgR2LTJA+npt2gSVkLMUHupFic+P4GEcQnolsm9+YQzqDpThTPfnYFAJEDazDR4iJ13DCaHC4gyMzPR0NCAjRs3oqamBlFRUZg1a5aqjrCmpqbDxHGEOJriYiHGjQPKyvwRGirD0qU1uHpViIyMNgqOCDFC5clKnF51Gj2f6ongPtQxRqm1phXHlx6HtEWKpMeSIO4t7rK9x7hyuIEZ7YkGZryND4OEdWU//uiJ11/3V/3t4yNHQ4MAoaGKMYUoKDIdnbvWw7e8LTtYhvPrziPlhRQEJATYOzlmsVTeytvluJBzAeVHyxE6IBQJYxJ4P+SAObr0wIyEOIOMjDaEhwNlZbeDIQAoL1dMyCqRtNg5hYTw2+VfL6NkRwn6vdoPPpE+9k6O3bEsi8rCSvy19i+IPEUYOGsg3APc7Z0sXqGAiBAekkhk2LsX2Ly5FpGRUkybFqCaeoMmZCVEP5ZlcennS7ieex1pM9PgGexp7yTZXUtVC459egxyqRw9n+oJcU+xvZPESxQQEcJT8fHAhAktYFmWpt4ghAOWZXH2+7OoOlOFgbOpBER2S4bz686j4mQFIrIiIHlAAoFL160eMxcFRIQ4AIlERtVkhBjAylmc+PcJNJY2YtDbg+Dq7WrvJNkNy7K4eeQmzm84Dzd/N6TPSYerr/PmB1cUEBHiIIqLhcjLc6WeZoRokUvlOPrxUbTVtyH9nXTez8BuTU03m1CwtACsjEWvKb0QEO/YjcltyXnPGkIcSHGxEGPHBqnaEVFPM0IUZLdkyF+YD0bAIH1uOoSuzjegIABIW6U4u+Ysas7XIOrOKETfG+1Qc7TxAQVEhDiAvDxXlJcrbvTU04wQBeWM9e6B7uj3cj+nbB/DsizK8spwadMleAR7IP3tdLj6UPWYKSggIsQOjK3+yshoQ2iojHqaEfI/bQ1tyF+YD79oP/R+rjcYgfMNKthY1oiC5QUAC/R5oQ98Y3ztnSSHRgERITa2b58rpkwJ1BhoEYDBAEkikVFPM0L+p6W6BUc+OAJxbzGSHk9yuhGWpS1SnF51GnUldYi5NwZRw6KcMiC0NAqICLGh4mKhKhgCFNVfW7e6Y9Uqb432QbGx8g7rUk8zQoCm8iYc/egoIv4WgdhRsU4VDLFyFqV/luLSfy/BJ9IHGe9mQOQpsneyugwKiAixobw8V1UwBChGoQbQoX1QbGyrXdJHCJ/VX6nH8aXHETsyFlHDouydHJtquNqAY/OPobm5GX2n9aXRt62AAiJCbEi9LZCPjxwrV1YjIkKmUULUWfsg6n5vXZS//FR9rhonvzqJHo/0QNjAMHsnx2bam9pxcsVJNF1vwoCnBsCjpwfgPIViNkUBESE2pK8tUMfPdN/xqPu9dVH+8tPN4zdx9oez6DW5l9NMO8HKWVz57Qou/3oZ/rH+yJyXiai4KN5MnNsVUUBEiI3pagvEtX0Qdb+3Lspf/rl24BoubryIPv/qA/9Yf3snxybqiutw8uuTYAQM+r3SD97h3k7VVspeKCAixIFQ93vrovzll+Ltxbiy+wr6v94f3t287Z0cq2traEPhl4VoqWxB3ENxCE8Pp0DIhiggIsSBUPd766L85QeWZXF+3XmUHynHwLcGwkPsYe8kWZVcJkfJjhKU7imFOEmM1JdS4eJOj2dboxwnxMFQ93vrovy1L1bO4tS3p1B7oRaD5gyCm5+bvZNkVTUXanDqm1MQCAXo/3p/eIV42TtJTosCIkLUUA8jQuxHLpOjYHkBmsubkf5OOkReXXeMnVt1t3DisxO4VX8LiQ8nIqRfCFWP2RkFRIT8D/UwIsR+5O1yHP7wMKTNUqTPTe+yVUZyqRyXNl9C2cEyBKcEo//4/hC6OeeEtHzTNc84QkxAPYwIsQ9pqxT58/Ph4umCjHczIBB1zUlaq85U4cx3ZyAQCZD2ZlqXbxvlaCggIuR/qIcRIbbX3tyO/Pn58Az1ROpLqRAIu14w1FrTiuNLjkPaKkXSY0kQ9xZT9RgPUUBEyP9QDyNCbKutXjFjvX+8P3o906vLTVAqb5fjQs4FlB8tR9iAMMSPie+ypV9dAQVEhKihHkaE2EZLVQsOf3AYof1DkfjPxC5VYsKyLCpOVODcj+cg8hRh4KyBcA9wt3eySCcoICKEEGJTjdcbceyTY4gaHgXJ/RJ7J8eimiubcXzJccilciRPTEZgUqC9k0Q4ooCIEEKIzdQV16FgeQHi/xGPiMER9k6OxchuyXDuP+dQeaoSEVkRkDwggcCFqsccCQVExOnR2EP2Zev8Ly4WYts2IClJiJgYqdX3R26rOlOFUytPIemJJIT0DbF3ciyCZVncPHIT5zech5u/G9LnpMPV19XeySImoICIODUae8i+bJ3/iv2JUV4OhIaK6fe2oRuHbuDcT+fQ+9neCLyja1QjNZU3oWBZAVgZi15TeiEgPsDeSSJmoICIODVDYw9RyZH12XrsJxpryj6u/nEVRVuLkDo9FX7RfvZOjtmkrVKcXXMWNedrEDUsCtH3RHfJ4QKcDQVExKnpG3uISo5sw9ZjP1lrfxQ868ayLIq2FOHa3msY8MYAeIU69jxdLMuiLK8Ml365BI8QD6S/kw5Xb6oe6yooICJOTd/YQ1SSYBu2HvtJIpEhJ6cKZ8+GoGfPKkRHm78/Cp51Y1kWf639C5UnKpH2Vho8Ah17VObG640o+KwAYIE+U/vAN8bX3kkiFkYBEXF6usYeolGrbcfWYz9JJDJkZgJlZTKwrO5ljCnxoeC5I1bO4uRXJ1FXUodBbw+Cq4/jlqJIW6Q4veo06kvqEX1vNKKGRXW5ASSJAgVEhOhAo1Y7L2NLfCh41iSXynH046NoqW5BxtwMuHg45mOGlbO4tu8aiv5bBJ9IH6S/mw6Rp8jeySJW5JhnKiE2QKNWOydjS3woeL5N1ibDr2/+ilv1t5AxN8NhZ3FvuNqAE/8+AQDoO60vfCJ97JwiYgsUEBFCiBpTSnwoeFZULeUvyIc4QoyMlzPACB2vWqm9qR0nV5xE0/UmSEZKEDE4gqrHnAgFRIRYkKm9jaiXEn9QiY/x2hrbcGjhIXhHeGPYe8Nwo/wGWH0NtKzA3OuHlbO4svsKLu++DP9Yf2TMc9yqPmI6+sUJsRBTexvpWi82Vm6DFBN9HKHEhy9BdGtNKw5/cBiBSYFInphs8xIVc3v51RbV4tSKU2AEDPq90g/e4d5WTC3hMwqICLEQU3sb6VovNrbVqmkljo0vXf2bK5px5MMjCM8IR/yYeLvMWG/qddfW0IbCfxeipaoF8WPiETYozC7pJ/xBAREhFmJqbyPqpUSMxYeu/g2lDTj26THE/D0G0XdH23Tf6oy9fuQyOUp2lKB0TynESWKkTkuFizs9CgkFRIRYjKltT3Sv17XeVPlSvdNV2DuIrr1YixNfnEDi+ESEZ4TbdN/ajLnuai7U4NQ3pyAQCtD/9f7wCnHskbOJZVFARIgFmdr2xBHarJiKL9U7XYk9G35XFFbgzOoz6DmxJ4JTgm22X0M6u35u1d3Cic9O4Fb9LST+MxEhfUOoeox0QAERIXpQqYZl8KF6pyuyRxB9Pfc6Lmy4gD5T+8A/3t+m+zaFXCrHpc2XUJZXhuDUYPQf3x9CV8ccG4lYHwVEhOhApRqWY+/qHWIZl3+9jJIdJej/Wn94R/C/J1bVmSqc+e4MBCIB0mamwUPs2HOpEeujgIgQHahUwziGStNoXB/HxrIsLuZcRNnBMqTNTINnsKe9k2RQS3ULCpYWQNoqRdJjSRD3FlP1GOGEAiJCdKBSDe64lKZ15TZSXRnLsjjz3RlUn63GwLcGwj3A3d5J0kvWJsPFnIsoP1aOsLQwxD8UD4FIYO9kEQdCAREhOlCpBndUmtY1yWVyFH5RiMbrjYoZ6735OWM9y7KoOFGBcz+eg8hLhIGz+B24Ef6igIgQPahUgxsqTeM/YzsIyKVyHF18FG0NbUh/J52301g0Vzbj+JLjkEvlSJ6YjMCkQHsniTgwfp7lhBCHQaVp/KZepenjI8eKFdUYMkR/0Cq7JUP+gnwIRAKkz03nZa8s2S0Zzv3nHCpPVSIiKwKSByQQuFD1GDEPBUSEELNRaRp/qVdpNjQIMGVKILZvr9BZUiRtkeLg/IPwEHug7/S+vAsyWJbFzSM3cX7Debj5uyF9TjpcfflZlUccDwVEhBDiAEwdFysjow0+PnI0NCiCm4YGgc52Xm0NbchfmA+/GD/0fra3zSdp7UxTeRMKlhWAlbHoNaUXAuID7J0k0sU4ZEC0c+dObN68GbW1tYiMjMTEiRORlJSkc9n8/Hzs2rULJSUlkEqliIyMxPjx45GammrbRBNCHA5fBuc0Z1wsiUSGFSuqMWVKIBoaBDrbeZ073oYD848gYWgIej+XyKtu6tJWKc7+cBY1F2oQNSwK0fdEQyDkV8kV6RocLiDKzc3F6tWrMXnyZPTo0QO7d+/G+++/j08//RRBQUEdlj979ixSUlIwYcIEeHl54Y8//kB2djbef/99SCQSOxwBIcQR8GlwTnN78g0Z0obt2yt0tvM6e7gVXz9yEqdak1BV3AMbH6zixSCkLMvieu51FG0qgmeoJ9LfSedtTzfSNThcQLR161YMHz4cI0aMAABMnDgRJ06cwK5du/Doo492WH7ixIkafz/66KM4cuQIjh49SgERIU6suFiI3FyR3tIfPg0nYImefLraedVdrkPewlM40toXRYgHboIXwyY0Xm9EwWcFAAv0mdoHvjG+dk0PcQ4OFRBJpVIUFRXhoYce0vg8JSUF586d47QNuVyOlpYWeHvzf+h54vgMVbnwpTqmKzA2Ly9eBP7xD7HB0h8+DSdgjZ581X9V4+TXJ9H36Z747IoEKIfdj1PaIsXpVadRV1KHmL/HIOrOKN61ZSJdl0MFRPX19ZDL5fDz89P43M/PD7W1tZy2sXXrVty6dQsZGRl6l2lvb0d7e7vqb4Zh4OHhofo3uZ0PlB/6Kapcbj90c3JuV0UY+g6g/DWGdl4uW1aLq1eFeoMjhmGwZw80Sn/y890QG6tZKhIbK0dOTpVaECIHYL/fIzZWjtjY1v/9ZV46yo+V4+wPZ9F7Sm+Ie4qRk2KZ4zT1vGXlLK7tvYai/xbBp7sPMudlQuQpMikNXRXdE6zPoQIiJV0nBJeTZP/+/Vi/fj1mzJjRIahS9/PPP2PDhg2qvyUSCbKzsxEcHGxagruwsLAweycBgOKNf88eYOhQID7e3qlR2LYNKC9X/Lu8XIizZ0OQmdn5d+r4kr98pp2Xzz4rRl0dEB4O7N2r+3wYOlTxfVmZ4v+jR/sjPNy/w3Lh4dD5u1iLLc7jot1FuJxzGfcsuAfieDEA047TUFqNOW9rS2px4MMDAAPcu/Be+Ef7G5cQJ0P3BOtxqIDI19cXAoGgQ2lQXV2dwQAHUDTG/vLLL/Hqq68iJSXF4LJjxozByJEjVX8rg62KigpIpVLTEt/FMAyDsLAw3LhxAyzL2jUtxcVCjeoP7dIWe0lKEiI09Ha6evasQlmZrNPvAH7lry58qu5Tz0sfHznq6hQ9kMrKgM2bazFhgmbJD8MwiI8Pw8aNFcjLU7Qh8vSUoazMHqm/zRbncfF/i3Hl9yvo/1p/tHm1oczEg9aXVmPO2/amdhR+XYim602IfTAWEVkRaBG0oKWMxrPShe/3BL5ycXHhXJjhUAGRi4sLYmNjUVhYiIEDB6o+LywsRFpamt719u/fj3//+9+YPn06+vXr1+l+RCIRRCLdxbV0ImpiWdakPLHkAzU3V6RR/ZGXJ0JMjP0D15gYqUa7j+hoGZRZZeg7dabmrzZL5rd2FZU9e18BmnkZFSXDtGkBqrSlp9/Sm38xMVJERyuqxvlwWVvzPGZZFuf/cx7lR8uRNisNHmIPs86rztJq6LyVy+S4+ttVXN59Gf6x/siYl6GaGoTur52z1D2BdORQAREAjBw5EsuXL0dsbCwSExOxe/duVFZW4u677wYArF27FtXV1fjXv/4FQBEMff7555g4cSISExNVpUuurq7w9PS012E4NUt3Z+ZT41dthkZwVhxzG3JzXcGyli1pUQ+AAFg0v/nU+0pJPZ8ddRoRa53HrJzFqW9OofZiLdLftszIzqamtbaoFqdWnAIjYNDvlX7wDqfOLYQ/HC4gyszMRENDAzZu3IiamhpERUVh1qxZqiKxmpoaVFZWqpbfvXs3ZDIZvvnmG3zzzTeqz4cOHYoXX3zR5uknln+gOupcWtYa50Z7uxMnNlo0v/kcgAKWm0bE1tWC1jiP5TI5CpYWoLmyGelz0y3WUNnYtLY1tKHw34VoqWpB/Jh4hA0Ko8bBhHccLiACgHvvvRf33nuvzu+0g5x3333XBikixrDGA9UR59KyVkmL9nYZBhbNbz4EoNYOVuw1KKMlz2N5uxyHsw9D2iJVzFjvbtnbPZe0ymVylGwvQeneUoiTxEidlmrxdBBiKXRmEpvjwwOVDywdGCqDhKgomcZ2R41qxciRrRbNb3sGoLYIVvhYLajEJRiUtkqRPz8fLl4uyHg3AwKR7ae6qD5fjdPfnoZAKED/1/vDK8TL5mmwJT51NCCmoYCI2IUjluhYmiUDQ+0gYenSGpSWCjW221Xy21rBivoDjW/VgurB7vTpikbj/v6KRuMTJzZjyJDb6Wtvakf+gnx4hnoi9aVUm8/71VrbioMLDqKtvg2J/0xESN+QLlE91tkgq3yZ5oWYjgIiQuzIUoGhdpBQWirs0N28q7BGsKLrgcaXUkz1tKnPWl9bK8SOHZ7YtcsDa9dWYciQNtyqu4VD7x9CQGIAkp9OtmkgIpfKUbSlCHUn6uCX4IeE8QkQugpttn9r6izg4XOJIuGOAiJCugC+lWhYkzWqXHU90CZMaOHFQ009bQ0NAo2gCADkcgY5OR7on1SLI9lHEJYWhoTxCRrBkDWrc1iWRfWZapz5/gyErkLc98F9qJfWW7xreHGxEFu2uAMARo1qtWkJTGcBjzNdf10ZBUTE5qiu3fKcrV2Wpatc+fxA007brFl1mDXLHy0tiqCIYViMGnoThxcdRvTd0Yj5e4zG+taszmmpbkHBkgJIb0mR9HgSgnoHwSvYC/Vl9RbZvlJxsRCjRwehqkoRlKxc6Y1Nm2xXLdXZ+eFs119XRQERsSmqa7cee7XLUm/fYmgOMT4HwroeaHxK78SJjWAYRclIbq6rKhgCgBcevgrh3oNIGJuAblndOqxrjeocWZsMFzdeRPnxcoSlhSH+oXgIRAKdVXSWyMe8PFdVMAQAVVW2rZbiEvBQu0jHRwERsSmqa+9a1ANcgYCFXM7oDHQdIRBWf6DxJb3a6Rg5slWjtKJn4DWkNuYiaWoSQlJDdG7DkqVfLMui4kQFzv14DiIvEQa9NQhu/m6qoCczsx3h4frTb2o+ZmS0QSyWqYIisdj2pXgU8HR9FBARm7Jn1QSf3vi7CvUAVy5XlA7oCnQdLRDmS3r1tW3auLES+9dWIPDyKWS+3hsBiQF6t2Gp6pzmymYcX3IccqkcyROTEZgUCKBj0LN/P+DlpT/9puSjRCLDpk2V2LrVHQwDjBzZStVSxOIoICI2Za+6dr688VubrYM+9QBXvYRIO9DlcxsdXfiSXn3pEBYXo3t1Mfq93Q8+UT6dbsec0g3ZLRnO/eccKk9VIiIrApIHJBC43K6y0w569uwB7r/fcPpNIZHI8NJLTZ0uZ+o10Fm3eu3v6AWr66GAiNicPYqe7fHGb+sbpj2CPvUAV70NkXaga24g3BWm0bBEOqKjpbi0qQjX9l3DgDcHWHWwQ5ZlUX64HBc2XoCbvxvS5+ieB0076LnzztttfTrLR67tz7gy9RowtJ6u7wDLzg9I+IECIuIUbP3Gb4/gxBYDFuo7BpYFIiJkGDxYf76aGggbm5eWCp6sEbibkjZlOliWxdk1Z1F1sgppb6XBI9DDomlT11TehIJlBWDlLHo/2xv+cf4G06cMejIz2xEXF4Kyso7p18a1/ZkxTL0GDK2n6zuWBS+qVIllUUBEnIKt3/jtUSJlrQELld2dxWJZh67OfJtGg89Vo+akjZWzKPyyEA1XGjDo7UFw9TF/xnpdpK1SnP3hLGou1CBqWBSi74nmNNK1MugxZiBIru3PjGHqNWBoPV3fsaxl5wck/EABEXEatqyqs0cbFGtUS23Z4q7q2VNVJcTWre4a7ThsEfhxyUtl2isrBbx9czc1r+RSOY59egytNa1In5sOFw/L37ZZlsX13Oso2lQEz1BPpL+TDldv6wRdSlzbnxnD1GvA0Hr6vuNDlSqxLAqICLEC7bY1ubmuYFlu1STFxUIcPOiG0aNv99YxZr+dPWT1NRBVll6IxTJMntyIUaNaO92fLQI/Lu1Q1NOu7J7Ntzd3U/JK1ibDofcPgWVZZMzNgNDN8lNhNF5vRMFnBQAL9JnaB74xvhbfhy5c25+Zsl1Te7LpW0/Xd9QNv+uhgIgQK1EEG21Gt39RLv/xx8CGDULExEgtliZ91TZbtrirSi+qqoTIzvbD6tXeWLq0RhVgiMWyDkGSoWDFkg2hDT181EteqqqEmDmzDkFBct69uRtbeiFtkSJ/QT5c/VzR/9X+Gj27LEHaIsWpb0+h/nI9Yv4eg6g7o8AIbDsJKwUVhE8oICLEioytJlFfvqwMOHjQ1aIBka70AG1YudK7w7LKSWI3bTJ+hF5btuXRLnkZNYq/Y9RwDQDaGttwaMEh+HT3QcrzKRYNVFg5i2t7r6FoWxF8o3yR8W4GRJ4ii23fUvjerZ3v6SPGo4CIECsytppEffnwcFi8ykdXenJzNadF8PKSo6lJALFYhspKRanEhAnGvcXbslE5X7rIW0pLdQuOfHAE4l5iJD2RZNEZ6+uv1KPw34UAA/Sd3hc+EZ2PYWQP+gJqvgQhfG68T0xHAREhJuJyczb2Ya1cPj/fDaNH+8PTUwaW1dwXAJMfCrrSw7JtGtViX3xRg+PHRVixwhsffOCHVau8jb7hW6JtkTEPv65S9dJ0swlHPzyKblndEPdQnMWCofamdpxccRJN15sQOyoW3bK62bx6jKviYiGWLPHWWZLJlyCELyOZE8uigIgQExjzhqj9sO7sQS+RyBAb24LwcH+UlXVsNAxA1WjYlIdCZ8FDRIQMV64IVaVGptzwLdHjjS8PP2tSPxeCRLU49ukxxNwXg+i7oi2yfblMjqu/XcXl3ZfhH+ePjHkZVumlZin6xiZSlmSaEoRYo1SJLyOZE8vi75VBCI+Z+oZoyoNeu9GwkqXeTNVnElfOIm7ohs/1AWNOqY0zvIGrnws9Asvxavpx9H8mEeHp4Z2vzEHtpVqcWnkKjIBB/1f7wyvMeqNaW4r22EQPP9yE6dMbVSWZxgYh1gqsu1o1LVGggIgQE5j6hmjKg159X9olRJZ4M9V1LDExum/4tiq5cYY3cOW5EI5r6FF9BLWJfRGebn6bnraGNhT+uxAtVS2IHxOPsEFhFm2HZE3av7syGAJMC0K0r7etW90hFsstVlrEsor/SNdAAREhJjD1DdGUB732vlgWFn0z1Xcsukp4bFVy4wxv4BkZbegbcAlRNafwV2AG3hzPAjD9OOUyOUq2l6B0bynESWKkTkuFi7tj3eI7+92NLXXUfplYscLbrOpmJXPmTONDo3Cim2NdLYQYyZI3IO1tGXtzVq6/dGkNSks7DkKnvv3YWLnGusp9qS9jySCB67HYsuSmqzSU1oe5cAkvZF5FTZ8MvPkAq/P35Hr+Vp+rxulVpyFwEWDAjAHwDPa0ZtItQt+xWfJ3Vw+wKisF+OADPwDmB/OmvBg4S7s4R2Z0QFRfX4/du3ejqqoKUVFRGDZsGNzc3DSWKS0txTfffIO5c+daLKGE6KPvxmrMDaizB4+5NzNd62sHQ+rf5+RUITy8823Y44Y6cWIjGAa8Hu+Hz1iWxYUNF3Dj0A0Me38APINcoKtkSP339vGRY8WKagwZohmA3qq7hYLlBWhraEPiPxMR0jfEIarHbHkuq79MrFrlzSmY7+x+oP1iEBUlw9q1HgYDV65BFJUi2Y9RAVFtbS1mzpyJmpoaCAQCyOVybNmyBa+++iri4uJUy7W0tODMmTMWTywh2gzdWI25AXV2cza3qqiz9XV9n5lp3DasTTufRo7sfGoPa6aFzw8NfeljWRanV51GzbkahD6egV92+eo9BvXfu6FBgClTArF9ewUkEhnk7XJc2nwJZQfLENI3BAnjEiB0tfy0HtZij3OZazUsl/uB9rQj06YFdBrccZ2Tjw8vPc7KqIBow4YNYBgGixYtQmxsLE6fPo2VK1di3rx5ePPNN5GcnGytdBKik6FGk1yrd7jcnM2tKupsfS7bt3VDY+2Hur0DMvV08fmhoS99cpkcJz47gaYbTQh7Mgv/fCLc4DFkZLTBx0eOhgbF4JgNDQLk5Yng23wTZ74/A6GrEGkz0+Ah9rDHYZrFXo3muVTHcT3Pldtau9aD8/KdBWR8ucaclVEBUWFhIcaNG4fY2FgAQHJyMhYtWoSPPvoIH3zwAWbMmIGUlBSrJJQQXTprNMnljZDLzdncRr5cGotqfi83ehuWpOuhzpeeX6a239DXPssW6YuObMKRxUfQ3tiO9HfSse5nr06PQSKRYcWKakyZEoiGBgG6B9Uj8NCfOHOiHUmPJ0HcS+wQ1WO68LnRvDmjy3e2fGcBGV+uMWdlVEBUXV2Nbt26aXzm7u6OmTNn4qOPPsKHH36I119/HV7GTtFNiInUb6wVFQJkZ2s2mpwwoaXThyXXm7O5jT07W1/ze90POms3NFYGDpWVgg4P7AkTWkx+iFmyisvYhwaX9lmWpJ2+Qf1bkDcvD0I3IdLnpkPoKuR8DEOGtOG/m2/gwL+LENR6HXGDQxE3Og4CkXETvfKxitHQuWzP9Jo6urwlgjs+B4rOwKiAyM/PD9XV1R0+F4lEeOONN/Dhhx/io48+woMPPmixBBLSGfVGk6tXc2s0qW8bXRHXaT+0R8RWTuehnpem5JOlq7iMfWhwaZ9lLu0HuDJ9A1ObcH11LjyCPNB3el8IhALOx8CyLCpOVOD6j+eQGCBC32lpcPN367Acl7TxuYpRGx/Sa+x5rm+CY32dPTobqd6Ua4xvAa8jMiogiomJwfHjx5GVldVxQy4ueOONN/DRRx8hJyfHYgkkzqu4WIgtW9wBKHo0cZnPSr2hY26uK1jWuW8Qxkz7oT0i9syZdQgKkpv9pmqNdhHGPDSsXQ2h7wEeIa5D/sJ8+Mf5o9fkXh3mDjN0DM2VzTi+5DjkUjmSJyUj8I5Ak9PnaO1S+JBecwMMQ5PTWjrY40MA2VUYFRD169cP69evR319PXx9fTtuzMUFM2bMwOLFi3H8+HGLJZI4n+JiIUaPDlJNKbFypTc2ber8Qld8z59JIO1B/WZuzLQf2oGDpbrV27tdBJf2WebQ9QAP86vG4UWHEdI3BD0m9ODc1kd2S4Zz/zmHylOViMiKgOQBCQQu3KvHdD3I7Z3/xrJ3ei0RYOgL6qwR7PEhgOwqjAqIRowYgREjRhjeoIsLZs6caVaiCFGfXwu4PccWlwvdmW8Q2jfzpUtrVA8Xf38Z6uoEYFkGAgGLqKjOGnZbJojkQ7sILu2zTKX9AO8bX43D7x9G5J2RiB0Zy2kbLMui/HA5Lmy8APcAd6TPSYerr6tR6dD3IOdD/huia8BTe6bXEvcPfUGdMcEe11IqeweQXQmNVE1sypiLXNmGBQDEYu4XuiPcIKxV5699My8tFWLp0hps3OiBgAA5vv5aMVeWXM7g6tWO49ZYqy2VMW0sHI36A7xPVAXKfzyKuNFxiBwayWn9pvImFCwrACtj0fvZ3vCP8zcpHbqGoHjppSZVGk35XQ39Rpb4/QwFcfZ6ibHE/cPQdDimjoWkr3dkZ9vsKteZLRjdyyw7Oxtjx47FwIEDdS5z6NAhbNy4ETNmzEBQUJBFEkm6BmOKoiUSGTZtqsTWrbfbEHF9U7T3G2ZnrFnnr2sEXeWgcfoaStsDl1GYHYlEIoNf6zWcXHESPR7tgbABYZ2uI22R4uyas6i5UIOo4VGIvjta1ejaFNovEStWeCM1tR1XrwpNehgaOk8tdQ7zsTTXUvcPfUGdqWMhxcZ2HAhVGexERcl0TjRL7YuMY1RAtGvXLrAsqzcYAoCBAwdi48aN2LFjBx5//HGzE0i6DmNvfhKJTPWGayw+9xqz5kNA+2aem2udhtLqTHkDNTQKsyO6ceQGzq09h95TeiMwyXADaJZlcT33Ooo2FcEz1BPp76TD1du46jFdJBIZJk9uVA09UVUlVI1hZOhhqO/3M3SeWuoc5mtpri3vH6a2+1IPdgQCFnI5Y/Jo/UTBqIDo8OHDuOuuuzpdbtiwYfj1118pICIa+HrzszVr54P6zZxlrdNQWkm98btYLOPU8B3QPQqzqTdre1cJlO4pxaVNl5A6LRV+MX4Gl2283oiCzwoAFujzYh/4RnfsnGKOUaNaVUNPqOevvoehoRIEQ+eppc5ha5fm2vvc6Ixx7b40276pBztyueI77d+Z7rnGMSogunnzJrp3797pcpGRkbh586bJiSJdkzE3P77fyMxlqwlSrf3A2bLFXVVFU1Wl2W6ls3Spj8Js6s3a3lUCRVuLUPpnKQa8MQBeYfoHpJW2SHHq21NouNyA6L9HI+rOqA7d8C3B0BxbuvJXVwkC0Ka69vSdO5YejNAagbC9zw0uDJXgGDOqtXoJkfrvzPfmA3xjVEDEsixY7UpKA8sS58E1gOFy83OEG5mp7DFBKl+rD4cMacP27RVm3awNzWVnzXOGZVmc+/EcbhbcRNpbafAI1D2fGCtncW3vNRRtK4JvlC/S302HyFNktXQBmr93Zw9DXW3OtK+9CRN0nzv2PK9sMSGzLZhTgqMd/CrbiumaFkjfpNZd+aXTFEYFRGKxGCUlJejVq5fB5UpKSiAWi81KGHEchgYhM+WCM/ZGZo0L21a9wPh4kzbGqFGtWLnSW1VlNmqUcQGeuQ9V9QeKrrnsTPnt9u1zxYYNHhg3rkVnQ++iSwLs/egMQgSVuOsD/d3j66/Uo/DfhQAD9J3eFz4RPkanxVxcpovR1+aMz+enLSZkNoWx9w1zS3DMKV0zFFA6a7BkVECUkpKCHTt24K677oK7u7vOZZqbm7Fjxw7069fPIgkk/Kev2N3UUh5jx+pQH4l58uRGTqNaG2LNEqqoKJmqeFs5FpC+m8/Fi8CmTR5IT7/F25uSsjegvYrk1R8ouuayM/ZhsW+fKx59VAy5nEFOjifWrq3SCIqKLjJYdP9ZoKkFJ0JGIamqHhJfzWNub2rHya9PoqmsCbGjYtFtcDdeT8JqqM0ZX9uccLlH6As2LPmw154Wx5T7BtegprhYiG3bgKQkIWJipGal21BVaVSUDNOnB1jl/sd3RgVEo0aNwp49ezBv3jw888wziI+P1/j+4sWLWLlyJerr6zFy5EiLJpTwl66bkzlvmsa8NWmPxJyd7YfVq73NuogtWYqjffO9elWoagAplzM4flyk0c5DvXRt3DigrMyf9zcle1fJKfff2Vx2yt8iM7Nd7+SuGzZ4aPw+OTkeqoBI1ibDnncKwDYJsQv3QnbTBQcPtqqOXS6T4+pvV3F592X4x/kjY14GXDw0b7F8f/N2lDYnXNKpntfqwZClXna0X8bS0m5ZrXRNsS8xysuB0FCx2fcDQ1WlXBrjd1VGBUQhISGYPn06li5ditmzZ8Pf3x8hISEAFA2ua2tr4ebmhpdffln1Oen6dN2czH3T5PqQjYqSaVzAgOkXsfqYHpZ4S9Z189W+EbEs9A7xX1Zm3vE4G0MPSe3fYv9+wEtHG+hx41qQk+OpKsEbO1aR59IWKfIX5CMiyhUFIYpgSP3cqL1Ui1MrToERMuj/an+dDawdpW2cvQNcrgylU19eW/JlR/tlbMcOT72Nm81l6ap2Q1WlDQ0C1T3V0HHwPbg3hdEjVffv3x+LFy/G1q1bUVhYiOLiYgBAUFAQ0tPT8cADD1Aw5GR0vYnZ4k2zuFiI6dMD0NAggJeXHCIRi9pa04IYXVNelJbqbqTIlfZNbOlSb0yf3qiRLywLnaUaGRltCA8Hyspg9aqLrnRj0/eQ1P4t9uwB7r+/4/pDhrRh7doq5OR4YOzYFgwe3Ib2pnbkL8iHV7gXMl7sg4Tna1S/XzdxCw5/eAKtVa1IGJuA0LRQvdVjXa39GJ/py2tLtitS35aSXM7g4YebMH16o0XvedZoD6V+rVy9qlmVP39+LaRSxmDpW1caWFXJ6ICora0N58+fR2BgIB588EEMGDBA50SvxDncLsrt+NZr7TdN9ZteU5PArEEHdU15oa93DVfa3WLXr/fC3r3uHXrubNx4e0RuZedMiUSGvXuBzZtrkZ5+y2pVF1xKLRw1YFJPt/YD5c47O05bojRkSJvq5t5a24rDiw4joEcAkiclg2EYSCQyREc1oWRHCQ7uLYU4SYy+0/rCxd3w7ZTGhLEdfXlt6eEClNeuemN+SwdDyn3l5FTh7NkQ9OxZhehoy25fuypfKmUM3v+62sCqSkZP3TF37lyNMYZ++OEHzJo1C4mJiRZPHOE/Lm+91nqgat/0zBnTx1pvYBs3VmLpUm+sX6+oQtGXR6tWKUqJVq3yVs1bFB8PTJjQYtUhLDr7/RylmkebrnQrH4SZme2IiwtBWZnhc7O5shlHso8gbGAYEsYlqEp+qs9V4/Sq0xAIBRgwYwA8gz05p8tW409Z0/r17vjhBy888UQTxo+3/rAR6jrrAahkKPCx5IuacjT9kSNbrd7uSiKRITMTKCuTdZiiwxzFxUJUVgqMmtbHkgOr8olRAdFPP/2E6upqjB07FgkJCSgrK8PPP/+MlStX4sMPP7RWGgmPdRZImPpA5TqppKXf9qwx0/v06Y3Yu9ddbx5xnbfIWFwC0c5+P0et5tGV7gkTWiCRtKgCG0Olm43XGnH0k6OIvicaMffGAABu1d3C8WXH0d7YDp8hSThdF4luje2QBHM7n9WrGFJT2+0SEJn7crJ+vTtefjkAAIOjR10B1NgsKOqsB6A2W7aFcpR2V9q0G4bPnFnHKVjXN7Cqo5YmKxkVEJ08eRJjxozBuHHjAAB9+/ZFWFgYsrOzUVtbC39/f2ukkfBYZ4GEKSVIxk4qaW7VlvqxWGumd+08MlSdY4nSqX37XDnNY9XZ7+eo1Txc0q3v3Ky9VIsTn59AwtgEdMvqBnm7HJc2X0JZfhlCUkMgGnAHxj8SalSQb8kqBvXG/4YmbtVezhLdqX/4wQu3p5BgsGaNl80CotWrPfX2ADQG3x7apqSH6znQGe2G4UFBcs6BuvbAqixr2rADfGJUQFRbW4uePXtqfKb8u66ujgIiJ2UokDClBMnak0pa84aob9vqeWSoOud2UGL6uDXFxbcn9QQ6zydDv5+jdMPWxiXdus7NypOVOL3qNHo+2RNBfYJQeaoSZ384C6GrEGkzFSNSr13rYfQ5aKkqBi4TeupbzhLdqZ94oul/JUMMABZPPNGkcc7HxsqN2h5XxcVCHDzopvqbYRQ9AI29lvlWBWxK42T1kk1D5wAXprzwaOe58hwy5brgG6MCIrlcDldXzVFZlX/LZI5xoyS2ZUoJkqGL1NwSC2veELlu21B1jiXk5blqDEPg4yNHVJQMa9d6mBQEGlNyZu+3b11vztrd7w8edMPo0R3PTbcbpTi97jxSXkiBu9gdeXPzILslQ9ITSRAni1VVbaacg/qqGIzFZUJPfctx7U5tiKI0qAZr1ijaEPXv365xzufkVOkd48kceXmuqK293RD+2WcbEREh69AztLPSEr5VAZtScqjvHDA0bY2hFzVjXnhMnQzYURjdy+z69esQCG7fbOVyuepzbbGxsWYkjTgSQw9CY0uQYmIMN4g0p8TCmjdErtu29o1Dffs+PnIsWFCrGvzRUqN561JcbNrM95bcv6HSE/XvP/4Y2LBBCIlEComkBVd+u4Lz24rR56U+uJF3AzcLbiJ8YDjiRsdBIBJo7MfUc9ASc7dp91zUN+aNvuWWLavRO+cVV+PHt6qqyXSVCmRmmrRZg7SvmSefbO4w+CuXKmK+PbRNKTnU9dsamrams+vSmJGylyzx1nuPc9TSZHVGB0Sff/65zs+XL1/e4bP//Oc/xqeIg507d2Lz5s2ora1FZGQkJk6ciKSkJL3LnzlzBt999x1KS0sREBCABx98EPfcc49V0uaMzCl10XcRdVaNY2oQExUlA8OwYFkGDKOYOsNSuN5srX3jMDTomqVG89bF1JnvjVVcLMSWLYphCtQDu85KT9S/LysDDh50RXR0Oy79fAnXDlxDzAMxOPnlSYi8RBj01iC4+bvp2LuCqeegIq2K34RlTSut4zqhJ5flzGWrAKOzwV+5Vgfaanw0rqWkppQc6vpttaetUb/29F2XxqRT38uGdlodtXG5klEB0QsvvGCtdHCWm5uL1atXY/LkyejRowd2796N999/H59++imCgoI6LH/z5k0sWrQII0aMwEsvvYRz585h5cqV8PX1RXp6uh2OoOsxt9SFy0VkqaqY48dFYFnFw5JlFVNnDB5smZu4MTdba9841Lev/uBQ0tfF3pLVXdaYvkv9bRcAVq70Vr3xdlZ6ojmPHBARIcXZH87ixpEbcHFzwZVdV5A8KRmBdwRaPM3mzneljuu5Y845xvVc6HjOW6cNkXJf6sejHRioT4FjKKiw5rVnysuhKSWH2sdQXCxUTbIMACtWeGPkSN2lwAxjfDq1XzasMfgkHxgVEN15551WSgZ3W7duxfDhwzFixAgAwMSJE3HixAns2rULjz76aIfld+3ahaCgIEycOBEAEBkZiUuXLmHLli0UEFmItd8Srdnux9IPbVu/IXF5cOkbQE79d7LEAI2jRmnOfD9ypOV7H+Xluapu+oDijVcZ2HVWKqI++BwrZ3Fp9THUVBfBN8YXEYMjIHlAAoGLQOd+TaWdrxMnNvKqDYsuxl5vmue8bSexVd83H6prTH05NHTfUJaIMgyDZ57RPeWMRKKoCleWEqlfF7quS2PnmtS+x3fFYAgwocrMnqRSKYqKivDQQw9pfJ6SkoJz587pXOfChQtISUnR+Cw1NRV//PEHpFIpXFwcKgt4ydxi6M4etPpuMtpv3lzeaK390LZkKUtns90b8+DqbAA5SwzQKJEo2idY86GUkdGmGkAOAMRizcCOS3u1inLgYbfNcP3rCkLv646+0/rC1ddV5zrm0s5XhgGv2rDoYmgmdL50VdfFWi8jxlzTlno5VO8c8OKLAarz/ZtvgM8+c8WVK4IO6Rk1qlXnNEC6rkvt6sbOmg50hfZBXDhUNFBfXw+5XA4/Pz+Nz/38/FBbW6tzndraWp3Ly2QyNDQ0ICAgoMM67e3taG9vV/3NMAw8PDxU/ya380H5/9hYudpggtzzSFEFIlYFKJs3V3W46WRmtmvcZDIz21FS4qLqeioWK5ZXlnzk5HTchlJsrBybN1dpFfFb5jfVHujPUDo6ozi+27Pd69rWwYNuGg+u/Hw3xMYafiDo+5105bH6uc51X8acB6YEj8rfTznViWIQOW6/YWysHDk5Vdj97A4IiksxYul9CEsL47RfU2nn64MP3sKoUbescv5Zinaau3eXd+hJpu/30r4vODpjr2nlOWbO76u+T+2JqysqgMmTA1TtjdTTY2jf2tdlbKwcy5bVYsqUANTXCzBtWgCnYzPlHu9IHCogUtJ1sRm6ALW/U06FoG+dn3/+GRs2bFD9LZFIkJ2djeDgYFOS6xAuXgT27AGGDgXi47mvFxZm3gNl1Sqgqkrx76oqIf78M6RDL5XwcGD/fkX67rxTiLi4EHzzDVBefns9pfJyIc6e7bgN7e1ZoyfMtm2308QlHZ1tS322e13bGj0a+PhjxXLh4cDo0f4ID/c3aX+68tha+wIU59u4cbe3t3cv9/NO8/czbh7F8HCg1+6HsPGRjTjw5gFkvZmF1KdSTXqAc7lm9OWrNc4/S9FO859/io0+r829L/CFKde0ufcX9X0qhkoAGhoUf3t7Q6PxuHZ6dO1b33na0ADU1xt3bF2dQwVEvr6+EAgEHUqD6urqOpQCKfn7+3dYvr6+HkKhEN7e3jrXGTNmDEaOHKn6W3mzrKiogFQqNf0AeKq4WIh//MO4kg2GYRAWFoYbN26YNddWQ4MX1B9qjY31KCvr2DPJy+v27ORlZUBSkhChobpLiHx8avHxx6aP3moq9TSFhsrQs2cVysr0799QCUnPni4IDw9WzXava1teXoqu48o3Qk9PGXJzTauyU0+Lp6dMFYwZ2pf2MsbYtMkDZWX+ABS/5+bNtRYZcZxLNSrDMJj05yTkfZeHPQv2IG9ZHkb8ewR8u3MProy5ZrTPXUegnmZjzmtL3ReswZQSSa7HzmXbXKcjSkqCxj6XLatFQYEIADBihC8ee0xm1D1G33lq6NjsPZ6YJbm4uHAuzHCogMjFxQWxsbEoLCzEwIEDVZ8XFhYiLS1N5zoJCQk4evSoxmcnTpxAbGys3vZDIpEIIpFI53d8u8gtITdXpFEdkpcnQkwMt8CPZVmdecL1gkpNbYOXlxxNTYL/tenhNplpTIxUo06bZaGzt4ktR6LVTlN0tP5JGDubWiMmRqox272+bcXESFW/VVGR/rm5DDE0p5e+fZl7GaSn39KolklPv2X2taV+HNpBsq5jirknBuEZ4dj/5n5sf2w7Yu6LQf/X+kPoKtS1eQ3mXDOWYMsHljHntZK++4K96DvHO8tH7WOXy4H/+z93jeUNXT/qbYH0TZuia33t9jqDB98CwzAID/dFTk4V8vJEnH4LQ+epvt+V6/2gK3KogAgARo4cieXLlyM2NhaJiYnYvXs3KisrcffddwMA1q5di+rqavzrX/8CANxzzz3YuXMnvvvuO4wYMQLnz5/H77//junTp9vzMHjF0r3EuDb2LS4WYvr0ADQ1KUbQ/eKLGqMa63Xshtti9+HjuQ4hwGVqDUOz3eu6kZvaw8Ueo/dao5Gm9rxMSoaOydXbFcM/H47yY+XY9+Y+XP39KjIXZiJ8oOHhlu05wJ8lel0aG1B1dl4rt5eZ2W6VkarNpa+hOJd8VB67vnw31OlDfVoOfdd7ZyPXa+etRCJTBTWd/Y6aQ010HHdN1+/Kt9G8bcnhAqLMzEw0NDRg48aNqKmpQVRUFGbNmqUqEqupqUFlZaVq+ZCQEMyaNQvfffcddu7ciYCAAEyaNIm63Kux9MNJ+4JautQb06c3drhgtYet37DBAxERMrPeRvg2Eq0uuqbWMCad+m7M6scuFstQUSFAcbHQZj1jjGXpXkHaxw+gwxAD6lN3qHdfDu0XijH/HYPDHx7Gvhn7EJgUiMEfDIa7v7vetNur1425DyxLD2Ohvb39+3V3DbcnXee4sV3P9eW7vutH+/6mb9oUQ9efobzlMg+a+lATcrli3LUrV243J9A1sXZlpUDVk5Ov91BrYVg+lWvyXEVFhUbvs67E2DdGRfFtOMrKylBUJNA7W72hyQfVq43MnaRQ+1j43D1U+0a2cmW1anBI9bfBzMwQlJWVdSghWrvWAzNm3O4duXhxjar9TXGxsMN4Q1zyky95Zm5VkPpxKKtRlceknu/h4cCGDTd1VnPVXKzB/jf3o7W6FSnPpSBhfAIEQtPGJ7LE8Wivr/2QzMmp5PSbKbdVWXl7VGNA8/wxhfb5uHIlcP/9Hc9be9M+x43NR0PL67p+tJc3NG2KvuvPUN5qf+fjI+8wD5p6Gry85BCJWNTW3p77Tb0aT/1vsViGKVMa/9eLk3/3UGOIRKKu2YaoK+JD4zVz3hj11Tdv3FiJpUu9sX694nVG+w1MWV3W0CCAm5sct26ZNwu3Or4PH6+vdEHf26D2VBWG3iglEhnEYrmqyohrfvIhz4w9D3VdO7qqUZV0Td2hKyAKiA9Azw8exN6PTuPI8kIU/bcI6fPSERDbcYgOSx4P1/VNKZ1S35ZYLLNoCYD2+XjnnZ23wdKXRmveCw2NdM0lHw0tr+v6kUhkmDWrDj/84IUnn2zSOSK++jHrCkoN5W1GRufzoEkkikBHvYoeUNwXNm7UbF6g/ndVlRBBQXKHD4aMRQGRHVlzBGZjcCmC13ez0reuRCLD2LEt2LjRU2f9tfp6t251Pgu3rlnMHbmhnyLtmnNaaeflnj2KniDKcZqA21NVaDcoV5/J3lZVYJZ+gBlTFWTKtaOeL+Hh0JsvxcVCjP9nEMrLw9Hdrx+evPJfVD+xG/H3d0e/V/pB5Km7w4U5x8N1ffUBEo0p1dFuXzVzZh2CguQWKRFUDxQyM9sRFxdidG86W7aL0l5O129iaHZ4rr/hvn2uePXVgP9VVbkiNLRKo0qL62Cn+vJWIuE2D9rVq0KNYAhQ9FwdN64Fe/e6q/Y/blwLfv/dXTUmnDNVlSlRQGRHfGm81tkDVNeFGxsr73Td48dFeuuvtdfrrDhZOX+VcmJWSwWQXG+i+/a5YsMGD4wb19Khnt7U/Wrnqa63wV9+0T1VhbLRpb6bqvoUFqZOJGps+s3dvjGBnCnXjjJf8vPdMHq0Pzw9dffQUd/2lbpALKx7DFk+JzDmjzxUFu5Cnxf6IGJoRKdjF2m3aaqs7NimS1cbDuXf6qNyi8UyREXJTM5z7by1dFWIMlDQlyemjkbPlfb5uHRpjc4Xp87OW2VprHI0e3PO7Q0bPDTuf99956mRJq7HbChvucyDpn0ePvtsI0aObAXLAhMnNoJhFCXP2tcCz2o8bYICIjviSwPgzoqOdV24yhFLDVX/rFx5e5wnf3+ZRruWpUtrNC5GQzdn9dmalROzWiKA5PpQ37fPFY8+KoZcziAnxxNr11aZHRTp61mi/Tao/lAEOk5VYaiEjmsvGmVeGDPz9ZIl3hYP5o2pwjD12pFIZIiNbUF4uL/eUgz1bQMACwH2N/TFgw+HwPP0n8ibl4fgPsFIm5kGrzD9rYeVx6Ns0/XBB35Ytcpbo8u39kNcu02HumPHRCbnua68tVQJn/p2lC9K2t93dh7q+z25plH7OtA3pIWhIEQ9nUrmnNvjxrUgJ0dRQs4wLPLy3LB9u6feFyBT7/+dlVrp++3Vq1CVwY/yPqM+F5ozoYDIjuzVU4VL2wt1nV24+rpuqpdspKffwo4dngA63rBMmU/MEgEk1zc07Te9nBwPswMifXmq/TYokSjmIdKcqkLW6XaMOT5jSnv0NZi3VDCvfi4Zehha89rRDmSUQXzWPS6InnwnLu+6jDPfncHvL/6OmL/HoOeTPSF0091uxlCbLu3fR7tNx0cf+Wg8oBgGGiVGxua5dt5aooSvY0Pjqg7d7rmch509tDtLo/p1YKiLO9frRcmcc3vIkDasXVuFnBwP+PvL8fXXPhppUn8Bsvb9X/serV2Fmp3tZ/G2ZY6IAiI7s3VjVmPGCFJ/GHW8cLlXF4SGyjBpUjOOH3fr9Iali/qErP7+MrzwgqLI19QbiHp7JC5vaOpvegIBi7Fjzf+9jHmgSySKiVmN3Q7XN1BjqivUl5XLGTz8cJNVZr7WfoOdPFnR48XU9hzGUuZ5x8lwGcT8PQbh6eHIX5SPCxsu4GbBTfSe3BvBqcE6qzX0/Q7an6u36RAIWBw96qYRdIaFydDaenv75lRpWKq6Xtd2MrWmf+B6Hhp6aHeWRu1qYvXBWbU7HXC5XrR7WZlamjZkSBuGDGlDcbEQmzZ56n0BsjXtUlDA8m3LHBF1uzdCV+h2b6jLtpJ6mx2xWFFCoX0TUO92r+8U0tXNVdcNi0u3YVO6hXPpsrx0aQ1KS3W3XVK3b58rcnI8MHZsi87eIsbgcnM1lL+dra89fUVn+WZM92NTu3wbS/s8BWCxtkpczl0uWJbF9QPXcea7M2ipaEFgz0D0f70/PAI9Oiyr7/zVdY2o984EgIcfbsLYsS2YPFmzp5C+7vJczi9L/Y7a2/n55ypkZHQcLsLU69fU4QW2bHHnVB2va11DvT/1Bee6tqPr3mNOaZClzlv1NGqXglrrerYnY7rdU0BkhK4QEHG5ySxb5qUxTsnMmXUdSiiUF2du7k3k5oqMfnOy9rg3+krCuASEnW2Xy3xEXB9E+h7w+m5++tZXL/XSN0VAZ8fF9fewxZhFutpzAKaNmaP9u1j6wdLW0IajnxxF1akquAe6I/qeaMSNjoPAxfSxi7Sv0dxc1w5jzuzYUaGzA4Ix1Z+W+B3VtyORyC3+0Dam3ZM1Gvtr3w8Bw8G5tXoPW/q8VeLLGGTWQuMQdWHmNoTkUlVTUyMw+LfSxYvQmDhQX88OfemwZlExl1Fl9fX80cfQjY7rW6S1umJzmSLAEGN+D1sU86u34/nyS2/U1prWbsZQD0lLcfVxRfo76bh59CZOf38aZ78/i7K8MvR+tjcCEo0buwjQfY2yrGYbmZUrq3Veu4amkTCm3aCx6b29ndtVepZotG1suydL99zV7hyiZGjbfOk9zJW9qu34yLRXGGIXyhvCjBkBGDs2CMXFpg2AJpHIMGFCi963gYCAjg+MtWs9Ouxvzx506NlhbtosRRn4AOhQZ79xYyVmzqwDAHzwgR+n9OrrWaWkq5HiffcFY98+V43t6EuXOcela4oAU7dvK8XFQp3nlDqJRNHgXqi2iLEvxroDSMtjGAahA0Ix5IMhCB8cjtbqVhxZfASHsw+jrdH430D7GlWet4sX12DHjgq91ba6zg9j7htcfhcuLHWvUsflt+RyfRlzjNqdQ7y8Or+2zL3Gif1QCZEDsdWbh3ojZl9fOdas8UJTU8curEOHglPPDnswVBJmqOePLupvpspxkLRLK3Q1UmxoEGDKlECN4fTN6R2lfOPWbvekXnrQ2ZhO1mBsSYAxVQrqDyRTugLbemgLkacIaTPSUHW6CqdWnULlyUrkvZOHmPti0H1EdzACw50RDOHyJq/r/OI64bElq3osea8yphNEZ9cXl/aR6rTPHy7Xlr16DxPzUUDkQGx1c1fv6r18uQ+amnQHOvHxQE5OFfLyRAZ7dtiL9gNE/cHd2SzQ6tRv7spxkBT/1tyXsopHPc/0DafPpWu5Ol0PK/URqu11AzblIWrMw9Lcc96UHpKWIE4WI2tBFk5/exqVZypxft15XP39Kvq82Ac+kT5W3bf2eW+N3oadMfV30zVQpbGdIAwFjupjmlVVKRoV6+vBqdyWKdcWVUM5JgqIHIgt3zyUpSjKBzuge1Z2iUSmmg/Kng9lYxszT5zYqDG20NWr+ovPo6JkGiVggO7SCmVX7dTU9k6H09eVps5KStQfVlu3umPVKm+Ndc2ZoNNUpjxEjXlYWuKct9bDqbPzzsXdBX2m9kHtpVoUflWI1upWHP34KAITA9FzYk+4eHC7/Ro7aKautkLKYJ1lFYG8ruUs+cJlyu+m63rQPr9KS4VWOc+VPdMA2HR4B0uw1ACbhAIih2PLi1M9ENDVkPPiRWDTJg+kp9/6X7psf+PgGlRo31gZBho3/6gomcZ8YOrbV05C6+0th4vL7dmi9T0wtIfTVy/JUaZFu+2PsSUlLAuLvc2bw5SHqLEPS2sGNKb0kFSuyzWY9Y/zR9aCLPz1f3+h6EAlzvxSjwObD2Pgs7Ho91CIwSlATB00U9eyygBa2UhYe2oKS79wGfu76boeLF0qrt4cQCxWTGGiXo0G3J4v0BGCC2v1aHNWFBARndQDAWUwpN6Qs7hYiHHjgLIyf7teiJ0FFfraH4wa1aoadE+7uk/fUP+NjQLOA5cpHwbavc8AaExfYmpJCcsCq1d7W+xBYSpHrVLQ7iFp7PlrbMmY0FUIzztTsOgjF/Sqy4MIbTj3aglu/n4JQ+emwjPI0+z9GFpWu9G/kvZy9vxddAU/MTGGzy9j5xhUNgfQbmOla75APpcKKTlajza+o4CI6KTdc0m7Sikvz1U1F5Q1L8TOioMNvUF21v6guFgIljU8R5T29o0d6M3Qg6i0VGhWSQlfGm7aO7gxhXYPSV3nr6Fzz5SSi7w8V1yuC8BV3I/eKET3tsu4UeOCIx8cQUi/ECSOT4RApNnx15j96FpW1wuBdmDOh/Z+gP7gWt/5Zeocg7raWKnPF+jlJTfYptAY1q7OsnWnga6OAiLSQXGxEJWVAoPz2mRktCE8HCgrs17XUi7FwbpKTpTVU4baH2iX3Og7VnOrEbTHPQI0H0QxMaYHE1wCEWpfoJt6D0ld529n554p54X6g/cEUlHtH43R/rsBABWFFag4UYGeT/aEOFls0n50XQv6XghYtvMRzO3BmOBa1xyDkZEyo893ZanRDz944v/+zwuNjQJMmxZgdqm3LaqzqEebZVFARDRoBwozZ9bpLBWRSGTYuxfYvLkW6em3rHIhci0O1lU91VmVlHbJjXpVmHpQZW7bKF0PKVvdvKh9gX7qPSR1/RZcJyQ15rxQ770JAKNGtSG6eyaKtxWj9M9S+MT44PTq03D1dUW/6f3g6utq9H7Ul9Xubq/dIFlfD0zl8fM9iNaeYzAr65bJ57tEIkN8vBSNjZYbOsRW1VmOWELLVxQQEQ3agUJQkFzvgzs+HpgwocWiw8irM7Y4WFeJENeJT9UncbR0EKEesCkfNLZ4k6P2BYap95DUZq2qCGVPxNsYxI6MRXhGOI59cgwMw8Bd7I6D8w8i8s5IxPw9BgKhaePncj0G9XPe31+G9nYGTU0CzvN22Yv6bPJjx7bgyhWhWee7pX9zqs5yPBQQEQ18uoiNLQ7W1yhTX6mSrm1bK4jobNoPa7yR2+O37CpVdJasiuCSJx5iD2QuyMTVP66iZHsJ/BP8cX3/dVzfdx0pz6fAN8bXasegfs7X1mo2Ls7O9sPq1d68LV1UziYPKPLZEmNWqQ9PYAzt35mqsxwPBUREA98uYmOrCzobpVb7hqW9bWsFEYbmmLJWtZYxv6UlAhlrHIs9AyxLVEUYkycMw6D78O4I7R+Ko4uPQi6Xo1tGNxR8UQDvbt7o/WxviDxFFj8G9XNeF0cpXbTUvUs5PIExgaC+35mqsxwLBUSkA0e+iPWlneuDyVoBob5Ay9rVWlwbXlsikDHmWEwZTJOvpRSGmPL7uvm5IWzSYOz/vwo07DiDyFQ/yNvlyJubh7gH49BtcDeDYxcZS3nOL1zog+3bb3f/9/SUo7nZ8OCifGPuvcvU65Gqp7sGCoiI1fCp+sSYG5Y1AkJ9gRYfqigtdTM3pc2KMYNpOuJDprM80XWNKMb4CkJ5eRgig+PwBnaj7mY7Uh6JR/G2IhRvL0bf6X3hFeplsXRKJDLMnt2AQ4fcVIMWfvGFbefEszVLjtZtzHp8ui8STRQQEU6sOYGnLfAh8NAVaHEtkbLmTdRSeWNKmxXtQEf9OPnwm5nLUJ7ou0bU86e0whOz/3gAPo03kFlwFIkDA9DvXi8cXXwU4p5i3PHoHRC6mT+TvDKt2oMWmsNWD35T9mOoisvUgUa5Xsd8ui8STRQQkU7puohjY+UG1+Hb272120aZc/PvrETK2jdRS+aNsW1W1AMdXcfJp/ZsptKXJ/quEfX8UUydI0QDIrDpVggy9uXiwuFKPPlxDzT/dQW57+Six4QeCO4TbJFqNEuVjip+S9NHAjduP8ZfG4buT6bmAZf1+HZfJJooICKd0nURx8a2GlyHj2/31mobZe2AxRY3UVu2GzOmh9+ECS0WS5cyaM3MbEd4uEU2aRZ914h6/qhPK9MOEfZiKEJay9Hnh33one6KHo/2wLm153BhwwX0e7UfPAI9LJ5OU4J9Wz34Td2Pve5PfLwvktsoICKdMuUi5ltvNWvSdVMG2kwuMSouFuLgQTeMHg14edn3Jmqtag9b9vADOgat+/cr8taeDF0j6vmj7Aq+YoViUlImNAhDF2Wi8fdC/LXmLyT8IwENVxtweNFhhGeEI+7BOAhcTBu7SJupwb6tzllT92Ov+5Mz3RcdEcNaa1S9LqiiogLt7e32ToZdKB7Sty9ihmEQHh6OsrIyqw3MyAem9IZatqxG72SxXPan3FZ4OLBhw03ExEg75L8t6HsYWrNtiLWOc+1aD8yYEaD6e+VK4P77uZ+79moIqz2CtHbe1BbV4uRXJyHyFCFpYhJOrTgFebscvab0QkB8gKFNc6Kdb4sX12iMdq1N/b5QVCSwyTlrj2vDHpzlnmtpIpEIwcHBnJalEiLCiSN3xTeVqV31c3NNry5QL20qK1M8AGNipHbJf30lX9Zuz2SN49QuSbjzTu4Nke3VEFbXfrWDEf9Yf2QtyMJfP/6FE5+dgGSkBCIvEU59fQoeQR5ImZoCV29XTvvaskU5pcjtkanNKemx1TnrjPcmYh0UEBGih6ld9VnW9IeI+gMoPBwWr2owpqRDPS1isQwVFQJs2eJu8bYhxqTJ1JIazXY5cvz5pxhJSUK9U3eos1dDWK77FYgE6PlkTzSUNuDE5yfACBn0faUviv9bjIPzDiLm3hhEDY8CI9Dd6Lq4WIjRo4NUs72vXOmNTZvM63VFiCOigIgQPezRPkG5bn6+G0aP9oenp8zoKQT0MbakQ30qgxUrvJGd7QexWKaasd0SbUOMSZO5JTWKZZUlXEBoqJjTNhylAa5PpA8yF2Ti0s+XcOyTY+h+V3fE3BeDE5+fwJXfriD1X6nwjvDusF5enqsqGAIUU3ZYotcVIY6GAiJC9DA3sDH1ISKRyBAb24LwcH+UlZm0CZ1MKemQSGQQi+WqB2ZVlRAzZ9YhKEhukRIDY9JkiZIarmMgqQdJti4lUU+HsfsVCAVIGJeAbn/rhuNLjqN0Tyn6Tu+LmrM1OLbkGPzj/dHzqZ5wcb9968/IaFMFuQAgFlPvJ+KcKCAiTq2zKhi+vR2b07g3Kkr2v3FtjJuOQbukYtSoVqOCAkNpNqYUxBIlNcaMgaQdFNniPODSbogLrxAvZC3IQsmOEhz96CjCM8Mx6O1BOLXyFHLfyUXCuASEpYWBYRjVgIxbt95uQ0RVY8QZUUBEnJajjRprTnqLi4WYPj0ADQ0C+PjIsWxZjcVH4TUlzcZs2xIlNRKJDDk5VTh7NgQ9e1YhOlr/GEjqAZAtepkVFwuxZIm3xdorMQIGkvslCEsPw7GPj6H8cDlSX0qFtEWKUytOoWhTEfq+0heeQZ6QSGR46aUmSx6OQ6BpNIg6CoiI03K0UWPNSa/6ug0NAly9atx0D6aWkBgTaHAJcCxRUiORyJCZCZSV3W6fZaj0qbOgTl8PLWOo70MgYCGXMxZrr+QR6IHMBZko/bMUxz49huDUYKS/m47LOy/jSPYRhPYLRcK4BAhElhm7yFE42gsRsT7nugJIl1NcLMTatR4oLjZ+PiflQxCAQ4waa056ldVlutY1Jw+57FcgUEQdAgGLqKiOc3nNmBGAsWODrLJ/rpSlT4sX1yAnp1IjONM9/ICCsodWdrYfsrP9MHJkEJYt8zL6WNT3IZczePjhpg7pMAfDMIgaFoX0t9NRe6EWeXPzEJQShEGzB6H6XDUOzDmAqjNVFtmXozD0uxLnRCVExGFZoteRI3QpNqeRrXJ9fdVl1n5LvnpVCLlc0d1bLmc0Sqb4VkKnr/TJUOmRdg+t2lohsrP9sHq1N6e8VP62UVEyjX1Mn95olfPR1dcV6XPTcSP/Bk58cQIBCQFIm5mG2gu1OPPdGbj6uKLvtL5w9e36wQFNo0G0UUBEHJYlHqh8azStTdckmcY2stWuLtuwwQMREYoxZozNQ2PbXBh66DjKA8lQ4KzdQ0uJa16qB6NLl9agtFRo0eBc+/e6/XckMt4NQsHyAuTNzUPy08nInJ+Jcz+dw8H5BxE1LArR90ZDIORWiWCJeeJMnbXenEmVHeGFiNgOBUTEYfH5gWqpxpqWCPrU80kgYLF+vRf27nXHxo2VRuWhKaVJnc3X5SgPJH2Bs7KH1vffe+KHH7zQ0qIIILh0Xdf+bUtLhSb1KNNHV8A1fbrmlDJpM9Nws+AmTn9zGt4R3uj9bG9E/z0aBUsLcG3vNaS8kALfaF+j9mPKPHGmnFumrqN+XZr6QkSNsbsmakNEHJahdh/2tG+fK+69NxgzZgRg9Gjz2sZYop2TMp/Gj29SVV/dDq6456GpbS4kEhkmTGjpsG3lQyU9nd/BUGckEhkSEqSqYAgApkzpvMrL2m3YtH+vjRs9dP5+IakhyJiXATBA7txcNF1vQuaCTMSOikXB5wU4vuw4pC36R/TW3s+ePeanlcu5Zew6lmqzxqe2b8SyKCAiDk3fw9ZeiouFeOaZQDQ1KS6tqiqhanwXUygDlpkz6zBxYqPJo1ZLJIp2KboewFzz0JIP8K72UNFutD5qVGun61g7oNf+vcaNa9H7+7l4uKDvtL7o9UwvnPvxHI5kH0FwajAy52WCETDInZuLa/uv6ZxUVH0/YrEMN2/C6N/TlHPL2HUs1YiaGmN3XVRlRogF5eW5qoIhS1q1SjE+DdfGurqYW0VlySouvjWoBkyvBjF3jCdrHbeu36uz3y+wRyAy38vEme/PIO/dPCSMTUCfF/ug4WoDCv9diJLtJUidlgqvUK8O+1FO8fLWW9ynRTGUVkuvY6kqdj5X1RPzUEBEeMUR6uY7G3lZvZGtvz+30gJDTA0edKXT3AewpR7gfHuomNPbztwxnqxJ+/fi8vsJ3YToPaU36kvqceLLEyjZXoL+r/VH1sIslOwqwdHFRyFOFuOOCXdA6CZUbVd9ihdTglxTzi1j1rFUQO9Ibd+IcSggIrzhCAOlcRl52dLTIJgSPPA9L/n2UDGnxIpvwZ2l+Mb4Imt+Fs6tU/Q8k9wvQcy9MYjIikDB8gLkvp2LHo/2QHCfYDAM4xD5YKmAnu+9U4lpKCAivMHHahRtXNJo6WkQTAkezMlLS4y8zAWfHirmPMz5FtxZkkAkQNJjSYgaFoWC5QW4svsK+r3WDwPfGojqs9U4vfo0LuVcQr9X+0EicdM5LQohjoJhdbWSIzpVVFSgvb3d3sngBYZhEB4ejrKyMp0NLU2hXaph655jXKrrbJVGffnLtUrR1HQqR15Wn/l80yZ+lS6Zy1DedsWgxlLkMjmKNhfheu51RA2LQszfY8DKWFz4+QLKD5ejW2Y3xD0Yh4ioCIveF4iCNe65zkAkEiE4OJjTslRCRHjDnm/a+/a5YsqUQNVM8PqqmGydxuJiIXJzRaoSC67VYKamU3vk5aoqbqVL1m77ZYu2ZeolVo7Qlo0LSx6HQCiAMLUHrtyMRdP2g7i2/xr6vtwXPR7uge4juuPYp8dwI/8Ghs8eDhgeuogQXqKAiPCKPapRiouFqmAI6LyKyVZpvHgR+Mc/bo9SPXFio1HVYKakU7tROJcBBi3VXknfw9uS7aEUpUBuGD1a/+CBfG9/xZWlj0NjeyEP4d+vHMHRj44ifFA44sbEIXN+Jm4evYm8T/IALyDlhRSIvEQWPCJCrIvGISJOLy/PVRUMAYCPj5wXDUL37IFGAMQwsPpktMpG4TNn1mHmzDps3qy/qk05KeyWLe5mj8tiaFwiS437otzH66/7429/0z9WTlcZZ8bSx6GxvZsuKBL1QNosxUjXubMVAzqGpYXhvqX3wc3PDXnv5uHK71fAyhXVO9acRJgQS6ASIuL01BvU+vjIsXJlNS/akAwdCo2GvqNGtWLkyFarVdepl9B01ihcvbRALJapSpVMDdQMNQLX1+CZa5sv5TLq+ygrAw4edEVMTMcRmPnaW8qS88iZQtf2PAI9kDk/E9f3X8exJccQnBKMO1+9E72f7Y2Gaw0o+EzREDtwdH88/kKMw5e6ka7NoQKixsZGrFq1CkeOHAEADBgwAE8//TS89JR9S6VS/PTTTzh+/Dhu3rwJT09P9O7dG48++igCAwNtmXTCY3ztJRQfD+TkVCEvT6SVrjbk5rqCZS3XvsXY6hX14KKqSoiZM+sQFCQ3Of+0H7ZRUTKsXeuhevhr/z5c0qtrLi/lPsLDoTdA4OP5YOl55Eyhb3sMwyBiSASCU4Nx7NNj2P7SdsQ9Hge/WD9kLcjC1T1XsTv7OCTlN1GFNJSXu/CyBykhDhUQLVu2DFVVVZg9ezYA4KuvvsLy5csxc+ZMncu3tbWhuLgYY8eORUxMDBobG/Hdd9/hww8/xAcffGDLpBOe41MXcHUSiUyjFMNa7VuM7aavHcDoG2+Ja6mG+sM2KkqGadMCOhyjenq4pFfX5KkbN1YiP98No0f7w9NTpncqFL6dD6YOo2Dp4zC0PVcfV6S/kw5piRR5X+TBL9YPyZOS0X1YdwwJicTBMefx96btuBzQG+nppk9nQ4i1OEwbotLSUhQUFOD5559HYmIiEhMT8dxzz+HYsWO4fv26znU8PT3x9ttvIzMzE926dUNiYiImTZqEoqIiVFZW2vgICDGftdq3GDsvFJd5uIydr0w5p9qVK8JOj5FLenUto9xHXJzBpPCOtSeCtRSGYdA9szsy5mWgraENue/kovpsNRKSBZi1MxlD3uiJaUMP4/rKfWip4k/ASQjgQCVE58+fh6enJxISElSfJSYmwtPTE+fOnUO3bt04bae5uRkMw8DT09NaSSXEaqzVvsXUuaQMlT6YWqrB5Ri5pJePVV+mUJayLV1ag9JSodWPxRJd9UWeIgyYMQCVpypxetVpeIZ5os8LffD4dA/IpRko2lqEwx8cRuiAUCT8IwECkcO8m5MuzGECotraWvj5+XX43M/PD7W1tZy20dbWhrVr1yIrK8tgQNTe3q4xACPDMPDw8FD9m9zOB8oP69CXv7GxcuTkVKk95OUALPMbxMbKERurnHfN/G1mZrZrBDaZme2czheux8glvbqWcaRzV1HKdnvohZycKkgklvvNue2Pe1CknbfBvYMRMD8Ap1aeQt7cPPSY0AMhfUOQMCYB3Yd1x9FPj+LAnANInpQMcZLYKsfUVTjSeeuo7B4QrVu3Dhs2bDC4zKJFi/R+x7IspxNEKpViyZIlYFkWkydPNrjszz//rJEmiUSC7OxszqNdOpOwsDB7J6FL05W/4eFAZqYdEmOk8HBg/37F8AF33ilEXFyIUeta+xgd4dzdtg0oL1f8u7xciLNnQ6yaL5ban3beRi2MQsVfFchfko/KfZUYMnsI3MLdEP1VNMqOleHo10dxI+AGhrw1BG6+bhY4kq7LEc5bR2X3qTvq6+vR0NBgcJng4GDs378f33//PVavXq3x3cSJE/HUU09h2LBheteXSqX49NNPcfPmTbzzzjvw8fExuD99JUQVFRWQSjt203VGDMMgLCwMN27coGHkrYDy13SdVfnYIm8tNUJ0cbFQY3DOn3+usnp1mTn76yxvZW0ynF1zFlVnqpAwJgHhmeFgGAayNhn++vEvVJ6sRPcR3RF9TzQEQuOr0brKCOO60D3BNC4uLo4zdYevry98fTsf5z0xMRHNzc24ePEi4uPjAQAXLlxAc3MzevTooXc9ZTB048YNzJ07t9NgCFDMfSIS6R5hlU5ETSzLUp5YEeWvcbSrfAz1wjM2b42bR45bGjoTEyPVaAcVHa2/Z5wlGLM/Q/mhL28FIgGSJyWj/ko9Cr8oRNG2IgyYMQBufm7o+WRPNJU3oWBZAUr/LEXK1BT4duc+B4gl853P6J5gPQ7Tki0yMhKpqan46quvcP78eZw/fx5fffUV+vXrp9Gg+uWXX8ahQ4cAADKZDJ988gmKiorw0ksvQS6Xo7a2FrW1tVTSQ3Ry1NF0HTXdlmatXnjG9JizdBqUPeNs1Sicy/6M7UGozbe7LzIXZCIoOQj5C/JxZfcVsCwLr1AvZC7IhGSUBAWfFaBgeQGkLdzu1V1lhHFiP3YvITLGtGnT8O2332LhwoUAgP79++OZZ57RWOb69etobm4GAFRVVakGcXzjjTc0lps7dy6Sk5NtkGriKBx1DitHTbc1WKsXnjE95tTng+MyF5wjMrUHoTqBiwA9JvRA5LBIHF96HFf/uIp+r/aDh9gDEVkRCO0XilMrTyF3bi7iRsehW2Y3g+1F+TrCOHEcDhUQeXt7Y9q0aQaXWbdunerfISEhGn8TYoglbvL2YO9086ndhrW62pvzsO2KtRuWCD5unzdCZC7IRPHWYhxedBiRQyMheUACFw8XpL6UivrL9Sj8shAl20qQOj0VXiG6ZyboKsMsEPtxqICIEGty1DdMS6XblMCGj6VT1hhl2piHbV6eK6qqbk9r4iiBtTHMDT50nTdxo+MQnhWO458ex/Xc6+g7vS+8wrzgG62oXru86zKOfnQUQb2D0OORHhC6dqym49sI48SxUEBEyP846humJdJtamDjTKVTXB+2lg6s+VQCp86c4EPfeeMZ5InM+Zm4+vtVHP34qGLgxrEJELgIILlPgoisCBQsL0Du27lIeiwJ4t5iGpeHWAwFRISocdQ3THPTbc1Rpa2Fj6VTgGUDa74eo7kMnTeMgEH3u7ojdEAojiw+gpvHbyL1xVT4RPnA1dcVA2cPRNWZKpz57gxc3F3Q75V+cPOnsYuI+SggIoSYHNjYs1TN3qVThlgqsObzMZpCvbSrs/PGzd8NmfMzcT33Oo4vOw5xTzHueOwOCF2FEPcUI2tBFi5suID8hfmIGBwByUiJSWMXEaJEAREhxKzAxl6lao7a5ssYXekYdZV2TZjQovG9dtUgwzCIyIpAcJ9gHF96HLlv56L3s73hH+cPgUjRSy3q7ihFu6O86+g9RfEdIaaggIgQAsDxqgsdtc2XMbrSMRoq7eqsatDV2xUD3xqIm8duovCrQvhG+6LXM73g4u6iaHe0IBPlh8tx8quT8Az1RMrzKRB56R5clxB9qHyREA4cceBDR0yzsWw9aKE9dJVjVJZ2AehQ2sVlUEWGYRDaPxSZ8zIha5Uh7508VJ2uUn0XNjAMGe9lQOQtQt67ebjyxxWw8i445gGxGiohIqQTjtiw1RHTrM3Y3lV87Y1FFAyVdhlTNeji4YL+r/VXNaz2CPZAn6l9IPIUwcXdBSnPpaDxWiMKPi/AlV+vIPWlVHiHe9viEImDo4CIkE44YsNWvqXZlODGmICuKwSAzkBftawpVYPinmJkzMvAmVVnkDc3Dz3+2QMh/UPAMAy8I7yRtSALV/+8imOfHENAYgCSnkiCizs98oh+VGVGSCe0i/qjomS8r4oyVD1ha6bMe2XsvFQ0j5XjM6Vq0MXdBSkvpCDl+RScX38e+Qvy0dagONcZAYPuw7sjfW46btXeQt47eSg/Uk4ToxK9KFwmpBPqb69RUTJMmxbA+5IIPjXGNaW0ytjeVV2pNxYxnn+cPzLnZ+KvH//CwfcOIu7BOHQbrJj7zNXbFQNmDEDNxRqcWnkKF3+5qJgzLdDD3skmPEMBESEcKIv616714FVVlCF86TVmSrBibEDHpwCQ2IfQVYjkp5LRcLUBJz4/gZKdJRjw+gDVoI0B8QHIWpCFoi1FOLzoMELTQpEwJgECEVWUEAWGpfJDzioqKtDe3m7vZPACwzAIDw9HWVmZUxVBa7dVycmptMrDly/5q6/tjyltgvgSrNgjb52lwTdfzlu5VI6LP1/EjUM30P3u7oi+KxqM4PYUH601rTj26THIbsmQPCkZgXcE2i2tXPElbx2NSCRCcHAwp2UpIDICBUS3OfPFaYuHOx/yV19DZUdvwGzrvOVLftkiKOPDeauuqbwJx5ceBwD0e7UfPIM8Vd+xLIuKExU49+M5uPm7IfVfqXD14W/bM77lraMwJiCiskJCjNRVxoXpjL6GytSA2Th8yC9TGrZ3BV6hXshakIVuWd1w5IMjuPjLRchlcgCKACMkNQSZ72XCK8wLB987iJKdJTR2kROjgIgQopO+nmp86sFmDZYe0JIP+aUdlG3d6s77npKWwggYxD4Qi7S30lB+uBy5c3LRWNao+l7oJkTypGT0f70/ru29hgOzD6DhaoMdU0zsharMjEBVZrdR8a118SV/9VUPWqva0N7VOtaq3rJ3Gyr14xKLFfuvqrJ8FR5fzlt9WJbF1T+vomRbCUL6hiDx4UQIXAQa31/ffx2XtlxSTA/ydC+4ePCj7xHf85avjKky48cvTQjhJUMD6Vm6Bxsf2tpYa0BLe/f4U++FV1EhQHa2HwD+95S0NIZh0H1Yd4T2C8XRj4/iwJwD6PNCH/hG+6q+jxgSgZD+ITi18hRy5+Yi/qF4hGeEg2GYTrZOHB1VmRFCeIEPbW34UL1lLcq2b6NGtXbZY+TKzc8NGfMyEDc6DgWfFeDkypOQtd0OvkWeIvSd1hepL6aiaEsRcufkormi2Y4pJrZAJUSEEF7gw+CKzjCekTMcIxcMw6BbRjcEpwTj+LLjyH07F72e6YWAxADVMr7RvshckInLOy/jyIdHENwnGIkPJ0Lo2vXbXjkjakNkBGpDdBvVZ1uXs+avswxp0FU5ct7eLLiJv9b+Bd8oX/Sa3LHtUFt9G44tPYb2xnYkPZ6EoN5BNk2fI+etPVEbIkKIQ7J3WxvivEJSQxDYIxCFXxUid24uej7RUyPocfV1Rfrb6ag6U4Uz351RVKu93Bdufm52TDWxJGpDRAghhABw8XBBv5f7odfTvXB2zVkc/vAw2ps0awXEPcXIWpAF/wR/5C/IR9HmItXYRsSxUUBECCGEqAm8IxCZ72XC3d8dee/moeyQZjWVQCTAHY/egQFvDkBZfhkOzD6A2qJa+yWYWARVmRFCCCFahG5C9H62N2qLanHyq5Mo2VaC/q/2h6vv7d6PnkGeyFyQiRuHbqDwy0J4h3mj9/O9IfIU2THlxFRUQkQIIYTo4R/rr6gii/fHwfkHUbqnVKO0iGEYhA8KR+a8TLh4uiBvbl6HZYhjoICIEB6w9HQRhBDLEYgESHo8Cf1e7oeSHSXInZOLlmrNxv8uHi5IeT4Ffaf3RcmOEhyYfUBjihDCfxQQEWJnzjrxJiGOxjvCG5kLMhHSLwSH3z+M4h3FHSaD9Yn0QdbCLEQNi8KxT47h1DenILvlnGM9ORoKiAixMz6M0EwI4UYgFCBhbAL6v/G/yWDnHOgwijUjYBB9dzTS56ajtaoVuW/novxoOVWj8RwFRITYWVeeLoKQrsorxAtZC7IQ8bcIHMk+ggsbL3Tofu/q7YoBbwxArym9cH79eeS+3bGqjfAHBUSE2JlyKoXFi2uQk1PptFMpEOJoGAEDyd8lSHsrDTeP3UTunFw0XuvYbiggIQBZC7IQ0jcEhxcdxoUNFyCX0thFfEPd7gnhARqhmRDH5RHogcwFmbi29xqOLTmG4D7B6PHPHhCIbpc5CFwUVW2RwyJx7JNjuHH4BpKfTkZgj0A7ppyooxIiQgghxEwMwyByaCTS305H7cVaHJhzAHXFdR2W8wj0QOb8TPSY0AOnvz2Nwx8cRlsDVZPzAQVEhBBCiIW4+roifW464v8RjxNfnMDJr0926GXGMAxCUkOQ+V4mPEM9cfC9g7i863KHHmvEtiggIoTwCo3JRBydcrDGjHcz0Frbitx3clH9V3WH5YRuQiRPSkb/1/rj6p9XcWD2ATSUNtghxQSgNkSEEB5RjslUXi6EWCzD5MmNGDWqFRIJNTTnorhYiLw8V2RktFGe8YDIS4S0N9JQWViJ09+ehlc3L6Q8lwIXD81Hr1eYF7IWZuHavms4vuw4/GL8kDwpucNyxLqohIgQwhvqYzJVVQmRne1Hg1VyRAN88ldQShAy5mVAIBQgd24ubhbc7LAMwzCI/FskMt7NgKxNhty5uSg7WEZjF9kQBUSEEN5QH5NJiQar5IYG+OQ3Fw8XpL6Uit6Te+Pcj+dwaNEhtDe1d1hO5ClCv5f7IXVqKi79cgm5c3I7DPxIrIMCIkIIbyjHZJo5sw5iMQ1WaQwa4NMxBCQGIHN+JjyCPZD3bh6u513XWQrkG+OLzIWZCM8Ix5EPj+DsmrOQtVE1qDUxLJXHcVZRUYH29o4RvTNiGAbh4eEoK6MiXWug/FVUAR08qGgPY8nBKrty3lorz7jqynlrDfWX63Hi3yfg4uqCfq/1g5ufm87lbtXdwvGlxyFiRYgZFwNxstjGKXVcIpEIwcHBnJalgMgIFBDdRjc+66L8tR7KW+uhvDWevF2O8+vP4+bxm4i5PwZRd0aBYZgOyzEMA9wA9n6yFyIvEfpO76s3gCK3GRMQUZUZIYQQYicCkQB3PHoH+r3aD1d2XUHunFy0VOketT68bziyFmTBL84P+QvyUbS1qMP8acR0FBARQgghduYd7o3MBZkITQvF4UWHUfTfIp0DNQpdhUh6LAkD3hiAsrwy5M7O1TkiNjEeBUSEEEIIDwiEAsQ/FI8BMwegLLcMB+YcQFN5k85lPYM9kbkgE3EPxaHw34U4tuQY2pupSYc5KCAihBBCeMQzyBOZ8zMRdWcUji4+ivPrzkMu7Vg1xjAMwtPDkTEvA0JXIfLezUPp3lJqv2UiCogIIYQQnmEEDKLvicag2YNQUViBA3MOoPZyrc5lXTxc0GdqH/Sd1hcl20twYPYBNN3QXbJE9KOAiBBiMpp3jBDrcvN3Q+b8TMQ+EIu9C/bi9OrTkLfrbkjtE+mDrIVZipKlj4/i9KrTHSaWJfpRQEQIMQlNFUGIbTAMg4ghEbj343tRf6VeUVp0qVb3sv8rWUp/Jx3NN5uR+3Yubh6/SdVoHFBARAgxCU0VQYhtufm6If3tdCSOT0ThV4Uo/HchpK1Sncu6+rgi7c00JD+TjHM/nUPu27loqdbdnZ8oUEBECDEJTRVBiO0xDIPQAaHIeDcDbU1tyHsnD1VnqvQuH9gjEFkLsxCSGoLDiw7jwsYLOhtoE8DF3gkwRmNjI1atWoUjR44AAAYMGICnn34aXl5enNb/+uuvsXv3bjz11FN44IEHrJlUQro85bxj9pwqghBnJfIUYcDrA1B1ugpnVp+BZ5gn+rzQBy4eHR/rAhcBEsYlIHJ4JI59cgw3Dt1Ar8m9EJAQYIeU85dDlRAtW7YMJSUlmD17NmbPno2SkhIsX76c07qHDh3ChQsXEBBAJwAhliKRyDBhQgsFQ4TYiThZjIz3MiB0EyJ3bi7Kj5brbS/kEeiBzPmZSPxnIk6tOIXD2YfR1kglu0oOExCVlpaioKAAzz//PBITE5GYmIjnnnsOx44dw/Xr1w2uW11djW+//RbTpk2Di4tDFYoRQgghBrm4uyD1xVT0frY3zq87j0PvH9Ib6DAMg9B+ocicnwmPIA8cnHcQl3+9rHNUbGfjMNHB+fPn4enpiYSEBNVniYmJ8PT0xLlz59CtWzed68nlcixfvhwPPvggoqKiOO2rvb1dYxJXhmHg4eGh+je5nQ+UH9ZB+Ws9lLfWQ3lrPVzyNjAhEFkLsvDX//2Fg/MOIv6heHTL6qZzHRd3F/Se3BuNZY0oWF6Aq39cReqLqfCJ9LHaMfCdwwREtbW18PPz6/C5n58famtr9a63adMmCIVC3HfffZz39fPPP2PDhg2qvyUSCbKzsznPmOtMwsLC7J2ELo3y13oob62H8tZ6uORt5FuRqC2pxf7s/ajYV4E7590JjwAP3QuHA/HfxKNodxHOrDgDcaIYaS+mQeQhsmzCHYDdA6J169ZpBB+6LFq0SO93LMvqjZiLioqwbds2ZGdnG/XGMmbMGIwcOVL1t3LdiooKSKW6uzg6G4ZhEBYWhhs3btD4FlZgj/wtLhYiL0/RQFoi6bptgujctR7KW+sxOm/dgL5v9cWFDRew6V+bEHNvDLqP6A5GoPtZ6NnbE31i+6Dwq0LkTMlBwrgEhA0Mc/jSPhcXF86FGXYPiP7+978jKyvL4DLBwcG4fPky6uo6zuhbX1+vs+QIAM6ePYv6+npMnTpV9ZlcLsf333+Pbdu24fPPP9e5nkgkgkikOzqmi1wTy7KUJ1Zkq/xVDLIoRnm5EKGhit5jXTkoAujctSbKW+sxJm8ZIYPEfyYiYmgEji87jqt/XEW/V/vBQ6y7tMjF0wX9XumH2qJanPr6FC5tuoS+r/SFZ5CnJQ+Bt+weEPn6+sLX17fT5RITE9Hc3IyLFy8iPj4eAHDhwgU0NzejR48eOtf529/+ht69e2t8tnDhQvztb3/DsGHDzE88IV2ErkEWJRIaxI2QrsArzAuZ8zNR8t8SHF50GJF/i0TMAzEQCHX3q/KP9UfmQsXyR7KPIKRvCBLHJ0Igcph+WCZxmKOLjIxEamoqvvrqK5w/fx7nz5/HV199hX79+mk0qH755Zdx6NAhAICPjw+6d++u8Z+Liwv8/f31NsImxBmZM8gizWdGCP8JhALEPhiLtFlpKMsvQ+6cXIMTwCqXHzRnEGrO1+DAnAMGB4DsCuxeQmSMadOm4dtvv8XChQsBAP3798czzzyjscz169fR3Nxsj+QR4rBMHWRROZ+ZM1W1EeLIPMQeyFyQiau/X8XRj48itF8oEsYnQOCiu3zEzc8N6XPTUXWqCme+OwORtwj9pveDq2/Xm6qHYamil7OKigqN7vjOjGEYhIeHo6ysjNoKWIGj5O/atR6YMeP2YKeLF9dgwgR+V7U5St46Ispb67FG3t6qu4UjHx2BXCpHn6l94NvdcPMVWZsM59edR8WJCkQNi0L0vdF6q934QiQScW5Uze8jIYTwGs1nRojjcvNzQ+b8TMSNikPB8gKcXnUasjb9JbxCVyGSHk/CgDcG4PqB68idnYv6knobpti6HKrKjBDCLzSfGSGOjWEYdMvqhqA+QShYWoDct3PRa0ovBMTrn+bKM9gTmQsyUXawDAVfFMAnwge9pvSCyNOxxy6igIgQYhaJREY90ghxcK7erkh7Kw0VBRU4+fVJ+Hb3Ra/JveDirjtMYBgG3TK6ISQ1BKe+PYW8d/MQNyoO3QbrHhnbEVCVGSGEEELAMAxC+oYgc14mZG0y5L2Th8pTlQbXcfFQzKPW96W+KN5WjAOzD6CpXH/vNT6jgIgQwkvUnZ8Q+3DxcEH/V/sjeVIyzv5wFkc+OoL2ZsMdinyifJC1MAuRQyNxdPFRRXukW45VhU4BESGEd5Td+WfMCMDYsUEUFBFiB4FJgch8LxOuPq7Im5uH8sPlBnu4MQIGMffGIP2ddDTdaELuO7m4WXDTaj0Or169ioiICJw6dcoi26OAiBDCO7pGziaE2J7QTYiU51OQ8nwKzm84j/z5+WhrMNyb1NXHFQNnDUTypGSc+/Ec8t7JQ2tNq41SbDoKiAghvEPd+QnhF/84f2QtyIJvjC8OvncQ1/Zd67TkJ/COQGQtyIK4txiH3j+ECzkXIGuX8XaSdAqICCG8o+zOv3hxDXJyKqk7PyE8IBAJ8M7md7C1fSvmvjsXPWJ7IKV3CtasWYPm5ma88sorSExMRGZmJn7//XcAwMHDBzH8leFo+VsLnn73aUhiJfgt5zeUlJRg0qRJ6NOnDxISEnD//fdj7969GvsbNGgQli1bhldffRWJiYlIS0vDmjVr9KZPLpdjxowZGDx4MEpLS40/PqPXIIQQG5BIZJgwoYWCIUJ4ZtP2TUh+IBlfzfgKwyOGY9bMWXj22WcxYMAA7NixA0OHDsW0adPQ0nJ7OI6Pln6EBcsXIOeLHMgOyHD4i8MYOngofvrpJ+zcuRNDhw7FpEmTcO3aNY19ffXVV0hJScHOnTvx1FNPYdasWbh48WKHNLW1teG5557DiRMn8MsvvyAyMtLo46KAiBBCCCGc9ezZE6+8+gqGTR2G9759DyKhCNLLUoy5ZwxiY2PxyiuvoKamBmfOnFGtM2PGDAwdOhQDRg3APdn34I6EOxD7Vyy8yrzQPbw73nzzTXTv3h27du3S2Nfw4cMxceJESCQSvPjiiwgMDERubq7GMs3NzXjyySdRUVGBDRs2ICgoyKTjooCIEEIIIZwlJSWp/u3bzRdBoUHo3a83jmQfwcWfL0IcKAYAVFVVqZZLSUlR/dvF3QVxj8Vht3A3xr04Dkl3JCEhPgEXL17sUELUs2dP1b8ZhkFwcLDGdgFg6tSpaGpqwo8//ghfX8PzsRlCI1UTQgghhJPTp0+jvl5z/jKGYRDSKwRpY9Nw7ONjuHHoBgBFmx4lT09PjXXmz5+PPXv3YPZ7s+Hb7AsvHy/M/vdstLVpdqBwcbkdpowbNw7l5eUa2wUUpUg5OTk4evQoBg8ebPKxUQkRIYQQQszmEeiBzAWZiL4nGgBQurcUrFR3T7RDhw5h/PjxGD1+NIY9NQzJ9yab1BAaAJ588km89dZbmDRpEvLy8kxOP5UQEUIIIcQiGIZB1LAoAEBTaRMKVhboXC4mJgbbt2/H3XffDYZh8NFHH3Uo+THG008/DZlMhqeeegpr1qzBwIEDjd4GBUSEEEII4Uwul2P27NnIycmBQCCATHa7J+igQYMwYcIEAMCyA8uQ2iMVADBr0iwUlhei7EYZQkJCMGLECNTV1WH06NEIDAzEHXfcAblcjosXL2LQoEGoq6uDVCrFrVu39KZDWRr066+/olevXpgyZQrkcjmeeOIJrFmzBmlpaUYdF1WZEUIIIYST5ORkXLlyBUKhEFu2bMH8+fMhlUo12gh9+eWXePvtt7F7924s/nwxSs6XwIvxwsQeE/HLt79g3rx52Lp1K4YPH45Lly7h8OHDSE1NBcMw8PLywnfffYfvvvsOPj4+aGxs1Nj/mDFj8Nprr2HTpk14++238e233+KVV15Rff/cc8/h3LlzRgdDAJUQEUIIIcQI3bp1w7x588AwDOLj4/HXX39hxYoVeOyxxwAAWVlZeP755zXW+WjjR7hZcBPn1p5DcGQwJj89GVu2bMHUqVNVy8jlcnz66afw9vYGAIwdOxb79+/vsP/Vq1cjOzsb3377LbKysix2XBQQEUIIIYSzfv36gWEY1d/9+/fHV199pao6U+9ir7R161asXLkSJcUlaKhrgEwmg5enF+QyOQRCRWVVVFSUKhgCgJCQkA5d7Ldt24bKykr8/PPP6Nu3r0WPi6rMCCGEEGIx2l3sjx49iqlTp2LYsGH47vvv8Ovvv+Kxux5DW2sbSv+83bNMvYs9oGigrd3QOjk5GWKxGP/5z386nUvNWFRCRAghhBDOjh071uFviUQCoVCoc/nDhw8jMjIS06dPV312S3wLLh4uCE8PN2rf0dHReOeddzB+/HgIhUIsXLjQ+APQg0qICCGEEMLZ9evX8e677+LixYv45Zdf8O233+KZZ57Ru7xEIsG1a9ewadMmlJSU4JtvvsH27dsBBhB5iYzef1xcHNatW4dt27bhnXfeMedQNFAJESGEEEI4GzduHFpbWzFy5EgIhUI8/fTTePzxx/Uuf++992LKlCmYPVsxEvWIESPw8ssv45NPPjE5DfHx8Vi3bh3GjRsHoVCIuXPnmrwtJYa1dCVcF1ZRUYH29nZ7J4MXGIZBeHg4ysrKLF6PSyh/rYny1noob62H8tY0IpEIwcHBnJalKjNCCCGEOD0KiAghhBDi9CggIoQQQojTo4CIEEIIIU6PAiJCCCGEOD0KiAghhBDi9CggIoQQQojTo4CIEEIIIU6PAiJCCCGEOD0KiAghhBDi9CggIoQQQojTo4CIEEIIIU6PZrs3gosLZZc2yhProvy1Hspb66G8tR7KW+MYk1802z0hhBBCnB5VmRGTtLS04M0330RLS4u9k9IlUf5aD+Wt9VDeWg/lrfVRQERMwrIsiouLQQWM1kH5az2Ut9ZDeWs9lLfWRwERIYQQQpweBUSEEEIIcXoUEBGTiEQijBs3DiKRyN5J6ZIof62H8tZ6KG+th/LW+qiXGSGEEEKcHpUQEUIIIcTpUUBECCGEEKdHAREhhBBCnB4FRIQQQghxejQpCuGssbERq1atwpEjRwAAAwYMwNNPPw0vLy9O63/99dfYvXs3nnrqKTzwwAPWTKrDMTZvpVIpfvrpJxw/fhw3b96Ep6cnevfujUcffRSBgYG2TDov7dy5E5s3b0ZtbS0iIyMxceJEJCUl6V3+zJkz+O6771BaWoqAgAA8+OCDuOeee2yYYsdhTN7m5+dj165dKCkpgVQqRWRkJMaPH4/U1FTbJtpBGHveKv3111949913ERUVhY8++sgGKe2aqISIcLZs2TKUlJRg9uzZmD17NkpKSrB8+XJO6x46dAgXLlxAQECAlVPpmIzN27a2NhQXF2Ps2LHIzs7Ga6+9hrKyMnz44Yc2TDU/5ebmYvXq1fjHP/6B7OxsJCUl4f3330dlZaXO5W/evIlFixYhKSkJ2dnZGDNmDFatWoWDBw/aOOX8Z2zenj17FikpKZg1axY++OADJCcnIzs7G8XFxTZOOf8Zm7dKzc3N+Pzzz9G7d28bpbTrooCIcFJaWoqCggI8//zzSExMRGJiIp577jkcO3YM169fN7hudXU1vv32W0ybNo1matbBlLz19PTE22+/jczMTHTr1g2JiYmYNGkSioqKOr2BdnVbt27F8OHDMWLECNVbdlBQEHbt2qVz+V27diEoKAgTJ05EZGQkRowYgWHDhmHLli02Tjn/GZu3EydOxOjRoxEfH4/w8HA8+uijCA8Px9GjR22ccv4zNm+Vvv76a2RlZSEhIcFGKe26KCAinJw/fx6enp4aF11iYiI8PT1x7tw5vevJ5XIsX74cDz74IKKiomyRVIdjat5qa25uBsMw8PT0tEYyHYJUKkVRURH69Omj8XlKSorevLxw4QJSUlI0PktNTUVRURGkUqnV0upoTMlbbXK5HC0tLfD29rZGEh2WqXn7xx9/oLy8HOPHj7d2Ep0CBUSEk9raWvj5+XX43M/PD7W1tXrX27RpE4RCIe677z4rps6xmZq36tra2rB27VpkZWU5dUBUX18PuVzeIT8N5aWu/Pfz84NMJkNDQ4O1kupwTMlbbVu3bsWtW7eQkZFhhRQ6LlPytqysDGvXrsVLL70EoVBog1R2fVR/4eTWrVuHDRs2GFxm0aJFer9jWRYMw+j8rqioCNu2bUN2drbeZboya+atOqlUiiVLloBlWUyePNnodHZFuvLNUF5qf6ccwN8Zz9vOGJu3Svv378f69esxY8YMnS8AhHveyuVyLFu2DOPHj0e3bt1skTSnQAGRk/v73/+OrKwsg8sEBwfj8uXLqKur6/BdfX293pvb2bNnUV9fj6lTp6o+k8vl+P7777Ht/9u7v5Cm+jiO4+9NQw08zshdaA7/5LxolGmt6MLqIjOwe6+CsKv+ilAgRbvyJobtolVeTOqmmzCC4gH7M7uIiCTDEQaWCSZhOdElrBZtey6iPQ2fh+exp9za+bzAi3PO78D3fJnjs3N+55w//sDv9/+/4rPcr+ztN1++fOH8+fPMzs5y9uxZU58dAjAMA6vVuuRXdSQS+cde2my2JeM/fPhAXl6eLu1850d6+82jR4+4fPkyXV1dSy5PyvJ7+/HjRyYmJpicnKS/vx/4GuKTySTt7e2cOXMGl8u1EqXnFAUikzMMA8Mw/nWc0+kkGo3y6tUr1q9fD3ydexGNRqmvr//bfZqbm5fc+dDT00NzczO7d+/+/8VnuV/ZW/grDM3MzODxeCguLv5ptf+u8vPzqampIRQK4Xa7U+tDoRBbt279233q6uqWTPIdHR2lpqZGNwF850d6C1/PDF26dIkTJ07Q2Ni4EqX+dpbb26KiIrxeb9q6O3fu8Pz5c7q6urDb7b+85lykOUTyn6xbt46Ghgb6+voYHx9nfHycvr4+Ghsb007ZdnZ28uTJEwCKi4txOBxpf/n5+dhsNp3m/c6P9DYej9Pb28vr1685duwYiUSChYUFFhYWTD8RuK2tjfv37xMMBpmenubKlSuEw2H27NkDwLVr17hw4UJqfEtLC+FwOPUcomAwSDAYZP/+/Zk6hKy13N4+fPgQv9/PgQMHcDqdqc9oNBrN1CFkreX01mq1LvluNQyDVatW4XA4KCwszOSh/Lb080f+s+PHj9Pf309PTw8ATU1NdHR0pI15+/atvux+wHJ7Ozc3l3qI46lTp9LGeTweNmzYsAJVZ6cdO3awuLjIwMAA8/PzVFZW0t3dTVlZGQDz8/Npjyaw2+10d3dz9epVBgcHKS0t5eDBg2zfvj1Th5C1ltvbe/fuEY/HCQQCBAKB1PqdO3dy5MiRFa8/my23t/LzWZLfZg+KiIiImJQumYmIiIjpKRCJiIiI6SkQiYiIiOkpEImIiIjpKRCJiIiI6SkQiYiIiOkpEImIiIjp6cGMIpITHjx4wMWLF1PLVqsVm83Gxo0baW9vZ82aNalt79694/bt24RCIcLhMBaLBbvdjtvtpqWlJTX2zZs3DA4OMjk5ydTUFLFYzPQPvhTJVQpEIpJTDh8+THl5OZ8/f+bFixfcvHmTsbExvF4vhYWFPH36FJ/Ph2EY7N27l+rqaiwWC1NTUwwNDTEyMsK5c+cAmJiYYHh4mKqqKlwu15J3nolI7lAgEpGcUllZSW1tLQAul4tEIsHAwADDw8PU19fj8/koLy/H4/GwevXq1H4ul4t9+/al3hcHX19QvGvXLgAeP36sQCSSwxSIRCSn1dXVATA7O8vLly+JxWJ0dHSkhaFvLBYL27ZtSy1brZpmKWIW+m8XkZw2MzMDgGEYjI6OUlJSgtPpzHBVIpJtFIhEJKckEgni8TifPn1iZGSEGzduUFRUxJYtWwiHw9jt9kyXKCJZSJfMRCSnnD59Om3Z4XBw6NAhbDZbZgoSkd+CApGI5JSjR49SUVFBXl4eJSUllJaWpratXbuW9+/fZ7A6EclWumQmIjmloqKC2tpaqqqq0sIQwKZNm4hEIoyPj2eoOhHJVgpEImIabW1tFBQUEAgEiEajS7Ynk8m02+5FxDx0yUxETMNut9PZ2YnP5+PkyZO0trZSXV0NwPT0NENDQySTSdxuNwCxWIxnz54BpM4qjY2Nsbi4SEFBAZs3b87MgYjIT6dAJCKm0tTUhNfr5datW9y9e5e5ubnUqzsaGhpobW1NjY1EIvT29qbtf/36dQDKysrw+/0rWruI/DqWZDKZzHQRIiIiIpmkOUQiIiJiegpEIiIiYnoKRCIiImJ6CkQiIiJiegpEIiIiYnoKRCIiImJ6CkQiIiJiegpEIiIiYnoKRCIiImJ6CkQiIiJiegpEIiIiYnoKRCIiImJ6fwKVgeHY4JIXlwAAAABJRU5ErkJggg=="/>
        <xdr:cNvSpPr>
          <a:spLocks noChangeAspect="1" noChangeArrowheads="1"/>
        </xdr:cNvSpPr>
      </xdr:nvSpPr>
      <xdr:spPr bwMode="auto">
        <a:xfrm>
          <a:off x="1817370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54</xdr:row>
      <xdr:rowOff>0</xdr:rowOff>
    </xdr:from>
    <xdr:to>
      <xdr:col>24</xdr:col>
      <xdr:colOff>304800</xdr:colOff>
      <xdr:row>55</xdr:row>
      <xdr:rowOff>114300</xdr:rowOff>
    </xdr:to>
    <xdr:sp macro="" textlink="">
      <xdr:nvSpPr>
        <xdr:cNvPr id="1027" name="AutoShape 3" descr="data:image/png;base64,iVBORw0KGgoAAAANSUhEUgAAAkQAAAHJCAYAAABkJibBAAAAOXRFWHRTb2Z0d2FyZQBNYXRwbG90bGliIHZlcnNpb24zLjkuMiwgaHR0cHM6Ly9tYXRwbG90bGliLm9yZy8hTgPZAAAACXBIWXMAAA9hAAAPYQGoP6dpAACjP0lEQVR4nOzdd3xT5f4H8M9Jmu6dTtrSpgtLoZRR6ICLgOOqIHIBrzhBwYFXcKEgKCIgVlEZ6lVBQeWHXkaVcVniYLWUWcqS1RYolNK9S5vk/P7ITUjSJD3ZJ833/Xr5kiZnPOfJGd/zTIZlWRaEEEIIIU5MYO8EEEIIIYTYGwVEhBBCCHF6FBARQgghxOlRQEQIIYQQp0cBESGEEEKcHgVEhBBCCHF6FBARQgghxOlRQEQIIYQQp0cBESGEEEKcHgVEhBCTrV69GgzDYPXq1WZtp6SkBAzDYOLEiRZJl6389ttvGDx4MAICAsAwDB566CF7J4kQYiIKiAghAACGYTr85+bmhpiYGDz11FM4e/asvZPYKUsFaFxcvnwZo0aNwqVLlzBp0iTMnTsXjzzyiMF1/vzzzw557OrqisjISDz88MM4dOiQ3nV//fVXPPbYY5BIJPD09ISHhwfi4+PxxBNPYPv27Qb3e/fdd4NhGERFRUEmk5l0vIR0dS72TgAhhF/mzp2r+nddXR0OHTqE77//Hhs3bsT+/fuRmpqq+n7MmDFIT09HeHi4HVJqX7/++itaWlqwcuVKPProo0atGx0drSoNa2pqwsGDB7F+/Xrk5OQgJycHDz74oGrZhoYGPPnkk/jll1/g7u6O4cOH4x//+AdEIhFKSkqwY8cOrFmzBq+99hoWL17cYV9FRUX47bffwDAMSktLsWPHDjzwwANmHTshXREFRIQQDe+++26Hz1566SV89tlnWLJkiUbpi5+fH/z8/GyXOB65fv06AKBbt25GrxsTE9Mhn+fOnYv33nsPr7zyiiogksvlGD9+PHbu3Ilhw4ZhzZo1HfbX1taGr7/+Gn/99ZfOfa1YsQIsy2L27NlYuHAhvv76awqICNGFJYQQlmUBsPpuCZs3b2YBsPfff7/G56tWrWIBsKtWrdL4PDo6mo2OjmZra2vZF198ke3WrRvr5ubGJiUlsUuXLmXlcrnG8sXFxSwA9qmnnuqw72vXrrEvvPACGx0dzYpEIjYoKIh96KGH2EOHDmksN3ToUNUxaP9XXFzMKQ9++ukndvDgwayvry/r7u7OJicnswsXLmRbWlpUy/zxxx969/PHH38Y3L5y3aFDh3b4rry8XLWdiooKlmVZ9ocffmABsPHx8WxjY6PBbbe2tnb4rL29nQ0LC2MDAgLY1tZWtm/fvqxQKGSvXbvWeWYQ4mSohIgQ0qndu3cDAAYOHMh5nba2Ntx1112ora3FI488gra2NmzcuBHTp0/HuXPn8Pnnn3e6jaKiIgwePBhlZWUYMWIEJkyYgKtXr2L9+vX473//i/Xr12P06NEAgIkTJ8Lf3x+bNm3C6NGjNar2/P39O93Xm2++iQ8//BDBwcF47LHH4OXlhW3btmH27NnYsWMHdu/eDVdXV8TExGDu3Ln4888/sWfPHjz11FOIiYkBANX/LWXFihUAgNdffx1eXl4Gl3Vzc+vw2ebNm3Hjxg288MILcHNzw8SJEzF9+nR8++23mDNnjkXTSojDs3dERgjhB/yvdGLu3Lmq/1555RV28ODBLMMw7OjRo9mGhgaNdQyVEAFgs7KyNEouqqqq2NjYWBYAu2fPHtXn+kqI7r77bhYA+8EHH2h8vm/fPlYgELABAQFsfX19p+npzP79+1kAbHR0NFteXq76vL29nb3//vtZAOyCBQs01pk7dy6nUiF1hkqI3n33XRYAK5FIVPt2dXVlAbAXLlww6niU7r33XhYAe/DgQZZlWbayspJ1dXVlY2JiOpTSEeLsqISIEKJh3rx5HT7r2bMnxo0bB29vb6O2tWjRIo2Si8DAQLz99tuYNGkSVq1ahb/97W961y0tLcWvv/6K6OhovPbaaxrfDR48GI888gjWrl2Ln3/+GU8++aRR6dK2atUqAMCcOXMQEhKi+tzFxQWffPIJduzYgW+++QazZ882az9KJSUlqjZEzc3NyM/Px969eyEQCPDxxx8DAKqrq9HW1gYAiIyMNHofly9fxq+//oqkpCQMGjQIACAWizFy5Ejk5OTg119/xT333GOR4yGkK6Bu94QQDSzLqv5rbGxEfn4+QkND8cQTTxgVELi4uCAzM7PD53feeScA4Pjx4wbXV34/ZMgQuLh0fHe76667AADHjh3jnKbO9jVs2LAO3/Xo0QORkZEoLi5GbW2t2fsCFMHKvHnzMG/ePHz66ae4cOEC/vGPf2Dfvn0YM2YMAMXvYI6VK1dCLpfjqaee0vhc2bvt66+/Nmv7hHQ1FBARQvTy8vLCwIEDkZOTAy8vL3z44Ye4evUqp3WDgoIgFAo7fB4WFgZA0aXfEOX3yuW1Kbv6d7YdLmy5LwAYOnSoKuhsb2/H9evXsXHjRo0AUiwWw9XVFQBw7do1o7Yvk8mwatUqCAQCPPHEExrf3XfffQgNDcXmzZtx8+ZN8w+GkC6CAiJCSKf8/f3Ro0cPSKVSziUylZWVOgcBvHHjBgB02l1f+b1yeW1lZWWctsOFLffFlYuLC9LT0wEoRsQ2xtatW3Ht2jXI5XJERERoDAQpEolQXl6O9vZ2VVUhIYTGISKEcFRTUwNAMTYOF1KpFLm5uRgyZIjG53/++ScAoG/fvgbXV36/f/9+SKXSDtVmf/zxBwCgX79+qs+UJVLGjsbct29fHDt2DH/++Sfi4uI0vrt48SJKS0shkUg49VazpGeffRZ79+7F4sWL8fjjj8PT01Pvsrdu3VK111L2Ths5ciRCQ0M7LNve3o7vv/8eK1euxBtvvAGGYaxzAIQ4ECohIoR06pdffkFxcTFEIpHOdkH6zJo1C7du3VL9XV1djQULFgAAJk2aZHDdyMhI3H333SgpKcGSJUs0vsvPz8fatWsREBCganMDKKqZAHCu1lN6+umnAQALFixARUWF6nOZTIbXX38dcrkczzzzjFHbtIQJEybg3nvvxYULFzB69GhVSZW6trY2fP7556qG58rRqAMCArB+/XqsXLmyw3/fffcd0tPTcfHiRVVgSYizoxIiQogG9RGUm5qacObMGdVcWe+//77OEgddwsPD0dbWhl69euHBBx9Ee3s7NmzYgLKyMkydOtVgDzOlL7/8EllZWZgxYwZ27dqFAQMGqMYhEggEWLVqFXx8fFTLZ2RkwNPTE0uWLEFVVZUqrS+99JLB6q7MzEy88cYb+PDDD9GrVy+MGzcOXl5e2L59O06dOoXBgwdjxowZnI7bkgQCAdavX48nnngCmzZtQmxsLEaMGIGkpCQIhUJcvnwZv/32GyoqKvD6668DUDSmlslkePzxx+Hu7q5325MnT8bBgwexYsUKDB8+3FaHRAh/2bPPPyGEP6Bj5GWhUMiGhYWxDz74ILtr164O63AZqXrq1Klst27dWFdXV/aOO+4weqTq0tJS9vnnn2e7d+/OikQiViwWs6NHj+4wUrXS9u3b2fT0dNbLy8vokap//PFHNisri/X29mbd3NzYnj17sgsWLNAYqVrJ0uMQdWbnzp3shAkT2JiYGNbd3Z11c3NjJRIJO2HCBHb79u0sy7KsTCZjo6KiWADsiRMnDG6vsbGR9fHxYd3c3FQjYxPizBiWNbNvJyGEaFGO2FxSUmLXdBBCCFfUhogQQgghTo8CIkIIIYQ4PQqICCGEEOL0qA0RIYQQQpwelRARQgghxOlRQEQIIYQQp0cBESGEEEKcHgVEhBBCCHF6NHWHEWpqaiCVSu2dDN4IDg7WmPeJWBblr/VQ3loP5a31UN4az8XFBQEBAdyWtXJauhSpVIr29nZ7J4MXlLNjS6VSUEdFy6P8tR7KW+uhvLUeylvroyozQgghhDg9CogIIYQQ4vQoICKEEEKI06OAiBBCCCFOjwIiQgghhDg9CogIIYQQ4vQoICKEEEKI06OAiBBCCCFOjwIiQgghhJjs6tWriIiIwKlTp+ydFLNQQEQIIYQQp0cBESGEEOJkWJaluTm1UEBECCGEdAEsy+KLL75ARkYG4uLicNddd2Hr1q0AgNzcXERERODPP//EfffdB4lEgvz8fJSUlGDSpEno06cPEhIScP/992Pv3r0a2x00aBCWLVuGV199FYmJiUhLS8OaNWv0pkMul2PGjBkYPHgwSktLrXrMlkQBESGEENIFZGdn4z//+Q8WLVqE33//HVOmTMG0adOQl5enWmbBggWYNWsW/vzzTyQlJaGpqQnDhw/HTz/9hJ07d2Lo0KGYNGkSrl27prHtr776CikpKdi5cyeeeuopzJo1CxcvXuyQhra2Njz33HM4ceIEfvnlF0RGRlr9uC2FZrsnhBBCHFxzczNWrFiB//znPxgwYAAAIDo6GocPH8aaNWvw2GOPAQBmzJiBv/3tb6r1AgMDkZycrPr7zTffxPZt27H156147l/PqT4fPnw4Jk6cCAB48cUXsWLFCuTm5iI+Pl4jDU8++SRaW1uxYcMG+Pr6WvOQLY4CIkIIIcTBnT9/Hq2trZgwYYLG5+3t7ejVq5fq75SUFI3vm5ub8cknn2D37t0oLy9H+612tN5qRdGpIo3levbsqfo3wzAIDg5GVVWVxjJTp05FeHg41q1bBw8PD0sdms04ZEC0c+dObN68GbW1tYiMjMTEiRORlJSkd/n29nZs2LAB+/btQ21tLcRiMcaMGYPhw4fbMNWEEEKIdcjlcgDA999/j7CwMI3vXF1dcfnyZQCAp6enxnfz58/Hnj178PbbbyPYIxiX1l7CZ0c/g2uQq8ZyLi6a4QLDMKp9Kg0fPhw5OTk4evQoBg8ebJHjsiWHC4hyc3OxevVqTJ48GT169MDu3bvx/vvv49NPP0VQUJDOdT799FPU1dXh+eefR1hYGOrr6yGTyWycckIIIcQ6EhMT4ebmhmvXriEjI6PD98qASNuhQ4cwfvx4pMeno/DfhRgwYQAq91WCETBGp+HJJ5/EHXfcgUmTJuH777/XmQ4+c7iAaOvWrRg+fDhGjBgBAJg4cSJOnDiBXbt24dFHH+2wfEFBAc6cOYPPPvsM3t7eAICQkBCbppkQQgixJm9vbzz33HN49913IZfLMXDgQDQ2NuLIkSPw9PTU27g5JiYGW3K2ILAwEPEPxWP+d/M7lPwY4+mnn4ZMJsNTTz2FNWvWYODAgSZvy9YcKiCSSqUoKirCQw89pPF5SkoKzp07p3OdI0eOIC4uDps2bcLevXvh7u6O/v3745FHHoGrq6vOddrb29He3q76m2EYVX0owxgfNXdFynyg/LAOyl/roby1Hspb6+GSt2+++SaCgoLw2Wef4cqVK/D19UXv3r0xbdo0VZDDMIzGNqY+OBUz352J9/a8h8BTgXjxxRfR2NjYYTntv3V9rvz3s88+C5Zl8cQTT+D//u//kJaWZpE8sDaGZVnW3ongqrq6Gs8//zzmz5+PHj16qD7PycnBnj17sHTp0g7rLFy4EGfOnEHv3r0xbtw41NfX45tvvkFycjKmTp2qcz/r1q3Dhg0bVH9LJBJkZ2db/oAIIYQQOzm3+RzObT6Hoe8MhV93P3snx+4cqoRISV+Uqosy3ps2bZqqMVl7ezs++eQTTJ48WWcp0ZgxYzBy5MgO266oqKCRPf+HYRiEhYXhxo0bcKCY2mFQ/loP5a31UN5ajyXzlmVZXNhwAWX5ZUh7Mw3NomY0lzVbKKX84uLiguDgYG7LWjktFuXr6wuBQIDa2lqNz+vq6uDnpzu69ff3R2BgoEbL+oiICLAsi6qqKoSHh3dYRyQSQSQS6dweXeSaWJalPLEiyl/roby1Hspb6zE3b1mWxZnVZ1D9VzUGvjUQ7gHu9Fv9j0ONVO3i4oLY2FgUFhZqfF5YWKhRhabujjvuQE1NDVpbW1WflZWVgWEYiMViq6aXEEII4Qu5TI4Tn51AzfkaDHp7ENwD3O2dJF5xqIAIAEaOHInffvsNv//+O0pLS7F69WpUVlbi7rvvBgCsXbsWn332mWr5wYMHw8fHB1988QVKS0tx5swZrFmzBsOGDdPbqJoQQgjpSuTtchz58AiabjQh/Z10uHrT80+bQ1WZAUBmZiYaGhqwceNG1NTUICoqCrNmzVLVEdbU1KCyslK1vLu7O+bMmYNvv/0WM2fOhI+PDzIyMvDII4/Y6xAIIYQQm5HdkuHg/IMQugqRPjcdQlehvZPESw7Vy8zeKioqNLrjOzOGYRAeHo6ysjKqf7YCyl/roby1Hspb6zE1b9ub25G/IB8eYg/0nd4XAheHqxgyi0gk6pqNqgkhhBDCTVt9G/Lfz4efxA+9p/Q2afRpZ0IBESGEENLFtFS34PAHhxGSGoIeE3rQYJkcUEBECCGEdCFNN5pwdPFRRN4ZCckDEgqGOKKAiBBCCOki6krqULC8AHEPxiFyqO75y4huztW6ihDS5RQXC7F2rQeKi6nnDHFu1WerUbCsAD0e6UHBkAmohIgQ4rCKi4UYOzYI5eVChIbKsHFjJSQSmb2TRYjN3Tx2E2fXnEXvKb0RmBRo7+Q4JCohIoQ4rLw8V5SXK0qGysuFOHiQBpsjzqd0bynO/t9ZpL6USsGQGSggIoQ4rIyMNoSGKkqEQkNlyMhos3OKCLGt4v8Wo2hzEQa8PgB+Epqx3hxUZUYIcRjFxULk5bkiI6MNEokMEomimuzgQcVnMTFUXUacA8uyOP/TeZQfL0farDR4iD3snSSHRwERIcQhFBcLMXp0EKqqhBCLZdi0qVIVFEkkLfZOHiE2w8pZnFp5CrWXapE+Jx2uvlRVbAlUZUYIcQhbtrijqkrRXqiqSoitW2mmbuJ85DI5ji05hrqSOqTPpWDIkqiEiBDikGisOeJsZG0yHFp4CNJbUqS/kw4Xd3qEWxKVEBFCHMKoUa0QixVthMRiGUaObLVzigixHWmrFDtf2wnGhUHG3AwKhqyAcpQQ4hAkEkW7IWpATZxNe1M78hfmIyw+DHET42iSViuhgIgQ4jCoATVxNrfqbuHQ+4cQeEcghrw1BDdu3ADLsvZOVpdEVWaEELuj6TcI6ai5shn5C/IR2j8UyZOSaZJWK6MSIkKIXdH0G4R01HitEUc/OYrou6MR8/cYCoZsgEqICCF2RdNvEKKp9lItjn58FAn/SEDM32PsnRynQQERIcSuaPoNQm6rPFWJE5+fQNKTSeiW1c3eyXEqVGVGCLErmn6DEIWy/DKc/895pDyfgoDEAHsnx+lQQEQIsRntuciUqPcYcXZXfruC4m3F6PdKP/hE+dg7OU6JAiJCiE3s2+eKKVMC0dAgoMbThPwPy7K4tOkSru+/jgFvDoBXiJe9k+S0qA0RIcTqiouFqmAIoMbThACKYOjsD2dRlluGtLfSKBiyMyohIoRYXV6eqyoYAgAfHzk1niZOjZWzKPyyEA1XGjDo7UFw9aEXBHujEiJCiNWp9yTz8ZFj5cpqajxNnJZcKseRxUfQeK1RMWM9BUO8QCVEhBCro55khCjIbslw6P1DYMEi/Z10CN1odHa+oICIEGIT1JOMODtpixT5C/Lh6ueK/q/2h8CFKmn4hAIiQgghxMraGttwaMEh+HT3QcrzKTRjPQ9RQEQIIYRYUUt1C45kH4E4WYykJ5JoXjKeovI6QojRaHZ6QrhputmEw+8fRnhGOAVDPEclRIQQo9Ds9IRw03C1AceWHIPkAQm6D+9u7+SQTlAJESHEKDQ7PSGdqzlfg2OfHkPiw4kUDDkICogIIUah2ekJMexmwU0UflmI5KeTET4o3N7JIRxRlRkhxCg0phAh+l0/cB0XNl5Anxf7wD/O397JIUaggIgQYjQaU4iQjkp2lODyr5fR/7X+8I7wtndyiJEoICKEEELMwLIsLqy/gBuHbyBtVho8gzztnSRiAmpDRAixO+rGTxwVy7I4veo0yo+WY9CcQRQMOTAqISKE2BV14yeOSi6T48RnJ9B0ownp76RD5CWyd5KIGaiEiBBiV9SNnzgiebscR7KPoPlmM9LnUjDUFVBARAixK+rGTxyNtFWKvHl5kMvkSJ+bDhd3qmzpCiggIoTYlbIb/+LFNcjJqaRu/ITX2pvbcfC9g3APdMfAtwZC6Nr12r2xLIs33ngDycnJiIiIwKlTp6y2r5dffhlPP/201bZvDAprCSF2R934iSNoq29D/sJ8+Mf5o9fkXl12xvo//vgD69atw/r16xEdHY3AwEB7J8kmKCAihBBCOtFS1YLDHxxGaL9QJD6S2KUnab18+TJCQkKQlpam8/u2tja4una9tn5UZUYIIYQY0HSjCYcXHUbUnVHoMaFHlw6GXn75ZcyZMwfXrl1DREQEBg0ahHHjxmH27Nl499130atXL0yYMAEA8NVXX2HEiBGIj4/HgAEDMGvWLDQ1Nam29Z///AdJSUn4888/MXToUCQkJOCxxx5DeXm53v0XFhYiJSUFS5cutfqxaqOAiBAnQuP9EGKcupI6HPnwCGIfjIXkAYm9k2N17733Hl5//XWEh4fj+PHj2LZtGwBg/fr1cHFxwS+//ILs7GwAgEAgwHvvvYfff/8dS5YswYEDB7BgwQKN7bW0tODLL7/EsmXLkJOTg2vXrmH+/Pk6952bm4t//vOfeO211zB9+nTrHqgOVGVGiJOg8X4IMU712WqcXHESSY8nIaRfiL2TYxO+vr7w9vaGUChESMjtY46JicGcOXM0lp0yZYrq3927d8eMGTMwa9YsvL/wfbRUKdoEtre344MPPkBMTAwAYOLEiViyZEmH/e7cuRPTpk1DdnY2HnroIYsfFxcUEBHiJLTH+9m61R0vvdTUyVqEOKcbR27g3Npz6D2lNwKTnKNRsSF9+vTp8NmBAwewfPlyXLhwAQ0NDZDJZGhtbcX2qdsREhcCRAEeHh6qYAgAQkNDUVlZqbGd48ePY/fu3fjqq69w3333WftQ9KIqM0KcREZGG8Ti2yVCK1Z4U9UZITpc/fMqzv14DqnTUikY+h8PDw+Nv0tLS/Hkk0+iR48e+Prrr7H1l614/q7nAQAhaSHo/WxvgAFEIs0BKxmGAcuyGp9FR0cjPj4eP/30E9ra7DcOGQVEhDiB4mIh8vJcMXZss+qzqioaFZoQdSzLomhLEYq3FmPAjAHwi/Gzd5J468SJE5BKpXjn7XcQ2hiK8tXlqKxVlPwkjEuAm58b520FBgZi3bp1uHz5Ml544QW0t7dbK9kGUUBESBenbDs0Y0YANm70VJUS0ajQhNzGsizO/XgOpftKkfZWGrzCvOydJF6Ljo6GVCrF2+PeRv6GfFyOv4zdF3ebvL2goCCsW7cOFy9exNSpUyGVSi2YWm4cMiDauXMnXnzxRTz22GN48803cfbsWU7r/fXXX3jkkUcwY8YMK6eQEP5QbztUVSXElCmNNCo0IWpYOYuTX59ERWEF0uekwyPQo/OVnFh7Uzvaf2vHE/2ewH8v/BdvbHsD2/dsx6xZs8zabkhICNatW4e//voL//rXvyCT2fb+xLDalXk8l5ubi+XLl2Py5Mno0aMHdu/ejd9++w2ffvopgoKC9K7X3NyMN998E2FhYaitrcVHH31k9L4rKirsVpTHNwzDIDw8HGVlZR3qg4n5LJm/2r3LnD0QonPXehwxb+VSOY4vPY6WqhYMmjMIIk9+TtLKh7xl5Syu/HYFl3+9DH+JP3pO7AkXD373zRKJRAgODua0LL+PRIetW7di+PDhGDFiBABFF74TJ05g165dePTRR/Wu9/XXXyMrKwsCgQCHDx+2VXIJsTvlXGEHD7oiI6PNqYMhQtTJ2mQ4/MFhyNvlyJibAaEbdTLQp664Die/PglGwKDfK/3gHe5t7yRZnEMFRFKpFEVFRR3GKEhJScG5c+f0rvfHH3+gvLwcL730EjZu3Njpftrb2zVKghiGUbWw78ojlBpDmQ+UH9Zh6fyNjZUjNrZVuXWLbNNR0blrPY6Ut9IWKQ7OPwhXb1cMemsQBCJ+tyCxV962Nbah8ItCNFc2I35MPMLTwx3i9zWFQwVE9fX1kMvl8PPTbPnv5+eH2tpaneuUlZVh7dq1mDdvHoRCbtH/zz//jA0bNqj+lkgkyM7O5lzs5kzCwsLsnYQujfLXeihvrYfvedvW2IZf5/+KsMQwZL2RBYGQ38GQOlvlrVwmx1+//IVLOy8hpHcI+i/qDxd3hwoZjOaQR6crOtX1mVwux7JlyzB+/Hh069aN8/bHjBmDkSNHdth2RUWFXVq+8xHDMAgLC8ONGzccpq2AI6H8tR7KW+txhLxtrWnFoUWHIE4SI+6pOJTf1D+vFp/YMm9rLtTg1DenwAgZ9J3eF14hXqioqbDqPq3FxcWla7Yh8vX1hUAg6FAaVFdX16HUCFDMoXLp0iUUFxfj22+/BaDoWsmyLB555BHMmTMHvXr16rCeSCTqMJiUEl8vcntR5iexDspf66G8tR6+5m1zRTOOfHgEYYPCkDA2AYDj3dOtmbe36m7hxGcncKv+FhIfTkRIvxCdAyl2VQ4VELm4uCA2NhaFhYUYOHCg6vPCwkKkpaV1WN7DwwOLFy/W+GzXrl04deoUXn31VY15WgghhHRdjdcacfSTo4j5ewyi7462d3J4RS6Vo2hLEa7nXkdwn2D0H9/fKRuYO1RABAAjR47E8uXLERsbi8TEROzevRuVlZW4++67AQBr165FdXU1/vWvf0EgEKB79+4a6/v6+kIkEnX4nBC+uXgR2LTJA+npt2gSVkLMUHupFic+P4GEcQnolsm9+YQzqDpThTPfnYFAJEDazDR4iJ13DCaHC4gyMzPR0NCAjRs3oqamBlFRUZg1a5aqjrCmpqbDxHGEOJriYiHGjQPKyvwRGirD0qU1uHpViIyMNgqOCDFC5clKnF51Gj2f6ongPtQxRqm1phXHlx6HtEWKpMeSIO4t7rK9x7hyuIEZ7YkGZryND4OEdWU//uiJ11/3V/3t4yNHQ4MAoaGKMYUoKDIdnbvWw7e8LTtYhvPrziPlhRQEJATYOzlmsVTeytvluJBzAeVHyxE6IBQJYxJ4P+SAObr0wIyEOIOMjDaEhwNlZbeDIQAoL1dMyCqRtNg5hYTw2+VfL6NkRwn6vdoPPpE+9k6O3bEsi8rCSvy19i+IPEUYOGsg3APc7Z0sXqGAiBAekkhk2LsX2Ly5FpGRUkybFqCaeoMmZCVEP5ZlcennS7ieex1pM9PgGexp7yTZXUtVC459egxyqRw9n+oJcU+xvZPESxQQEcJT8fHAhAktYFmWpt4ghAOWZXH2+7OoOlOFgbOpBER2S4bz686j4mQFIrIiIHlAAoFL160eMxcFRIQ4AIlERtVkhBjAylmc+PcJNJY2YtDbg+Dq7WrvJNkNy7K4eeQmzm84Dzd/N6TPSYerr/PmB1cUEBHiIIqLhcjLc6WeZoRokUvlOPrxUbTVtyH9nXTez8BuTU03m1CwtACsjEWvKb0QEO/YjcltyXnPGkIcSHGxEGPHBqnaEVFPM0IUZLdkyF+YD0bAIH1uOoSuzjegIABIW6U4u+Ysas7XIOrOKETfG+1Qc7TxAQVEhDiAvDxXlJcrbvTU04wQBeWM9e6B7uj3cj+nbB/DsizK8spwadMleAR7IP3tdLj6UPWYKSggIsQOjK3+yshoQ2iojHqaEfI/bQ1tyF+YD79oP/R+rjcYgfMNKthY1oiC5QUAC/R5oQ98Y3ztnSSHRgERITa2b58rpkwJ1BhoEYDBAEkikVFPM0L+p6W6BUc+OAJxbzGSHk9yuhGWpS1SnF51GnUldYi5NwZRw6KcMiC0NAqICLGh4mKhKhgCFNVfW7e6Y9Uqb432QbGx8g7rUk8zQoCm8iYc/egoIv4WgdhRsU4VDLFyFqV/luLSfy/BJ9IHGe9mQOQpsneyugwKiAixobw8V1UwBChGoQbQoX1QbGyrXdJHCJ/VX6nH8aXHETsyFlHDouydHJtquNqAY/OPobm5GX2n9aXRt62AAiJCbEi9LZCPjxwrV1YjIkKmUULUWfsg6n5vXZS//FR9rhonvzqJHo/0QNjAMHsnx2bam9pxcsVJNF1vwoCnBsCjpwfgPIViNkUBESE2pK8tUMfPdN/xqPu9dVH+8tPN4zdx9oez6DW5l9NMO8HKWVz57Qou/3oZ/rH+yJyXiai4KN5MnNsVUUBEiI3pagvEtX0Qdb+3Lspf/rl24BoubryIPv/qA/9Yf3snxybqiutw8uuTYAQM+r3SD97h3k7VVspeKCAixIFQ93vrovzll+Ltxbiy+wr6v94f3t287Z0cq2traEPhl4VoqWxB3ENxCE8Pp0DIhiggIsSBUPd766L85QeWZXF+3XmUHynHwLcGwkPsYe8kWZVcJkfJjhKU7imFOEmM1JdS4eJOj2dboxwnxMFQ93vrovy1L1bO4tS3p1B7oRaD5gyCm5+bvZNkVTUXanDqm1MQCAXo/3p/eIV42TtJTosCIkLUUA8jQuxHLpOjYHkBmsubkf5OOkReXXeMnVt1t3DisxO4VX8LiQ8nIqRfCFWP2RkFRIT8D/UwIsR+5O1yHP7wMKTNUqTPTe+yVUZyqRyXNl9C2cEyBKcEo//4/hC6OeeEtHzTNc84QkxAPYwIsQ9pqxT58/Ph4umCjHczIBB1zUlaq85U4cx3ZyAQCZD2ZlqXbxvlaCggIuR/qIcRIbbX3tyO/Pn58Az1ROpLqRAIu14w1FrTiuNLjkPaKkXSY0kQ9xZT9RgPUUBEyP9QDyNCbKutXjFjvX+8P3o906vLTVAqb5fjQs4FlB8tR9iAMMSPie+ypV9dAQVEhKihHkaE2EZLVQsOf3AYof1DkfjPxC5VYsKyLCpOVODcj+cg8hRh4KyBcA9wt3eySCcoICKEEGJTjdcbceyTY4gaHgXJ/RJ7J8eimiubcXzJccilciRPTEZgUqC9k0Q4ooCIEEKIzdQV16FgeQHi/xGPiMER9k6OxchuyXDuP+dQeaoSEVkRkDwggcCFqsccCQVExOnR2EP2Zev8Ly4WYts2IClJiJgYqdX3R26rOlOFUytPIemJJIT0DbF3ciyCZVncPHIT5zech5u/G9LnpMPV19XeySImoICIODUae8i+bJ3/iv2JUV4OhIaK6fe2oRuHbuDcT+fQ+9neCLyja1QjNZU3oWBZAVgZi15TeiEgPsDeSSJmoICIODVDYw9RyZH12XrsJxpryj6u/nEVRVuLkDo9FX7RfvZOjtmkrVKcXXMWNedrEDUsCtH3RHfJ4QKcDQVExKnpG3uISo5sw9ZjP1lrfxQ868ayLIq2FOHa3msY8MYAeIU69jxdLMuiLK8Ml365BI8QD6S/kw5Xb6oe6yooICJOTd/YQ1SSYBu2HvtJIpEhJ6cKZ8+GoGfPKkRHm78/Cp51Y1kWf639C5UnKpH2Vho8Ah17VObG640o+KwAYIE+U/vAN8bX3kkiFkYBEXF6usYeolGrbcfWYz9JJDJkZgJlZTKwrO5ljCnxoeC5I1bO4uRXJ1FXUodBbw+Cq4/jlqJIW6Q4veo06kvqEX1vNKKGRXW5ASSJAgVEhOhAo1Y7L2NLfCh41iSXynH046NoqW5BxtwMuHg45mOGlbO4tu8aiv5bBJ9IH6S/mw6Rp8jeySJW5JhnKiE2QKNWOydjS3woeL5N1ibDr2/+ilv1t5AxN8NhZ3FvuNqAE/8+AQDoO60vfCJ97JwiYgsUEBFCiBpTSnwoeFZULeUvyIc4QoyMlzPACB2vWqm9qR0nV5xE0/UmSEZKEDE4gqrHnAgFRIRYkKm9jaiXEn9QiY/x2hrbcGjhIXhHeGPYe8Nwo/wGWH0NtKzA3OuHlbO4svsKLu++DP9Yf2TMc9yqPmI6+sUJsRBTexvpWi82Vm6DFBN9HKHEhy9BdGtNKw5/cBiBSYFInphs8xIVc3v51RbV4tSKU2AEDPq90g/e4d5WTC3hMwqICLEQU3sb6VovNrbVqmkljo0vXf2bK5px5MMjCM8IR/yYeLvMWG/qddfW0IbCfxeipaoF8WPiETYozC7pJ/xBAREhFmJqbyPqpUSMxYeu/g2lDTj26THE/D0G0XdH23Tf6oy9fuQyOUp2lKB0TynESWKkTkuFizs9CgkFRIRYjKltT3Sv17XeVPlSvdNV2DuIrr1YixNfnEDi+ESEZ4TbdN/ajLnuai7U4NQ3pyAQCtD/9f7wCnHskbOJZVFARIgFmdr2xBHarJiKL9U7XYk9G35XFFbgzOoz6DmxJ4JTgm22X0M6u35u1d3Cic9O4Fb9LST+MxEhfUOoeox0QAERIXpQqYZl8KF6pyuyRxB9Pfc6Lmy4gD5T+8A/3t+m+zaFXCrHpc2XUJZXhuDUYPQf3x9CV8ccG4lYHwVEhOhApRqWY+/qHWIZl3+9jJIdJej/Wn94R/C/J1bVmSqc+e4MBCIB0mamwUPs2HOpEeujgIgQHahUwziGStNoXB/HxrIsLuZcRNnBMqTNTINnsKe9k2RQS3ULCpYWQNoqRdJjSRD3FlP1GOGEAiJCdKBSDe64lKZ15TZSXRnLsjjz3RlUn63GwLcGwj3A3d5J0kvWJsPFnIsoP1aOsLQwxD8UD4FIYO9kEQdCAREhOlCpBndUmtY1yWVyFH5RiMbrjYoZ6735OWM9y7KoOFGBcz+eg8hLhIGz+B24Ef6igIgQPahUgxsqTeM/YzsIyKVyHF18FG0NbUh/J52301g0Vzbj+JLjkEvlSJ6YjMCkQHsniTgwfp7lhBCHQaVp/KZepenjI8eKFdUYMkR/0Cq7JUP+gnwIRAKkz03nZa8s2S0Zzv3nHCpPVSIiKwKSByQQuFD1GDEPBUSEELNRaRp/qVdpNjQIMGVKILZvr9BZUiRtkeLg/IPwEHug7/S+vAsyWJbFzSM3cX7Debj5uyF9TjpcfflZlUccDwVEhBDiAEwdFysjow0+PnI0NCiCm4YGgc52Xm0NbchfmA+/GD/0fra3zSdp7UxTeRMKlhWAlbHoNaUXAuID7J0k0sU4ZEC0c+dObN68GbW1tYiMjMTEiRORlJSkc9n8/Hzs2rULJSUlkEqliIyMxPjx45GammrbRBNCHA5fBuc0Z1wsiUSGFSuqMWVKIBoaBDrbeZ073oYD848gYWgIej+XyKtu6tJWKc7+cBY1F2oQNSwK0fdEQyDkV8kV6RocLiDKzc3F6tWrMXnyZPTo0QO7d+/G+++/j08//RRBQUEdlj979ixSUlIwYcIEeHl54Y8//kB2djbef/99SCQSOxwBIcQR8GlwTnN78g0Z0obt2yt0tvM6e7gVXz9yEqdak1BV3AMbH6zixSCkLMvieu51FG0qgmeoJ9LfSedtTzfSNThcQLR161YMHz4cI0aMAABMnDgRJ06cwK5du/Doo492WH7ixIkafz/66KM4cuQIjh49SgERIU6suFiI3FyR3tIfPg0nYImefLraedVdrkPewlM40toXRYgHboIXwyY0Xm9EwWcFAAv0mdoHvjG+dk0PcQ4OFRBJpVIUFRXhoYce0vg8JSUF586d47QNuVyOlpYWeHvzf+h54vgMVbnwpTqmKzA2Ly9eBP7xD7HB0h8+DSdgjZ581X9V4+TXJ9H36Z747IoEKIfdj1PaIsXpVadRV1KHmL/HIOrOKN61ZSJdl0MFRPX19ZDL5fDz89P43M/PD7W1tZy2sXXrVty6dQsZGRl6l2lvb0d7e7vqb4Zh4OHhofo3uZ0PlB/6Kapcbj90c3JuV0UY+g6g/DWGdl4uW1aLq1eFeoMjhmGwZw80Sn/y890QG6tZKhIbK0dOTpVaECIHYL/fIzZWjtjY1v/9ZV46yo+V4+wPZ9F7Sm+Ie4qRk2KZ4zT1vGXlLK7tvYai/xbBp7sPMudlQuQpMikNXRXdE6zPoQIiJV0nBJeTZP/+/Vi/fj1mzJjRIahS9/PPP2PDhg2qvyUSCbKzsxEcHGxagruwsLAweycBgOKNf88eYOhQID7e3qlR2LYNKC9X/Lu8XIizZ0OQmdn5d+r4kr98pp2Xzz4rRl0dEB4O7N2r+3wYOlTxfVmZ4v+jR/sjPNy/w3Lh4dD5u1iLLc7jot1FuJxzGfcsuAfieDEA047TUFqNOW9rS2px4MMDAAPcu/Be+Ef7G5cQJ0P3BOtxqIDI19cXAoGgQ2lQXV2dwQAHUDTG/vLLL/Hqq68iJSXF4LJjxozByJEjVX8rg62KigpIpVLTEt/FMAyDsLAw3LhxAyzL2jUtxcVCjeoP7dIWe0lKEiI09Ha6evasQlmZrNPvAH7lry58qu5Tz0sfHznq6hQ9kMrKgM2bazFhgmbJD8MwiI8Pw8aNFcjLU7Qh8vSUoazMHqm/zRbncfF/i3Hl9yvo/1p/tHm1oczEg9aXVmPO2/amdhR+XYim602IfTAWEVkRaBG0oKWMxrPShe/3BL5ycXHhXJjhUAGRi4sLYmNjUVhYiIEDB6o+LywsRFpamt719u/fj3//+9+YPn06+vXr1+l+RCIRRCLdxbV0ImpiWdakPLHkAzU3V6RR/ZGXJ0JMjP0D15gYqUa7j+hoGZRZZeg7dabmrzZL5rd2FZU9e18BmnkZFSXDtGkBqrSlp9/Sm38xMVJERyuqxvlwWVvzPGZZFuf/cx7lR8uRNisNHmIPs86rztJq6LyVy+S4+ttVXN59Gf6x/siYl6GaGoTur52z1D2BdORQAREAjBw5EsuXL0dsbCwSExOxe/duVFZW4u677wYArF27FtXV1fjXv/4FQBEMff7555g4cSISExNVpUuurq7w9PS012E4NUt3Z+ZT41dthkZwVhxzG3JzXcGyli1pUQ+AAFg0v/nU+0pJPZ8ddRoRa53HrJzFqW9OofZiLdLftszIzqamtbaoFqdWnAIjYNDvlX7wDqfOLYQ/HC4gyszMRENDAzZu3IiamhpERUVh1qxZqiKxmpoaVFZWqpbfvXs3ZDIZvvnmG3zzzTeqz4cOHYoXX3zR5uknln+gOupcWtYa50Z7uxMnNlo0v/kcgAKWm0bE1tWC1jiP5TI5CpYWoLmyGelz0y3WUNnYtLY1tKHw34VoqWpB/Jh4hA0Ko8bBhHccLiACgHvvvRf33nuvzu+0g5x3333XBikixrDGA9UR59KyVkmL9nYZBhbNbz4EoNYOVuw1KKMlz2N5uxyHsw9D2iJVzFjvbtnbPZe0ymVylGwvQeneUoiTxEidlmrxdBBiKXRmEpvjwwOVDywdGCqDhKgomcZ2R41qxciRrRbNb3sGoLYIVvhYLajEJRiUtkqRPz8fLl4uyHg3AwKR7ae6qD5fjdPfnoZAKED/1/vDK8TL5mmwJT51NCCmoYCI2IUjluhYmiUDQ+0gYenSGpSWCjW221Xy21rBivoDjW/VgurB7vTpikbj/v6KRuMTJzZjyJDb6Wtvakf+gnx4hnoi9aVUm8/71VrbioMLDqKtvg2J/0xESN+QLlE91tkgq3yZ5oWYjgIiQuzIUoGhdpBQWirs0N28q7BGsKLrgcaXUkz1tKnPWl9bK8SOHZ7YtcsDa9dWYciQNtyqu4VD7x9CQGIAkp9OtmkgIpfKUbSlCHUn6uCX4IeE8QkQugpttn9r6izg4XOJIuGOAiJCugC+lWhYkzWqXHU90CZMaOHFQ009bQ0NAo2gCADkcgY5OR7on1SLI9lHEJYWhoTxCRrBkDWrc1iWRfWZapz5/gyErkLc98F9qJfWW7xreHGxEFu2uAMARo1qtWkJTGcBjzNdf10ZBUTE5qiu3fKcrV2Wpatc+fxA007brFl1mDXLHy0tiqCIYViMGnoThxcdRvTd0Yj5e4zG+taszmmpbkHBkgJIb0mR9HgSgnoHwSvYC/Vl9RbZvlJxsRCjRwehqkoRlKxc6Y1Nm2xXLdXZ+eFs119XRQERsSmqa7cee7XLUm/fYmgOMT4HwroeaHxK78SJjWAYRclIbq6rKhgCgBcevgrh3oNIGJuAblndOqxrjeocWZsMFzdeRPnxcoSlhSH+oXgIRAKdVXSWyMe8PFdVMAQAVVW2rZbiEvBQu0jHRwERsSmqa+9a1ANcgYCFXM7oDHQdIRBWf6DxJb3a6Rg5slWjtKJn4DWkNuYiaWoSQlJDdG7DkqVfLMui4kQFzv14DiIvEQa9NQhu/m6qoCczsx3h4frTb2o+ZmS0QSyWqYIisdj2pXgU8HR9FBARm7Jn1QSf3vi7CvUAVy5XlA7oCnQdLRDmS3r1tW3auLES+9dWIPDyKWS+3hsBiQF6t2Gp6pzmymYcX3IccqkcyROTEZgUCKBj0LN/P+DlpT/9puSjRCLDpk2V2LrVHQwDjBzZStVSxOIoICI2Za+6dr688VubrYM+9QBXvYRIO9DlcxsdXfiSXn3pEBYXo3t1Mfq93Q8+UT6dbsec0g3ZLRnO/eccKk9VIiIrApIHJBC43K6y0w569uwB7r/fcPpNIZHI8NJLTZ0uZ+o10Fm3eu3v6AWr66GAiNicPYqe7fHGb+sbpj2CPvUAV70NkXaga24g3BWm0bBEOqKjpbi0qQjX9l3DgDcHWHWwQ5ZlUX64HBc2XoCbvxvS5+ieB0076LnzztttfTrLR67tz7gy9RowtJ6u7wDLzg9I+IECIuIUbP3Gb4/gxBYDFuo7BpYFIiJkGDxYf76aGggbm5eWCp6sEbibkjZlOliWxdk1Z1F1sgppb6XBI9DDomlT11TehIJlBWDlLHo/2xv+cf4G06cMejIz2xEXF4Kyso7p18a1/ZkxTL0GDK2n6zuWBS+qVIllUUBEnIKt3/jtUSJlrQELld2dxWJZh67OfJtGg89Vo+akjZWzKPyyEA1XGjDo7UFw9TF/xnpdpK1SnP3hLGou1CBqWBSi74nmNNK1MugxZiBIru3PjGHqNWBoPV3fsaxl5wck/EABEXEatqyqs0cbFGtUS23Z4q7q2VNVJcTWre4a7ThsEfhxyUtl2isrBbx9czc1r+RSOY59egytNa1In5sOFw/L37ZZlsX13Oso2lQEz1BPpL+TDldv6wRdSlzbnxnD1GvA0Hr6vuNDlSqxLAqICLEC7bY1ubmuYFlu1STFxUIcPOiG0aNv99YxZr+dPWT1NRBVll6IxTJMntyIUaNaO92fLQI/Lu1Q1NOu7J7Ntzd3U/JK1ibDofcPgWVZZMzNgNDN8lNhNF5vRMFnBQAL9JnaB74xvhbfhy5c25+Zsl1Te7LpW0/Xd9QNv+uhgIgQK1EEG21Gt39RLv/xx8CGDULExEgtliZ91TZbtrirSi+qqoTIzvbD6tXeWLq0RhVgiMWyDkGSoWDFkg2hDT181EteqqqEmDmzDkFBct69uRtbeiFtkSJ/QT5c/VzR/9X+Gj27LEHaIsWpb0+h/nI9Yv4eg6g7o8AIbDsJKwUVhE8oICLEioytJlFfvqwMOHjQ1aIBka70AG1YudK7w7LKSWI3bTJ+hF5btuXRLnkZNYq/Y9RwDQDaGttwaMEh+HT3QcrzKRYNVFg5i2t7r6FoWxF8o3yR8W4GRJ4ii23fUvjerZ3v6SPGo4CIECsytppEffnwcFi8ykdXenJzNadF8PKSo6lJALFYhspKRanEhAnGvcXbslE5X7rIW0pLdQuOfHAE4l5iJD2RZNEZ6+uv1KPw34UAA/Sd3hc+EZ2PYWQP+gJqvgQhfG68T0xHAREhJuJyczb2Ya1cPj/fDaNH+8PTUwaW1dwXAJMfCrrSw7JtGtViX3xRg+PHRVixwhsffOCHVau8jb7hW6JtkTEPv65S9dJ0swlHPzyKblndEPdQnMWCofamdpxccRJN15sQOyoW3bK62bx6jKviYiGWLPHWWZLJlyCELyOZE8uigIgQExjzhqj9sO7sQS+RyBAb24LwcH+UlXVsNAxA1WjYlIdCZ8FDRIQMV64IVaVGptzwLdHjjS8PP2tSPxeCRLU49ukxxNwXg+i7oi2yfblMjqu/XcXl3ZfhH+ePjHkZVumlZin6xiZSlmSaEoRYo1SJLyOZE8vi75VBCI+Z+oZoyoNeu9GwkqXeTNVnElfOIm7ohs/1AWNOqY0zvIGrnws9Asvxavpx9H8mEeHp4Z2vzEHtpVqcWnkKjIBB/1f7wyvMeqNaW4r22EQPP9yE6dMbVSWZxgYh1gqsu1o1LVGggIgQE5j6hmjKg159X9olRJZ4M9V1LDExum/4tiq5cYY3cOW5EI5r6FF9BLWJfRGebn6bnraGNhT+uxAtVS2IHxOPsEFhFm2HZE3av7syGAJMC0K0r7etW90hFsstVlrEsor/SNdAAREhJjD1DdGUB732vlgWFn0z1Xcsukp4bFVy4wxv4BkZbegbcAlRNafwV2AG3hzPAjD9OOUyOUq2l6B0bynESWKkTkuFi7tj3eI7+92NLXXUfplYscLbrOpmJXPmTONDo3Cim2NdLYQYyZI3IO1tGXtzVq6/dGkNSks7DkKnvv3YWLnGusp9qS9jySCB67HYsuSmqzSU1oe5cAkvZF5FTZ8MvPkAq/P35Hr+Vp+rxulVpyFwEWDAjAHwDPa0ZtItQt+xWfJ3Vw+wKisF+OADPwDmB/OmvBg4S7s4R2Z0QFRfX4/du3ejqqoKUVFRGDZsGNzc3DSWKS0txTfffIO5c+daLKGE6KPvxmrMDaizB4+5NzNd62sHQ+rf5+RUITy8823Y44Y6cWIjGAa8Hu+Hz1iWxYUNF3Dj0A0Me38APINcoKtkSP339vGRY8WKagwZohmA3qq7hYLlBWhraEPiPxMR0jfEIarHbHkuq79MrFrlzSmY7+x+oP1iEBUlw9q1HgYDV65BFJUi2Y9RAVFtbS1mzpyJmpoaCAQCyOVybNmyBa+++iri4uJUy7W0tODMmTMWTywh2gzdWI25AXV2cza3qqiz9XV9n5lp3DasTTufRo7sfGoPa6aFzw8NfeljWRanV51GzbkahD6egV92+eo9BvXfu6FBgClTArF9ewUkEhnk7XJc2nwJZQfLENI3BAnjEiB0tfy0HtZij3OZazUsl/uB9rQj06YFdBrccZ2Tjw8vPc7KqIBow4YNYBgGixYtQmxsLE6fPo2VK1di3rx5ePPNN5GcnGytdBKik6FGk1yrd7jcnM2tKupsfS7bt3VDY+2Hur0DMvV08fmhoS99cpkcJz47gaYbTQh7Mgv/fCLc4DFkZLTBx0eOhgbF4JgNDQLk5Yng23wTZ74/A6GrEGkz0+Ah9rDHYZrFXo3muVTHcT3Pldtau9aD8/KdBWR8ucaclVEBUWFhIcaNG4fY2FgAQHJyMhYtWoSPPvoIH3zwAWbMmIGUlBSrJJQQXTprNMnljZDLzdncRr5cGotqfi83ehuWpOuhzpeeX6a239DXPssW6YuObMKRxUfQ3tiO9HfSse5nr06PQSKRYcWKakyZEoiGBgG6B9Uj8NCfOHOiHUmPJ0HcS+wQ1WO68LnRvDmjy3e2fGcBGV+uMWdlVEBUXV2Nbt26aXzm7u6OmTNn4qOPPsKHH36I119/HV7GTtFNiInUb6wVFQJkZ2s2mpwwoaXThyXXm7O5jT07W1/ze90POms3NFYGDpWVgg4P7AkTWkx+iFmyisvYhwaX9lmWpJ2+Qf1bkDcvD0I3IdLnpkPoKuR8DEOGtOG/m2/gwL+LENR6HXGDQxE3Og4CkXETvfKxitHQuWzP9Jo6urwlgjs+B4rOwKiAyM/PD9XV1R0+F4lEeOONN/Dhhx/io48+woMPPmixBBLSGfVGk6tXc2s0qW8bXRHXaT+0R8RWTuehnpem5JOlq7iMfWhwaZ9lLu0HuDJ9A1ObcH11LjyCPNB3el8IhALOx8CyLCpOVOD6j+eQGCBC32lpcPN367Acl7TxuYpRGx/Sa+x5rm+CY32dPTobqd6Ua4xvAa8jMiogiomJwfHjx5GVldVxQy4ueOONN/DRRx8hJyfHYgkkzqu4WIgtW9wBKHo0cZnPSr2hY26uK1jWuW8Qxkz7oT0i9syZdQgKkpv9pmqNdhHGPDSsXQ2h7wEeIa5D/sJ8+Mf5o9fkXh3mDjN0DM2VzTi+5DjkUjmSJyUj8I5Ak9PnaO1S+JBecwMMQ5PTWjrY40MA2VUYFRD169cP69evR319PXx9fTtuzMUFM2bMwOLFi3H8+HGLJZI4n+JiIUaPDlJNKbFypTc2ber8Qld8z59JIO1B/WZuzLQf2oGDpbrV27tdBJf2WebQ9QAP86vG4UWHEdI3BD0m9ODc1kd2S4Zz/zmHylOViMiKgOQBCQQu3KvHdD3I7Z3/xrJ3ei0RYOgL6qwR7PEhgOwqjAqIRowYgREjRhjeoIsLZs6caVaiCFGfXwu4PccWlwvdmW8Q2jfzpUtrVA8Xf38Z6uoEYFkGAgGLqKjOGnZbJojkQ7sILu2zTKX9AO8bX43D7x9G5J2RiB0Zy2kbLMui/HA5Lmy8APcAd6TPSYerr6tR6dD3IOdD/huia8BTe6bXEvcPfUGdMcEe11IqeweQXQmNVE1sypiLXNmGBQDEYu4XuiPcIKxV5699My8tFWLp0hps3OiBgAA5vv5aMVeWXM7g6tWO49ZYqy2VMW0sHI36A7xPVAXKfzyKuNFxiBwayWn9pvImFCwrACtj0fvZ3vCP8zcpHbqGoHjppSZVGk35XQ39Rpb4/QwFcfZ6ibHE/cPQdDimjoWkr3dkZ9vsKteZLRjdyyw7Oxtjx47FwIEDdS5z6NAhbNy4ETNmzEBQUJBFEkm6BmOKoiUSGTZtqsTWrbfbEHF9U7T3G2ZnrFnnr2sEXeWgcfoaStsDl1GYHYlEIoNf6zWcXHESPR7tgbABYZ2uI22R4uyas6i5UIOo4VGIvjta1ejaFNovEStWeCM1tR1XrwpNehgaOk8tdQ7zsTTXUvcPfUGdqWMhxcZ2HAhVGexERcl0TjRL7YuMY1RAtGvXLrAsqzcYAoCBAwdi48aN2LFjBx5//HGzE0i6DmNvfhKJTPWGayw+9xqz5kNA+2aem2udhtLqTHkDNTQKsyO6ceQGzq09h95TeiMwyXADaJZlcT33Ooo2FcEz1BPp76TD1du46jFdJBIZJk9uVA09UVUlVI1hZOhhqO/3M3SeWuoc5mtpri3vH6a2+1IPdgQCFnI5Y/Jo/UTBqIDo8OHDuOuuuzpdbtiwYfj1118pICIa+HrzszVr54P6zZxlrdNQWkm98btYLOPU8B3QPQqzqTdre1cJlO4pxaVNl5A6LRV+MX4Gl2283oiCzwoAFujzYh/4RnfsnGKOUaNaVUNPqOevvoehoRIEQ+eppc5ha5fm2vvc6Ixx7b40276pBztyueI77d+Z7rnGMSogunnzJrp3797pcpGRkbh586bJiSJdkzE3P77fyMxlqwlSrf3A2bLFXVVFU1Wl2W6ls3Spj8Js6s3a3lUCRVuLUPpnKQa8MQBeYfoHpJW2SHHq21NouNyA6L9HI+rOqA7d8C3B0BxbuvJXVwkC0Ka69vSdO5YejNAagbC9zw0uDJXgGDOqtXoJkfrvzPfmA3xjVEDEsixY7UpKA8sS58E1gOFy83OEG5mp7DFBKl+rD4cMacP27RVm3awNzWVnzXOGZVmc+/EcbhbcRNpbafAI1D2fGCtncW3vNRRtK4JvlC/S302HyFNktXQBmr93Zw9DXW3OtK+9CRN0nzv2PK9sMSGzLZhTgqMd/CrbiumaFkjfpNZd+aXTFEYFRGKxGCUlJejVq5fB5UpKSiAWi81KGHEchgYhM+WCM/ZGZo0L21a9wPh4kzbGqFGtWLnSW1VlNmqUcQGeuQ9V9QeKrrnsTPnt9u1zxYYNHhg3rkVnQ++iSwLs/egMQgSVuOsD/d3j66/Uo/DfhQAD9J3eFz4RPkanxVxcpovR1+aMz+enLSZkNoWx9w1zS3DMKV0zFFA6a7BkVECUkpKCHTt24K677oK7u7vOZZqbm7Fjxw7069fPIgkk/Kev2N3UUh5jx+pQH4l58uRGTqNaG2LNEqqoKJmqeFs5FpC+m8/Fi8CmTR5IT7/F25uSsjegvYrk1R8ouuayM/ZhsW+fKx59VAy5nEFOjifWrq3SCIqKLjJYdP9ZoKkFJ0JGIamqHhJfzWNub2rHya9PoqmsCbGjYtFtcDdeT8JqqM0ZX9uccLlH6As2LPmw154Wx5T7BtegprhYiG3bgKQkIWJipGal21BVaVSUDNOnB1jl/sd3RgVEo0aNwp49ezBv3jw888wziI+P1/j+4sWLWLlyJerr6zFy5EiLJpTwl66bkzlvmsa8NWmPxJyd7YfVq73NuogtWYqjffO9elWoagAplzM4flyk0c5DvXRt3DigrMyf9zcle1fJKfff2Vx2yt8iM7Nd7+SuGzZ4aPw+OTkeqoBI1ibDnncKwDYJsQv3QnbTBQcPtqqOXS6T4+pvV3F592X4x/kjY14GXDw0b7F8f/N2lDYnXNKpntfqwZClXna0X8bS0m5ZrXRNsS8xysuB0FCx2fcDQ1WlXBrjd1VGBUQhISGYPn06li5ditmzZ8Pf3x8hISEAFA2ua2tr4ebmhpdffln1Oen6dN2czH3T5PqQjYqSaVzAgOkXsfqYHpZ4S9Z189W+EbEs9A7xX1Zm3vE4G0MPSe3fYv9+wEtHG+hx41qQk+OpKsEbO1aR59IWKfIX5CMiyhUFIYpgSP3cqL1Ui1MrToERMuj/an+dDawdpW2cvQNcrgylU19eW/JlR/tlbMcOT72Nm81l6ap2Q1WlDQ0C1T3V0HHwPbg3hdEjVffv3x+LFy/G1q1bUVhYiOLiYgBAUFAQ0tPT8cADD1Aw5GR0vYnZ4k2zuFiI6dMD0NAggJeXHCIRi9pa04IYXVNelJbqbqTIlfZNbOlSb0yf3qiRLywLnaUaGRltCA8Hyspg9aqLrnRj0/eQ1P4t9uwB7r+/4/pDhrRh7doq5OR4YOzYFgwe3Ib2pnbkL8iHV7gXMl7sg4Tna1S/XzdxCw5/eAKtVa1IGJuA0LRQvdVjXa39GJ/py2tLtitS35aSXM7g4YebMH16o0XvedZoD6V+rVy9qlmVP39+LaRSxmDpW1caWFXJ6ICora0N58+fR2BgIB588EEMGDBA50SvxDncLsrt+NZr7TdN9ZteU5PArEEHdU15oa93DVfa3WLXr/fC3r3uHXrubNx4e0RuZedMiUSGvXuBzZtrkZ5+y2pVF1xKLRw1YFJPt/YD5c47O05bojRkSJvq5t5a24rDiw4joEcAkiclg2EYSCQyREc1oWRHCQ7uLYU4SYy+0/rCxd3w7ZTGhLEdfXlt6eEClNeuemN+SwdDyn3l5FTh7NkQ9OxZhehoy25fuypfKmUM3v+62sCqSkZP3TF37lyNMYZ++OEHzJo1C4mJiRZPHOE/Lm+91nqgat/0zBnTx1pvYBs3VmLpUm+sX6+oQtGXR6tWKUqJVq3yVs1bFB8PTJjQYtUhLDr7/RylmkebrnQrH4SZme2IiwtBWZnhc7O5shlHso8gbGAYEsYlqEp+qs9V4/Sq0xAIBRgwYwA8gz05p8tW409Z0/r17vjhBy888UQTxo+3/rAR6jrrAahkKPCx5IuacjT9kSNbrd7uSiKRITMTKCuTdZiiwxzFxUJUVgqMmtbHkgOr8olRAdFPP/2E6upqjB07FgkJCSgrK8PPP/+MlStX4sMPP7RWGgmPdRZImPpA5TqppKXf9qwx0/v06Y3Yu9ddbx5xnbfIWFwC0c5+P0et5tGV7gkTWiCRtKgCG0Olm43XGnH0k6OIvicaMffGAABu1d3C8WXH0d7YDp8hSThdF4luje2QBHM7n9WrGFJT2+0SEJn7crJ+vTtefjkAAIOjR10B1NgsKOqsB6A2W7aFcpR2V9q0G4bPnFnHKVjXN7Cqo5YmKxkVEJ08eRJjxozBuHHjAAB9+/ZFWFgYsrOzUVtbC39/f2ukkfBYZ4GEKSVIxk4qaW7VlvqxWGumd+08MlSdY4nSqX37XDnNY9XZ7+eo1Txc0q3v3Ky9VIsTn59AwtgEdMvqBnm7HJc2X0JZfhlCUkMgGnAHxj8SalSQb8kqBvXG/4YmbtVezhLdqX/4wQu3p5BgsGaNl80CotWrPfX2ADQG3x7apqSH6znQGe2G4UFBcs6BuvbAqixr2rADfGJUQFRbW4uePXtqfKb8u66ujgIiJ2UokDClBMnak0pa84aob9vqeWSoOud2UGL6uDXFxbcn9QQ6zydDv5+jdMPWxiXdus7NypOVOL3qNHo+2RNBfYJQeaoSZ384C6GrEGkzFSNSr13rYfQ5aKkqBi4TeupbzhLdqZ94oul/JUMMABZPPNGkcc7HxsqN2h5XxcVCHDzopvqbYRQ9AI29lvlWBWxK42T1kk1D5wAXprzwaOe58hwy5brgG6MCIrlcDldXzVFZlX/LZI5xoyS2ZUoJkqGL1NwSC2veELlu21B1jiXk5blqDEPg4yNHVJQMa9d6mBQEGlNyZu+3b11vztrd7w8edMPo0R3PTbcbpTi97jxSXkiBu9gdeXPzILslQ9ITSRAni1VVbaacg/qqGIzFZUJPfctx7U5tiKI0qAZr1ijaEPXv365xzufkVOkd48kceXmuqK293RD+2WcbEREh69AztLPSEr5VAZtScqjvHDA0bY2hFzVjXnhMnQzYURjdy+z69esQCG7fbOVyuepzbbGxsWYkjTgSQw9CY0uQYmIMN4g0p8TCmjdErtu29o1Dffs+PnIsWFCrGvzRUqN561JcbNrM95bcv6HSE/XvP/4Y2LBBCIlEComkBVd+u4Lz24rR56U+uJF3AzcLbiJ8YDjiRsdBIBJo7MfUc9ASc7dp91zUN+aNvuWWLavRO+cVV+PHt6qqyXSVCmRmmrRZg7SvmSefbO4w+CuXKmK+PbRNKTnU9dsamrams+vSmJGylyzx1nuPc9TSZHVGB0Sff/65zs+XL1/e4bP//Oc/xqeIg507d2Lz5s2ora1FZGQkJk6ciKSkJL3LnzlzBt999x1KS0sREBCABx98EPfcc49V0uaMzCl10XcRdVaNY2oQExUlA8OwYFkGDKOYOsNSuN5srX3jMDTomqVG89bF1JnvjVVcLMSWLYphCtQDu85KT9S/LysDDh50RXR0Oy79fAnXDlxDzAMxOPnlSYi8RBj01iC4+bvp2LuCqeegIq2K34RlTSut4zqhJ5flzGWrAKOzwV+5Vgfaanw0rqWkppQc6vpttaetUb/29F2XxqRT38uGdlodtXG5klEB0QsvvGCtdHCWm5uL1atXY/LkyejRowd2796N999/H59++imCgoI6LH/z5k0sWrQII0aMwEsvvYRz585h5cqV8PX1RXp6uh2OoOsxt9SFy0VkqaqY48dFYFnFw5JlFVNnDB5smZu4MTdba9841Lev/uBQ0tfF3pLVXdaYvkv9bRcAVq70Vr3xdlZ6ojmPHBARIcXZH87ixpEbcHFzwZVdV5A8KRmBdwRaPM3mzneljuu5Y845xvVc6HjOW6cNkXJf6sejHRioT4FjKKiw5rVnysuhKSWH2sdQXCxUTbIMACtWeGPkSN2lwAxjfDq1XzasMfgkHxgVEN15551WSgZ3W7duxfDhwzFixAgAwMSJE3HixAns2rULjz76aIfld+3ahaCgIEycOBEAEBkZiUuXLmHLli0UEFmItd8Srdnux9IPbVu/IXF5cOkbQE79d7LEAI2jRmnOfD9ypOV7H+Xluapu+oDijVcZ2HVWKqI++BwrZ3Fp9THUVBfBN8YXEYMjIHlAAoGLQOd+TaWdrxMnNvKqDYsuxl5vmue8bSexVd83H6prTH05NHTfUJaIMgyDZ57RPeWMRKKoCleWEqlfF7quS2PnmtS+x3fFYAgwocrMnqRSKYqKivDQQw9pfJ6SkoJz587pXOfChQtISUnR+Cw1NRV//PEHpFIpXFwcKgt4ydxi6M4etPpuMtpv3lzeaK390LZkKUtns90b8+DqbAA5SwzQKJEo2idY86GUkdGmGkAOAMRizcCOS3u1inLgYbfNcP3rCkLv646+0/rC1ddV5zrm0s5XhgGv2rDoYmgmdL50VdfFWi8jxlzTlno5VO8c8OKLAarz/ZtvgM8+c8WVK4IO6Rk1qlXnNEC6rkvt6sbOmg50hfZBXDhUNFBfXw+5XA4/Pz+Nz/38/FBbW6tzndraWp3Ly2QyNDQ0ICAgoMM67e3taG9vV/3NMAw8PDxU/ya380H5/9hYudpggtzzSFEFIlYFKJs3V3W46WRmtmvcZDIz21FS4qLqeioWK5ZXlnzk5HTchlJsrBybN1dpFfFb5jfVHujPUDo6ozi+27Pd69rWwYNuGg+u/Hw3xMYafiDo+5105bH6uc51X8acB6YEj8rfTznViWIQOW6/YWysHDk5Vdj97A4IiksxYul9CEsL47RfU2nn64MP3sKoUbescv5Zinaau3eXd+hJpu/30r4vODpjr2nlOWbO76u+T+2JqysqgMmTA1TtjdTTY2jf2tdlbKwcy5bVYsqUANTXCzBtWgCnYzPlHu9IHCogUtJ1sRm6ALW/U06FoG+dn3/+GRs2bFD9LZFIkJ2djeDgYFOS6xAuXgT27AGGDgXi47mvFxZm3gNl1Sqgqkrx76oqIf78M6RDL5XwcGD/fkX67rxTiLi4EHzzDVBefns9pfJyIc6e7bgN7e1ZoyfMtm2308QlHZ1tS322e13bGj0a+PhjxXLh4cDo0f4ID/c3aX+68tha+wIU59u4cbe3t3cv9/NO8/czbh7F8HCg1+6HsPGRjTjw5gFkvZmF1KdSTXqAc7lm9OWrNc4/S9FO859/io0+r829L/CFKde0ufcX9X0qhkoAGhoUf3t7Q6PxuHZ6dO1b33na0ADU1xt3bF2dQwVEvr6+EAgEHUqD6urqOpQCKfn7+3dYvr6+HkKhEN7e3jrXGTNmDEaOHKn6W3mzrKiogFQqNf0AeKq4WIh//MO4kg2GYRAWFoYbN26YNddWQ4MX1B9qjY31KCvr2DPJy+v27ORlZUBSkhChobpLiHx8avHxx6aP3moq9TSFhsrQs2cVysr0799QCUnPni4IDw9WzXava1teXoqu48o3Qk9PGXJzTauyU0+Lp6dMFYwZ2pf2MsbYtMkDZWX+ABS/5+bNtRYZcZxLNSrDMJj05yTkfZeHPQv2IG9ZHkb8ewR8u3MProy5ZrTPXUegnmZjzmtL3ReswZQSSa7HzmXbXKcjSkqCxj6XLatFQYEIADBihC8ee0xm1D1G33lq6NjsPZ6YJbm4uHAuzHCogMjFxQWxsbEoLCzEwIEDVZ8XFhYiLS1N5zoJCQk4evSoxmcnTpxAbGys3vZDIpEIIpFI53d8u8gtITdXpFEdkpcnQkwMt8CPZVmdecL1gkpNbYOXlxxNTYL/tenhNplpTIxUo06bZaGzt4ktR6LVTlN0tP5JGDubWiMmRqox272+bcXESFW/VVGR/rm5DDE0p5e+fZl7GaSn39KolklPv2X2taV+HNpBsq5jirknBuEZ4dj/5n5sf2w7Yu6LQf/X+kPoKtS1eQ3mXDOWYMsHljHntZK++4K96DvHO8tH7WOXy4H/+z93jeUNXT/qbYH0TZuia33t9jqDB98CwzAID/dFTk4V8vJEnH4LQ+epvt+V6/2gK3KogAgARo4cieXLlyM2NhaJiYnYvXs3KisrcffddwMA1q5di+rqavzrX/8CANxzzz3YuXMnvvvuO4wYMQLnz5/H77//junTp9vzMHjF0r3EuDb2LS4WYvr0ADQ1KUbQ/eKLGqMa63Xshtti9+HjuQ4hwGVqDUOz3eu6kZvaw8Ueo/dao5Gm9rxMSoaOydXbFcM/H47yY+XY9+Y+XP39KjIXZiJ8oOHhlu05wJ8lel0aG1B1dl4rt5eZ2W6VkarNpa+hOJd8VB67vnw31OlDfVoOfdd7ZyPXa+etRCJTBTWd/Y6aQ010HHdN1+/Kt9G8bcnhAqLMzEw0NDRg48aNqKmpQVRUFGbNmqUqEqupqUFlZaVq+ZCQEMyaNQvfffcddu7ciYCAAEyaNIm63Kux9MNJ+4JautQb06c3drhgtYet37DBAxERMrPeRvg2Eq0uuqbWMCad+m7M6scuFstQUSFAcbHQZj1jjGXpXkHaxw+gwxAD6lN3qHdfDu0XijH/HYPDHx7Gvhn7EJgUiMEfDIa7v7vetNur1425DyxLD2Ohvb39+3V3DbcnXee4sV3P9eW7vutH+/6mb9oUQ9efobzlMg+a+lATcrli3LUrV243J9A1sXZlpUDVk5Ov91BrYVg+lWvyXEVFhUbvs67E2DdGRfFtOMrKylBUJNA7W72hyQfVq43MnaRQ+1j43D1U+0a2cmW1anBI9bfBzMwQlJWVdSghWrvWAzNm3O4duXhxjar9TXGxsMN4Q1zyky95Zm5VkPpxKKtRlceknu/h4cCGDTd1VnPVXKzB/jf3o7W6FSnPpSBhfAIEQtPGJ7LE8Wivr/2QzMmp5PSbKbdVWXl7VGNA8/wxhfb5uHIlcP/9Hc9be9M+x43NR0PL67p+tJc3NG2KvuvPUN5qf+fjI+8wD5p6Gry85BCJWNTW3p77Tb0aT/1vsViGKVMa/9eLk3/3UGOIRKKu2YaoK+JD4zVz3hj11Tdv3FiJpUu9sX694nVG+w1MWV3W0CCAm5sct26ZNwu3Or4PH6+vdEHf26D2VBWG3iglEhnEYrmqyohrfvIhz4w9D3VdO7qqUZV0Td2hKyAKiA9Azw8exN6PTuPI8kIU/bcI6fPSERDbcYgOSx4P1/VNKZ1S35ZYLLNoCYD2+XjnnZ23wdKXRmveCw2NdM0lHw0tr+v6kUhkmDWrDj/84IUnn2zSOSK++jHrCkoN5W1GRufzoEkkikBHvYoeUNwXNm7UbF6g/ndVlRBBQXKHD4aMRQGRHVlzBGZjcCmC13ez0reuRCLD2LEt2LjRU2f9tfp6t251Pgu3rlnMHbmhnyLtmnNaaeflnj2KniDKcZqA21NVaDcoV5/J3lZVYJZ+gBlTFWTKtaOeL+Hh0JsvxcVCjP9nEMrLw9Hdrx+evPJfVD+xG/H3d0e/V/pB5Km7w4U5x8N1ffUBEo0p1dFuXzVzZh2CguQWKRFUDxQyM9sRFxdidG86W7aL0l5O129iaHZ4rr/hvn2uePXVgP9VVbkiNLRKo0qL62Cn+vJWIuE2D9rVq0KNYAhQ9FwdN64Fe/e6q/Y/blwLfv/dXTUmnDNVlSlRQGRHfGm81tkDVNeFGxsr73Td48dFeuuvtdfrrDhZOX+VcmJWSwWQXG+i+/a5YsMGD4wb19Khnt7U/Wrnqa63wV9+0T1VhbLRpb6bqvoUFqZOJGps+s3dvjGBnCnXjjJf8vPdMHq0Pzw9dffQUd/2lbpALKx7DFk+JzDmjzxUFu5Cnxf6IGJoRKdjF2m3aaqs7NimS1cbDuXf6qNyi8UyREXJTM5z7by1dFWIMlDQlyemjkbPlfb5uHRpjc4Xp87OW2VprHI0e3PO7Q0bPDTuf99956mRJq7HbChvucyDpn0ePvtsI0aObAXLAhMnNoJhFCXP2tcCz2o8bYICIjviSwPgzoqOdV24yhFLDVX/rFx5e5wnf3+ZRruWpUtrNC5GQzdn9dmalROzWiKA5PpQ37fPFY8+KoZcziAnxxNr11aZHRTp61mi/Tao/lAEOk5VYaiEjmsvGmVeGDPz9ZIl3hYP5o2pwjD12pFIZIiNbUF4uL/eUgz1bQMACwH2N/TFgw+HwPP0n8ibl4fgPsFIm5kGrzD9rYeVx6Ns0/XBB35Ytcpbo8u39kNcu02HumPHRCbnua68tVQJn/p2lC9K2t93dh7q+z25plH7OtA3pIWhIEQ9nUrmnNvjxrUgJ0dRQs4wLPLy3LB9u6feFyBT7/+dlVrp++3Vq1CVwY/yPqM+F5ozoYDIjuzVU4VL2wt1nV24+rpuqpdspKffwo4dngA63rBMmU/MEgEk1zc07Te9nBwPswMifXmq/TYokSjmIdKcqkLW6XaMOT5jSnv0NZi3VDCvfi4Zehha89rRDmSUQXzWPS6InnwnLu+6jDPfncHvL/6OmL/HoOeTPSF0091uxlCbLu3fR7tNx0cf+Wg8oBgGGiVGxua5dt5aooSvY0Pjqg7d7rmch509tDtLo/p1YKiLO9frRcmcc3vIkDasXVuFnBwP+PvL8fXXPhppUn8Bsvb9X/serV2Fmp3tZ/G2ZY6IAiI7s3VjVmPGCFJ/GHW8cLlXF4SGyjBpUjOOH3fr9Iali/qErP7+MrzwgqLI19QbiHp7JC5vaOpvegIBi7Fjzf+9jHmgSySKiVmN3Q7XN1BjqivUl5XLGTz8cJNVZr7WfoOdPFnR48XU9hzGUuZ5x8lwGcT8PQbh6eHIX5SPCxsu4GbBTfSe3BvBqcE6qzX0/Q7an6u36RAIWBw96qYRdIaFydDaenv75lRpWKq6Xtd2MrWmf+B6Hhp6aHeWRu1qYvXBWbU7HXC5XrR7WZlamjZkSBuGDGlDcbEQmzZ56n0BsjXtUlDA8m3LHBF1uzdCV+h2b6jLtpJ6mx2xWFFCoX0TUO92r+8U0tXNVdcNi0u3YVO6hXPpsrx0aQ1KS3W3XVK3b58rcnI8MHZsi87eIsbgcnM1lL+dra89fUVn+WZM92NTu3wbS/s8BWCxtkpczl0uWJbF9QPXcea7M2ipaEFgz0D0f70/PAI9Oiyr7/zVdY2o984EgIcfbsLYsS2YPFmzp5C+7vJczi9L/Y7a2/n55ypkZHQcLsLU69fU4QW2bHHnVB2va11DvT/1Bee6tqPr3mNOaZClzlv1NGqXglrrerYnY7rdU0BkhK4QEHG5ySxb5qUxTsnMmXUdSiiUF2du7k3k5oqMfnOy9rg3+krCuASEnW2Xy3xEXB9E+h7w+m5++tZXL/XSN0VAZ8fF9fewxZhFutpzAKaNmaP9u1j6wdLW0IajnxxF1akquAe6I/qeaMSNjoPAxfSxi7Sv0dxc1w5jzuzYUaGzA4Ix1Z+W+B3VtyORyC3+0Dam3ZM1Gvtr3w8Bw8G5tXoPW/q8VeLLGGTWQuMQdWHmNoTkUlVTUyMw+LfSxYvQmDhQX88OfemwZlExl1Fl9fX80cfQjY7rW6S1umJzmSLAEGN+D1sU86u34/nyS2/U1prWbsZQD0lLcfVxRfo76bh59CZOf38aZ78/i7K8MvR+tjcCEo0buwjQfY2yrGYbmZUrq3Veu4amkTCm3aCx6b29ndtVepZotG1suydL99zV7hyiZGjbfOk9zJW9qu34yLRXGGIXyhvCjBkBGDs2CMXFpg2AJpHIMGFCi963gYCAjg+MtWs9Ouxvzx506NlhbtosRRn4AOhQZ79xYyVmzqwDAHzwgR+n9OrrWaWkq5HiffcFY98+V43t6EuXOcela4oAU7dvK8XFQp3nlDqJRNHgXqi2iLEvxroDSMtjGAahA0Ix5IMhCB8cjtbqVhxZfASHsw+jrdH430D7GlWet4sX12DHjgq91ba6zg9j7htcfhcuLHWvUsflt+RyfRlzjNqdQ7y8Or+2zL3Gif1QCZEDsdWbh3ojZl9fOdas8UJTU8curEOHglPPDnswVBJmqOePLupvpspxkLRLK3Q1UmxoEGDKlECN4fTN6R2lfOPWbvekXnrQ2ZhO1mBsSYAxVQrqDyRTugLbemgLkacIaTPSUHW6CqdWnULlyUrkvZOHmPti0H1EdzACw50RDOHyJq/r/OI64bElq3osea8yphNEZ9cXl/aR6rTPHy7Xlr16DxPzUUDkQGx1c1fv6r18uQ+amnQHOvHxQE5OFfLyRAZ7dtiL9gNE/cHd2SzQ6tRv7spxkBT/1tyXsopHPc/0DafPpWu5Ol0PK/URqu11AzblIWrMw9Lcc96UHpKWIE4WI2tBFk5/exqVZypxft15XP39Kvq82Ac+kT5W3bf2eW+N3oadMfV30zVQpbGdIAwFjupjmlVVKRoV6+vBqdyWKdcWVUM5JgqIHIgt3zyUpSjKBzuge1Z2iUSmmg/Kng9lYxszT5zYqDG20NWr+ovPo6JkGiVggO7SCmVX7dTU9k6H09eVps5KStQfVlu3umPVKm+Ndc2ZoNNUpjxEjXlYWuKct9bDqbPzzsXdBX2m9kHtpVoUflWI1upWHP34KAITA9FzYk+4eHC7/Ro7aKautkLKYJ1lFYG8ruUs+cJlyu+m63rQPr9KS4VWOc+VPdMA2HR4B0uw1ACbhAIih2PLi1M9ENDVkPPiRWDTJg+kp9/6X7psf+PgGlRo31gZBho3/6gomcZ8YOrbV05C6+0th4vL7dmi9T0wtIfTVy/JUaZFu+2PsSUlLAuLvc2bw5SHqLEPS2sGNKb0kFSuyzWY9Y/zR9aCLPz1f3+h6EAlzvxSjwObD2Pgs7Ho91CIwSlATB00U9eyygBa2UhYe2oKS79wGfu76boeLF0qrt4cQCxWTGGiXo0G3J4v0BGCC2v1aHNWFBARndQDAWUwpN6Qs7hYiHHjgLIyf7teiJ0FFfraH4wa1aoadE+7uk/fUP+NjQLOA5cpHwbavc8AaExfYmpJCcsCq1d7W+xBYSpHrVLQ7iFp7PlrbMmY0FUIzztTsOgjF/Sqy4MIbTj3aglu/n4JQ+emwjPI0+z9GFpWu9G/kvZy9vxddAU/MTGGzy9j5xhUNgfQbmOla75APpcKKTlajza+o4CI6KTdc0m7Sikvz1U1F5Q1L8TOioMNvUF21v6guFgIljU8R5T29o0d6M3Qg6i0VGhWSQlfGm7aO7gxhXYPSV3nr6Fzz5SSi7w8V1yuC8BV3I/eKET3tsu4UeOCIx8cQUi/ECSOT4RApNnx15j96FpW1wuBdmDOh/Z+gP7gWt/5Zeocg7raWKnPF+jlJTfYptAY1q7OsnWnga6OAiLSQXGxEJWVAoPz2mRktCE8HCgrs17XUi7FwbpKTpTVU4baH2iX3Og7VnOrEbTHPQI0H0QxMaYHE1wCEWpfoJt6D0ld529n554p54X6g/cEUlHtH43R/rsBABWFFag4UYGeT/aEOFls0n50XQv6XghYtvMRzO3BmOBa1xyDkZEyo893ZanRDz944v/+zwuNjQJMmxZgdqm3LaqzqEebZVFARDRoBwozZ9bpLBWRSGTYuxfYvLkW6em3rHIhci0O1lU91VmVlHbJjXpVmHpQZW7bKF0PKVvdvKh9gX7qPSR1/RZcJyQ15rxQ770JAKNGtSG6eyaKtxWj9M9S+MT44PTq03D1dUW/6f3g6utq9H7Ul9Xubq/dIFlfD0zl8fM9iNaeYzAr65bJ57tEIkN8vBSNjZYbOsRW1VmOWELLVxQQEQ3agUJQkFzvgzs+HpgwocWiw8irM7Y4WFeJENeJT9UncbR0EKEesCkfNLZ4k6P2BYap95DUZq2qCGVPxNsYxI6MRXhGOI59cgwMw8Bd7I6D8w8i8s5IxPw9BgKhaePncj0G9XPe31+G9nYGTU0CzvN22Yv6bPJjx7bgyhWhWee7pX9zqs5yPBQQEQ18uoiNLQ7W1yhTX6mSrm1bK4jobNoPa7yR2+O37CpVdJasiuCSJx5iD2QuyMTVP66iZHsJ/BP8cX3/dVzfdx0pz6fAN8bXasegfs7X1mo2Ls7O9sPq1d68LV1UziYPKPLZEmNWqQ9PYAzt35mqsxwPBUREA98uYmOrCzobpVb7hqW9bWsFEYbmmLJWtZYxv6UlAhlrHIs9AyxLVEUYkycMw6D78O4I7R+Ko4uPQi6Xo1tGNxR8UQDvbt7o/WxviDxFFj8G9XNeF0cpXbTUvUs5PIExgaC+35mqsxwLBUSkA0e+iPWlneuDyVoBob5Ay9rVWlwbXlsikDHmWEwZTJOvpRSGmPL7uvm5IWzSYOz/vwo07DiDyFQ/yNvlyJubh7gH49BtcDeDYxcZS3nOL1zog+3bb3f/9/SUo7nZ8OCifGPuvcvU65Gqp7sGCoiI1fCp+sSYG5Y1AkJ9gRYfqigtdTM3pc2KMYNpOuJDprM80XWNKMb4CkJ5eRgig+PwBnaj7mY7Uh6JR/G2IhRvL0bf6X3hFeplsXRKJDLMnt2AQ4fcVIMWfvGFbefEszVLjtZtzHp8ui8STRQQEU6sOYGnLfAh8NAVaHEtkbLmTdRSeWNKmxXtQEf9OPnwm5nLUJ7ou0bU86e0whOz/3gAPo03kFlwFIkDA9DvXi8cXXwU4p5i3PHoHRC6mT+TvDKt2oMWmsNWD35T9mOoisvUgUa5Xsd8ui8STRQQkU7puohjY+UG1+Hb272120aZc/PvrETK2jdRS+aNsW1W1AMdXcfJp/ZsptKXJ/quEfX8UUydI0QDIrDpVggy9uXiwuFKPPlxDzT/dQW57+Six4QeCO4TbJFqNEuVjip+S9NHAjduP8ZfG4buT6bmAZf1+HZfJJooICKd0nURx8a2GlyHj2/31mobZe2AxRY3UVu2GzOmh9+ECS0WS5cyaM3MbEd4uEU2aRZ914h6/qhPK9MOEfZiKEJay9Hnh33one6KHo/2wLm153BhwwX0e7UfPAI9LJ5OU4J9Wz34Td2Pve5PfLwvktsoICKdMuUi5ltvNWvSdVMG2kwuMSouFuLgQTeMHg14edn3Jmqtag9b9vADOgat+/cr8taeDF0j6vmj7Aq+YoViUlImNAhDF2Wi8fdC/LXmLyT8IwENVxtweNFhhGeEI+7BOAhcTBu7SJupwb6tzllT92Ov+5Mz3RcdEcNaa1S9LqiiogLt7e32ToZdKB7Sty9ihmEQHh6OsrIyqw3MyAem9IZatqxG72SxXPan3FZ4OLBhw03ExEg75L8t6HsYWrNtiLWOc+1aD8yYEaD6e+VK4P77uZ+79moIqz2CtHbe1BbV4uRXJyHyFCFpYhJOrTgFebscvab0QkB8gKFNc6Kdb4sX12iMdq1N/b5QVCSwyTlrj2vDHpzlnmtpIpEIwcHBnJalEiLCiSN3xTeVqV31c3NNry5QL20qK1M8AGNipHbJf30lX9Zuz2SN49QuSbjzTu4Nke3VEFbXfrWDEf9Yf2QtyMJfP/6FE5+dgGSkBCIvEU59fQoeQR5ImZoCV29XTvvaskU5pcjtkanNKemx1TnrjPcmYh0UEBGih6ld9VnW9IeI+gMoPBwWr2owpqRDPS1isQwVFQJs2eJu8bYhxqTJ1JIazXY5cvz5pxhJSUK9U3eos1dDWK77FYgE6PlkTzSUNuDE5yfACBn0faUviv9bjIPzDiLm3hhEDY8CI9Dd6Lq4WIjRo4NUs72vXOmNTZvM63VFiCOigIgQPezRPkG5bn6+G0aP9oenp8zoKQT0MbakQ30qgxUrvJGd7QexWKaasd0SbUOMSZO5JTWKZZUlXEBoqJjTNhylAa5PpA8yF2Ti0s+XcOyTY+h+V3fE3BeDE5+fwJXfriD1X6nwjvDusF5enqsqGAIUU3ZYotcVIY6GAiJC9DA3sDH1ISKRyBAb24LwcH+UlZm0CZ1MKemQSGQQi+WqB2ZVlRAzZ9YhKEhukRIDY9JkiZIarmMgqQdJti4lUU+HsfsVCAVIGJeAbn/rhuNLjqN0Tyn6Tu+LmrM1OLbkGPzj/dHzqZ5wcb9968/IaFMFuQAgFlPvJ+KcKCAiTq2zKhi+vR2b07g3Kkr2v3FtjJuOQbukYtSoVqOCAkNpNqYUxBIlNcaMgaQdFNniPODSbogLrxAvZC3IQsmOEhz96CjCM8Mx6O1BOLXyFHLfyUXCuASEpYWBYRjVgIxbt95uQ0RVY8QZUUBEnJajjRprTnqLi4WYPj0ADQ0C+PjIsWxZjcVH4TUlzcZs2xIlNRKJDDk5VTh7NgQ9e1YhOlr/GEjqAZAtepkVFwuxZIm3xdorMQIGkvslCEsPw7GPj6H8cDlSX0qFtEWKUytOoWhTEfq+0heeQZ6QSGR46aUmSx6OQ6BpNIg6CoiI03K0UWPNSa/6ug0NAly9atx0D6aWkBgTaHAJcCxRUiORyJCZCZSV3W6fZaj0qbOgTl8PLWOo70MgYCGXMxZrr+QR6IHMBZko/bMUxz49huDUYKS/m47LOy/jSPYRhPYLRcK4BAhElhm7yFE42gsRsT7nugJIl1NcLMTatR4oLjZ+PiflQxCAQ4waa056ldVlutY1Jw+57FcgUEQdAgGLqKiOc3nNmBGAsWODrLJ/rpSlT4sX1yAnp1IjONM9/ICCsodWdrYfsrP9MHJkEJYt8zL6WNT3IZczePjhpg7pMAfDMIgaFoX0t9NRe6EWeXPzEJQShEGzB6H6XDUOzDmAqjNVFtmXozD0uxLnRCVExGFZoteRI3QpNqeRrXJ9fdVl1n5LvnpVCLlc0d1bLmc0Sqb4VkKnr/TJUOmRdg+t2lohsrP9sHq1N6e8VP62UVEyjX1Mn95olfPR1dcV6XPTcSP/Bk58cQIBCQFIm5mG2gu1OPPdGbj6uKLvtL5w9e36wQFNo0G0UUBEHJYlHqh8azStTdckmcY2stWuLtuwwQMREYoxZozNQ2PbXBh66DjKA8lQ4KzdQ0uJa16qB6NLl9agtFRo0eBc+/e6/XckMt4NQsHyAuTNzUPy08nInJ+Jcz+dw8H5BxE1LArR90ZDIORWiWCJeeJMnbXenEmVHeGFiNgOBUTEYfH5gWqpxpqWCPrU80kgYLF+vRf27nXHxo2VRuWhKaVJnc3X5SgPJH2Bs7KH1vffe+KHH7zQ0qIIILh0Xdf+bUtLhSb1KNNHV8A1fbrmlDJpM9Nws+AmTn9zGt4R3uj9bG9E/z0aBUsLcG3vNaS8kALfaF+j9mPKPHGmnFumrqN+XZr6QkSNsbsmakNEHJahdh/2tG+fK+69NxgzZgRg9Gjz2sZYop2TMp/Gj29SVV/dDq6456GpbS4kEhkmTGjpsG3lQyU9nd/BUGckEhkSEqSqYAgApkzpvMrL2m3YtH+vjRs9dP5+IakhyJiXATBA7txcNF1vQuaCTMSOikXB5wU4vuw4pC36R/TW3s+ePeanlcu5Zew6lmqzxqe2b8SyKCAiDk3fw9ZeiouFeOaZQDQ1KS6tqiqhanwXUygDlpkz6zBxYqPJo1ZLJIp2KboewFzz0JIP8K72UNFutD5qVGun61g7oNf+vcaNa9H7+7l4uKDvtL7o9UwvnPvxHI5kH0FwajAy52WCETDInZuLa/uv6ZxUVH0/YrEMN2/C6N/TlHPL2HUs1YiaGmN3XVRlRogF5eW5qoIhS1q1SjE+DdfGurqYW0VlySouvjWoBkyvBjF3jCdrHbeu36uz3y+wRyAy38vEme/PIO/dPCSMTUCfF/ug4WoDCv9diJLtJUidlgqvUK8O+1FO8fLWW9ynRTGUVkuvY6kqdj5X1RPzUEBEeMUR6uY7G3lZvZGtvz+30gJDTA0edKXT3AewpR7gfHuomNPbztwxnqxJ+/fi8vsJ3YToPaU36kvqceLLEyjZXoL+r/VH1sIslOwqwdHFRyFOFuOOCXdA6CZUbVd9ihdTglxTzi1j1rFUQO9Ibd+IcSggIrzhCAOlcRl52dLTIJgSPPA9L/n2UDGnxIpvwZ2l+Mb4Imt+Fs6tU/Q8k9wvQcy9MYjIikDB8gLkvp2LHo/2QHCfYDAM4xD5YKmAnu+9U4lpKCAivMHHahRtXNJo6WkQTAkezMlLS4y8zAWfHirmPMz5FtxZkkAkQNJjSYgaFoWC5QW4svsK+r3WDwPfGojqs9U4vfo0LuVcQr9X+0EicdM5LQohjoJhdbWSIzpVVFSgvb3d3sngBYZhEB4ejrKyMp0NLU2hXaph655jXKrrbJVGffnLtUrR1HQqR15Wn/l80yZ+lS6Zy1DedsWgxlLkMjmKNhfheu51RA2LQszfY8DKWFz4+QLKD5ejW2Y3xD0Yh4ioCIveF4iCNe65zkAkEiE4OJjTslRCRHjDnm/a+/a5YsqUQNVM8PqqmGydxuJiIXJzRaoSC67VYKamU3vk5aoqbqVL1m77ZYu2ZeolVo7Qlo0LSx6HQCiAMLUHrtyMRdP2g7i2/xr6vtwXPR7uge4juuPYp8dwI/8Ghs8eDhgeuogQXqKAiPCKPapRiouFqmAI6LyKyVZpvHgR+Mc/bo9SPXFio1HVYKakU7tROJcBBi3VXknfw9uS7aEUpUBuGD1a/+CBfG9/xZWlj0NjeyEP4d+vHMHRj44ifFA44sbEIXN+Jm4evYm8T/IALyDlhRSIvEQWPCJCrIvGISJOLy/PVRUMAYCPj5wXDUL37IFGAMQwsPpktMpG4TNn1mHmzDps3qy/qk05KeyWLe5mj8tiaFwiS437otzH66/7429/0z9WTlcZZ8bSx6GxvZsuKBL1QNosxUjXubMVAzqGpYXhvqX3wc3PDXnv5uHK71fAyhXVO9acRJgQS6ASIuL01BvU+vjIsXJlNS/akAwdCo2GvqNGtWLkyFarVdepl9B01ihcvbRALJapSpVMDdQMNQLX1+CZa5sv5TLq+ygrAw4edEVMTMcRmPnaW8qS88iZQtf2PAI9kDk/E9f3X8exJccQnBKMO1+9E72f7Y2Gaw0o+EzREDtwdH88/kKMw5e6ka7NoQKixsZGrFq1CkeOHAEADBgwAE8//TS89JR9S6VS/PTTTzh+/Dhu3rwJT09P9O7dG48++igCAwNtmXTCY3ztJRQfD+TkVCEvT6SVrjbk5rqCZS3XvsXY6hX14KKqSoiZM+sQFCQ3Of+0H7ZRUTKsXeuhevhr/z5c0qtrLi/lPsLDoTdA4OP5YOl55Eyhb3sMwyBiSASCU4Nx7NNj2P7SdsQ9Hge/WD9kLcjC1T1XsTv7OCTlN1GFNJSXu/CyBykhDhUQLVu2DFVVVZg9ezYA4KuvvsLy5csxc+ZMncu3tbWhuLgYY8eORUxMDBobG/Hdd9/hww8/xAcffGDLpBOe41MXcHUSiUyjFMNa7VuM7aavHcDoG2+Ja6mG+sM2KkqGadMCOhyjenq4pFfX5KkbN1YiP98No0f7w9NTpncqFL6dD6YOo2Dp4zC0PVcfV6S/kw5piRR5X+TBL9YPyZOS0X1YdwwJicTBMefx96btuBzQG+nppk9nQ4i1OEwbotLSUhQUFOD5559HYmIiEhMT8dxzz+HYsWO4fv26znU8PT3x9ttvIzMzE926dUNiYiImTZqEoqIiVFZW2vgICDGftdq3GDsvFJd5uIydr0w5p9qVK8JOj5FLenUto9xHXJzBpPCOtSeCtRSGYdA9szsy5mWgraENue/kovpsNRKSBZi1MxlD3uiJaUMP4/rKfWip4k/ASQjgQCVE58+fh6enJxISElSfJSYmwtPTE+fOnUO3bt04bae5uRkMw8DT09NaSSXEaqzVvsXUuaQMlT6YWqrB5Ri5pJePVV+mUJayLV1ag9JSodWPxRJd9UWeIgyYMQCVpypxetVpeIZ5os8LffD4dA/IpRko2lqEwx8cRuiAUCT8IwECkcO8m5MuzGECotraWvj5+XX43M/PD7W1tZy20dbWhrVr1yIrK8tgQNTe3q4xACPDMPDw8FD9m9zOB8oP69CXv7GxcuTkVKk95OUALPMbxMbKERurnHfN/G1mZrZrBDaZme2czheux8glvbqWcaRzV1HKdnvohZycKkgklvvNue2Pe1CknbfBvYMRMD8Ap1aeQt7cPPSY0AMhfUOQMCYB3Yd1x9FPj+LAnANInpQMcZLYKsfUVTjSeeuo7B4QrVu3Dhs2bDC4zKJFi/R+x7IspxNEKpViyZIlYFkWkydPNrjszz//rJEmiUSC7OxszqNdOpOwsDB7J6FL05W/4eFAZqYdEmOk8HBg/37F8AF33ilEXFyIUeta+xgd4dzdtg0oL1f8u7xciLNnQ6yaL5ban3beRi2MQsVfFchfko/KfZUYMnsI3MLdEP1VNMqOleHo10dxI+AGhrw1BG6+bhY4kq7LEc5bR2X3qTvq6+vR0NBgcJng4GDs378f33//PVavXq3x3cSJE/HUU09h2LBheteXSqX49NNPcfPmTbzzzjvw8fExuD99JUQVFRWQSjt203VGDMMgLCwMN27coGHkrYDy13SdVfnYIm8tNUJ0cbFQY3DOn3+usnp1mTn76yxvZW0ynF1zFlVnqpAwJgHhmeFgGAayNhn++vEvVJ6sRPcR3RF9TzQEQuOr0brKCOO60D3BNC4uLo4zdYevry98fTsf5z0xMRHNzc24ePEi4uPjAQAXLlxAc3MzevTooXc9ZTB048YNzJ07t9NgCFDMfSIS6R5hlU5ETSzLUp5YEeWvcbSrfAz1wjM2b42bR45bGjoTEyPVaAcVHa2/Z5wlGLM/Q/mhL28FIgGSJyWj/ko9Cr8oRNG2IgyYMQBufm7o+WRPNJU3oWBZAUr/LEXK1BT4duc+B4gl853P6J5gPQ7Tki0yMhKpqan46quvcP78eZw/fx5fffUV+vXrp9Gg+uWXX8ahQ4cAADKZDJ988gmKiorw0ksvQS6Xo7a2FrW1tVTSQ3Ry1NF0HTXdlmatXnjG9JizdBqUPeNs1Sicy/6M7UGozbe7LzIXZCIoOQj5C/JxZfcVsCwLr1AvZC7IhGSUBAWfFaBgeQGkLdzu1V1lhHFiP3YvITLGtGnT8O2332LhwoUAgP79++OZZ57RWOb69etobm4GAFRVVakGcXzjjTc0lps7dy6Sk5NtkGriKBx1DitHTbc1WKsXnjE95tTng+MyF5wjMrUHoTqBiwA9JvRA5LBIHF96HFf/uIp+r/aDh9gDEVkRCO0XilMrTyF3bi7iRsehW2Y3g+1F+TrCOHEcDhUQeXt7Y9q0aQaXWbdunerfISEhGn8TYoglbvL2YO9086ndhrW62pvzsO2KtRuWCD5unzdCZC7IRPHWYhxedBiRQyMheUACFw8XpL6UivrL9Sj8shAl20qQOj0VXiG6ZyboKsMsEPtxqICIEGty1DdMS6XblMCGj6VT1hhl2piHbV6eK6qqbk9r4iiBtTHMDT50nTdxo+MQnhWO458ex/Xc6+g7vS+8wrzgG62oXru86zKOfnQUQb2D0OORHhC6dqym49sI48SxUEBEyP846humJdJtamDjTKVTXB+2lg6s+VQCp86c4EPfeeMZ5InM+Zm4+vtVHP34qGLgxrEJELgIILlPgoisCBQsL0Du27lIeiwJ4t5iGpeHWAwFRISocdQ3THPTbc1Rpa2Fj6VTgGUDa74eo7kMnTeMgEH3u7ojdEAojiw+gpvHbyL1xVT4RPnA1dcVA2cPRNWZKpz57gxc3F3Q75V+cPOnsYuI+SggIoSYHNjYs1TN3qVThlgqsObzMZpCvbSrs/PGzd8NmfMzcT33Oo4vOw5xTzHueOwOCF2FEPcUI2tBFi5suID8hfmIGBwByUiJSWMXEaJEAREhxKzAxl6lao7a5ssYXekYdZV2TZjQovG9dtUgwzCIyIpAcJ9gHF96HLlv56L3s73hH+cPgUjRSy3q7ihFu6O86+g9RfEdIaaggIgQAsDxqgsdtc2XMbrSMRoq7eqsatDV2xUD3xqIm8duovCrQvhG+6LXM73g4u6iaHe0IBPlh8tx8quT8Az1RMrzKRB56R5clxB9qHyREA4cceBDR0yzsWw9aKE9dJVjVJZ2AehQ2sVlUEWGYRDaPxSZ8zIha5Uh7508VJ2uUn0XNjAMGe9lQOQtQt67ebjyxxWw8i445gGxGiohIqQTjtiw1RHTrM3Y3lV87Y1FFAyVdhlTNeji4YL+r/VXNaz2CPZAn6l9IPIUwcXdBSnPpaDxWiMKPi/AlV+vIPWlVHiHe9viEImDo4CIkE44YsNWvqXZlODGmICuKwSAzkBftawpVYPinmJkzMvAmVVnkDc3Dz3+2QMh/UPAMAy8I7yRtSALV/+8imOfHENAYgCSnkiCizs98oh+VGVGSCe0i/qjomS8r4oyVD1ha6bMe2XsvFQ0j5XjM6Vq0MXdBSkvpCDl+RScX38e+Qvy0dagONcZAYPuw7sjfW46btXeQt47eSg/Uk4ToxK9KFwmpBPqb69RUTJMmxbA+5IIPjXGNaW0ytjeVV2pNxYxnn+cPzLnZ+KvH//CwfcOIu7BOHQbrJj7zNXbFQNmDEDNxRqcWnkKF3+5qJgzLdDD3skmPEMBESEcKIv616714FVVlCF86TVmSrBibEDHpwCQ2IfQVYjkp5LRcLUBJz4/gZKdJRjw+gDVoI0B8QHIWpCFoi1FOLzoMELTQpEwJgECEVWUEAWGpfJDzioqKtDe3m7vZPACwzAIDw9HWVmZUxVBa7dVycmptMrDly/5q6/tjyltgvgSrNgjb52lwTdfzlu5VI6LP1/EjUM30P3u7oi+KxqM4PYUH601rTj26THIbsmQPCkZgXcE2i2tXPElbx2NSCRCcHAwp2UpIDICBUS3OfPFaYuHOx/yV19DZUdvwGzrvOVLftkiKOPDeauuqbwJx5ceBwD0e7UfPIM8Vd+xLIuKExU49+M5uPm7IfVfqXD14W/bM77lraMwJiCiskJCjNRVxoXpjL6GytSA2Th8yC9TGrZ3BV6hXshakIVuWd1w5IMjuPjLRchlcgCKACMkNQSZ72XCK8wLB987iJKdJTR2kROjgIgQopO+nmp86sFmDZYe0JIP+aUdlG3d6s77npKWwggYxD4Qi7S30lB+uBy5c3LRWNao+l7oJkTypGT0f70/ru29hgOzD6DhaoMdU0zsharMjEBVZrdR8a118SV/9VUPWqva0N7VOtaq3rJ3Gyr14xKLFfuvqrJ8FR5fzlt9WJbF1T+vomRbCUL6hiDx4UQIXAQa31/ffx2XtlxSTA/ydC+4ePCj7xHf85avjKky48cvTQjhJUMD6Vm6Bxsf2tpYa0BLe/f4U++FV1EhQHa2HwD+95S0NIZh0H1Yd4T2C8XRj4/iwJwD6PNCH/hG+6q+jxgSgZD+ITi18hRy5+Yi/qF4hGeEg2GYTrZOHB1VmRFCeIEPbW34UL1lLcq2b6NGtXbZY+TKzc8NGfMyEDc6DgWfFeDkypOQtd0OvkWeIvSd1hepL6aiaEsRcufkormi2Y4pJrZAJUSEEF7gw+CKzjCekTMcIxcMw6BbRjcEpwTj+LLjyH07F72e6YWAxADVMr7RvshckInLOy/jyIdHENwnGIkPJ0Lo2vXbXjkjakNkBGpDdBvVZ1uXs+avswxp0FU5ct7eLLiJv9b+Bd8oX/Sa3LHtUFt9G44tPYb2xnYkPZ6EoN5BNk2fI+etPVEbIkKIQ7J3WxvivEJSQxDYIxCFXxUid24uej7RUyPocfV1Rfrb6ag6U4Uz351RVKu93Bdufm52TDWxJGpDRAghhABw8XBBv5f7odfTvXB2zVkc/vAw2ps0awXEPcXIWpAF/wR/5C/IR9HmItXYRsSxUUBECCGEqAm8IxCZ72XC3d8dee/moeyQZjWVQCTAHY/egQFvDkBZfhkOzD6A2qJa+yWYWARVmRFCCCFahG5C9H62N2qLanHyq5Mo2VaC/q/2h6vv7d6PnkGeyFyQiRuHbqDwy0J4h3mj9/O9IfIU2THlxFRUQkQIIYTo4R/rr6gii/fHwfkHUbqnVKO0iGEYhA8KR+a8TLh4uiBvbl6HZYhjoICIEB6w9HQRhBDLEYgESHo8Cf1e7oeSHSXInZOLlmrNxv8uHi5IeT4Ffaf3RcmOEhyYfUBjihDCfxQQEWJnzjrxJiGOxjvCG5kLMhHSLwSH3z+M4h3FHSaD9Yn0QdbCLEQNi8KxT47h1DenILvlnGM9ORoKiAixMz6M0EwI4UYgFCBhbAL6v/G/yWDnHOgwijUjYBB9dzTS56ajtaoVuW/novxoOVWj8RwFRITYWVeeLoKQrsorxAtZC7IQ8bcIHMk+ggsbL3Tofu/q7YoBbwxArym9cH79eeS+3bGqjfAHBUSE2JlyKoXFi2uQk1PptFMpEOJoGAEDyd8lSHsrDTeP3UTunFw0XuvYbiggIQBZC7IQ0jcEhxcdxoUNFyCX0thFfEPd7gnhARqhmRDH5RHogcwFmbi29xqOLTmG4D7B6PHPHhCIbpc5CFwUVW2RwyJx7JNjuHH4BpKfTkZgj0A7ppyooxIiQgghxEwMwyByaCTS305H7cVaHJhzAHXFdR2W8wj0QOb8TPSY0AOnvz2Nwx8cRlsDVZPzAQVEhBBCiIW4+roifW464v8RjxNfnMDJr0926GXGMAxCUkOQ+V4mPEM9cfC9g7i863KHHmvEtiggIoTwCo3JRBydcrDGjHcz0Frbitx3clH9V3WH5YRuQiRPSkb/1/rj6p9XcWD2ATSUNtghxQSgNkSEEB5RjslUXi6EWCzD5MmNGDWqFRIJNTTnorhYiLw8V2RktFGe8YDIS4S0N9JQWViJ09+ehlc3L6Q8lwIXD81Hr1eYF7IWZuHavms4vuw4/GL8kDwpucNyxLqohIgQwhvqYzJVVQmRne1Hg1VyRAN88ldQShAy5mVAIBQgd24ubhbc7LAMwzCI/FskMt7NgKxNhty5uSg7WEZjF9kQBUSEEN5QH5NJiQar5IYG+OQ3Fw8XpL6Uit6Te+Pcj+dwaNEhtDe1d1hO5ClCv5f7IXVqKi79cgm5c3I7DPxIrIMCIkIIbyjHZJo5sw5iMQ1WaQwa4NMxBCQGIHN+JjyCPZD3bh6u513XWQrkG+OLzIWZCM8Ix5EPj+DsmrOQtVE1qDUxLJXHcVZRUYH29o4RvTNiGAbh4eEoK6MiXWug/FVUAR08qGgPY8nBKrty3lorz7jqynlrDfWX63Hi3yfg4uqCfq/1g5ufm87lbtXdwvGlxyFiRYgZFwNxstjGKXVcIpEIwcHBnJalgMgIFBDdRjc+66L8tR7KW+uhvDWevF2O8+vP4+bxm4i5PwZRd0aBYZgOyzEMA9wA9n6yFyIvEfpO76s3gCK3GRMQUZUZIYQQYicCkQB3PHoH+r3aD1d2XUHunFy0VOketT68bziyFmTBL84P+QvyUbS1qMP8acR0FBARQgghduYd7o3MBZkITQvF4UWHUfTfIp0DNQpdhUh6LAkD3hiAsrwy5M7O1TkiNjEeBUSEEEIIDwiEAsQ/FI8BMwegLLcMB+YcQFN5k85lPYM9kbkgE3EPxaHw34U4tuQY2pupSYc5KCAihBBCeMQzyBOZ8zMRdWcUji4+ivPrzkMu7Vg1xjAMwtPDkTEvA0JXIfLezUPp3lJqv2UiCogIIYQQnmEEDKLvicag2YNQUViBA3MOoPZyrc5lXTxc0GdqH/Sd1hcl20twYPYBNN3QXbJE9KOAiBBiMpp3jBDrcvN3Q+b8TMQ+EIu9C/bi9OrTkLfrbkjtE+mDrIVZipKlj4/i9KrTHSaWJfpRQEQIMQlNFUGIbTAMg4ghEbj343tRf6VeUVp0qVb3sv8rWUp/Jx3NN5uR+3Yubh6/SdVoHFBARAgxCU0VQYhtufm6If3tdCSOT0ThV4Uo/HchpK1Sncu6+rgi7c00JD+TjHM/nUPu27loqdbdnZ8oUEBECDEJTRVBiO0xDIPQAaHIeDcDbU1tyHsnD1VnqvQuH9gjEFkLsxCSGoLDiw7jwsYLOhtoE8DF3gkwRmNjI1atWoUjR44AAAYMGICnn34aXl5enNb/+uuvsXv3bjz11FN44IEHrJlUQro85bxj9pwqghBnJfIUYcDrA1B1ugpnVp+BZ5gn+rzQBy4eHR/rAhcBEsYlIHJ4JI59cgw3Dt1Ar8m9EJAQYIeU85dDlRAtW7YMJSUlmD17NmbPno2SkhIsX76c07qHDh3ChQsXEBBAJwAhliKRyDBhQgsFQ4TYiThZjIz3MiB0EyJ3bi7Kj5brbS/kEeiBzPmZSPxnIk6tOIXD2YfR1kglu0oOExCVlpaioKAAzz//PBITE5GYmIjnnnsOx44dw/Xr1w2uW11djW+//RbTpk2Di4tDFYoRQgghBrm4uyD1xVT0frY3zq87j0PvH9Ib6DAMg9B+ocicnwmPIA8cnHcQl3+9rHNUbGfjMNHB+fPn4enpiYSEBNVniYmJ8PT0xLlz59CtWzed68nlcixfvhwPPvggoqKiOO2rvb1dYxJXhmHg4eGh+je5nQ+UH9ZB+Ws9lLfWQ3lrPVzyNjAhEFkLsvDX//2Fg/MOIv6heHTL6qZzHRd3F/Se3BuNZY0oWF6Aq39cReqLqfCJ9LHaMfCdwwREtbW18PPz6/C5n58famtr9a63adMmCIVC3HfffZz39fPPP2PDhg2qvyUSCbKzsznPmOtMwsLC7J2ELo3y13oob62H8tZ6uORt5FuRqC2pxf7s/ajYV4E7590JjwAP3QuHA/HfxKNodxHOrDgDcaIYaS+mQeQhsmzCHYDdA6J169ZpBB+6LFq0SO93LMvqjZiLioqwbds2ZGdnG/XGMmbMGIwcOVL1t3LdiooKSKW6uzg6G4ZhEBYWhhs3btD4FlZgj/wtLhYiL0/RQFoi6bptgujctR7KW+sxOm/dgL5v9cWFDRew6V+bEHNvDLqP6A5GoPtZ6NnbE31i+6Dwq0LkTMlBwrgEhA0Mc/jSPhcXF86FGXYPiP7+978jKyvL4DLBwcG4fPky6uo6zuhbX1+vs+QIAM6ePYv6+npMnTpV9ZlcLsf333+Pbdu24fPPP9e5nkgkgkikOzqmi1wTy7KUJ1Zkq/xVDLIoRnm5EKGhit5jXTkoAujctSbKW+sxJm8ZIYPEfyYiYmgEji87jqt/XEW/V/vBQ6y7tMjF0wX9XumH2qJanPr6FC5tuoS+r/SFZ5CnJQ+Bt+weEPn6+sLX17fT5RITE9Hc3IyLFy8iPj4eAHDhwgU0NzejR48eOtf529/+ht69e2t8tnDhQvztb3/DsGHDzE88IV2ErkEWJRIaxI2QrsArzAuZ8zNR8t8SHF50GJF/i0TMAzEQCHX3q/KP9UfmQsXyR7KPIKRvCBLHJ0Igcph+WCZxmKOLjIxEamoqvvrqK5w/fx7nz5/HV199hX79+mk0qH755Zdx6NAhAICPjw+6d++u8Z+Liwv8/f31NsImxBmZM8gizWdGCP8JhALEPhiLtFlpKMsvQ+6cXIMTwCqXHzRnEGrO1+DAnAMGB4DsCuxeQmSMadOm4dtvv8XChQsBAP3798czzzyjscz169fR3Nxsj+QR4rBMHWRROZ+ZM1W1EeLIPMQeyFyQiau/X8XRj48itF8oEsYnQOCiu3zEzc8N6XPTUXWqCme+OwORtwj9pveDq2/Xm6qHYamil7OKigqN7vjOjGEYhIeHo6ysjNoKWIGj5O/atR6YMeP2YKeLF9dgwgR+V7U5St46Ispb67FG3t6qu4UjHx2BXCpHn6l94NvdcPMVWZsM59edR8WJCkQNi0L0vdF6q934QiQScW5Uze8jIYTwGs1nRojjcvNzQ+b8TMSNikPB8gKcXnUasjb9JbxCVyGSHk/CgDcG4PqB68idnYv6knobpti6HKrKjBDCLzSfGSGOjWEYdMvqhqA+QShYWoDct3PRa0ovBMTrn+bKM9gTmQsyUXawDAVfFMAnwge9pvSCyNOxxy6igIgQYhaJREY90ghxcK7erkh7Kw0VBRU4+fVJ+Hb3Ra/JveDirjtMYBgG3TK6ISQ1BKe+PYW8d/MQNyoO3QbrHhnbEVCVGSGEEELAMAxC+oYgc14mZG0y5L2Th8pTlQbXcfFQzKPW96W+KN5WjAOzD6CpXH/vNT6jgIgQwkvUnZ8Q+3DxcEH/V/sjeVIyzv5wFkc+OoL2ZsMdinyifJC1MAuRQyNxdPFRRXukW45VhU4BESGEd5Td+WfMCMDYsUEUFBFiB4FJgch8LxOuPq7Im5uH8sPlBnu4MQIGMffGIP2ddDTdaELuO7m4WXDTaj0Or169ioiICJw6dcoi26OAiBDCO7pGziaE2J7QTYiU51OQ8nwKzm84j/z5+WhrMNyb1NXHFQNnDUTypGSc+/Ec8t7JQ2tNq41SbDoKiAghvEPd+QnhF/84f2QtyIJvjC8OvncQ1/Zd67TkJ/COQGQtyIK4txiH3j+ECzkXIGuX8XaSdAqICCG8o+zOv3hxDXJyKqk7PyE8IBAJ8M7md7C1fSvmvjsXPWJ7IKV3CtasWYPm5ma88sorSExMRGZmJn7//XcAwMHDBzH8leFo+VsLnn73aUhiJfgt5zeUlJRg0qRJ6NOnDxISEnD//fdj7969GvsbNGgQli1bhldffRWJiYlIS0vDmjVr9KZPLpdjxowZGDx4MEpLS40/PqPXIIQQG5BIZJgwoYWCIUJ4ZtP2TUh+IBlfzfgKwyOGY9bMWXj22WcxYMAA7NixA0OHDsW0adPQ0nJ7OI6Pln6EBcsXIOeLHMgOyHD4i8MYOngofvrpJ+zcuRNDhw7FpEmTcO3aNY19ffXVV0hJScHOnTvx1FNPYdasWbh48WKHNLW1teG5557DiRMn8MsvvyAyMtLo46KAiBBCCCGc9ezZE6+8+gqGTR2G9759DyKhCNLLUoy5ZwxiY2PxyiuvoKamBmfOnFGtM2PGDAwdOhQDRg3APdn34I6EOxD7Vyy8yrzQPbw73nzzTXTv3h27du3S2Nfw4cMxceJESCQSvPjiiwgMDERubq7GMs3NzXjyySdRUVGBDRs2ICgoyKTjooCIEEIIIZwlJSWp/u3bzRdBoUHo3a83jmQfwcWfL0IcKAYAVFVVqZZLSUlR/dvF3QVxj8Vht3A3xr04Dkl3JCEhPgEXL17sUELUs2dP1b8ZhkFwcLDGdgFg6tSpaGpqwo8//ghfX8PzsRlCI1UTQgghhJPTp0+jvl5z/jKGYRDSKwRpY9Nw7ONjuHHoBgBFmx4lT09PjXXmz5+PPXv3YPZ7s+Hb7AsvHy/M/vdstLVpdqBwcbkdpowbNw7l5eUa2wUUpUg5OTk4evQoBg8ebPKxUQkRIYQQQszmEeiBzAWZiL4nGgBQurcUrFR3T7RDhw5h/PjxGD1+NIY9NQzJ9yab1BAaAJ588km89dZbmDRpEvLy8kxOP5UQEUIIIcQiGIZB1LAoAEBTaRMKVhboXC4mJgbbt2/H3XffDYZh8NFHH3Uo+THG008/DZlMhqeeegpr1qzBwIEDjd4GBUSEEEII4Uwul2P27NnIycmBQCCATHa7J+igQYMwYcIEAMCyA8uQ2iMVADBr0iwUlhei7EYZQkJCMGLECNTV1WH06NEIDAzEHXfcAblcjosXL2LQoEGoq6uDVCrFrVu39KZDWRr066+/olevXpgyZQrkcjmeeOIJrFmzBmlpaUYdF1WZEUIIIYST5ORkXLlyBUKhEFu2bMH8+fMhlUo12gh9+eWXePvtt7F7924s/nwxSs6XwIvxwsQeE/HLt79g3rx52Lp1K4YPH45Lly7h8OHDSE1NBcMw8PLywnfffYfvvvsOPj4+aGxs1Nj/mDFj8Nprr2HTpk14++238e233+KVV15Rff/cc8/h3LlzRgdDAJUQEUIIIcQI3bp1w7x588AwDOLj4/HXX39hxYoVeOyxxwAAWVlZeP755zXW+WjjR7hZcBPn1p5DcGQwJj89GVu2bMHUqVNVy8jlcnz66afw9vYGAIwdOxb79+/vsP/Vq1cjOzsb3377LbKysix2XBQQEUIIIYSzfv36gWEY1d/9+/fHV199pao6U+9ir7R161asXLkSJcUlaKhrgEwmg5enF+QyOQRCRWVVVFSUKhgCgJCQkA5d7Ldt24bKykr8/PPP6Nu3r0WPi6rMCCGEEGIx2l3sjx49iqlTp2LYsGH47vvv8Ovvv+Kxux5DW2sbSv+83bNMvYs9oGigrd3QOjk5GWKxGP/5z386nUvNWFRCRAghhBDOjh071uFviUQCoVCoc/nDhw8jMjIS06dPV312S3wLLh4uCE8PN2rf0dHReOeddzB+/HgIhUIsXLjQ+APQg0qICCGEEMLZ9evX8e677+LixYv45Zdf8O233+KZZ57Ru7xEIsG1a9ewadMmlJSU4JtvvsH27dsBBhB5iYzef1xcHNatW4dt27bhnXfeMedQNFAJESGEEEI4GzduHFpbWzFy5EgIhUI8/fTTePzxx/Uuf++992LKlCmYPVsxEvWIESPw8ssv45NPPjE5DfHx8Vi3bh3GjRsHoVCIuXPnmrwtJYa1dCVcF1ZRUYH29nZ7J4MXGIZBeHg4ysrKLF6PSyh/rYny1noob62H8tY0IpEIwcHBnJalKjNCCCGEOD0KiAghhBDi9CggIoQQQojTo4CIEEIIIU6PAiJCCCGEOD0KiAghhBDi9CggIoQQQojTo4CIEEIIIU6PAiJCCCGEOD0KiAghhBDi9CggIoQQQojTo4CIEEIIIU6PZrs3gosLZZc2yhProvy1Hspb66G8tR7KW+MYk1802z0hhBBCnB5VmRGTtLS04M0330RLS4u9k9IlUf5aD+Wt9VDeWg/lrfVRQERMwrIsiouLQQWM1kH5az2Ut9ZDeWs9lLfWRwERIYQQQpweBUSEEEIIcXoUEBGTiEQijBs3DiKRyN5J6ZIof62H8tZ6KG+th/LW+qiXGSGEEEKcHpUQEUIIIcTpUUBECCGEEKdHAREhhBBCnB4FRIQQQghxejQpCuGssbERq1atwpEjRwAAAwYMwNNPPw0vLy9O63/99dfYvXs3nnrqKTzwwAPWTKrDMTZvpVIpfvrpJxw/fhw3b96Ep6cnevfujUcffRSBgYG2TDov7dy5E5s3b0ZtbS0iIyMxceJEJCUl6V3+zJkz+O6771BaWoqAgAA8+OCDuOeee2yYYsdhTN7m5+dj165dKCkpgVQqRWRkJMaPH4/U1FTbJtpBGHveKv3111949913ERUVhY8++sgGKe2aqISIcLZs2TKUlJRg9uzZmD17NkpKSrB8+XJO6x46dAgXLlxAQECAlVPpmIzN27a2NhQXF2Ps2LHIzs7Ga6+9hrKyMnz44Yc2TDU/5ebmYvXq1fjHP/6B7OxsJCUl4f3330dlZaXO5W/evIlFixYhKSkJ2dnZGDNmDFatWoWDBw/aOOX8Z2zenj17FikpKZg1axY++OADJCcnIzs7G8XFxTZOOf8Zm7dKzc3N+Pzzz9G7d28bpbTrooCIcFJaWoqCggI8//zzSExMRGJiIp577jkcO3YM169fN7hudXU1vv32W0ybNo1matbBlLz19PTE22+/jczMTHTr1g2JiYmYNGkSioqKOr2BdnVbt27F8OHDMWLECNVbdlBQEHbt2qVz+V27diEoKAgTJ05EZGQkRowYgWHDhmHLli02Tjn/GZu3EydOxOjRoxEfH4/w8HA8+uijCA8Px9GjR22ccv4zNm+Vvv76a2RlZSEhIcFGKe26KCAinJw/fx6enp4aF11iYiI8PT1x7tw5vevJ5XIsX74cDz74IKKiomyRVIdjat5qa25uBsMw8PT0tEYyHYJUKkVRURH69Omj8XlKSorevLxw4QJSUlI0PktNTUVRURGkUqnV0upoTMlbbXK5HC0tLfD29rZGEh2WqXn7xx9/oLy8HOPHj7d2Ep0CBUSEk9raWvj5+XX43M/PD7W1tXrX27RpE4RCIe677z4rps6xmZq36tra2rB27VpkZWU5dUBUX18PuVzeIT8N5aWu/Pfz84NMJkNDQ4O1kupwTMlbbVu3bsWtW7eQkZFhhRQ6LlPytqysDGvXrsVLL70EoVBog1R2fVR/4eTWrVuHDRs2GFxm0aJFer9jWRYMw+j8rqioCNu2bUN2drbeZboya+atOqlUiiVLloBlWUyePNnodHZFuvLNUF5qf6ccwN8Zz9vOGJu3Svv378f69esxY8YMnS8AhHveyuVyLFu2DOPHj0e3bt1skTSnQAGRk/v73/+OrKwsg8sEBwfj8uXLqKur6/BdfX293pvb2bNnUV9fj6lTp6o+k8vl+P7777Ht/9u7v5Cm+jiO4+9NQw08zshdaA7/5LxolGmt6MLqIjOwe6+CsKv+ilAgRbvyJobtolVeTOqmmzCC4gH7M7uIiCTDEQaWCSZhOdElrBZtey6iPQ2fh+exp9za+bzAi3PO78D3fJnjs3N+55w//sDv9/+/4rPcr+ztN1++fOH8+fPMzs5y9uxZU58dAjAMA6vVuuRXdSQS+cde2my2JeM/fPhAXl6eLu1850d6+82jR4+4fPkyXV1dSy5PyvJ7+/HjRyYmJpicnKS/vx/4GuKTySTt7e2cOXMGl8u1EqXnFAUikzMMA8Mw/nWc0+kkGo3y6tUr1q9fD3ydexGNRqmvr//bfZqbm5fc+dDT00NzczO7d+/+/8VnuV/ZW/grDM3MzODxeCguLv5ptf+u8vPzqampIRQK4Xa7U+tDoRBbt279233q6uqWTPIdHR2lpqZGNwF850d6C1/PDF26dIkTJ07Q2Ni4EqX+dpbb26KiIrxeb9q6O3fu8Pz5c7q6urDb7b+85lykOUTyn6xbt46Ghgb6+voYHx9nfHycvr4+Ghsb007ZdnZ28uTJEwCKi4txOBxpf/n5+dhsNp3m/c6P9DYej9Pb28vr1685duwYiUSChYUFFhYWTD8RuK2tjfv37xMMBpmenubKlSuEw2H27NkDwLVr17hw4UJqfEtLC+FwOPUcomAwSDAYZP/+/Zk6hKy13N4+fPgQv9/PgQMHcDqdqc9oNBrN1CFkreX01mq1LvluNQyDVatW4XA4KCwszOSh/Lb080f+s+PHj9Pf309PTw8ATU1NdHR0pI15+/atvux+wHJ7Ozc3l3qI46lTp9LGeTweNmzYsAJVZ6cdO3awuLjIwMAA8/PzVFZW0t3dTVlZGQDz8/Npjyaw2+10d3dz9epVBgcHKS0t5eDBg2zfvj1Th5C1ltvbe/fuEY/HCQQCBAKB1PqdO3dy5MiRFa8/my23t/LzWZLfZg+KiIiImJQumYmIiIjpKRCJiIiI6SkQiYiIiOkpEImIiIjpKRCJiIiI6SkQiYiIiOkpEImIiIjp6cGMIpITHjx4wMWLF1PLVqsVm83Gxo0baW9vZ82aNalt79694/bt24RCIcLhMBaLBbvdjtvtpqWlJTX2zZs3DA4OMjk5ydTUFLFYzPQPvhTJVQpEIpJTDh8+THl5OZ8/f+bFixfcvHmTsbExvF4vhYWFPH36FJ/Ph2EY7N27l+rqaiwWC1NTUwwNDTEyMsK5c+cAmJiYYHh4mKqqKlwu15J3nolI7lAgEpGcUllZSW1tLQAul4tEIsHAwADDw8PU19fj8/koLy/H4/GwevXq1H4ul4t9+/al3hcHX19QvGvXLgAeP36sQCSSwxSIRCSn1dXVATA7O8vLly+JxWJ0dHSkhaFvLBYL27ZtSy1brZpmKWIW+m8XkZw2MzMDgGEYjI6OUlJSgtPpzHBVIpJtFIhEJKckEgni8TifPn1iZGSEGzduUFRUxJYtWwiHw9jt9kyXKCJZSJfMRCSnnD59Om3Z4XBw6NAhbDZbZgoSkd+CApGI5JSjR49SUVFBXl4eJSUllJaWpratXbuW9+/fZ7A6EclWumQmIjmloqKC2tpaqqqq0sIQwKZNm4hEIoyPj2eoOhHJVgpEImIabW1tFBQUEAgEiEajS7Ynk8m02+5FxDx0yUxETMNut9PZ2YnP5+PkyZO0trZSXV0NwPT0NENDQySTSdxuNwCxWIxnz54BpM4qjY2Nsbi4SEFBAZs3b87MgYjIT6dAJCKm0tTUhNfr5datW9y9e5e5ubnUqzsaGhpobW1NjY1EIvT29qbtf/36dQDKysrw+/0rWruI/DqWZDKZzHQRIiIiIpmkOUQiIiJiegpEIiIiYnoKRCIiImJ6CkQiIiJiegpEIiIiYnoKRCIiImJ6CkQiIiJiegpEIiIiYnoKRCIiImJ6CkQiIiJiegpEIiIiYnoKRCIiImJ6fwKVgeHY4JIXlwAAAABJRU5ErkJggg=="/>
        <xdr:cNvSpPr>
          <a:spLocks noChangeAspect="1" noChangeArrowheads="1"/>
        </xdr:cNvSpPr>
      </xdr:nvSpPr>
      <xdr:spPr bwMode="auto">
        <a:xfrm>
          <a:off x="1817370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0</xdr:row>
      <xdr:rowOff>0</xdr:rowOff>
    </xdr:from>
    <xdr:to>
      <xdr:col>26</xdr:col>
      <xdr:colOff>304800</xdr:colOff>
      <xdr:row>1</xdr:row>
      <xdr:rowOff>114300</xdr:rowOff>
    </xdr:to>
    <xdr:sp macro="" textlink="">
      <xdr:nvSpPr>
        <xdr:cNvPr id="1028" name="AutoShape 4" descr="data:image/png;base64,iVBORw0KGgoAAAANSUhEUgAAAkQAAAHJCAYAAABkJibBAAAAOXRFWHRTb2Z0d2FyZQBNYXRwbG90bGliIHZlcnNpb24zLjkuMiwgaHR0cHM6Ly9tYXRwbG90bGliLm9yZy8hTgPZAAAACXBIWXMAAA9hAAAPYQGoP6dpAACjP0lEQVR4nOzdd3xT5f4H8M9Jmu6dTtrSpgtLoZRR6ICLgOOqIHIBrzhBwYFXcKEgKCIgVlEZ6lVBQeWHXkaVcVniYLWUWcqS1RYolNK9S5vk/P7ITUjSJD3ZJ833/Xr5kiZnPOfJGd/zTIZlWRaEEEIIIU5MYO8EEEIIIYTYGwVEhBBCCHF6FBARQgghxOlRQEQIIYQQp0cBESGEEEKcHgVEhBBCCHF6FBARQgghxOlRQEQIIYQQp0cBESGEEEKcHgVEhBCTrV69GgzDYPXq1WZtp6SkBAzDYOLEiRZJl6389ttvGDx4MAICAsAwDB566CF7J4kQYiIKiAghAACGYTr85+bmhpiYGDz11FM4e/asvZPYKUsFaFxcvnwZo0aNwqVLlzBp0iTMnTsXjzzyiMF1/vzzzw557OrqisjISDz88MM4dOiQ3nV//fVXPPbYY5BIJPD09ISHhwfi4+PxxBNPYPv27Qb3e/fdd4NhGERFRUEmk5l0vIR0dS72TgAhhF/mzp2r+nddXR0OHTqE77//Hhs3bsT+/fuRmpqq+n7MmDFIT09HeHi4HVJqX7/++itaWlqwcuVKPProo0atGx0drSoNa2pqwsGDB7F+/Xrk5OQgJycHDz74oGrZhoYGPPnkk/jll1/g7u6O4cOH4x//+AdEIhFKSkqwY8cOrFmzBq+99hoWL17cYV9FRUX47bffwDAMSktLsWPHDjzwwANmHTshXREFRIQQDe+++26Hz1566SV89tlnWLJkiUbpi5+fH/z8/GyXOB65fv06AKBbt25GrxsTE9Mhn+fOnYv33nsPr7zyiiogksvlGD9+PHbu3Ilhw4ZhzZo1HfbX1taGr7/+Gn/99ZfOfa1YsQIsy2L27NlYuHAhvv76awqICNGFJYQQlmUBsPpuCZs3b2YBsPfff7/G56tWrWIBsKtWrdL4PDo6mo2OjmZra2vZF198ke3WrRvr5ubGJiUlsUuXLmXlcrnG8sXFxSwA9qmnnuqw72vXrrEvvPACGx0dzYpEIjYoKIh96KGH2EOHDmksN3ToUNUxaP9XXFzMKQ9++ukndvDgwayvry/r7u7OJicnswsXLmRbWlpUy/zxxx969/PHH38Y3L5y3aFDh3b4rry8XLWdiooKlmVZ9ocffmABsPHx8WxjY6PBbbe2tnb4rL29nQ0LC2MDAgLY1tZWtm/fvqxQKGSvXbvWeWYQ4mSohIgQ0qndu3cDAAYOHMh5nba2Ntx1112ora3FI488gra2NmzcuBHTp0/HuXPn8Pnnn3e6jaKiIgwePBhlZWUYMWIEJkyYgKtXr2L9+vX473//i/Xr12P06NEAgIkTJ8Lf3x+bNm3C6NGjNar2/P39O93Xm2++iQ8//BDBwcF47LHH4OXlhW3btmH27NnYsWMHdu/eDVdXV8TExGDu3Ln4888/sWfPHjz11FOIiYkBANX/LWXFihUAgNdffx1eXl4Gl3Vzc+vw2ebNm3Hjxg288MILcHNzw8SJEzF9+nR8++23mDNnjkXTSojDs3dERgjhB/yvdGLu3Lmq/1555RV28ODBLMMw7OjRo9mGhgaNdQyVEAFgs7KyNEouqqqq2NjYWBYAu2fPHtXn+kqI7r77bhYA+8EHH2h8vm/fPlYgELABAQFsfX19p+npzP79+1kAbHR0NFteXq76vL29nb3//vtZAOyCBQs01pk7dy6nUiF1hkqI3n33XRYAK5FIVPt2dXVlAbAXLlww6niU7r33XhYAe/DgQZZlWbayspJ1dXVlY2JiOpTSEeLsqISIEKJh3rx5HT7r2bMnxo0bB29vb6O2tWjRIo2Si8DAQLz99tuYNGkSVq1ahb/97W961y0tLcWvv/6K6OhovPbaaxrfDR48GI888gjWrl2Ln3/+GU8++aRR6dK2atUqAMCcOXMQEhKi+tzFxQWffPIJduzYgW+++QazZ882az9KJSUlqjZEzc3NyM/Px969eyEQCPDxxx8DAKqrq9HW1gYAiIyMNHofly9fxq+//oqkpCQMGjQIACAWizFy5Ejk5OTg119/xT333GOR4yGkK6Bu94QQDSzLqv5rbGxEfn4+QkND8cQTTxgVELi4uCAzM7PD53feeScA4Pjx4wbXV34/ZMgQuLh0fHe76667AADHjh3jnKbO9jVs2LAO3/Xo0QORkZEoLi5GbW2t2fsCFMHKvHnzMG/ePHz66ae4cOEC/vGPf2Dfvn0YM2YMAMXvYI6VK1dCLpfjqaee0vhc2bvt66+/Nmv7hHQ1FBARQvTy8vLCwIEDkZOTAy8vL3z44Ye4evUqp3WDgoIgFAo7fB4WFgZA0aXfEOX3yuW1Kbv6d7YdLmy5LwAYOnSoKuhsb2/H9evXsXHjRo0AUiwWw9XVFQBw7do1o7Yvk8mwatUqCAQCPPHEExrf3XfffQgNDcXmzZtx8+ZN8w+GkC6CAiJCSKf8/f3Ro0cPSKVSziUylZWVOgcBvHHjBgB02l1f+b1yeW1lZWWctsOFLffFlYuLC9LT0wEoRsQ2xtatW3Ht2jXI5XJERERoDAQpEolQXl6O9vZ2VVUhIYTGISKEcFRTUwNAMTYOF1KpFLm5uRgyZIjG53/++ScAoG/fvgbXV36/f/9+SKXSDtVmf/zxBwCgX79+qs+UJVLGjsbct29fHDt2DH/++Sfi4uI0vrt48SJKS0shkUg49VazpGeffRZ79+7F4sWL8fjjj8PT01Pvsrdu3VK111L2Ths5ciRCQ0M7LNve3o7vv/8eK1euxBtvvAGGYaxzAIQ4ECohIoR06pdffkFxcTFEIpHOdkH6zJo1C7du3VL9XV1djQULFgAAJk2aZHDdyMhI3H333SgpKcGSJUs0vsvPz8fatWsREBCganMDKKqZAHCu1lN6+umnAQALFixARUWF6nOZTIbXX38dcrkczzzzjFHbtIQJEybg3nvvxYULFzB69GhVSZW6trY2fP7556qG58rRqAMCArB+/XqsXLmyw3/fffcd0tPTcfHiRVVgSYizoxIiQogG9RGUm5qacObMGdVcWe+//77OEgddwsPD0dbWhl69euHBBx9Ee3s7NmzYgLKyMkydOtVgDzOlL7/8EllZWZgxYwZ27dqFAQMGqMYhEggEWLVqFXx8fFTLZ2RkwNPTE0uWLEFVVZUqrS+99JLB6q7MzEy88cYb+PDDD9GrVy+MGzcOXl5e2L59O06dOoXBgwdjxowZnI7bkgQCAdavX48nnngCmzZtQmxsLEaMGIGkpCQIhUJcvnwZv/32GyoqKvD6668DUDSmlslkePzxx+Hu7q5325MnT8bBgwexYsUKDB8+3FaHRAh/2bPPPyGEP6Bj5GWhUMiGhYWxDz74ILtr164O63AZqXrq1Klst27dWFdXV/aOO+4weqTq0tJS9vnnn2e7d+/OikQiViwWs6NHj+4wUrXS9u3b2fT0dNbLy8vokap//PFHNisri/X29mbd3NzYnj17sgsWLNAYqVrJ0uMQdWbnzp3shAkT2JiYGNbd3Z11c3NjJRIJO2HCBHb79u0sy7KsTCZjo6KiWADsiRMnDG6vsbGR9fHxYd3c3FQjYxPizBiWNbNvJyGEaFGO2FxSUmLXdBBCCFfUhogQQgghTo8CIkIIIYQ4PQqICCGEEOL0qA0RIYQQQpwelRARQgghxOlRQEQIIYQQp0cBESGEEEKcHgVEhBBCCHF6NHWHEWpqaiCVSu2dDN4IDg7WmPeJWBblr/VQ3loP5a31UN4az8XFBQEBAdyWtXJauhSpVIr29nZ7J4MXlLNjS6VSUEdFy6P8tR7KW+uhvLUeylvroyozQgghhDg9CogIIYQQ4vQoICKEEEKI06OAiBBCCCFOjwIiQgghhDg9CogIIYQQ4vQoICKEEEKI06OAiBBCCCFOjwIiQgghhJjs6tWriIiIwKlTp+ydFLNQQEQIIYQQp0cBESGEEOJkWJaluTm1UEBECCGEdAEsy+KLL75ARkYG4uLicNddd2Hr1q0AgNzcXERERODPP//EfffdB4lEgvz8fJSUlGDSpEno06cPEhIScP/992Pv3r0a2x00aBCWLVuGV199FYmJiUhLS8OaNWv0pkMul2PGjBkYPHgwSktLrXrMlkQBESGEENIFZGdn4z//+Q8WLVqE33//HVOmTMG0adOQl5enWmbBggWYNWsW/vzzTyQlJaGpqQnDhw/HTz/9hJ07d2Lo0KGYNGkSrl27prHtr776CikpKdi5cyeeeuopzJo1CxcvXuyQhra2Njz33HM4ceIEfvnlF0RGRlr9uC2FZrsnhBBCHFxzczNWrFiB//znPxgwYAAAIDo6GocPH8aaNWvw2GOPAQBmzJiBv/3tb6r1AgMDkZycrPr7zTffxPZt27H156147l/PqT4fPnw4Jk6cCAB48cUXsWLFCuTm5iI+Pl4jDU8++SRaW1uxYcMG+Pr6WvOQLY4CIkIIIcTBnT9/Hq2trZgwYYLG5+3t7ejVq5fq75SUFI3vm5ub8cknn2D37t0oLy9H+612tN5qRdGpIo3levbsqfo3wzAIDg5GVVWVxjJTp05FeHg41q1bBw8PD0sdms04ZEC0c+dObN68GbW1tYiMjMTEiRORlJSkd/n29nZs2LAB+/btQ21tLcRiMcaMGYPhw4fbMNWEEEKIdcjlcgDA999/j7CwMI3vXF1dcfnyZQCAp6enxnfz58/Hnj178PbbbyPYIxiX1l7CZ0c/g2uQq8ZyLi6a4QLDMKp9Kg0fPhw5OTk4evQoBg8ebJHjsiWHC4hyc3OxevVqTJ48GT169MDu3bvx/vvv49NPP0VQUJDOdT799FPU1dXh+eefR1hYGOrr6yGTyWycckIIIcQ6EhMT4ebmhmvXriEjI6PD98qASNuhQ4cwfvx4pMeno/DfhRgwYQAq91WCETBGp+HJJ5/EHXfcgUmTJuH777/XmQ4+c7iAaOvWrRg+fDhGjBgBAJg4cSJOnDiBXbt24dFHH+2wfEFBAc6cOYPPPvsM3t7eAICQkBCbppkQQgixJm9vbzz33HN49913IZfLMXDgQDQ2NuLIkSPw9PTU27g5JiYGW3K2ILAwEPEPxWP+d/M7lPwY4+mnn4ZMJsNTTz2FNWvWYODAgSZvy9YcKiCSSqUoKirCQw89pPF5SkoKzp07p3OdI0eOIC4uDps2bcLevXvh7u6O/v3745FHHoGrq6vOddrb29He3q76m2EYVX0owxgfNXdFynyg/LAOyl/roby1Hspb6+GSt2+++SaCgoLw2Wef4cqVK/D19UXv3r0xbdo0VZDDMIzGNqY+OBUz352J9/a8h8BTgXjxxRfR2NjYYTntv3V9rvz3s88+C5Zl8cQTT+D//u//kJaWZpE8sDaGZVnW3ongqrq6Gs8//zzmz5+PHj16qD7PycnBnj17sHTp0g7rLFy4EGfOnEHv3r0xbtw41NfX45tvvkFycjKmTp2qcz/r1q3Dhg0bVH9LJBJkZ2db/oAIIYQQOzm3+RzObT6Hoe8MhV93P3snx+4cqoRISV+Uqosy3ps2bZqqMVl7ezs++eQTTJ48WWcp0ZgxYzBy5MgO266oqKCRPf+HYRiEhYXhxo0bcKCY2mFQ/loP5a31UN5ajyXzlmVZXNhwAWX5ZUh7Mw3NomY0lzVbKKX84uLiguDgYG7LWjktFuXr6wuBQIDa2lqNz+vq6uDnpzu69ff3R2BgoEbL+oiICLAsi6qqKoSHh3dYRyQSQSQS6dweXeSaWJalPLEiyl/roby1Hspb6zE3b1mWxZnVZ1D9VzUGvjUQ7gHu9Fv9j0ONVO3i4oLY2FgUFhZqfF5YWKhRhabujjvuQE1NDVpbW1WflZWVgWEYiMViq6aXEEII4Qu5TI4Tn51AzfkaDHp7ENwD3O2dJF5xqIAIAEaOHInffvsNv//+O0pLS7F69WpUVlbi7rvvBgCsXbsWn332mWr5wYMHw8fHB1988QVKS0tx5swZrFmzBsOGDdPbqJoQQgjpSuTtchz58AiabjQh/Z10uHrT80+bQ1WZAUBmZiYaGhqwceNG1NTUICoqCrNmzVLVEdbU1KCyslK1vLu7O+bMmYNvv/0WM2fOhI+PDzIyMvDII4/Y6xAIIYQQm5HdkuHg/IMQugqRPjcdQlehvZPESw7Vy8zeKioqNLrjOzOGYRAeHo6ysjKqf7YCyl/roby1Hspb6zE1b9ub25G/IB8eYg/0nd4XAheHqxgyi0gk6pqNqgkhhBDCTVt9G/Lfz4efxA+9p/Q2afRpZ0IBESGEENLFtFS34PAHhxGSGoIeE3rQYJkcUEBECCGEdCFNN5pwdPFRRN4ZCckDEgqGOKKAiBBCCOki6krqULC8AHEPxiFyqO75y4huztW6ihDS5RQXC7F2rQeKi6nnDHFu1WerUbCsAD0e6UHBkAmohIgQ4rCKi4UYOzYI5eVChIbKsHFjJSQSmb2TRYjN3Tx2E2fXnEXvKb0RmBRo7+Q4JCohIoQ4rLw8V5SXK0qGysuFOHiQBpsjzqd0bynO/t9ZpL6USsGQGSggIoQ4rIyMNoSGKkqEQkNlyMhos3OKCLGt4v8Wo2hzEQa8PgB+Epqx3hxUZUYIcRjFxULk5bkiI6MNEokMEomimuzgQcVnMTFUXUacA8uyOP/TeZQfL0farDR4iD3snSSHRwERIcQhFBcLMXp0EKqqhBCLZdi0qVIVFEkkLfZOHiE2w8pZnFp5CrWXapE+Jx2uvlRVbAlUZUYIcQhbtrijqkrRXqiqSoitW2mmbuJ85DI5ji05hrqSOqTPpWDIkqiEiBDikGisOeJsZG0yHFp4CNJbUqS/kw4Xd3qEWxKVEBFCHMKoUa0QixVthMRiGUaObLVzigixHWmrFDtf2wnGhUHG3AwKhqyAcpQQ4hAkEkW7IWpATZxNe1M78hfmIyw+DHET42iSViuhgIgQ4jCoATVxNrfqbuHQ+4cQeEcghrw1BDdu3ADLsvZOVpdEVWaEELuj6TcI6ai5shn5C/IR2j8UyZOSaZJWK6MSIkKIXdH0G4R01HitEUc/OYrou6MR8/cYCoZsgEqICCF2RdNvEKKp9lItjn58FAn/SEDM32PsnRynQQERIcSuaPoNQm6rPFWJE5+fQNKTSeiW1c3eyXEqVGVGCLErmn6DEIWy/DKc/895pDyfgoDEAHsnx+lQQEQIsRntuciUqPcYcXZXfruC4m3F6PdKP/hE+dg7OU6JAiJCiE3s2+eKKVMC0dAgoMbThPwPy7K4tOkSru+/jgFvDoBXiJe9k+S0qA0RIcTqiouFqmAIoMbThACKYOjsD2dRlluGtLfSKBiyMyohIoRYXV6eqyoYAgAfHzk1niZOjZWzKPyyEA1XGjDo7UFw9aEXBHujEiJCiNWp9yTz8ZFj5cpqajxNnJZcKseRxUfQeK1RMWM9BUO8QCVEhBCro55khCjIbslw6P1DYMEi/Z10CN1odHa+oICIEGIT1JOMODtpixT5C/Lh6ueK/q/2h8CFKmn4hAIiQgghxMraGttwaMEh+HT3QcrzKTRjPQ9RQEQIIYRYUUt1C45kH4E4WYykJ5JoXjKeovI6QojRaHZ6QrhputmEw+8fRnhGOAVDPEclRIQQo9Ds9IRw03C1AceWHIPkAQm6D+9u7+SQTlAJESHEKDQ7PSGdqzlfg2OfHkPiw4kUDDkICogIIUah2ekJMexmwU0UflmI5KeTET4o3N7JIRxRlRkhxCg0phAh+l0/cB0XNl5Anxf7wD/O397JIUaggIgQYjQaU4iQjkp2lODyr5fR/7X+8I7wtndyiJEoICKEEELMwLIsLqy/gBuHbyBtVho8gzztnSRiAmpDRAixO+rGTxwVy7I4veo0yo+WY9CcQRQMOTAqISKE2BV14yeOSi6T48RnJ9B0ownp76RD5CWyd5KIGaiEiBBiV9SNnzgiebscR7KPoPlmM9LnUjDUFVBARAixK+rGTxyNtFWKvHl5kMvkSJ+bDhd3qmzpCiggIoTYlbIb/+LFNcjJqaRu/ITX2pvbcfC9g3APdMfAtwZC6Nr12r2xLIs33ngDycnJiIiIwKlTp6y2r5dffhlPP/201bZvDAprCSF2R934iSNoq29D/sJ8+Mf5o9fkXl12xvo//vgD69atw/r16xEdHY3AwEB7J8kmKCAihBBCOtFS1YLDHxxGaL9QJD6S2KUnab18+TJCQkKQlpam8/u2tja4una9tn5UZUYIIYQY0HSjCYcXHUbUnVHoMaFHlw6GXn75ZcyZMwfXrl1DREQEBg0ahHHjxmH27Nl499130atXL0yYMAEA8NVXX2HEiBGIj4/HgAEDMGvWLDQ1Nam29Z///AdJSUn4888/MXToUCQkJOCxxx5DeXm53v0XFhYiJSUFS5cutfqxaqOAiBAnQuP9EGKcupI6HPnwCGIfjIXkAYm9k2N17733Hl5//XWEh4fj+PHj2LZtGwBg/fr1cHFxwS+//ILs7GwAgEAgwHvvvYfff/8dS5YswYEDB7BgwQKN7bW0tODLL7/EsmXLkJOTg2vXrmH+/Pk6952bm4t//vOfeO211zB9+nTrHqgOVGVGiJOg8X4IMU712WqcXHESSY8nIaRfiL2TYxO+vr7w9vaGUChESMjtY46JicGcOXM0lp0yZYrq3927d8eMGTMwa9YsvL/wfbRUKdoEtre344MPPkBMTAwAYOLEiViyZEmH/e7cuRPTpk1DdnY2HnroIYsfFxcUEBHiJLTH+9m61R0vvdTUyVqEOKcbR27g3Npz6D2lNwKTnKNRsSF9+vTp8NmBAwewfPlyXLhwAQ0NDZDJZGhtbcX2qdsREhcCRAEeHh6qYAgAQkNDUVlZqbGd48ePY/fu3fjqq69w3333WftQ9KIqM0KcREZGG8Ti2yVCK1Z4U9UZITpc/fMqzv14DqnTUikY+h8PDw+Nv0tLS/Hkk0+iR48e+Prrr7H1l614/q7nAQAhaSHo/WxvgAFEIs0BKxmGAcuyGp9FR0cjPj4eP/30E9ra7DcOGQVEhDiB4mIh8vJcMXZss+qzqioaFZoQdSzLomhLEYq3FmPAjAHwi/Gzd5J468SJE5BKpXjn7XcQ2hiK8tXlqKxVlPwkjEuAm58b520FBgZi3bp1uHz5Ml544QW0t7dbK9kGUUBESBenbDs0Y0YANm70VJUS0ajQhNzGsizO/XgOpftKkfZWGrzCvOydJF6Ljo6GVCrF2+PeRv6GfFyOv4zdF3ebvL2goCCsW7cOFy9exNSpUyGVSi2YWm4cMiDauXMnXnzxRTz22GN48803cfbsWU7r/fXXX3jkkUcwY8YMK6eQEP5QbztUVSXElCmNNCo0IWpYOYuTX59ERWEF0uekwyPQo/OVnFh7Uzvaf2vHE/2ewH8v/BdvbHsD2/dsx6xZs8zabkhICNatW4e//voL//rXvyCT2fb+xLDalXk8l5ubi+XLl2Py5Mno0aMHdu/ejd9++w2ffvopgoKC9K7X3NyMN998E2FhYaitrcVHH31k9L4rKirsVpTHNwzDIDw8HGVlZR3qg4n5LJm/2r3LnD0QonPXehwxb+VSOY4vPY6WqhYMmjMIIk9+TtLKh7xl5Syu/HYFl3+9DH+JP3pO7AkXD373zRKJRAgODua0LL+PRIetW7di+PDhGDFiBABFF74TJ05g165dePTRR/Wu9/XXXyMrKwsCgQCHDx+2VXIJsTvlXGEHD7oiI6PNqYMhQtTJ2mQ4/MFhyNvlyJibAaEbdTLQp664Die/PglGwKDfK/3gHe5t7yRZnEMFRFKpFEVFRR3GKEhJScG5c+f0rvfHH3+gvLwcL730EjZu3Njpftrb2zVKghiGUbWw78ojlBpDmQ+UH9Zh6fyNjZUjNrZVuXWLbNNR0blrPY6Ut9IWKQ7OPwhXb1cMemsQBCJ+tyCxV962Nbah8ItCNFc2I35MPMLTwx3i9zWFQwVE9fX1kMvl8PPTbPnv5+eH2tpaneuUlZVh7dq1mDdvHoRCbtH/zz//jA0bNqj+lkgkyM7O5lzs5kzCwsLsnYQujfLXeihvrYfvedvW2IZf5/+KsMQwZL2RBYGQ38GQOlvlrVwmx1+//IVLOy8hpHcI+i/qDxd3hwoZjOaQR6crOtX1mVwux7JlyzB+/Hh069aN8/bHjBmDkSNHdth2RUWFXVq+8xHDMAgLC8ONGzccpq2AI6H8tR7KW+txhLxtrWnFoUWHIE4SI+6pOJTf1D+vFp/YMm9rLtTg1DenwAgZ9J3eF14hXqioqbDqPq3FxcWla7Yh8vX1hUAg6FAaVFdX16HUCFDMoXLp0iUUFxfj22+/BaDoWsmyLB555BHMmTMHvXr16rCeSCTqMJiUEl8vcntR5iexDspf66G8tR6+5m1zRTOOfHgEYYPCkDA2AYDj3dOtmbe36m7hxGcncKv+FhIfTkRIvxCdAyl2VQ4VELm4uCA2NhaFhYUYOHCg6vPCwkKkpaV1WN7DwwOLFy/W+GzXrl04deoUXn31VY15WgghhHRdjdcacfSTo4j5ewyi7462d3J4RS6Vo2hLEa7nXkdwn2D0H9/fKRuYO1RABAAjR47E8uXLERsbi8TEROzevRuVlZW4++67AQBr165FdXU1/vWvf0EgEKB79+4a6/v6+kIkEnX4nBC+uXgR2LTJA+npt2gSVkLMUHupFic+P4GEcQnolsm9+YQzqDpThTPfnYFAJEDazDR4iJ13DCaHC4gyMzPR0NCAjRs3oqamBlFRUZg1a5aqjrCmpqbDxHGEOJriYiHGjQPKyvwRGirD0qU1uHpViIyMNgqOCDFC5clKnF51Gj2f6ongPtQxRqm1phXHlx6HtEWKpMeSIO4t7rK9x7hyuIEZ7YkGZryND4OEdWU//uiJ11/3V/3t4yNHQ4MAoaGKMYUoKDIdnbvWw7e8LTtYhvPrziPlhRQEJATYOzlmsVTeytvluJBzAeVHyxE6IBQJYxJ4P+SAObr0wIyEOIOMjDaEhwNlZbeDIQAoL1dMyCqRtNg5hYTw2+VfL6NkRwn6vdoPPpE+9k6O3bEsi8rCSvy19i+IPEUYOGsg3APc7Z0sXqGAiBAekkhk2LsX2Ly5FpGRUkybFqCaeoMmZCVEP5ZlcennS7ieex1pM9PgGexp7yTZXUtVC459egxyqRw9n+oJcU+xvZPESxQQEcJT8fHAhAktYFmWpt4ghAOWZXH2+7OoOlOFgbOpBER2S4bz686j4mQFIrIiIHlAAoFL160eMxcFRIQ4AIlERtVkhBjAylmc+PcJNJY2YtDbg+Dq7WrvJNkNy7K4eeQmzm84Dzd/N6TPSYerr/PmB1cUEBHiIIqLhcjLc6WeZoRokUvlOPrxUbTVtyH9nXTez8BuTU03m1CwtACsjEWvKb0QEO/YjcltyXnPGkIcSHGxEGPHBqnaEVFPM0IUZLdkyF+YD0bAIH1uOoSuzjegIABIW6U4u+Ysas7XIOrOKETfG+1Qc7TxAQVEhDiAvDxXlJcrbvTU04wQBeWM9e6B7uj3cj+nbB/DsizK8spwadMleAR7IP3tdLj6UPWYKSggIsQOjK3+yshoQ2iojHqaEfI/bQ1tyF+YD79oP/R+rjcYgfMNKthY1oiC5QUAC/R5oQ98Y3ztnSSHRgERITa2b58rpkwJ1BhoEYDBAEkikVFPM0L+p6W6BUc+OAJxbzGSHk9yuhGWpS1SnF51GnUldYi5NwZRw6KcMiC0NAqICLGh4mKhKhgCFNVfW7e6Y9Uqb432QbGx8g7rUk8zQoCm8iYc/egoIv4WgdhRsU4VDLFyFqV/luLSfy/BJ9IHGe9mQOQpsneyugwKiAixobw8V1UwBChGoQbQoX1QbGyrXdJHCJ/VX6nH8aXHETsyFlHDouydHJtquNqAY/OPobm5GX2n9aXRt62AAiJCbEi9LZCPjxwrV1YjIkKmUULUWfsg6n5vXZS//FR9rhonvzqJHo/0QNjAMHsnx2bam9pxcsVJNF1vwoCnBsCjpwfgPIViNkUBESE2pK8tUMfPdN/xqPu9dVH+8tPN4zdx9oez6DW5l9NMO8HKWVz57Qou/3oZ/rH+yJyXiai4KN5MnNsVUUBEiI3pagvEtX0Qdb+3Lspf/rl24BoubryIPv/qA/9Yf3snxybqiutw8uuTYAQM+r3SD97h3k7VVspeKCAixIFQ93vrovzll+Ltxbiy+wr6v94f3t287Z0cq2traEPhl4VoqWxB3ENxCE8Pp0DIhiggIsSBUPd766L85QeWZXF+3XmUHynHwLcGwkPsYe8kWZVcJkfJjhKU7imFOEmM1JdS4eJOj2dboxwnxMFQ93vrovy1L1bO4tS3p1B7oRaD5gyCm5+bvZNkVTUXanDqm1MQCAXo/3p/eIV42TtJTosCIkLUUA8jQuxHLpOjYHkBmsubkf5OOkReXXeMnVt1t3DisxO4VX8LiQ8nIqRfCFWP2RkFRIT8D/UwIsR+5O1yHP7wMKTNUqTPTe+yVUZyqRyXNl9C2cEyBKcEo//4/hC6OeeEtHzTNc84QkxAPYwIsQ9pqxT58/Ph4umCjHczIBB1zUlaq85U4cx3ZyAQCZD2ZlqXbxvlaCggIuR/qIcRIbbX3tyO/Pn58Az1ROpLqRAIu14w1FrTiuNLjkPaKkXSY0kQ9xZT9RgPUUBEyP9QDyNCbKutXjFjvX+8P3o906vLTVAqb5fjQs4FlB8tR9iAMMSPie+ypV9dAQVEhKihHkaE2EZLVQsOf3AYof1DkfjPxC5VYsKyLCpOVODcj+cg8hRh4KyBcA9wt3eySCcoICKEEGJTjdcbceyTY4gaHgXJ/RJ7J8eimiubcXzJccilciRPTEZgUqC9k0Q4ooCIEEKIzdQV16FgeQHi/xGPiMER9k6OxchuyXDuP+dQeaoSEVkRkDwggcCFqsccCQVExOnR2EP2Zev8Ly4WYts2IClJiJgYqdX3R26rOlOFUytPIemJJIT0DbF3ciyCZVncPHIT5zech5u/G9LnpMPV19XeySImoICIODUae8i+bJ3/iv2JUV4OhIaK6fe2oRuHbuDcT+fQ+9neCLyja1QjNZU3oWBZAVgZi15TeiEgPsDeSSJmoICIODVDYw9RyZH12XrsJxpryj6u/nEVRVuLkDo9FX7RfvZOjtmkrVKcXXMWNedrEDUsCtH3RHfJ4QKcDQVExKnpG3uISo5sw9ZjP1lrfxQ868ayLIq2FOHa3msY8MYAeIU69jxdLMuiLK8Ml365BI8QD6S/kw5Xb6oe6yooICJOTd/YQ1SSYBu2HvtJIpEhJ6cKZ8+GoGfPKkRHm78/Cp51Y1kWf639C5UnKpH2Vho8Ah17VObG640o+KwAYIE+U/vAN8bX3kkiFkYBEXF6usYeolGrbcfWYz9JJDJkZgJlZTKwrO5ljCnxoeC5I1bO4uRXJ1FXUodBbw+Cq4/jlqJIW6Q4veo06kvqEX1vNKKGRXW5ASSJAgVEhOhAo1Y7L2NLfCh41iSXynH046NoqW5BxtwMuHg45mOGlbO4tu8aiv5bBJ9IH6S/mw6Rp8jeySJW5JhnKiE2QKNWOydjS3woeL5N1ibDr2/+ilv1t5AxN8NhZ3FvuNqAE/8+AQDoO60vfCJ97JwiYgsUEBFCiBpTSnwoeFZULeUvyIc4QoyMlzPACB2vWqm9qR0nV5xE0/UmSEZKEDE4gqrHnAgFRIRYkKm9jaiXEn9QiY/x2hrbcGjhIXhHeGPYe8Nwo/wGWH0NtKzA3OuHlbO4svsKLu++DP9Yf2TMc9yqPmI6+sUJsRBTexvpWi82Vm6DFBN9HKHEhy9BdGtNKw5/cBiBSYFInphs8xIVc3v51RbV4tSKU2AEDPq90g/e4d5WTC3hMwqICLEQU3sb6VovNrbVqmkljo0vXf2bK5px5MMjCM8IR/yYeLvMWG/qddfW0IbCfxeipaoF8WPiETYozC7pJ/xBAREhFmJqbyPqpUSMxYeu/g2lDTj26THE/D0G0XdH23Tf6oy9fuQyOUp2lKB0TynESWKkTkuFizs9CgkFRIRYjKltT3Sv17XeVPlSvdNV2DuIrr1YixNfnEDi+ESEZ4TbdN/ajLnuai7U4NQ3pyAQCtD/9f7wCnHskbOJZVFARIgFmdr2xBHarJiKL9U7XYk9G35XFFbgzOoz6DmxJ4JTgm22X0M6u35u1d3Cic9O4Fb9LST+MxEhfUOoeox0QAERIXpQqYZl8KF6pyuyRxB9Pfc6Lmy4gD5T+8A/3t+m+zaFXCrHpc2XUJZXhuDUYPQf3x9CV8ccG4lYHwVEhOhApRqWY+/qHWIZl3+9jJIdJej/Wn94R/C/J1bVmSqc+e4MBCIB0mamwUPs2HOpEeujgIgQHahUwziGStNoXB/HxrIsLuZcRNnBMqTNTINnsKe9k2RQS3ULCpYWQNoqRdJjSRD3FlP1GOGEAiJCdKBSDe64lKZ15TZSXRnLsjjz3RlUn63GwLcGwj3A3d5J0kvWJsPFnIsoP1aOsLQwxD8UD4FIYO9kEQdCAREhOlCpBndUmtY1yWVyFH5RiMbrjYoZ6735OWM9y7KoOFGBcz+eg8hLhIGz+B24Ef6igIgQPahUgxsqTeM/YzsIyKVyHF18FG0NbUh/J52301g0Vzbj+JLjkEvlSJ6YjMCkQHsniTgwfp7lhBCHQaVp/KZepenjI8eKFdUYMkR/0Cq7JUP+gnwIRAKkz03nZa8s2S0Zzv3nHCpPVSIiKwKSByQQuFD1GDEPBUSEELNRaRp/qVdpNjQIMGVKILZvr9BZUiRtkeLg/IPwEHug7/S+vAsyWJbFzSM3cX7Debj5uyF9TjpcfflZlUccDwVEhBDiAEwdFysjow0+PnI0NCiCm4YGgc52Xm0NbchfmA+/GD/0fra3zSdp7UxTeRMKlhWAlbHoNaUXAuID7J0k0sU4ZEC0c+dObN68GbW1tYiMjMTEiRORlJSkc9n8/Hzs2rULJSUlkEqliIyMxPjx45GammrbRBNCHA5fBuc0Z1wsiUSGFSuqMWVKIBoaBDrbeZ073oYD848gYWgIej+XyKtu6tJWKc7+cBY1F2oQNSwK0fdEQyDkV8kV6RocLiDKzc3F6tWrMXnyZPTo0QO7d+/G+++/j08//RRBQUEdlj979ixSUlIwYcIEeHl54Y8//kB2djbef/99SCQSOxwBIcQR8GlwTnN78g0Z0obt2yt0tvM6e7gVXz9yEqdak1BV3AMbH6zixSCkLMvieu51FG0qgmeoJ9LfSedtTzfSNThcQLR161YMHz4cI0aMAABMnDgRJ06cwK5du/Doo492WH7ixIkafz/66KM4cuQIjh49SgERIU6suFiI3FyR3tIfPg0nYImefLraedVdrkPewlM40toXRYgHboIXwyY0Xm9EwWcFAAv0mdoHvjG+dk0PcQ4OFRBJpVIUFRXhoYce0vg8JSUF586d47QNuVyOlpYWeHvzf+h54vgMVbnwpTqmKzA2Ly9eBP7xD7HB0h8+DSdgjZ581X9V4+TXJ9H36Z747IoEKIfdj1PaIsXpVadRV1KHmL/HIOrOKN61ZSJdl0MFRPX19ZDL5fDz89P43M/PD7W1tZy2sXXrVty6dQsZGRl6l2lvb0d7e7vqb4Zh4OHhofo3uZ0PlB/6Kapcbj90c3JuV0UY+g6g/DWGdl4uW1aLq1eFeoMjhmGwZw80Sn/y890QG6tZKhIbK0dOTpVaECIHYL/fIzZWjtjY1v/9ZV46yo+V4+wPZ9F7Sm+Ie4qRk2KZ4zT1vGXlLK7tvYai/xbBp7sPMudlQuQpMikNXRXdE6zPoQIiJV0nBJeTZP/+/Vi/fj1mzJjRIahS9/PPP2PDhg2qvyUSCbKzsxEcHGxagruwsLAweycBgOKNf88eYOhQID7e3qlR2LYNKC9X/Lu8XIizZ0OQmdn5d+r4kr98pp2Xzz4rRl0dEB4O7N2r+3wYOlTxfVmZ4v+jR/sjPNy/w3Lh4dD5u1iLLc7jot1FuJxzGfcsuAfieDEA047TUFqNOW9rS2px4MMDAAPcu/Be+Ef7G5cQJ0P3BOtxqIDI19cXAoGgQ2lQXV2dwQAHUDTG/vLLL/Hqq68iJSXF4LJjxozByJEjVX8rg62KigpIpVLTEt/FMAyDsLAw3LhxAyzL2jUtxcVCjeoP7dIWe0lKEiI09Ha6evasQlmZrNPvAH7lry58qu5Tz0sfHznq6hQ9kMrKgM2bazFhgmbJD8MwiI8Pw8aNFcjLU7Qh8vSUoazMHqm/zRbncfF/i3Hl9yvo/1p/tHm1oczEg9aXVmPO2/amdhR+XYim602IfTAWEVkRaBG0oKWMxrPShe/3BL5ycXHhXJjhUAGRi4sLYmNjUVhYiIEDB6o+LywsRFpamt719u/fj3//+9+YPn06+vXr1+l+RCIRRCLdxbV0ImpiWdakPLHkAzU3V6RR/ZGXJ0JMjP0D15gYqUa7j+hoGZRZZeg7dabmrzZL5rd2FZU9e18BmnkZFSXDtGkBqrSlp9/Sm38xMVJERyuqxvlwWVvzPGZZFuf/cx7lR8uRNisNHmIPs86rztJq6LyVy+S4+ttVXN59Gf6x/siYl6GaGoTur52z1D2BdORQAREAjBw5EsuXL0dsbCwSExOxe/duVFZW4u677wYArF27FtXV1fjXv/4FQBEMff7555g4cSISExNVpUuurq7w9PS012E4NUt3Z+ZT41dthkZwVhxzG3JzXcGyli1pUQ+AAFg0v/nU+0pJPZ8ddRoRa53HrJzFqW9OofZiLdLftszIzqamtbaoFqdWnAIjYNDvlX7wDqfOLYQ/HC4gyszMRENDAzZu3IiamhpERUVh1qxZqiKxmpoaVFZWqpbfvXs3ZDIZvvnmG3zzzTeqz4cOHYoXX3zR5uknln+gOupcWtYa50Z7uxMnNlo0v/kcgAKWm0bE1tWC1jiP5TI5CpYWoLmyGelz0y3WUNnYtLY1tKHw34VoqWpB/Jh4hA0Ko8bBhHccLiACgHvvvRf33nuvzu+0g5x3333XBikixrDGA9UR59KyVkmL9nYZBhbNbz4EoNYOVuw1KKMlz2N5uxyHsw9D2iJVzFjvbtnbPZe0ymVylGwvQeneUoiTxEidlmrxdBBiKXRmEpvjwwOVDywdGCqDhKgomcZ2R41qxciRrRbNb3sGoLYIVvhYLajEJRiUtkqRPz8fLl4uyHg3AwKR7ae6qD5fjdPfnoZAKED/1/vDK8TL5mmwJT51NCCmoYCI2IUjluhYmiUDQ+0gYenSGpSWCjW221Xy21rBivoDjW/VgurB7vTpikbj/v6KRuMTJzZjyJDb6Wtvakf+gnx4hnoi9aVUm8/71VrbioMLDqKtvg2J/0xESN+QLlE91tkgq3yZ5oWYjgIiQuzIUoGhdpBQWirs0N28q7BGsKLrgcaXUkz1tKnPWl9bK8SOHZ7YtcsDa9dWYciQNtyqu4VD7x9CQGIAkp9OtmkgIpfKUbSlCHUn6uCX4IeE8QkQugpttn9r6izg4XOJIuGOAiJCugC+lWhYkzWqXHU90CZMaOHFQ009bQ0NAo2gCADkcgY5OR7on1SLI9lHEJYWhoTxCRrBkDWrc1iWRfWZapz5/gyErkLc98F9qJfWW7xreHGxEFu2uAMARo1qtWkJTGcBjzNdf10ZBUTE5qiu3fKcrV2Wpatc+fxA007brFl1mDXLHy0tiqCIYViMGnoThxcdRvTd0Yj5e4zG+taszmmpbkHBkgJIb0mR9HgSgnoHwSvYC/Vl9RbZvlJxsRCjRwehqkoRlKxc6Y1Nm2xXLdXZ+eFs119XRQERsSmqa7cee7XLUm/fYmgOMT4HwroeaHxK78SJjWAYRclIbq6rKhgCgBcevgrh3oNIGJuAblndOqxrjeocWZsMFzdeRPnxcoSlhSH+oXgIRAKdVXSWyMe8PFdVMAQAVVW2rZbiEvBQu0jHRwERsSmqa+9a1ANcgYCFXM7oDHQdIRBWf6DxJb3a6Rg5slWjtKJn4DWkNuYiaWoSQlJDdG7DkqVfLMui4kQFzv14DiIvEQa9NQhu/m6qoCczsx3h4frTb2o+ZmS0QSyWqYIisdj2pXgU8HR9FBARm7Jn1QSf3vi7CvUAVy5XlA7oCnQdLRDmS3r1tW3auLES+9dWIPDyKWS+3hsBiQF6t2Gp6pzmymYcX3IccqkcyROTEZgUCKBj0LN/P+DlpT/9puSjRCLDpk2V2LrVHQwDjBzZStVSxOIoICI2Za+6dr688VubrYM+9QBXvYRIO9DlcxsdXfiSXn3pEBYXo3t1Mfq93Q8+UT6dbsec0g3ZLRnO/eccKk9VIiIrApIHJBC43K6y0w569uwB7r/fcPpNIZHI8NJLTZ0uZ+o10Fm3eu3v6AWr66GAiNicPYqe7fHGb+sbpj2CPvUAV70NkXaga24g3BWm0bBEOqKjpbi0qQjX9l3DgDcHWHWwQ5ZlUX64HBc2XoCbvxvS5+ieB0076LnzztttfTrLR67tz7gy9RowtJ6u7wDLzg9I+IECIuIUbP3Gb4/gxBYDFuo7BpYFIiJkGDxYf76aGggbm5eWCp6sEbibkjZlOliWxdk1Z1F1sgppb6XBI9DDomlT11TehIJlBWDlLHo/2xv+cf4G06cMejIz2xEXF4Kyso7p18a1/ZkxTL0GDK2n6zuWBS+qVIllUUBEnIKt3/jtUSJlrQELld2dxWJZh67OfJtGg89Vo+akjZWzKPyyEA1XGjDo7UFw9TF/xnpdpK1SnP3hLGou1CBqWBSi74nmNNK1MugxZiBIru3PjGHqNWBoPV3fsaxl5wck/EABEXEatqyqs0cbFGtUS23Z4q7q2VNVJcTWre4a7ThsEfhxyUtl2isrBbx9czc1r+RSOY59egytNa1In5sOFw/L37ZZlsX13Oso2lQEz1BPpL+TDldv6wRdSlzbnxnD1GvA0Hr6vuNDlSqxLAqICLEC7bY1ubmuYFlu1STFxUIcPOiG0aNv99YxZr+dPWT1NRBVll6IxTJMntyIUaNaO92fLQI/Lu1Q1NOu7J7Ntzd3U/JK1ibDofcPgWVZZMzNgNDN8lNhNF5vRMFnBQAL9JnaB74xvhbfhy5c25+Zsl1Te7LpW0/Xd9QNv+uhgIgQK1EEG21Gt39RLv/xx8CGDULExEgtliZ91TZbtrirSi+qqoTIzvbD6tXeWLq0RhVgiMWyDkGSoWDFkg2hDT181EteqqqEmDmzDkFBct69uRtbeiFtkSJ/QT5c/VzR/9X+Gj27LEHaIsWpb0+h/nI9Yv4eg6g7o8AIbDsJKwUVhE8oICLEioytJlFfvqwMOHjQ1aIBka70AG1YudK7w7LKSWI3bTJ+hF5btuXRLnkZNYq/Y9RwDQDaGttwaMEh+HT3QcrzKRYNVFg5i2t7r6FoWxF8o3yR8W4GRJ4ii23fUvjerZ3v6SPGo4CIECsytppEffnwcFi8ykdXenJzNadF8PKSo6lJALFYhspKRanEhAnGvcXbslE5X7rIW0pLdQuOfHAE4l5iJD2RZNEZ6+uv1KPw34UAA/Sd3hc+EZ2PYWQP+gJqvgQhfG68T0xHAREhJuJyczb2Ya1cPj/fDaNH+8PTUwaW1dwXAJMfCrrSw7JtGtViX3xRg+PHRVixwhsffOCHVau8jb7hW6JtkTEPv65S9dJ0swlHPzyKblndEPdQnMWCofamdpxccRJN15sQOyoW3bK62bx6jKviYiGWLPHWWZLJlyCELyOZE8uigIgQExjzhqj9sO7sQS+RyBAb24LwcH+UlXVsNAxA1WjYlIdCZ8FDRIQMV64IVaVGptzwLdHjjS8PP2tSPxeCRLU49ukxxNwXg+i7oi2yfblMjqu/XcXl3ZfhH+ePjHkZVumlZin6xiZSlmSaEoRYo1SJLyOZE8vi75VBCI+Z+oZoyoNeu9GwkqXeTNVnElfOIm7ohs/1AWNOqY0zvIGrnws9Asvxavpx9H8mEeHp4Z2vzEHtpVqcWnkKjIBB/1f7wyvMeqNaW4r22EQPP9yE6dMbVSWZxgYh1gqsu1o1LVGggIgQE5j6hmjKg159X9olRJZ4M9V1LDExum/4tiq5cYY3cOW5EI5r6FF9BLWJfRGebn6bnraGNhT+uxAtVS2IHxOPsEFhFm2HZE3av7syGAJMC0K0r7etW90hFsstVlrEsor/SNdAAREhJjD1DdGUB732vlgWFn0z1Xcsukp4bFVy4wxv4BkZbegbcAlRNafwV2AG3hzPAjD9OOUyOUq2l6B0bynESWKkTkuFi7tj3eI7+92NLXXUfplYscLbrOpmJXPmTONDo3Cim2NdLYQYyZI3IO1tGXtzVq6/dGkNSks7DkKnvv3YWLnGusp9qS9jySCB67HYsuSmqzSU1oe5cAkvZF5FTZ8MvPkAq/P35Hr+Vp+rxulVpyFwEWDAjAHwDPa0ZtItQt+xWfJ3Vw+wKisF+OADPwDmB/OmvBg4S7s4R2Z0QFRfX4/du3ejqqoKUVFRGDZsGNzc3DSWKS0txTfffIO5c+daLKGE6KPvxmrMDaizB4+5NzNd62sHQ+rf5+RUITy8823Y44Y6cWIjGAa8Hu+Hz1iWxYUNF3Dj0A0Me38APINcoKtkSP339vGRY8WKagwZohmA3qq7hYLlBWhraEPiPxMR0jfEIarHbHkuq79MrFrlzSmY7+x+oP1iEBUlw9q1HgYDV65BFJUi2Y9RAVFtbS1mzpyJmpoaCAQCyOVybNmyBa+++iri4uJUy7W0tODMmTMWTywh2gzdWI25AXV2cza3qqiz9XV9n5lp3DasTTufRo7sfGoPa6aFzw8NfeljWRanV51GzbkahD6egV92+eo9BvXfu6FBgClTArF9ewUkEhnk7XJc2nwJZQfLENI3BAnjEiB0tfy0HtZij3OZazUsl/uB9rQj06YFdBrccZ2Tjw8vPc7KqIBow4YNYBgGixYtQmxsLE6fPo2VK1di3rx5ePPNN5GcnGytdBKik6FGk1yrd7jcnM2tKupsfS7bt3VDY+2Hur0DMvV08fmhoS99cpkcJz47gaYbTQh7Mgv/fCLc4DFkZLTBx0eOhgbF4JgNDQLk5Yng23wTZ74/A6GrEGkz0+Ah9rDHYZrFXo3muVTHcT3Pldtau9aD8/KdBWR8ucaclVEBUWFhIcaNG4fY2FgAQHJyMhYtWoSPPvoIH3zwAWbMmIGUlBSrJJQQXTprNMnljZDLzdncRr5cGotqfi83ehuWpOuhzpeeX6a239DXPssW6YuObMKRxUfQ3tiO9HfSse5nr06PQSKRYcWKakyZEoiGBgG6B9Uj8NCfOHOiHUmPJ0HcS+wQ1WO68LnRvDmjy3e2fGcBGV+uMWdlVEBUXV2Nbt26aXzm7u6OmTNn4qOPPsKHH36I119/HV7GTtFNiInUb6wVFQJkZ2s2mpwwoaXThyXXm7O5jT07W1/ze90POms3NFYGDpWVgg4P7AkTWkx+iFmyisvYhwaX9lmWpJ2+Qf1bkDcvD0I3IdLnpkPoKuR8DEOGtOG/m2/gwL+LENR6HXGDQxE3Og4CkXETvfKxitHQuWzP9Jo6urwlgjs+B4rOwKiAyM/PD9XV1R0+F4lEeOONN/Dhhx/io48+woMPPmixBBLSGfVGk6tXc2s0qW8bXRHXaT+0R8RWTuehnpem5JOlq7iMfWhwaZ9lLu0HuDJ9A1ObcH11LjyCPNB3el8IhALOx8CyLCpOVOD6j+eQGCBC32lpcPN367Acl7TxuYpRGx/Sa+x5rm+CY32dPTobqd6Ua4xvAa8jMiogiomJwfHjx5GVldVxQy4ueOONN/DRRx8hJyfHYgkkzqu4WIgtW9wBKHo0cZnPSr2hY26uK1jWuW8Qxkz7oT0i9syZdQgKkpv9pmqNdhHGPDSsXQ2h7wEeIa5D/sJ8+Mf5o9fkXh3mDjN0DM2VzTi+5DjkUjmSJyUj8I5Ak9PnaO1S+JBecwMMQ5PTWjrY40MA2VUYFRD169cP69evR319PXx9fTtuzMUFM2bMwOLFi3H8+HGLJZI4n+JiIUaPDlJNKbFypTc2ber8Qld8z59JIO1B/WZuzLQf2oGDpbrV27tdBJf2WebQ9QAP86vG4UWHEdI3BD0m9ODc1kd2S4Zz/zmHylOViMiKgOQBCQQu3KvHdD3I7Z3/xrJ3ei0RYOgL6qwR7PEhgOwqjAqIRowYgREjRhjeoIsLZs6caVaiCFGfXwu4PccWlwvdmW8Q2jfzpUtrVA8Xf38Z6uoEYFkGAgGLqKjOGnZbJojkQ7sILu2zTKX9AO8bX43D7x9G5J2RiB0Zy2kbLMui/HA5Lmy8APcAd6TPSYerr6tR6dD3IOdD/huia8BTe6bXEvcPfUGdMcEe11IqeweQXQmNVE1sypiLXNmGBQDEYu4XuiPcIKxV5699My8tFWLp0hps3OiBgAA5vv5aMVeWXM7g6tWO49ZYqy2VMW0sHI36A7xPVAXKfzyKuNFxiBwayWn9pvImFCwrACtj0fvZ3vCP8zcpHbqGoHjppSZVGk35XQ39Rpb4/QwFcfZ6ibHE/cPQdDimjoWkr3dkZ9vsKteZLRjdyyw7Oxtjx47FwIEDdS5z6NAhbNy4ETNmzEBQUJBFEkm6BmOKoiUSGTZtqsTWrbfbEHF9U7T3G2ZnrFnnr2sEXeWgcfoaStsDl1GYHYlEIoNf6zWcXHESPR7tgbABYZ2uI22R4uyas6i5UIOo4VGIvjta1ejaFNovEStWeCM1tR1XrwpNehgaOk8tdQ7zsTTXUvcPfUGdqWMhxcZ2HAhVGexERcl0TjRL7YuMY1RAtGvXLrAsqzcYAoCBAwdi48aN2LFjBx5//HGzE0i6DmNvfhKJTPWGayw+9xqz5kNA+2aem2udhtLqTHkDNTQKsyO6ceQGzq09h95TeiMwyXADaJZlcT33Ooo2FcEz1BPp76TD1du46jFdJBIZJk9uVA09UVUlVI1hZOhhqO/3M3SeWuoc5mtpri3vH6a2+1IPdgQCFnI5Y/Jo/UTBqIDo8OHDuOuuuzpdbtiwYfj1118pICIa+HrzszVr54P6zZxlrdNQWkm98btYLOPU8B3QPQqzqTdre1cJlO4pxaVNl5A6LRV+MX4Gl2283oiCzwoAFujzYh/4RnfsnGKOUaNaVUNPqOevvoehoRIEQ+eppc5ha5fm2vvc6Ixx7b40276pBztyueI77d+Z7rnGMSogunnzJrp3797pcpGRkbh586bJiSJdkzE3P77fyMxlqwlSrf3A2bLFXVVFU1Wl2W6ls3Spj8Js6s3a3lUCRVuLUPpnKQa8MQBeYfoHpJW2SHHq21NouNyA6L9HI+rOqA7d8C3B0BxbuvJXVwkC0Ka69vSdO5YejNAagbC9zw0uDJXgGDOqtXoJkfrvzPfmA3xjVEDEsixY7UpKA8sS58E1gOFy83OEG5mp7DFBKl+rD4cMacP27RVm3awNzWVnzXOGZVmc+/EcbhbcRNpbafAI1D2fGCtncW3vNRRtK4JvlC/S302HyFNktXQBmr93Zw9DXW3OtK+9CRN0nzv2PK9sMSGzLZhTgqMd/CrbiumaFkjfpNZd+aXTFEYFRGKxGCUlJejVq5fB5UpKSiAWi81KGHEchgYhM+WCM/ZGZo0L21a9wPh4kzbGqFGtWLnSW1VlNmqUcQGeuQ9V9QeKrrnsTPnt9u1zxYYNHhg3rkVnQ++iSwLs/egMQgSVuOsD/d3j66/Uo/DfhQAD9J3eFz4RPkanxVxcpovR1+aMz+enLSZkNoWx9w1zS3DMKV0zFFA6a7BkVECUkpKCHTt24K677oK7u7vOZZqbm7Fjxw7069fPIgkk/Kev2N3UUh5jx+pQH4l58uRGTqNaG2LNEqqoKJmqeFs5FpC+m8/Fi8CmTR5IT7/F25uSsjegvYrk1R8ouuayM/ZhsW+fKx59VAy5nEFOjifWrq3SCIqKLjJYdP9ZoKkFJ0JGIamqHhJfzWNub2rHya9PoqmsCbGjYtFtcDdeT8JqqM0ZX9uccLlH6As2LPmw154Wx5T7BtegprhYiG3bgKQkIWJipGal21BVaVSUDNOnB1jl/sd3RgVEo0aNwp49ezBv3jw888wziI+P1/j+4sWLWLlyJerr6zFy5EiLJpTwl66bkzlvmsa8NWmPxJyd7YfVq73NuogtWYqjffO9elWoagAplzM4flyk0c5DvXRt3DigrMyf9zcle1fJKfff2Vx2yt8iM7Nd7+SuGzZ4aPw+OTkeqoBI1ibDnncKwDYJsQv3QnbTBQcPtqqOXS6T4+pvV3F592X4x/kjY14GXDw0b7F8f/N2lDYnXNKpntfqwZClXna0X8bS0m5ZrXRNsS8xysuB0FCx2fcDQ1WlXBrjd1VGBUQhISGYPn06li5ditmzZ8Pf3x8hISEAFA2ua2tr4ebmhpdffln1Oen6dN2czH3T5PqQjYqSaVzAgOkXsfqYHpZ4S9Z189W+EbEs9A7xX1Zm3vE4G0MPSe3fYv9+wEtHG+hx41qQk+OpKsEbO1aR59IWKfIX5CMiyhUFIYpgSP3cqL1Ui1MrToERMuj/an+dDawdpW2cvQNcrgylU19eW/JlR/tlbMcOT72Nm81l6ap2Q1WlDQ0C1T3V0HHwPbg3hdEjVffv3x+LFy/G1q1bUVhYiOLiYgBAUFAQ0tPT8cADD1Aw5GR0vYnZ4k2zuFiI6dMD0NAggJeXHCIRi9pa04IYXVNelJbqbqTIlfZNbOlSb0yf3qiRLywLnaUaGRltCA8Hyspg9aqLrnRj0/eQ1P4t9uwB7r+/4/pDhrRh7doq5OR4YOzYFgwe3Ib2pnbkL8iHV7gXMl7sg4Tna1S/XzdxCw5/eAKtVa1IGJuA0LRQvdVjXa39GJ/py2tLtitS35aSXM7g4YebMH16o0XvedZoD6V+rVy9qlmVP39+LaRSxmDpW1caWFXJ6ICora0N58+fR2BgIB588EEMGDBA50SvxDncLsrt+NZr7TdN9ZteU5PArEEHdU15oa93DVfa3WLXr/fC3r3uHXrubNx4e0RuZedMiUSGvXuBzZtrkZ5+y2pVF1xKLRw1YFJPt/YD5c47O05bojRkSJvq5t5a24rDiw4joEcAkiclg2EYSCQyREc1oWRHCQ7uLYU4SYy+0/rCxd3w7ZTGhLEdfXlt6eEClNeuemN+SwdDyn3l5FTh7NkQ9OxZhehoy25fuypfKmUM3v+62sCqSkZP3TF37lyNMYZ++OEHzJo1C4mJiRZPHOE/Lm+91nqgat/0zBnTx1pvYBs3VmLpUm+sX6+oQtGXR6tWKUqJVq3yVs1bFB8PTJjQYtUhLDr7/RylmkebrnQrH4SZme2IiwtBWZnhc7O5shlHso8gbGAYEsYlqEp+qs9V4/Sq0xAIBRgwYwA8gz05p8tW409Z0/r17vjhBy888UQTxo+3/rAR6jrrAahkKPCx5IuacjT9kSNbrd7uSiKRITMTKCuTdZiiwxzFxUJUVgqMmtbHkgOr8olRAdFPP/2E6upqjB07FgkJCSgrK8PPP/+MlStX4sMPP7RWGgmPdRZImPpA5TqppKXf9qwx0/v06Y3Yu9ddbx5xnbfIWFwC0c5+P0et5tGV7gkTWiCRtKgCG0Olm43XGnH0k6OIvicaMffGAABu1d3C8WXH0d7YDp8hSThdF4luje2QBHM7n9WrGFJT2+0SEJn7crJ+vTtefjkAAIOjR10B1NgsKOqsB6A2W7aFcpR2V9q0G4bPnFnHKVjXN7Cqo5YmKxkVEJ08eRJjxozBuHHjAAB9+/ZFWFgYsrOzUVtbC39/f2ukkfBYZ4GEKSVIxk4qaW7VlvqxWGumd+08MlSdY4nSqX37XDnNY9XZ7+eo1Txc0q3v3Ky9VIsTn59AwtgEdMvqBnm7HJc2X0JZfhlCUkMgGnAHxj8SalSQb8kqBvXG/4YmbtVezhLdqX/4wQu3p5BgsGaNl80CotWrPfX2ADQG3x7apqSH6znQGe2G4UFBcs6BuvbAqixr2rADfGJUQFRbW4uePXtqfKb8u66ujgIiJ2UokDClBMnak0pa84aob9vqeWSoOud2UGL6uDXFxbcn9QQ6zydDv5+jdMPWxiXdus7NypOVOL3qNHo+2RNBfYJQeaoSZ384C6GrEGkzFSNSr13rYfQ5aKkqBi4TeupbzhLdqZ94oul/JUMMABZPPNGkcc7HxsqN2h5XxcVCHDzopvqbYRQ9AI29lvlWBWxK42T1kk1D5wAXprzwaOe58hwy5brgG6MCIrlcDldXzVFZlX/LZI5xoyS2ZUoJkqGL1NwSC2veELlu21B1jiXk5blqDEPg4yNHVJQMa9d6mBQEGlNyZu+3b11vztrd7w8edMPo0R3PTbcbpTi97jxSXkiBu9gdeXPzILslQ9ITSRAni1VVbaacg/qqGIzFZUJPfctx7U5tiKI0qAZr1ijaEPXv365xzufkVOkd48kceXmuqK293RD+2WcbEREh69AztLPSEr5VAZtScqjvHDA0bY2hFzVjXnhMnQzYURjdy+z69esQCG7fbOVyuepzbbGxsWYkjTgSQw9CY0uQYmIMN4g0p8TCmjdErtu29o1Dffs+PnIsWFCrGvzRUqN561JcbNrM95bcv6HSE/XvP/4Y2LBBCIlEComkBVd+u4Lz24rR56U+uJF3AzcLbiJ8YDjiRsdBIBJo7MfUc9ASc7dp91zUN+aNvuWWLavRO+cVV+PHt6qqyXSVCmRmmrRZg7SvmSefbO4w+CuXKmK+PbRNKTnU9dsamrams+vSmJGylyzx1nuPc9TSZHVGB0Sff/65zs+XL1/e4bP//Oc/xqeIg507d2Lz5s2ora1FZGQkJk6ciKSkJL3LnzlzBt999x1KS0sREBCABx98EPfcc49V0uaMzCl10XcRdVaNY2oQExUlA8OwYFkGDKOYOsNSuN5srX3jMDTomqVG89bF1JnvjVVcLMSWLYphCtQDu85KT9S/LysDDh50RXR0Oy79fAnXDlxDzAMxOPnlSYi8RBj01iC4+bvp2LuCqeegIq2K34RlTSut4zqhJ5flzGWrAKOzwV+5Vgfaanw0rqWkppQc6vpttaetUb/29F2XxqRT38uGdlodtXG5klEB0QsvvGCtdHCWm5uL1atXY/LkyejRowd2796N999/H59++imCgoI6LH/z5k0sWrQII0aMwEsvvYRz585h5cqV8PX1RXp6uh2OoOsxt9SFy0VkqaqY48dFYFnFw5JlFVNnDB5smZu4MTdba9841Lev/uBQ0tfF3pLVXdaYvkv9bRcAVq70Vr3xdlZ6ojmPHBARIcXZH87ixpEbcHFzwZVdV5A8KRmBdwRaPM3mzneljuu5Y845xvVc6HjOW6cNkXJf6sejHRioT4FjKKiw5rVnysuhKSWH2sdQXCxUTbIMACtWeGPkSN2lwAxjfDq1XzasMfgkHxgVEN15551WSgZ3W7duxfDhwzFixAgAwMSJE3HixAns2rULjz76aIfld+3ahaCgIEycOBEAEBkZiUuXLmHLli0UEFmItd8Srdnux9IPbVu/IXF5cOkbQE79d7LEAI2jRmnOfD9ypOV7H+Xluapu+oDijVcZ2HVWKqI++BwrZ3Fp9THUVBfBN8YXEYMjIHlAAoGLQOd+TaWdrxMnNvKqDYsuxl5vmue8bSexVd83H6prTH05NHTfUJaIMgyDZ57RPeWMRKKoCleWEqlfF7quS2PnmtS+x3fFYAgwocrMnqRSKYqKivDQQw9pfJ6SkoJz587pXOfChQtISUnR+Cw1NRV//PEHpFIpXFwcKgt4ydxi6M4etPpuMtpv3lzeaK390LZkKUtns90b8+DqbAA5SwzQKJEo2idY86GUkdGmGkAOAMRizcCOS3u1inLgYbfNcP3rCkLv646+0/rC1ddV5zrm0s5XhgGv2rDoYmgmdL50VdfFWi8jxlzTlno5VO8c8OKLAarz/ZtvgM8+c8WVK4IO6Rk1qlXnNEC6rkvt6sbOmg50hfZBXDhUNFBfXw+5XA4/Pz+Nz/38/FBbW6tzndraWp3Ly2QyNDQ0ICAgoMM67e3taG9vV/3NMAw8PDxU/ya380H5/9hYudpggtzzSFEFIlYFKJs3V3W46WRmtmvcZDIz21FS4qLqeioWK5ZXlnzk5HTchlJsrBybN1dpFfFb5jfVHujPUDo6ozi+27Pd69rWwYNuGg+u/Hw3xMYafiDo+5105bH6uc51X8acB6YEj8rfTznViWIQOW6/YWysHDk5Vdj97A4IiksxYul9CEsL47RfU2nn64MP3sKoUbescv5Zinaau3eXd+hJpu/30r4vODpjr2nlOWbO76u+T+2JqysqgMmTA1TtjdTTY2jf2tdlbKwcy5bVYsqUANTXCzBtWgCnYzPlHu9IHCogUtJ1sRm6ALW/U06FoG+dn3/+GRs2bFD9LZFIkJ2djeDgYFOS6xAuXgT27AGGDgXi47mvFxZm3gNl1Sqgqkrx76oqIf78M6RDL5XwcGD/fkX67rxTiLi4EHzzDVBefns9pfJyIc6e7bgN7e1ZoyfMtm2308QlHZ1tS322e13bGj0a+PhjxXLh4cDo0f4ID/c3aX+68tha+wIU59u4cbe3t3cv9/NO8/czbh7F8HCg1+6HsPGRjTjw5gFkvZmF1KdSTXqAc7lm9OWrNc4/S9FO859/io0+r829L/CFKde0ufcX9X0qhkoAGhoUf3t7Q6PxuHZ6dO1b33na0ADU1xt3bF2dQwVEvr6+EAgEHUqD6urqOpQCKfn7+3dYvr6+HkKhEN7e3jrXGTNmDEaOHKn6W3mzrKiogFQqNf0AeKq4WIh//MO4kg2GYRAWFoYbN26YNddWQ4MX1B9qjY31KCvr2DPJy+v27ORlZUBSkhChobpLiHx8avHxx6aP3moq9TSFhsrQs2cVysr0799QCUnPni4IDw9WzXava1teXoqu48o3Qk9PGXJzTauyU0+Lp6dMFYwZ2pf2MsbYtMkDZWX+ABS/5+bNtRYZcZxLNSrDMJj05yTkfZeHPQv2IG9ZHkb8ewR8u3MProy5ZrTPXUegnmZjzmtL3ReswZQSSa7HzmXbXKcjSkqCxj6XLatFQYEIADBihC8ee0xm1D1G33lq6NjsPZ6YJbm4uHAuzHCogMjFxQWxsbEoLCzEwIEDVZ8XFhYiLS1N5zoJCQk4evSoxmcnTpxAbGys3vZDIpEIIpFI53d8u8gtITdXpFEdkpcnQkwMt8CPZVmdecL1gkpNbYOXlxxNTYL/tenhNplpTIxUo06bZaGzt4ktR6LVTlN0tP5JGDubWiMmRqox272+bcXESFW/VVGR/rm5DDE0p5e+fZl7GaSn39KolklPv2X2taV+HNpBsq5jirknBuEZ4dj/5n5sf2w7Yu6LQf/X+kPoKtS1eQ3mXDOWYMsHljHntZK++4K96DvHO8tH7WOXy4H/+z93jeUNXT/qbYH0TZuia33t9jqDB98CwzAID/dFTk4V8vJEnH4LQ+epvt+V6/2gK3KogAgARo4cieXLlyM2NhaJiYnYvXs3KisrcffddwMA1q5di+rqavzrX/8CANxzzz3YuXMnvvvuO4wYMQLnz5/H77//junTp9vzMHjF0r3EuDb2LS4WYvr0ADQ1KUbQ/eKLGqMa63Xshtti9+HjuQ4hwGVqDUOz3eu6kZvaw8Ueo/dao5Gm9rxMSoaOydXbFcM/H47yY+XY9+Y+XP39KjIXZiJ8oOHhlu05wJ8lel0aG1B1dl4rt5eZ2W6VkarNpa+hOJd8VB67vnw31OlDfVoOfdd7ZyPXa+etRCJTBTWd/Y6aQ010HHdN1+/Kt9G8bcnhAqLMzEw0NDRg48aNqKmpQVRUFGbNmqUqEqupqUFlZaVq+ZCQEMyaNQvfffcddu7ciYCAAEyaNIm63Kux9MNJ+4JautQb06c3drhgtYet37DBAxERMrPeRvg2Eq0uuqbWMCad+m7M6scuFstQUSFAcbHQZj1jjGXpXkHaxw+gwxAD6lN3qHdfDu0XijH/HYPDHx7Gvhn7EJgUiMEfDIa7v7vetNur1425DyxLD2Ohvb39+3V3DbcnXee4sV3P9eW7vutH+/6mb9oUQ9efobzlMg+a+lATcrli3LUrV243J9A1sXZlpUDVk5Ov91BrYVg+lWvyXEVFhUbvs67E2DdGRfFtOMrKylBUJNA7W72hyQfVq43MnaRQ+1j43D1U+0a2cmW1anBI9bfBzMwQlJWVdSghWrvWAzNm3O4duXhxjar9TXGxsMN4Q1zyky95Zm5VkPpxKKtRlceknu/h4cCGDTd1VnPVXKzB/jf3o7W6FSnPpSBhfAIEQtPGJ7LE8Wivr/2QzMmp5PSbKbdVWXl7VGNA8/wxhfb5uHIlcP/9Hc9be9M+x43NR0PL67p+tJc3NG2KvuvPUN5qf+fjI+8wD5p6Gry85BCJWNTW3p77Tb0aT/1vsViGKVMa/9eLk3/3UGOIRKKu2YaoK+JD4zVz3hj11Tdv3FiJpUu9sX694nVG+w1MWV3W0CCAm5sct26ZNwu3Or4PH6+vdEHf26D2VBWG3iglEhnEYrmqyohrfvIhz4w9D3VdO7qqUZV0Td2hKyAKiA9Azw8exN6PTuPI8kIU/bcI6fPSERDbcYgOSx4P1/VNKZ1S35ZYLLNoCYD2+XjnnZ23wdKXRmveCw2NdM0lHw0tr+v6kUhkmDWrDj/84IUnn2zSOSK++jHrCkoN5W1GRufzoEkkikBHvYoeUNwXNm7UbF6g/ndVlRBBQXKHD4aMRQGRHVlzBGZjcCmC13ez0reuRCLD2LEt2LjRU2f9tfp6t251Pgu3rlnMHbmhnyLtmnNaaeflnj2KniDKcZqA21NVaDcoV5/J3lZVYJZ+gBlTFWTKtaOeL+Hh0JsvxcVCjP9nEMrLw9Hdrx+evPJfVD+xG/H3d0e/V/pB5Km7w4U5x8N1ffUBEo0p1dFuXzVzZh2CguQWKRFUDxQyM9sRFxdidG86W7aL0l5O129iaHZ4rr/hvn2uePXVgP9VVbkiNLRKo0qL62Cn+vJWIuE2D9rVq0KNYAhQ9FwdN64Fe/e6q/Y/blwLfv/dXTUmnDNVlSlRQGRHfGm81tkDVNeFGxsr73Td48dFeuuvtdfrrDhZOX+VcmJWSwWQXG+i+/a5YsMGD4wb19Khnt7U/Wrnqa63wV9+0T1VhbLRpb6bqvoUFqZOJGps+s3dvjGBnCnXjjJf8vPdMHq0Pzw9dffQUd/2lbpALKx7DFk+JzDmjzxUFu5Cnxf6IGJoRKdjF2m3aaqs7NimS1cbDuXf6qNyi8UyREXJTM5z7by1dFWIMlDQlyemjkbPlfb5uHRpjc4Xp87OW2VprHI0e3PO7Q0bPDTuf99956mRJq7HbChvucyDpn0ePvtsI0aObAXLAhMnNoJhFCXP2tcCz2o8bYICIjviSwPgzoqOdV24yhFLDVX/rFx5e5wnf3+ZRruWpUtrNC5GQzdn9dmalROzWiKA5PpQ37fPFY8+KoZcziAnxxNr11aZHRTp61mi/Tao/lAEOk5VYaiEjmsvGmVeGDPz9ZIl3hYP5o2pwjD12pFIZIiNbUF4uL/eUgz1bQMACwH2N/TFgw+HwPP0n8ibl4fgPsFIm5kGrzD9rYeVx6Ns0/XBB35Ytcpbo8u39kNcu02HumPHRCbnua68tVQJn/p2lC9K2t93dh7q+z25plH7OtA3pIWhIEQ9nUrmnNvjxrUgJ0dRQs4wLPLy3LB9u6feFyBT7/+dlVrp++3Vq1CVwY/yPqM+F5ozoYDIjuzVU4VL2wt1nV24+rpuqpdspKffwo4dngA63rBMmU/MEgEk1zc07Te9nBwPswMifXmq/TYokSjmIdKcqkLW6XaMOT5jSnv0NZi3VDCvfi4Zehha89rRDmSUQXzWPS6InnwnLu+6jDPfncHvL/6OmL/HoOeTPSF0091uxlCbLu3fR7tNx0cf+Wg8oBgGGiVGxua5dt5aooSvY0Pjqg7d7rmch509tDtLo/p1YKiLO9frRcmcc3vIkDasXVuFnBwP+PvL8fXXPhppUn8Bsvb9X/serV2Fmp3tZ/G2ZY6IAiI7s3VjVmPGCFJ/GHW8cLlXF4SGyjBpUjOOH3fr9Iali/qErP7+MrzwgqLI19QbiHp7JC5vaOpvegIBi7Fjzf+9jHmgSySKiVmN3Q7XN1BjqivUl5XLGTz8cJNVZr7WfoOdPFnR48XU9hzGUuZ5x8lwGcT8PQbh6eHIX5SPCxsu4GbBTfSe3BvBqcE6qzX0/Q7an6u36RAIWBw96qYRdIaFydDaenv75lRpWKq6Xtd2MrWmf+B6Hhp6aHeWRu1qYvXBWbU7HXC5XrR7WZlamjZkSBuGDGlDcbEQmzZ56n0BsjXtUlDA8m3LHBF1uzdCV+h2b6jLtpJ6mx2xWFFCoX0TUO92r+8U0tXNVdcNi0u3YVO6hXPpsrx0aQ1KS3W3XVK3b58rcnI8MHZsi87eIsbgcnM1lL+dra89fUVn+WZM92NTu3wbS/s8BWCxtkpczl0uWJbF9QPXcea7M2ipaEFgz0D0f70/PAI9Oiyr7/zVdY2o984EgIcfbsLYsS2YPFmzp5C+7vJczi9L/Y7a2/n55ypkZHQcLsLU69fU4QW2bHHnVB2va11DvT/1Bee6tqPr3mNOaZClzlv1NGqXglrrerYnY7rdU0BkhK4QEHG5ySxb5qUxTsnMmXUdSiiUF2du7k3k5oqMfnOy9rg3+krCuASEnW2Xy3xEXB9E+h7w+m5++tZXL/XSN0VAZ8fF9fewxZhFutpzAKaNmaP9u1j6wdLW0IajnxxF1akquAe6I/qeaMSNjoPAxfSxi7Sv0dxc1w5jzuzYUaGzA4Ix1Z+W+B3VtyORyC3+0Dam3ZM1Gvtr3w8Bw8G5tXoPW/q8VeLLGGTWQuMQdWHmNoTkUlVTUyMw+LfSxYvQmDhQX88OfemwZlExl1Fl9fX80cfQjY7rW6S1umJzmSLAEGN+D1sU86u34/nyS2/U1prWbsZQD0lLcfVxRfo76bh59CZOf38aZ78/i7K8MvR+tjcCEo0buwjQfY2yrGYbmZUrq3Veu4amkTCm3aCx6b29ndtVepZotG1suydL99zV7hyiZGjbfOk9zJW9qu34yLRXGGIXyhvCjBkBGDs2CMXFpg2AJpHIMGFCi963gYCAjg+MtWs9Ouxvzx506NlhbtosRRn4AOhQZ79xYyVmzqwDAHzwgR+n9OrrWaWkq5HiffcFY98+V43t6EuXOcela4oAU7dvK8XFQp3nlDqJRNHgXqi2iLEvxroDSMtjGAahA0Ix5IMhCB8cjtbqVhxZfASHsw+jrdH430D7GlWet4sX12DHjgq91ba6zg9j7htcfhcuLHWvUsflt+RyfRlzjNqdQ7y8Or+2zL3Gif1QCZEDsdWbh3ojZl9fOdas8UJTU8curEOHglPPDnswVBJmqOePLupvpspxkLRLK3Q1UmxoEGDKlECN4fTN6R2lfOPWbvekXnrQ2ZhO1mBsSYAxVQrqDyRTugLbemgLkacIaTPSUHW6CqdWnULlyUrkvZOHmPti0H1EdzACw50RDOHyJq/r/OI64bElq3osea8yphNEZ9cXl/aR6rTPHy7Xlr16DxPzUUDkQGx1c1fv6r18uQ+amnQHOvHxQE5OFfLyRAZ7dtiL9gNE/cHd2SzQ6tRv7spxkBT/1tyXsopHPc/0DafPpWu5Ol0PK/URqu11AzblIWrMw9Lcc96UHpKWIE4WI2tBFk5/exqVZypxft15XP39Kvq82Ac+kT5W3bf2eW+N3oadMfV30zVQpbGdIAwFjupjmlVVKRoV6+vBqdyWKdcWVUM5JgqIHIgt3zyUpSjKBzuge1Z2iUSmmg/Kng9lYxszT5zYqDG20NWr+ovPo6JkGiVggO7SCmVX7dTU9k6H09eVps5KStQfVlu3umPVKm+Ndc2ZoNNUpjxEjXlYWuKct9bDqbPzzsXdBX2m9kHtpVoUflWI1upWHP34KAITA9FzYk+4eHC7/Ro7aKautkLKYJ1lFYG8ruUs+cJlyu+m63rQPr9KS4VWOc+VPdMA2HR4B0uw1ACbhAIih2PLi1M9ENDVkPPiRWDTJg+kp9/6X7psf+PgGlRo31gZBho3/6gomcZ8YOrbV05C6+0th4vL7dmi9T0wtIfTVy/JUaZFu+2PsSUlLAuLvc2bw5SHqLEPS2sGNKb0kFSuyzWY9Y/zR9aCLPz1f3+h6EAlzvxSjwObD2Pgs7Ho91CIwSlATB00U9eyygBa2UhYe2oKS79wGfu76boeLF0qrt4cQCxWTGGiXo0G3J4v0BGCC2v1aHNWFBARndQDAWUwpN6Qs7hYiHHjgLIyf7teiJ0FFfraH4wa1aoadE+7uk/fUP+NjQLOA5cpHwbavc8AaExfYmpJCcsCq1d7W+xBYSpHrVLQ7iFp7PlrbMmY0FUIzztTsOgjF/Sqy4MIbTj3aglu/n4JQ+emwjPI0+z9GFpWu9G/kvZy9vxddAU/MTGGzy9j5xhUNgfQbmOla75APpcKKTlajza+o4CI6KTdc0m7Sikvz1U1F5Q1L8TOioMNvUF21v6guFgIljU8R5T29o0d6M3Qg6i0VGhWSQlfGm7aO7gxhXYPSV3nr6Fzz5SSi7w8V1yuC8BV3I/eKET3tsu4UeOCIx8cQUi/ECSOT4RApNnx15j96FpW1wuBdmDOh/Z+gP7gWt/5Zeocg7raWKnPF+jlJTfYptAY1q7OsnWnga6OAiLSQXGxEJWVAoPz2mRktCE8HCgrs17XUi7FwbpKTpTVU4baH2iX3Og7VnOrEbTHPQI0H0QxMaYHE1wCEWpfoJt6D0ld529n554p54X6g/cEUlHtH43R/rsBABWFFag4UYGeT/aEOFls0n50XQv6XghYtvMRzO3BmOBa1xyDkZEyo893ZanRDz944v/+zwuNjQJMmxZgdqm3LaqzqEebZVFARDRoBwozZ9bpLBWRSGTYuxfYvLkW6em3rHIhci0O1lU91VmVlHbJjXpVmHpQZW7bKF0PKVvdvKh9gX7qPSR1/RZcJyQ15rxQ770JAKNGtSG6eyaKtxWj9M9S+MT44PTq03D1dUW/6f3g6utq9H7Ul9Xubq/dIFlfD0zl8fM9iNaeYzAr65bJ57tEIkN8vBSNjZYbOsRW1VmOWELLVxQQEQ3agUJQkFzvgzs+HpgwocWiw8irM7Y4WFeJENeJT9UncbR0EKEesCkfNLZ4k6P2BYap95DUZq2qCGVPxNsYxI6MRXhGOI59cgwMw8Bd7I6D8w8i8s5IxPw9BgKhaePncj0G9XPe31+G9nYGTU0CzvN22Yv6bPJjx7bgyhWhWee7pX9zqs5yPBQQEQ18uoiNLQ7W1yhTX6mSrm1bK4jobNoPa7yR2+O37CpVdJasiuCSJx5iD2QuyMTVP66iZHsJ/BP8cX3/dVzfdx0pz6fAN8bXasegfs7X1mo2Ls7O9sPq1d68LV1UziYPKPLZEmNWqQ9PYAzt35mqsxwPBUREA98uYmOrCzobpVb7hqW9bWsFEYbmmLJWtZYxv6UlAhlrHIs9AyxLVEUYkycMw6D78O4I7R+Ko4uPQi6Xo1tGNxR8UQDvbt7o/WxviDxFFj8G9XNeF0cpXbTUvUs5PIExgaC+35mqsxwLBUSkA0e+iPWlneuDyVoBob5Ay9rVWlwbXlsikDHmWEwZTJOvpRSGmPL7uvm5IWzSYOz/vwo07DiDyFQ/yNvlyJubh7gH49BtcDeDYxcZS3nOL1zog+3bb3f/9/SUo7nZ8OCifGPuvcvU65Gqp7sGCoiI1fCp+sSYG5Y1AkJ9gRYfqigtdTM3pc2KMYNpOuJDprM80XWNKMb4CkJ5eRgig+PwBnaj7mY7Uh6JR/G2IhRvL0bf6X3hFeplsXRKJDLMnt2AQ4fcVIMWfvGFbefEszVLjtZtzHp8ui8STRQQEU6sOYGnLfAh8NAVaHEtkbLmTdRSeWNKmxXtQEf9OPnwm5nLUJ7ou0bU86e0whOz/3gAPo03kFlwFIkDA9DvXi8cXXwU4p5i3PHoHRC6mT+TvDKt2oMWmsNWD35T9mOoisvUgUa5Xsd8ui8STRQQkU7puohjY+UG1+Hb272120aZc/PvrETK2jdRS+aNsW1W1AMdXcfJp/ZsptKXJ/quEfX8UUydI0QDIrDpVggy9uXiwuFKPPlxDzT/dQW57+Six4QeCO4TbJFqNEuVjip+S9NHAjduP8ZfG4buT6bmAZf1+HZfJJooICKd0nURx8a2GlyHj2/31mobZe2AxRY3UVu2GzOmh9+ECS0WS5cyaM3MbEd4uEU2aRZ914h6/qhPK9MOEfZiKEJay9Hnh33one6KHo/2wLm153BhwwX0e7UfPAI9LJ5OU4J9Wz34Td2Pve5PfLwvktsoICKdMuUi5ltvNWvSdVMG2kwuMSouFuLgQTeMHg14edn3Jmqtag9b9vADOgat+/cr8taeDF0j6vmj7Aq+YoViUlImNAhDF2Wi8fdC/LXmLyT8IwENVxtweNFhhGeEI+7BOAhcTBu7SJupwb6tzllT92Ov+5Mz3RcdEcNaa1S9LqiiogLt7e32ToZdKB7Sty9ihmEQHh6OsrIyqw3MyAem9IZatqxG72SxXPan3FZ4OLBhw03ExEg75L8t6HsYWrNtiLWOc+1aD8yYEaD6e+VK4P77uZ+79moIqz2CtHbe1BbV4uRXJyHyFCFpYhJOrTgFebscvab0QkB8gKFNc6Kdb4sX12iMdq1N/b5QVCSwyTlrj2vDHpzlnmtpIpEIwcHBnJalEiLCiSN3xTeVqV31c3NNry5QL20qK1M8AGNipHbJf30lX9Zuz2SN49QuSbjzTu4Nke3VEFbXfrWDEf9Yf2QtyMJfP/6FE5+dgGSkBCIvEU59fQoeQR5ImZoCV29XTvvaskU5pcjtkanNKemx1TnrjPcmYh0UEBGih6ld9VnW9IeI+gMoPBwWr2owpqRDPS1isQwVFQJs2eJu8bYhxqTJ1JIazXY5cvz5pxhJSUK9U3eos1dDWK77FYgE6PlkTzSUNuDE5yfACBn0faUviv9bjIPzDiLm3hhEDY8CI9Dd6Lq4WIjRo4NUs72vXOmNTZvM63VFiCOigIgQPezRPkG5bn6+G0aP9oenp8zoKQT0MbakQ30qgxUrvJGd7QexWKaasd0SbUOMSZO5JTWKZZUlXEBoqJjTNhylAa5PpA8yF2Ti0s+XcOyTY+h+V3fE3BeDE5+fwJXfriD1X6nwjvDusF5enqsqGAIUU3ZYotcVIY6GAiJC9DA3sDH1ISKRyBAb24LwcH+UlZm0CZ1MKemQSGQQi+WqB2ZVlRAzZ9YhKEhukRIDY9JkiZIarmMgqQdJti4lUU+HsfsVCAVIGJeAbn/rhuNLjqN0Tyn6Tu+LmrM1OLbkGPzj/dHzqZ5wcb9968/IaFMFuQAgFlPvJ+KcKCAiTq2zKhi+vR2b07g3Kkr2v3FtjJuOQbukYtSoVqOCAkNpNqYUxBIlNcaMgaQdFNniPODSbogLrxAvZC3IQsmOEhz96CjCM8Mx6O1BOLXyFHLfyUXCuASEpYWBYRjVgIxbt95uQ0RVY8QZUUBEnJajjRprTnqLi4WYPj0ADQ0C+PjIsWxZjcVH4TUlzcZs2xIlNRKJDDk5VTh7NgQ9e1YhOlr/GEjqAZAtepkVFwuxZIm3xdorMQIGkvslCEsPw7GPj6H8cDlSX0qFtEWKUytOoWhTEfq+0heeQZ6QSGR46aUmSx6OQ6BpNIg6CoiI03K0UWPNSa/6ug0NAly9atx0D6aWkBgTaHAJcCxRUiORyJCZCZSV3W6fZaj0qbOgTl8PLWOo70MgYCGXMxZrr+QR6IHMBZko/bMUxz49huDUYKS/m47LOy/jSPYRhPYLRcK4BAhElhm7yFE42gsRsT7nugJIl1NcLMTatR4oLjZ+PiflQxCAQ4waa056ldVlutY1Jw+57FcgUEQdAgGLqKiOc3nNmBGAsWODrLJ/rpSlT4sX1yAnp1IjONM9/ICCsodWdrYfsrP9MHJkEJYt8zL6WNT3IZczePjhpg7pMAfDMIgaFoX0t9NRe6EWeXPzEJQShEGzB6H6XDUOzDmAqjNVFtmXozD0uxLnRCVExGFZoteRI3QpNqeRrXJ9fdVl1n5LvnpVCLlc0d1bLmc0Sqb4VkKnr/TJUOmRdg+t2lohsrP9sHq1N6e8VP62UVEyjX1Mn95olfPR1dcV6XPTcSP/Bk58cQIBCQFIm5mG2gu1OPPdGbj6uKLvtL5w9e36wQFNo0G0UUBEHJYlHqh8azStTdckmcY2stWuLtuwwQMREYoxZozNQ2PbXBh66DjKA8lQ4KzdQ0uJa16qB6NLl9agtFRo0eBc+/e6/XckMt4NQsHyAuTNzUPy08nInJ+Jcz+dw8H5BxE1LArR90ZDIORWiWCJeeJMnbXenEmVHeGFiNgOBUTEYfH5gWqpxpqWCPrU80kgYLF+vRf27nXHxo2VRuWhKaVJnc3X5SgPJH2Bs7KH1vffe+KHH7zQ0qIIILh0Xdf+bUtLhSb1KNNHV8A1fbrmlDJpM9Nws+AmTn9zGt4R3uj9bG9E/z0aBUsLcG3vNaS8kALfaF+j9mPKPHGmnFumrqN+XZr6QkSNsbsmakNEHJahdh/2tG+fK+69NxgzZgRg9Gjz2sZYop2TMp/Gj29SVV/dDq6456GpbS4kEhkmTGjpsG3lQyU9nd/BUGckEhkSEqSqYAgApkzpvMrL2m3YtH+vjRs9dP5+IakhyJiXATBA7txcNF1vQuaCTMSOikXB5wU4vuw4pC36R/TW3s+ePeanlcu5Zew6lmqzxqe2b8SyKCAiDk3fw9ZeiouFeOaZQDQ1KS6tqiqhanwXUygDlpkz6zBxYqPJo1ZLJIp2KboewFzz0JIP8K72UNFutD5qVGun61g7oNf+vcaNa9H7+7l4uKDvtL7o9UwvnPvxHI5kH0FwajAy52WCETDInZuLa/uv6ZxUVH0/YrEMN2/C6N/TlHPL2HUs1YiaGmN3XVRlRogF5eW5qoIhS1q1SjE+DdfGurqYW0VlySouvjWoBkyvBjF3jCdrHbeu36uz3y+wRyAy38vEme/PIO/dPCSMTUCfF/ug4WoDCv9diJLtJUidlgqvUK8O+1FO8fLWW9ynRTGUVkuvY6kqdj5X1RPzUEBEeMUR6uY7G3lZvZGtvz+30gJDTA0edKXT3AewpR7gfHuomNPbztwxnqxJ+/fi8vsJ3YToPaU36kvqceLLEyjZXoL+r/VH1sIslOwqwdHFRyFOFuOOCXdA6CZUbVd9ihdTglxTzi1j1rFUQO9Ibd+IcSggIrzhCAOlcRl52dLTIJgSPPA9L/n2UDGnxIpvwZ2l+Mb4Imt+Fs6tU/Q8k9wvQcy9MYjIikDB8gLkvp2LHo/2QHCfYDAM4xD5YKmAnu+9U4lpKCAivMHHahRtXNJo6WkQTAkezMlLS4y8zAWfHirmPMz5FtxZkkAkQNJjSYgaFoWC5QW4svsK+r3WDwPfGojqs9U4vfo0LuVcQr9X+0EicdM5LQohjoJhdbWSIzpVVFSgvb3d3sngBYZhEB4ejrKyMp0NLU2hXaph655jXKrrbJVGffnLtUrR1HQqR15Wn/l80yZ+lS6Zy1DedsWgxlLkMjmKNhfheu51RA2LQszfY8DKWFz4+QLKD5ejW2Y3xD0Yh4ioCIveF4iCNe65zkAkEiE4OJjTslRCRHjDnm/a+/a5YsqUQNVM8PqqmGydxuJiIXJzRaoSC67VYKamU3vk5aoqbqVL1m77ZYu2ZeolVo7Qlo0LSx6HQCiAMLUHrtyMRdP2g7i2/xr6vtwXPR7uge4juuPYp8dwI/8Ghs8eDhgeuogQXqKAiPCKPapRiouFqmAI6LyKyVZpvHgR+Mc/bo9SPXFio1HVYKakU7tROJcBBi3VXknfw9uS7aEUpUBuGD1a/+CBfG9/xZWlj0NjeyEP4d+vHMHRj44ifFA44sbEIXN+Jm4evYm8T/IALyDlhRSIvEQWPCJCrIvGISJOLy/PVRUMAYCPj5wXDUL37IFGAMQwsPpktMpG4TNn1mHmzDps3qy/qk05KeyWLe5mj8tiaFwiS437otzH66/7429/0z9WTlcZZ8bSx6GxvZsuKBL1QNosxUjXubMVAzqGpYXhvqX3wc3PDXnv5uHK71fAyhXVO9acRJgQS6ASIuL01BvU+vjIsXJlNS/akAwdCo2GvqNGtWLkyFarVdepl9B01ihcvbRALJapSpVMDdQMNQLX1+CZa5sv5TLq+ygrAw4edEVMTMcRmPnaW8qS88iZQtf2PAI9kDk/E9f3X8exJccQnBKMO1+9E72f7Y2Gaw0o+EzREDtwdH88/kKMw5e6ka7NoQKixsZGrFq1CkeOHAEADBgwAE8//TS89JR9S6VS/PTTTzh+/Dhu3rwJT09P9O7dG48++igCAwNtmXTCY3ztJRQfD+TkVCEvT6SVrjbk5rqCZS3XvsXY6hX14KKqSoiZM+sQFCQ3Of+0H7ZRUTKsXeuhevhr/z5c0qtrLi/lPsLDoTdA4OP5YOl55Eyhb3sMwyBiSASCU4Nx7NNj2P7SdsQ9Hge/WD9kLcjC1T1XsTv7OCTlN1GFNJSXu/CyBykhDhUQLVu2DFVVVZg9ezYA4KuvvsLy5csxc+ZMncu3tbWhuLgYY8eORUxMDBobG/Hdd9/hww8/xAcffGDLpBOe41MXcHUSiUyjFMNa7VuM7aavHcDoG2+Ja6mG+sM2KkqGadMCOhyjenq4pFfX5KkbN1YiP98No0f7w9NTpncqFL6dD6YOo2Dp4zC0PVcfV6S/kw5piRR5X+TBL9YPyZOS0X1YdwwJicTBMefx96btuBzQG+nppk9nQ4i1OEwbotLSUhQUFOD5559HYmIiEhMT8dxzz+HYsWO4fv26znU8PT3x9ttvIzMzE926dUNiYiImTZqEoqIiVFZW2vgICDGftdq3GDsvFJd5uIydr0w5p9qVK8JOj5FLenUto9xHXJzBpPCOtSeCtRSGYdA9szsy5mWgraENue/kovpsNRKSBZi1MxlD3uiJaUMP4/rKfWip4k/ASQjgQCVE58+fh6enJxISElSfJSYmwtPTE+fOnUO3bt04bae5uRkMw8DT09NaSSXEaqzVvsXUuaQMlT6YWqrB5Ri5pJePVV+mUJayLV1ag9JSodWPxRJd9UWeIgyYMQCVpypxetVpeIZ5os8LffD4dA/IpRko2lqEwx8cRuiAUCT8IwECkcO8m5MuzGECotraWvj5+XX43M/PD7W1tZy20dbWhrVr1yIrK8tgQNTe3q4xACPDMPDw8FD9m9zOB8oP69CXv7GxcuTkVKk95OUALPMbxMbKERurnHfN/G1mZrZrBDaZme2czheux8glvbqWcaRzV1HKdnvohZycKkgklvvNue2Pe1CknbfBvYMRMD8Ap1aeQt7cPPSY0AMhfUOQMCYB3Yd1x9FPj+LAnANInpQMcZLYKsfUVTjSeeuo7B4QrVu3Dhs2bDC4zKJFi/R+x7IspxNEKpViyZIlYFkWkydPNrjszz//rJEmiUSC7OxszqNdOpOwsDB7J6FL05W/4eFAZqYdEmOk8HBg/37F8AF33ilEXFyIUeta+xgd4dzdtg0oL1f8u7xciLNnQ6yaL5ban3beRi2MQsVfFchfko/KfZUYMnsI3MLdEP1VNMqOleHo10dxI+AGhrw1BG6+bhY4kq7LEc5bR2X3qTvq6+vR0NBgcJng4GDs378f33//PVavXq3x3cSJE/HUU09h2LBheteXSqX49NNPcfPmTbzzzjvw8fExuD99JUQVFRWQSjt203VGDMMgLCwMN27coGHkrYDy13SdVfnYIm8tNUJ0cbFQY3DOn3+usnp1mTn76yxvZW0ynF1zFlVnqpAwJgHhmeFgGAayNhn++vEvVJ6sRPcR3RF9TzQEQuOr0brKCOO60D3BNC4uLo4zdYevry98fTsf5z0xMRHNzc24ePEi4uPjAQAXLlxAc3MzevTooXc9ZTB048YNzJ07t9NgCFDMfSIS6R5hlU5ETSzLUp5YEeWvcbSrfAz1wjM2b42bR45bGjoTEyPVaAcVHa2/Z5wlGLM/Q/mhL28FIgGSJyWj/ko9Cr8oRNG2IgyYMQBufm7o+WRPNJU3oWBZAUr/LEXK1BT4duc+B4gl853P6J5gPQ7Tki0yMhKpqan46quvcP78eZw/fx5fffUV+vXrp9Gg+uWXX8ahQ4cAADKZDJ988gmKiorw0ksvQS6Xo7a2FrW1tVTSQ3Ry1NF0HTXdlmatXnjG9JizdBqUPeNs1Sicy/6M7UGozbe7LzIXZCIoOQj5C/JxZfcVsCwLr1AvZC7IhGSUBAWfFaBgeQGkLdzu1V1lhHFiP3YvITLGtGnT8O2332LhwoUAgP79++OZZ57RWOb69etobm4GAFRVVakGcXzjjTc0lps7dy6Sk5NtkGriKBx1DitHTbc1WKsXnjE95tTng+MyF5wjMrUHoTqBiwA9JvRA5LBIHF96HFf/uIp+r/aDh9gDEVkRCO0XilMrTyF3bi7iRsehW2Y3g+1F+TrCOHEcDhUQeXt7Y9q0aQaXWbdunerfISEhGn8TYoglbvL2YO9086ndhrW62pvzsO2KtRuWCD5unzdCZC7IRPHWYhxedBiRQyMheUACFw8XpL6UivrL9Sj8shAl20qQOj0VXiG6ZyboKsMsEPtxqICIEGty1DdMS6XblMCGj6VT1hhl2piHbV6eK6qqbk9r4iiBtTHMDT50nTdxo+MQnhWO458ex/Xc6+g7vS+8wrzgG62oXru86zKOfnQUQb2D0OORHhC6dqym49sI48SxUEBEyP846humJdJtamDjTKVTXB+2lg6s+VQCp86c4EPfeeMZ5InM+Zm4+vtVHP34qGLgxrEJELgIILlPgoisCBQsL0Du27lIeiwJ4t5iGpeHWAwFRISocdQ3THPTbc1Rpa2Fj6VTgGUDa74eo7kMnTeMgEH3u7ojdEAojiw+gpvHbyL1xVT4RPnA1dcVA2cPRNWZKpz57gxc3F3Q75V+cPOnsYuI+SggIoSYHNjYs1TN3qVThlgqsObzMZpCvbSrs/PGzd8NmfMzcT33Oo4vOw5xTzHueOwOCF2FEPcUI2tBFi5suID8hfmIGBwByUiJSWMXEaJEAREhxKzAxl6lao7a5ssYXekYdZV2TZjQovG9dtUgwzCIyIpAcJ9gHF96HLlv56L3s73hH+cPgUjRSy3q7ihFu6O86+g9RfEdIaaggIgQAsDxqgsdtc2XMbrSMRoq7eqsatDV2xUD3xqIm8duovCrQvhG+6LXM73g4u6iaHe0IBPlh8tx8quT8Az1RMrzKRB56R5clxB9qHyREA4cceBDR0yzsWw9aKE9dJVjVJZ2AehQ2sVlUEWGYRDaPxSZ8zIha5Uh7508VJ2uUn0XNjAMGe9lQOQtQt67ebjyxxWw8i445gGxGiohIqQTjtiw1RHTrM3Y3lV87Y1FFAyVdhlTNeji4YL+r/VXNaz2CPZAn6l9IPIUwcXdBSnPpaDxWiMKPi/AlV+vIPWlVHiHe9viEImDo4CIkE44YsNWvqXZlODGmICuKwSAzkBftawpVYPinmJkzMvAmVVnkDc3Dz3+2QMh/UPAMAy8I7yRtSALV/+8imOfHENAYgCSnkiCizs98oh+VGVGSCe0i/qjomS8r4oyVD1ha6bMe2XsvFQ0j5XjM6Vq0MXdBSkvpCDl+RScX38e+Qvy0dagONcZAYPuw7sjfW46btXeQt47eSg/Uk4ToxK9KFwmpBPqb69RUTJMmxbA+5IIPjXGNaW0ytjeVV2pNxYxnn+cPzLnZ+KvH//CwfcOIu7BOHQbrJj7zNXbFQNmDEDNxRqcWnkKF3+5qJgzLdDD3skmPEMBESEcKIv616714FVVlCF86TVmSrBibEDHpwCQ2IfQVYjkp5LRcLUBJz4/gZKdJRjw+gDVoI0B8QHIWpCFoi1FOLzoMELTQpEwJgECEVWUEAWGpfJDzioqKtDe3m7vZPACwzAIDw9HWVmZUxVBa7dVycmptMrDly/5q6/tjyltgvgSrNgjb52lwTdfzlu5VI6LP1/EjUM30P3u7oi+KxqM4PYUH601rTj26THIbsmQPCkZgXcE2i2tXPElbx2NSCRCcHAwp2UpIDICBUS3OfPFaYuHOx/yV19DZUdvwGzrvOVLftkiKOPDeauuqbwJx5ceBwD0e7UfPIM8Vd+xLIuKExU49+M5uPm7IfVfqXD14W/bM77lraMwJiCiskJCjNRVxoXpjL6GytSA2Th8yC9TGrZ3BV6hXshakIVuWd1w5IMjuPjLRchlcgCKACMkNQSZ72XCK8wLB987iJKdJTR2kROjgIgQopO+nmp86sFmDZYe0JIP+aUdlG3d6s77npKWwggYxD4Qi7S30lB+uBy5c3LRWNao+l7oJkTypGT0f70/ru29hgOzD6DhaoMdU0zsharMjEBVZrdR8a118SV/9VUPWqva0N7VOtaq3rJ3Gyr14xKLFfuvqrJ8FR5fzlt9WJbF1T+vomRbCUL6hiDx4UQIXAQa31/ffx2XtlxSTA/ydC+4ePCj7xHf85avjKky48cvTQjhJUMD6Vm6Bxsf2tpYa0BLe/f4U++FV1EhQHa2HwD+95S0NIZh0H1Yd4T2C8XRj4/iwJwD6PNCH/hG+6q+jxgSgZD+ITi18hRy5+Yi/qF4hGeEg2GYTrZOHB1VmRFCeIEPbW34UL1lLcq2b6NGtXbZY+TKzc8NGfMyEDc6DgWfFeDkypOQtd0OvkWeIvSd1hepL6aiaEsRcufkormi2Y4pJrZAJUSEEF7gw+CKzjCekTMcIxcMw6BbRjcEpwTj+LLjyH07F72e6YWAxADVMr7RvshckInLOy/jyIdHENwnGIkPJ0Lo2vXbXjkjakNkBGpDdBvVZ1uXs+avswxp0FU5ct7eLLiJv9b+Bd8oX/Sa3LHtUFt9G44tPYb2xnYkPZ6EoN5BNk2fI+etPVEbIkKIQ7J3WxvivEJSQxDYIxCFXxUid24uej7RUyPocfV1Rfrb6ag6U4Uz351RVKu93Bdufm52TDWxJGpDRAghhABw8XBBv5f7odfTvXB2zVkc/vAw2ps0awXEPcXIWpAF/wR/5C/IR9HmItXYRsSxUUBECCGEqAm8IxCZ72XC3d8dee/moeyQZjWVQCTAHY/egQFvDkBZfhkOzD6A2qJa+yWYWARVmRFCCCFahG5C9H62N2qLanHyq5Mo2VaC/q/2h6vv7d6PnkGeyFyQiRuHbqDwy0J4h3mj9/O9IfIU2THlxFRUQkQIIYTo4R/rr6gii/fHwfkHUbqnVKO0iGEYhA8KR+a8TLh4uiBvbl6HZYhjoICIEB6w9HQRhBDLEYgESHo8Cf1e7oeSHSXInZOLlmrNxv8uHi5IeT4Ffaf3RcmOEhyYfUBjihDCfxQQEWJnzjrxJiGOxjvCG5kLMhHSLwSH3z+M4h3FHSaD9Yn0QdbCLEQNi8KxT47h1DenILvlnGM9ORoKiAixMz6M0EwI4UYgFCBhbAL6v/G/yWDnHOgwijUjYBB9dzTS56ajtaoVuW/novxoOVWj8RwFRITYWVeeLoKQrsorxAtZC7IQ8bcIHMk+ggsbL3Tofu/q7YoBbwxArym9cH79eeS+3bGqjfAHBUSE2JlyKoXFi2uQk1PptFMpEOJoGAEDyd8lSHsrDTeP3UTunFw0XuvYbiggIQBZC7IQ0jcEhxcdxoUNFyCX0thFfEPd7gnhARqhmRDH5RHogcwFmbi29xqOLTmG4D7B6PHPHhCIbpc5CFwUVW2RwyJx7JNjuHH4BpKfTkZgj0A7ppyooxIiQgghxEwMwyByaCTS305H7cVaHJhzAHXFdR2W8wj0QOb8TPSY0AOnvz2Nwx8cRlsDVZPzAQVEhBBCiIW4+roifW464v8RjxNfnMDJr0926GXGMAxCUkOQ+V4mPEM9cfC9g7i863KHHmvEtiggIoTwCo3JRBydcrDGjHcz0Frbitx3clH9V3WH5YRuQiRPSkb/1/rj6p9XcWD2ATSUNtghxQSgNkSEEB5RjslUXi6EWCzD5MmNGDWqFRIJNTTnorhYiLw8V2RktFGe8YDIS4S0N9JQWViJ09+ehlc3L6Q8lwIXD81Hr1eYF7IWZuHavms4vuw4/GL8kDwpucNyxLqohIgQwhvqYzJVVQmRne1Hg1VyRAN88ldQShAy5mVAIBQgd24ubhbc7LAMwzCI/FskMt7NgKxNhty5uSg7WEZjF9kQBUSEEN5QH5NJiQar5IYG+OQ3Fw8XpL6Uit6Te+Pcj+dwaNEhtDe1d1hO5ClCv5f7IXVqKi79cgm5c3I7DPxIrIMCIkIIbyjHZJo5sw5iMQ1WaQwa4NMxBCQGIHN+JjyCPZD3bh6u513XWQrkG+OLzIWZCM8Ix5EPj+DsmrOQtVE1qDUxLJXHcVZRUYH29o4RvTNiGAbh4eEoK6MiXWug/FVUAR08qGgPY8nBKrty3lorz7jqynlrDfWX63Hi3yfg4uqCfq/1g5ufm87lbtXdwvGlxyFiRYgZFwNxstjGKXVcIpEIwcHBnJalgMgIFBDdRjc+66L8tR7KW+uhvDWevF2O8+vP4+bxm4i5PwZRd0aBYZgOyzEMA9wA9n6yFyIvEfpO76s3gCK3GRMQUZUZIYQQYicCkQB3PHoH+r3aD1d2XUHunFy0VOketT68bziyFmTBL84P+QvyUbS1qMP8acR0FBARQgghduYd7o3MBZkITQvF4UWHUfTfIp0DNQpdhUh6LAkD3hiAsrwy5M7O1TkiNjEeBUSEEEIIDwiEAsQ/FI8BMwegLLcMB+YcQFN5k85lPYM9kbkgE3EPxaHw34U4tuQY2pupSYc5KCAihBBCeMQzyBOZ8zMRdWcUji4+ivPrzkMu7Vg1xjAMwtPDkTEvA0JXIfLezUPp3lJqv2UiCogIIYQQnmEEDKLvicag2YNQUViBA3MOoPZyrc5lXTxc0GdqH/Sd1hcl20twYPYBNN3QXbJE9KOAiBBiMpp3jBDrcvN3Q+b8TMQ+EIu9C/bi9OrTkLfrbkjtE+mDrIVZipKlj4/i9KrTHSaWJfpRQEQIMQlNFUGIbTAMg4ghEbj343tRf6VeUVp0qVb3sv8rWUp/Jx3NN5uR+3Yubh6/SdVoHFBARAgxCU0VQYhtufm6If3tdCSOT0ThV4Uo/HchpK1Sncu6+rgi7c00JD+TjHM/nUPu27loqdbdnZ8oUEBECDEJTRVBiO0xDIPQAaHIeDcDbU1tyHsnD1VnqvQuH9gjEFkLsxCSGoLDiw7jwsYLOhtoE8DF3gkwRmNjI1atWoUjR44AAAYMGICnn34aXl5enNb/+uuvsXv3bjz11FN44IEHrJlUQro85bxj9pwqghBnJfIUYcDrA1B1ugpnVp+BZ5gn+rzQBy4eHR/rAhcBEsYlIHJ4JI59cgw3Dt1Ar8m9EJAQYIeU85dDlRAtW7YMJSUlmD17NmbPno2SkhIsX76c07qHDh3ChQsXEBBAJwAhliKRyDBhQgsFQ4TYiThZjIz3MiB0EyJ3bi7Kj5brbS/kEeiBzPmZSPxnIk6tOIXD2YfR1kglu0oOExCVlpaioKAAzz//PBITE5GYmIjnnnsOx44dw/Xr1w2uW11djW+//RbTpk2Di4tDFYoRQgghBrm4uyD1xVT0frY3zq87j0PvH9Ib6DAMg9B+ocicnwmPIA8cnHcQl3+9rHNUbGfjMNHB+fPn4enpiYSEBNVniYmJ8PT0xLlz59CtWzed68nlcixfvhwPPvggoqKiOO2rvb1dYxJXhmHg4eGh+je5nQ+UH9ZB+Ws9lLfWQ3lrPVzyNjAhEFkLsvDX//2Fg/MOIv6heHTL6qZzHRd3F/Se3BuNZY0oWF6Aq39cReqLqfCJ9LHaMfCdwwREtbW18PPz6/C5n58famtr9a63adMmCIVC3HfffZz39fPPP2PDhg2qvyUSCbKzsznPmOtMwsLC7J2ELo3y13oob62H8tZ6uORt5FuRqC2pxf7s/ajYV4E7590JjwAP3QuHA/HfxKNodxHOrDgDcaIYaS+mQeQhsmzCHYDdA6J169ZpBB+6LFq0SO93LMvqjZiLioqwbds2ZGdnG/XGMmbMGIwcOVL1t3LdiooKSKW6uzg6G4ZhEBYWhhs3btD4FlZgj/wtLhYiL0/RQFoi6bptgujctR7KW+sxOm/dgL5v9cWFDRew6V+bEHNvDLqP6A5GoPtZ6NnbE31i+6Dwq0LkTMlBwrgEhA0Mc/jSPhcXF86FGXYPiP7+978jKyvL4DLBwcG4fPky6uo6zuhbX1+vs+QIAM6ePYv6+npMnTpV9ZlcLsf333+Pbdu24fPPP9e5nkgkgkikOzqmi1wTy7KUJ1Zkq/xVDLIoRnm5EKGhit5jXTkoAujctSbKW+sxJm8ZIYPEfyYiYmgEji87jqt/XEW/V/vBQ6y7tMjF0wX9XumH2qJanPr6FC5tuoS+r/SFZ5CnJQ+Bt+weEPn6+sLX17fT5RITE9Hc3IyLFy8iPj4eAHDhwgU0NzejR48eOtf529/+ht69e2t8tnDhQvztb3/DsGHDzE88IV2ErkEWJRIaxI2QrsArzAuZ8zNR8t8SHF50GJF/i0TMAzEQCHX3q/KP9UfmQsXyR7KPIKRvCBLHJ0Igcph+WCZxmKOLjIxEamoqvvrqK5w/fx7nz5/HV199hX79+mk0qH755Zdx6NAhAICPjw+6d++u8Z+Liwv8/f31NsImxBmZM8gizWdGCP8JhALEPhiLtFlpKMsvQ+6cXIMTwCqXHzRnEGrO1+DAnAMGB4DsCuxeQmSMadOm4dtvv8XChQsBAP3798czzzyjscz169fR3Nxsj+QR4rBMHWRROZ+ZM1W1EeLIPMQeyFyQiau/X8XRj48itF8oEsYnQOCiu3zEzc8N6XPTUXWqCme+OwORtwj9pveDq2/Xm6qHYamil7OKigqN7vjOjGEYhIeHo6ysjNoKWIGj5O/atR6YMeP2YKeLF9dgwgR+V7U5St46Ispb67FG3t6qu4UjHx2BXCpHn6l94NvdcPMVWZsM59edR8WJCkQNi0L0vdF6q934QiQScW5Uze8jIYTwGs1nRojjcvNzQ+b8TMSNikPB8gKcXnUasjb9JbxCVyGSHk/CgDcG4PqB68idnYv6knobpti6HKrKjBDCLzSfGSGOjWEYdMvqhqA+QShYWoDct3PRa0ovBMTrn+bKM9gTmQsyUXawDAVfFMAnwge9pvSCyNOxxy6igIgQYhaJREY90ghxcK7erkh7Kw0VBRU4+fVJ+Hb3Ra/JveDirjtMYBgG3TK6ISQ1BKe+PYW8d/MQNyoO3QbrHhnbEVCVGSGEEELAMAxC+oYgc14mZG0y5L2Th8pTlQbXcfFQzKPW96W+KN5WjAOzD6CpXH/vNT6jgIgQwkvUnZ8Q+3DxcEH/V/sjeVIyzv5wFkc+OoL2ZsMdinyifJC1MAuRQyNxdPFRRXukW45VhU4BESGEd5Td+WfMCMDYsUEUFBFiB4FJgch8LxOuPq7Im5uH8sPlBnu4MQIGMffGIP2ddDTdaELuO7m4WXDTaj0Or169ioiICJw6dcoi26OAiBDCO7pGziaE2J7QTYiU51OQ8nwKzm84j/z5+WhrMNyb1NXHFQNnDUTypGSc+/Ec8t7JQ2tNq41SbDoKiAghvEPd+QnhF/84f2QtyIJvjC8OvncQ1/Zd67TkJ/COQGQtyIK4txiH3j+ECzkXIGuX8XaSdAqICCG8o+zOv3hxDXJyKqk7PyE8IBAJ8M7md7C1fSvmvjsXPWJ7IKV3CtasWYPm5ma88sorSExMRGZmJn7//XcAwMHDBzH8leFo+VsLnn73aUhiJfgt5zeUlJRg0qRJ6NOnDxISEnD//fdj7969GvsbNGgQli1bhldffRWJiYlIS0vDmjVr9KZPLpdjxowZGDx4MEpLS40/PqPXIIQQG5BIZJgwoYWCIUJ4ZtP2TUh+IBlfzfgKwyOGY9bMWXj22WcxYMAA7NixA0OHDsW0adPQ0nJ7OI6Pln6EBcsXIOeLHMgOyHD4i8MYOngofvrpJ+zcuRNDhw7FpEmTcO3aNY19ffXVV0hJScHOnTvx1FNPYdasWbh48WKHNLW1teG5557DiRMn8MsvvyAyMtLo46KAiBBCCCGc9ezZE6+8+gqGTR2G9759DyKhCNLLUoy5ZwxiY2PxyiuvoKamBmfOnFGtM2PGDAwdOhQDRg3APdn34I6EOxD7Vyy8yrzQPbw73nzzTXTv3h27du3S2Nfw4cMxceJESCQSvPjiiwgMDERubq7GMs3NzXjyySdRUVGBDRs2ICgoyKTjooCIEEIIIZwlJSWp/u3bzRdBoUHo3a83jmQfwcWfL0IcKAYAVFVVqZZLSUlR/dvF3QVxj8Vht3A3xr04Dkl3JCEhPgEXL17sUELUs2dP1b8ZhkFwcLDGdgFg6tSpaGpqwo8//ghfX8PzsRlCI1UTQgghhJPTp0+jvl5z/jKGYRDSKwRpY9Nw7ONjuHHoBgBFmx4lT09PjXXmz5+PPXv3YPZ7s+Hb7AsvHy/M/vdstLVpdqBwcbkdpowbNw7l5eUa2wUUpUg5OTk4evQoBg8ebPKxUQkRIYQQQszmEeiBzAWZiL4nGgBQurcUrFR3T7RDhw5h/PjxGD1+NIY9NQzJ9yab1BAaAJ588km89dZbmDRpEvLy8kxOP5UQEUIIIcQiGIZB1LAoAEBTaRMKVhboXC4mJgbbt2/H3XffDYZh8NFHH3Uo+THG008/DZlMhqeeegpr1qzBwIEDjd4GBUSEEEII4Uwul2P27NnIycmBQCCATHa7J+igQYMwYcIEAMCyA8uQ2iMVADBr0iwUlhei7EYZQkJCMGLECNTV1WH06NEIDAzEHXfcAblcjosXL2LQoEGoq6uDVCrFrVu39KZDWRr066+/olevXpgyZQrkcjmeeOIJrFmzBmlpaUYdF1WZEUIIIYST5ORkXLlyBUKhEFu2bMH8+fMhlUo12gh9+eWXePvtt7F7924s/nwxSs6XwIvxwsQeE/HLt79g3rx52Lp1K4YPH45Lly7h8OHDSE1NBcMw8PLywnfffYfvvvsOPj4+aGxs1Nj/mDFj8Nprr2HTpk14++238e233+KVV15Rff/cc8/h3LlzRgdDAJUQEUIIIcQI3bp1w7x588AwDOLj4/HXX39hxYoVeOyxxwAAWVlZeP755zXW+WjjR7hZcBPn1p5DcGQwJj89GVu2bMHUqVNVy8jlcnz66afw9vYGAIwdOxb79+/vsP/Vq1cjOzsb3377LbKysix2XBQQEUIIIYSzfv36gWEY1d/9+/fHV199pao6U+9ir7R161asXLkSJcUlaKhrgEwmg5enF+QyOQRCRWVVVFSUKhgCgJCQkA5d7Ldt24bKykr8/PPP6Nu3r0WPi6rMCCGEEGIx2l3sjx49iqlTp2LYsGH47vvv8Ovvv+Kxux5DW2sbSv+83bNMvYs9oGigrd3QOjk5GWKxGP/5z386nUvNWFRCRAghhBDOjh071uFviUQCoVCoc/nDhw8jMjIS06dPV312S3wLLh4uCE8PN2rf0dHReOeddzB+/HgIhUIsXLjQ+APQg0qICCGEEMLZ9evX8e677+LixYv45Zdf8O233+KZZ57Ru7xEIsG1a9ewadMmlJSU4JtvvsH27dsBBhB5iYzef1xcHNatW4dt27bhnXfeMedQNFAJESGEEEI4GzduHFpbWzFy5EgIhUI8/fTTePzxx/Uuf++992LKlCmYPVsxEvWIESPw8ssv45NPPjE5DfHx8Vi3bh3GjRsHoVCIuXPnmrwtJYa1dCVcF1ZRUYH29nZ7J4MXGIZBeHg4ysrKLF6PSyh/rYny1noob62H8tY0IpEIwcHBnJalKjNCCCGEOD0KiAghhBDi9CggIoQQQojTo4CIEEIIIU6PAiJCCCGEOD0KiAghhBDi9CggIoQQQojTo4CIEEIIIU6PAiJCCCGEOD0KiAghhBDi9CggIoQQQojTo4CIEEIIIU6PZrs3gosLZZc2yhProvy1Hspb66G8tR7KW+MYk1802z0hhBBCnB5VmRGTtLS04M0330RLS4u9k9IlUf5aD+Wt9VDeWg/lrfVRQERMwrIsiouLQQWM1kH5az2Ut9ZDeWs9lLfWRwERIYQQQpweBUSEEEIIcXoUEBGTiEQijBs3DiKRyN5J6ZIof62H8tZ6KG+th/LW+qiXGSGEEEKcHpUQEUIIIcTpUUBECCGEEKdHAREhhBBCnB4FRIQQQghxejQpCuGssbERq1atwpEjRwAAAwYMwNNPPw0vLy9O63/99dfYvXs3nnrqKTzwwAPWTKrDMTZvpVIpfvrpJxw/fhw3b96Ep6cnevfujUcffRSBgYG2TDov7dy5E5s3b0ZtbS0iIyMxceJEJCUl6V3+zJkz+O6771BaWoqAgAA8+OCDuOeee2yYYsdhTN7m5+dj165dKCkpgVQqRWRkJMaPH4/U1FTbJtpBGHveKv3111949913ERUVhY8++sgGKe2aqISIcLZs2TKUlJRg9uzZmD17NkpKSrB8+XJO6x46dAgXLlxAQECAlVPpmIzN27a2NhQXF2Ps2LHIzs7Ga6+9hrKyMnz44Yc2TDU/5ebmYvXq1fjHP/6B7OxsJCUl4f3330dlZaXO5W/evIlFixYhKSkJ2dnZGDNmDFatWoWDBw/aOOX8Z2zenj17FikpKZg1axY++OADJCcnIzs7G8XFxTZOOf8Zm7dKzc3N+Pzzz9G7d28bpbTrooCIcFJaWoqCggI8//zzSExMRGJiIp577jkcO3YM169fN7hudXU1vv32W0ybNo1matbBlLz19PTE22+/jczMTHTr1g2JiYmYNGkSioqKOr2BdnVbt27F8OHDMWLECNVbdlBQEHbt2qVz+V27diEoKAgTJ05EZGQkRowYgWHDhmHLli02Tjn/GZu3EydOxOjRoxEfH4/w8HA8+uijCA8Px9GjR22ccv4zNm+Vvv76a2RlZSEhIcFGKe26KCAinJw/fx6enp4aF11iYiI8PT1x7tw5vevJ5XIsX74cDz74IKKiomyRVIdjat5qa25uBsMw8PT0tEYyHYJUKkVRURH69Omj8XlKSorevLxw4QJSUlI0PktNTUVRURGkUqnV0upoTMlbbXK5HC0tLfD29rZGEh2WqXn7xx9/oLy8HOPHj7d2Ep0CBUSEk9raWvj5+XX43M/PD7W1tXrX27RpE4RCIe677z4rps6xmZq36tra2rB27VpkZWU5dUBUX18PuVzeIT8N5aWu/Pfz84NMJkNDQ4O1kupwTMlbbVu3bsWtW7eQkZFhhRQ6LlPytqysDGvXrsVLL70EoVBog1R2fVR/4eTWrVuHDRs2GFxm0aJFer9jWRYMw+j8rqioCNu2bUN2drbeZboya+atOqlUiiVLloBlWUyePNnodHZFuvLNUF5qf6ccwN8Zz9vOGJu3Svv378f69esxY8YMnS8AhHveyuVyLFu2DOPHj0e3bt1skTSnQAGRk/v73/+OrKwsg8sEBwfj8uXLqKur6/BdfX293pvb2bNnUV9fj6lTp6o+k8vl+P7777Ht/9u7v5Cm+jiO4+9NQw08zshdaA7/5LxolGmt6MLqIjOwe6+CsKv+ilAgRbvyJobtolVeTOqmmzCC4gH7M7uIiCTDEQaWCSZhOdElrBZtey6iPQ2fh+exp9za+bzAi3PO78D3fJnjs3N+55w//sDv9/+/4rPcr+ztN1++fOH8+fPMzs5y9uxZU58dAjAMA6vVuuRXdSQS+cde2my2JeM/fPhAXl6eLu1850d6+82jR4+4fPkyXV1dSy5PyvJ7+/HjRyYmJpicnKS/vx/4GuKTySTt7e2cOXMGl8u1EqXnFAUikzMMA8Mw/nWc0+kkGo3y6tUr1q9fD3ydexGNRqmvr//bfZqbm5fc+dDT00NzczO7d+/+/8VnuV/ZW/grDM3MzODxeCguLv5ptf+u8vPzqampIRQK4Xa7U+tDoRBbt279233q6uqWTPIdHR2lpqZGNwF850d6C1/PDF26dIkTJ07Q2Ni4EqX+dpbb26KiIrxeb9q6O3fu8Pz5c7q6urDb7b+85lykOUTyn6xbt46Ghgb6+voYHx9nfHycvr4+Ghsb007ZdnZ28uTJEwCKi4txOBxpf/n5+dhsNp3m/c6P9DYej9Pb28vr1685duwYiUSChYUFFhYWTD8RuK2tjfv37xMMBpmenubKlSuEw2H27NkDwLVr17hw4UJqfEtLC+FwOPUcomAwSDAYZP/+/Zk6hKy13N4+fPgQv9/PgQMHcDqdqc9oNBrN1CFkreX01mq1LvluNQyDVatW4XA4KCwszOSh/Lb080f+s+PHj9Pf309PTw8ATU1NdHR0pI15+/atvux+wHJ7Ozc3l3qI46lTp9LGeTweNmzYsAJVZ6cdO3awuLjIwMAA8/PzVFZW0t3dTVlZGQDz8/Npjyaw2+10d3dz9epVBgcHKS0t5eDBg2zfvj1Th5C1ltvbe/fuEY/HCQQCBAKB1PqdO3dy5MiRFa8/my23t/LzWZLfZg+KiIiImJQumYmIiIjpKRCJiIiI6SkQiYiIiOkpEImIiIjpKRCJiIiI6SkQiYiIiOkpEImIiIjp6cGMIpITHjx4wMWLF1PLVqsVm83Gxo0baW9vZ82aNalt79694/bt24RCIcLhMBaLBbvdjtvtpqWlJTX2zZs3DA4OMjk5ydTUFLFYzPQPvhTJVQpEIpJTDh8+THl5OZ8/f+bFixfcvHmTsbExvF4vhYWFPH36FJ/Ph2EY7N27l+rqaiwWC1NTUwwNDTEyMsK5c+cAmJiYYHh4mKqqKlwu15J3nolI7lAgEpGcUllZSW1tLQAul4tEIsHAwADDw8PU19fj8/koLy/H4/GwevXq1H4ul4t9+/al3hcHX19QvGvXLgAeP36sQCSSwxSIRCSn1dXVATA7O8vLly+JxWJ0dHSkhaFvLBYL27ZtSy1brZpmKWIW+m8XkZw2MzMDgGEYjI6OUlJSgtPpzHBVIpJtFIhEJKckEgni8TifPn1iZGSEGzduUFRUxJYtWwiHw9jt9kyXKCJZSJfMRCSnnD59Om3Z4XBw6NAhbDZbZgoSkd+CApGI5JSjR49SUVFBXl4eJSUllJaWpratXbuW9+/fZ7A6EclWumQmIjmloqKC2tpaqqqq0sIQwKZNm4hEIoyPj2eoOhHJVgpEImIabW1tFBQUEAgEiEajS7Ynk8m02+5FxDx0yUxETMNut9PZ2YnP5+PkyZO0trZSXV0NwPT0NENDQySTSdxuNwCxWIxnz54BpM4qjY2Nsbi4SEFBAZs3b87MgYjIT6dAJCKm0tTUhNfr5datW9y9e5e5ubnUqzsaGhpobW1NjY1EIvT29qbtf/36dQDKysrw+/0rWruI/DqWZDKZzHQRIiIiIpmkOUQiIiJiegpEIiIiYnoKRCIiImJ6CkQiIiJiegpEIiIiYnoKRCIiImJ6CkQiIiJiegpEIiIiYnoKRCIiImJ6CkQiIiJiegpEIiIiYnoKRCIiImJ6fwKVgeHY4JIXlwAAAABJRU5ErkJggg=="/>
        <xdr:cNvSpPr>
          <a:spLocks noChangeAspect="1" noChangeArrowheads="1"/>
        </xdr:cNvSpPr>
      </xdr:nvSpPr>
      <xdr:spPr bwMode="auto">
        <a:xfrm>
          <a:off x="204882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54</xdr:row>
      <xdr:rowOff>0</xdr:rowOff>
    </xdr:from>
    <xdr:to>
      <xdr:col>31</xdr:col>
      <xdr:colOff>161234</xdr:colOff>
      <xdr:row>76</xdr:row>
      <xdr:rowOff>161381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73700" y="10287000"/>
          <a:ext cx="5523809" cy="43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field_journal_institution_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_journals"/>
      <sheetName val="man_institutions"/>
      <sheetName val="eco_bus_journals"/>
      <sheetName val="eco_bus_institutions"/>
      <sheetName val="bus_journals"/>
      <sheetName val="bus_institutions"/>
      <sheetName val="eco_journals"/>
      <sheetName val="eco_institutions"/>
      <sheetName val="fin_journals"/>
      <sheetName val="fin_institutions"/>
    </sheetNames>
    <sheetDataSet>
      <sheetData sheetId="0">
        <row r="1">
          <cell r="B1" t="str">
            <v>journal</v>
          </cell>
          <cell r="C1" t="str">
            <v>acr</v>
          </cell>
          <cell r="D1" t="str">
            <v>pub</v>
          </cell>
          <cell r="E1" t="str">
            <v>journal_score</v>
          </cell>
        </row>
        <row r="2">
          <cell r="B2" t="str">
            <v>ACADEMY OF MANAGEMENT ANNALS</v>
          </cell>
          <cell r="C2" t="str">
            <v>HPA</v>
          </cell>
          <cell r="D2">
            <v>31</v>
          </cell>
          <cell r="E2">
            <v>10</v>
          </cell>
        </row>
        <row r="3">
          <cell r="B3" t="str">
            <v>ADMINISTRATIVE SCIENCE QUARTERLY</v>
          </cell>
          <cell r="C3" t="str">
            <v>DHW</v>
          </cell>
          <cell r="D3">
            <v>39</v>
          </cell>
          <cell r="E3">
            <v>7.7979693146107181</v>
          </cell>
        </row>
        <row r="4">
          <cell r="B4" t="str">
            <v>ACADEMY OF MANAGEMENT JOURNAL</v>
          </cell>
          <cell r="C4" t="str">
            <v>DGW</v>
          </cell>
          <cell r="D4">
            <v>71</v>
          </cell>
          <cell r="E4">
            <v>5.2226744757112673</v>
          </cell>
        </row>
        <row r="5">
          <cell r="B5" t="str">
            <v>ACADEMY OF MANAGEMENT REVIEW</v>
          </cell>
          <cell r="C5" t="str">
            <v>DHV</v>
          </cell>
          <cell r="D5">
            <v>40</v>
          </cell>
          <cell r="E5">
            <v>4.664776749773563</v>
          </cell>
        </row>
        <row r="6">
          <cell r="B6" t="str">
            <v>CLIMATE CHANGE ECONOMICS</v>
          </cell>
          <cell r="C6" t="str">
            <v>AAJ</v>
          </cell>
          <cell r="D6">
            <v>27</v>
          </cell>
          <cell r="E6">
            <v>4.0440015854603688</v>
          </cell>
        </row>
        <row r="7">
          <cell r="B7" t="str">
            <v>STRATEGIC MANAGEMENT JOURNAL</v>
          </cell>
          <cell r="C7" t="str">
            <v>DGG</v>
          </cell>
          <cell r="D7">
            <v>121</v>
          </cell>
          <cell r="E7">
            <v>3.8571375775550938</v>
          </cell>
        </row>
        <row r="8">
          <cell r="B8" t="str">
            <v>JOURNAL OF MANAGEMENT</v>
          </cell>
          <cell r="C8" t="str">
            <v>HAX</v>
          </cell>
          <cell r="D8">
            <v>88</v>
          </cell>
          <cell r="E8">
            <v>3.830148718892473</v>
          </cell>
        </row>
        <row r="9">
          <cell r="B9" t="str">
            <v>ACADEMY OF MANAGEMENT PERSPECTIVES</v>
          </cell>
          <cell r="C9" t="str">
            <v>HAI</v>
          </cell>
          <cell r="D9">
            <v>30</v>
          </cell>
          <cell r="E9">
            <v>3.430316583662528</v>
          </cell>
        </row>
        <row r="10">
          <cell r="B10" t="str">
            <v>ORGANIZATION SCIENCE</v>
          </cell>
          <cell r="C10" t="str">
            <v>HHL</v>
          </cell>
          <cell r="D10">
            <v>74</v>
          </cell>
          <cell r="E10">
            <v>3.4154500069425948</v>
          </cell>
        </row>
        <row r="11">
          <cell r="B11" t="str">
            <v>ACADEMY OF MANAGEMENT DISCOVERIES</v>
          </cell>
          <cell r="C11" t="str">
            <v>HEU</v>
          </cell>
          <cell r="D11">
            <v>32</v>
          </cell>
          <cell r="E11">
            <v>3.293848698952428</v>
          </cell>
        </row>
        <row r="12">
          <cell r="B12" t="str">
            <v>JOURNAL OF MANAGEMENT STUDIES</v>
          </cell>
          <cell r="C12" t="str">
            <v>DGM</v>
          </cell>
          <cell r="D12">
            <v>93</v>
          </cell>
          <cell r="E12">
            <v>3.2589619093283351</v>
          </cell>
        </row>
        <row r="13">
          <cell r="B13" t="str">
            <v>JOURNAL OF SUPPLY CHAIN MANAGEMENT</v>
          </cell>
          <cell r="C13" t="str">
            <v>HEX</v>
          </cell>
          <cell r="D13">
            <v>25</v>
          </cell>
          <cell r="E13">
            <v>3.2441710716158121</v>
          </cell>
        </row>
        <row r="14">
          <cell r="B14" t="str">
            <v>JOURNAL OF PRODUCT INNOVATION MANAGEMENT</v>
          </cell>
          <cell r="C14" t="str">
            <v>DFU</v>
          </cell>
          <cell r="D14">
            <v>25</v>
          </cell>
          <cell r="E14">
            <v>3.1404462749895701</v>
          </cell>
        </row>
        <row r="15">
          <cell r="B15" t="str">
            <v>ORGANIZATIONAL RESEARCH METHODS</v>
          </cell>
          <cell r="C15" t="str">
            <v>HFT</v>
          </cell>
          <cell r="D15">
            <v>58</v>
          </cell>
          <cell r="E15">
            <v>2.756926600374737</v>
          </cell>
        </row>
        <row r="16">
          <cell r="B16" t="str">
            <v>INTERNATIONAL JOURNAL OF MANAGEMENT REVIEWS</v>
          </cell>
          <cell r="C16" t="str">
            <v>HAR</v>
          </cell>
          <cell r="D16">
            <v>21</v>
          </cell>
          <cell r="E16">
            <v>2.6435790229522471</v>
          </cell>
        </row>
        <row r="17">
          <cell r="B17" t="str">
            <v>STRATEGIC ENTREPRENEURSHIP JOURNAL</v>
          </cell>
          <cell r="C17" t="str">
            <v>DHP</v>
          </cell>
          <cell r="D17">
            <v>45</v>
          </cell>
          <cell r="E17">
            <v>2.6417040428190068</v>
          </cell>
        </row>
        <row r="18">
          <cell r="B18" t="str">
            <v>ORGANIZATION STUDIES</v>
          </cell>
          <cell r="C18" t="str">
            <v>HQE</v>
          </cell>
          <cell r="D18">
            <v>90</v>
          </cell>
          <cell r="E18">
            <v>2.469649742401244</v>
          </cell>
        </row>
        <row r="19">
          <cell r="B19" t="str">
            <v>JOURNAL OF OPERATIONS MANAGEMENT</v>
          </cell>
          <cell r="C19" t="str">
            <v>HFQ</v>
          </cell>
          <cell r="D19">
            <v>44</v>
          </cell>
          <cell r="E19">
            <v>2.4207930148403531</v>
          </cell>
        </row>
        <row r="20">
          <cell r="B20" t="str">
            <v>CALIFORNIA MANAGEMENT REVIEW</v>
          </cell>
          <cell r="C20" t="str">
            <v>HAF</v>
          </cell>
          <cell r="D20">
            <v>31</v>
          </cell>
          <cell r="E20">
            <v>2.3579585759929391</v>
          </cell>
        </row>
        <row r="21">
          <cell r="B21" t="str">
            <v>M&amp;SOM-MANUFACTURING &amp; SERVICE OPERATIONS MANAGEMENT</v>
          </cell>
          <cell r="C21" t="str">
            <v>HFP</v>
          </cell>
          <cell r="D21">
            <v>112</v>
          </cell>
          <cell r="E21">
            <v>2.2238021862323851</v>
          </cell>
        </row>
        <row r="22">
          <cell r="B22" t="str">
            <v>JOURNAL OF INTERNATIONAL BUSINESS STUDIES</v>
          </cell>
          <cell r="C22" t="str">
            <v>DGN</v>
          </cell>
          <cell r="D22">
            <v>92</v>
          </cell>
          <cell r="E22">
            <v>2.223631278358086</v>
          </cell>
        </row>
        <row r="23">
          <cell r="B23" t="str">
            <v>LONG RANGE PLANNING</v>
          </cell>
          <cell r="C23" t="str">
            <v>HBM</v>
          </cell>
          <cell r="D23">
            <v>56</v>
          </cell>
          <cell r="E23">
            <v>2.110669064631947</v>
          </cell>
        </row>
        <row r="24">
          <cell r="B24" t="str">
            <v>ACADEMY OF MANAGEMENT LEARNING &amp; EDUCATION</v>
          </cell>
          <cell r="C24" t="str">
            <v>HCE</v>
          </cell>
          <cell r="D24">
            <v>22</v>
          </cell>
          <cell r="E24">
            <v>2.0993208341941152</v>
          </cell>
        </row>
        <row r="25">
          <cell r="B25" t="str">
            <v>STRATEGIC ORGANIZATION</v>
          </cell>
          <cell r="C25" t="str">
            <v>DHE</v>
          </cell>
          <cell r="D25">
            <v>53</v>
          </cell>
          <cell r="E25">
            <v>1.884763117606485</v>
          </cell>
        </row>
        <row r="26">
          <cell r="B26" t="str">
            <v>HUMAN RESOURCE MANAGEMENT REVIEW</v>
          </cell>
          <cell r="C26" t="str">
            <v>HEQ</v>
          </cell>
          <cell r="D26">
            <v>35</v>
          </cell>
          <cell r="E26">
            <v>1.832286904249075</v>
          </cell>
        </row>
        <row r="27">
          <cell r="B27" t="str">
            <v>INTERNATIONAL JOURNAL OF OPERATIONS &amp; PRODUCTION MANAGEMENT</v>
          </cell>
          <cell r="C27" t="str">
            <v>HHN</v>
          </cell>
          <cell r="D27">
            <v>70</v>
          </cell>
          <cell r="E27">
            <v>1.813799630617039</v>
          </cell>
        </row>
        <row r="28">
          <cell r="B28" t="str">
            <v>OXFORD REVIEW OF ECONOMIC POLICY</v>
          </cell>
          <cell r="C28" t="str">
            <v>AGQ</v>
          </cell>
          <cell r="D28">
            <v>62</v>
          </cell>
          <cell r="E28">
            <v>1.7997849747003829</v>
          </cell>
        </row>
        <row r="29">
          <cell r="B29" t="str">
            <v>GLOBAL STRATEGY JOURNAL</v>
          </cell>
          <cell r="C29" t="str">
            <v>HAA</v>
          </cell>
          <cell r="D29">
            <v>33</v>
          </cell>
          <cell r="E29">
            <v>1.7584618343372449</v>
          </cell>
        </row>
        <row r="30">
          <cell r="B30" t="str">
            <v>JOURNAL OF BUSINESS LOGISTICS</v>
          </cell>
          <cell r="C30" t="str">
            <v>HEW</v>
          </cell>
          <cell r="D30">
            <v>26</v>
          </cell>
          <cell r="E30">
            <v>1.7211802646894041</v>
          </cell>
        </row>
        <row r="31">
          <cell r="B31" t="str">
            <v>MANAGEMENT SCIENCE</v>
          </cell>
          <cell r="C31" t="str">
            <v>HFK</v>
          </cell>
          <cell r="D31">
            <v>294</v>
          </cell>
          <cell r="E31">
            <v>1.690921284167296</v>
          </cell>
        </row>
        <row r="32">
          <cell r="B32" t="str">
            <v>HUMAN RESOURCE MANAGEMENT</v>
          </cell>
          <cell r="C32" t="str">
            <v>HFV</v>
          </cell>
          <cell r="D32">
            <v>50</v>
          </cell>
          <cell r="E32">
            <v>1.596713488569115</v>
          </cell>
        </row>
        <row r="33">
          <cell r="B33" t="str">
            <v>INFORMATION AND ORGANIZATION</v>
          </cell>
          <cell r="C33" t="str">
            <v>HCY</v>
          </cell>
          <cell r="D33">
            <v>15</v>
          </cell>
          <cell r="E33">
            <v>1.5893268622084891</v>
          </cell>
        </row>
        <row r="34">
          <cell r="B34" t="str">
            <v>LEADERSHIP QUARTERLY</v>
          </cell>
          <cell r="C34" t="str">
            <v>HFU</v>
          </cell>
          <cell r="D34">
            <v>51</v>
          </cell>
          <cell r="E34">
            <v>1.5602884877703691</v>
          </cell>
        </row>
        <row r="35">
          <cell r="B35" t="str">
            <v>BRITISH JOURNAL OF MANAGEMENT</v>
          </cell>
          <cell r="C35" t="str">
            <v>DGV</v>
          </cell>
          <cell r="D35">
            <v>76</v>
          </cell>
          <cell r="E35">
            <v>1.5417162154059481</v>
          </cell>
        </row>
        <row r="36">
          <cell r="B36" t="str">
            <v>HUMAN RELATIONS</v>
          </cell>
          <cell r="C36" t="str">
            <v>HGK</v>
          </cell>
          <cell r="D36">
            <v>111</v>
          </cell>
          <cell r="E36">
            <v>1.451518374673721</v>
          </cell>
        </row>
        <row r="37">
          <cell r="B37" t="str">
            <v>HUMAN RESOURCE DEVELOPMENT REVIEW</v>
          </cell>
          <cell r="C37" t="str">
            <v>HFG</v>
          </cell>
          <cell r="D37">
            <v>15</v>
          </cell>
          <cell r="E37">
            <v>1.411989722738282</v>
          </cell>
        </row>
        <row r="38">
          <cell r="B38" t="str">
            <v>INTERNATIONAL JOURNAL OF PHYSICAL DISTRIBUTION &amp; LOGISTICS MANAGEMENT</v>
          </cell>
          <cell r="C38" t="str">
            <v>HEK</v>
          </cell>
          <cell r="D38">
            <v>39</v>
          </cell>
          <cell r="E38">
            <v>1.297021037841569</v>
          </cell>
        </row>
        <row r="39">
          <cell r="B39" t="str">
            <v>SUPPLY CHAIN MANAGEMENT-AN INTERNATIONAL JOURNAL</v>
          </cell>
          <cell r="C39" t="str">
            <v>DGY</v>
          </cell>
          <cell r="D39">
            <v>70</v>
          </cell>
          <cell r="E39">
            <v>1.249024018529971</v>
          </cell>
        </row>
        <row r="40">
          <cell r="B40" t="str">
            <v>HUMAN RESOURCE MANAGEMENT JOURNAL</v>
          </cell>
          <cell r="C40" t="str">
            <v>HCP</v>
          </cell>
          <cell r="D40">
            <v>62</v>
          </cell>
          <cell r="E40">
            <v>1.22344102651669</v>
          </cell>
        </row>
        <row r="41">
          <cell r="B41" t="str">
            <v>ORGANIZATIONAL BEHAVIOR AND HUMAN DECISION PROCESSES</v>
          </cell>
          <cell r="C41" t="str">
            <v>HGH</v>
          </cell>
          <cell r="D41">
            <v>77</v>
          </cell>
          <cell r="E41">
            <v>1.1791848015136579</v>
          </cell>
        </row>
        <row r="42">
          <cell r="B42" t="str">
            <v>GROUP &amp; ORGANIZATION MANAGEMENT</v>
          </cell>
          <cell r="C42" t="str">
            <v>HFX</v>
          </cell>
          <cell r="D42">
            <v>27</v>
          </cell>
          <cell r="E42">
            <v>1.1417076503830901</v>
          </cell>
        </row>
        <row r="43">
          <cell r="B43" t="str">
            <v>INTERNATIONAL JOURNAL OF PROJECT MANAGEMENT</v>
          </cell>
          <cell r="C43" t="str">
            <v>HEJ</v>
          </cell>
          <cell r="D43">
            <v>42</v>
          </cell>
          <cell r="E43">
            <v>1.12112184285982</v>
          </cell>
        </row>
        <row r="44">
          <cell r="B44" t="str">
            <v>INTERNATIONAL SMALL BUSINESS JOURNAL-RESEARCHING ENTREPRENEURSHIP</v>
          </cell>
          <cell r="C44" t="str">
            <v>DHF</v>
          </cell>
          <cell r="D44">
            <v>52</v>
          </cell>
          <cell r="E44">
            <v>1.074680877377695</v>
          </cell>
        </row>
        <row r="45">
          <cell r="B45" t="str">
            <v>R &amp; D MANAGEMENT</v>
          </cell>
          <cell r="C45" t="str">
            <v>DHH</v>
          </cell>
          <cell r="D45">
            <v>50</v>
          </cell>
          <cell r="E45">
            <v>1.041963622300029</v>
          </cell>
        </row>
        <row r="46">
          <cell r="B46" t="str">
            <v>NEW TECHNOLOGY WORK AND EMPLOYMENT</v>
          </cell>
          <cell r="C46" t="str">
            <v>HCI</v>
          </cell>
          <cell r="D46">
            <v>19</v>
          </cell>
          <cell r="E46">
            <v>1.0400546603207781</v>
          </cell>
        </row>
        <row r="47">
          <cell r="B47" t="str">
            <v>JOURNAL OF FAMILY BUSINESS STRATEGY</v>
          </cell>
          <cell r="C47" t="str">
            <v>HAV</v>
          </cell>
          <cell r="D47">
            <v>20</v>
          </cell>
          <cell r="E47">
            <v>1.028829132798925</v>
          </cell>
        </row>
        <row r="48">
          <cell r="B48" t="str">
            <v>JOURNAL OF INTERNATIONAL MANAGEMENT</v>
          </cell>
          <cell r="C48" t="str">
            <v>HEH</v>
          </cell>
          <cell r="D48">
            <v>44</v>
          </cell>
          <cell r="E48">
            <v>1.025389404826988</v>
          </cell>
        </row>
        <row r="49">
          <cell r="B49" t="str">
            <v>JOURNAL OF SMALL BUSINESS MANAGEMENT</v>
          </cell>
          <cell r="C49" t="str">
            <v>HHW</v>
          </cell>
          <cell r="D49">
            <v>54</v>
          </cell>
          <cell r="E49">
            <v>1.0237106811545309</v>
          </cell>
        </row>
        <row r="50">
          <cell r="B50" t="str">
            <v>BUSINESS STRATEGY AND THE ENVIRONMENT</v>
          </cell>
          <cell r="C50" t="str">
            <v>DFW</v>
          </cell>
          <cell r="D50">
            <v>278</v>
          </cell>
          <cell r="E50">
            <v>1.0151951155141841</v>
          </cell>
        </row>
        <row r="51">
          <cell r="B51" t="str">
            <v>JOURNAL OF PURCHASING AND SUPPLY MANAGEMENT</v>
          </cell>
          <cell r="C51" t="str">
            <v>HET</v>
          </cell>
          <cell r="D51">
            <v>32</v>
          </cell>
          <cell r="E51">
            <v>0.97016745728638232</v>
          </cell>
        </row>
        <row r="52">
          <cell r="B52" t="str">
            <v>CORPORATE GOVERNANCE-AN INTERNATIONAL REVIEW</v>
          </cell>
          <cell r="C52" t="str">
            <v>DFM</v>
          </cell>
          <cell r="D52">
            <v>26</v>
          </cell>
          <cell r="E52">
            <v>0.96827692962581358</v>
          </cell>
        </row>
        <row r="53">
          <cell r="B53" t="str">
            <v>JOURNAL OF MANAGEMENT INQUIRY</v>
          </cell>
          <cell r="C53" t="str">
            <v>HHX</v>
          </cell>
          <cell r="D53">
            <v>51</v>
          </cell>
          <cell r="E53">
            <v>0.96493003362296526</v>
          </cell>
        </row>
        <row r="54">
          <cell r="B54" t="str">
            <v>DECISION SCIENCES</v>
          </cell>
          <cell r="C54" t="str">
            <v>HPG</v>
          </cell>
          <cell r="D54">
            <v>88</v>
          </cell>
          <cell r="E54">
            <v>0.96172113804011117</v>
          </cell>
        </row>
        <row r="55">
          <cell r="B55" t="str">
            <v>JOURNAL OF SERVICE MANAGEMENT</v>
          </cell>
          <cell r="C55" t="str">
            <v>HHJ</v>
          </cell>
          <cell r="D55">
            <v>77</v>
          </cell>
          <cell r="E55">
            <v>0.95834467449070926</v>
          </cell>
        </row>
        <row r="56">
          <cell r="B56" t="str">
            <v>ORGANIZATION</v>
          </cell>
          <cell r="C56" t="str">
            <v>HHH</v>
          </cell>
          <cell r="D56">
            <v>91</v>
          </cell>
          <cell r="E56">
            <v>0.95222064083883851</v>
          </cell>
        </row>
        <row r="57">
          <cell r="B57" t="str">
            <v>PROJECT MANAGEMENT JOURNAL</v>
          </cell>
          <cell r="C57" t="str">
            <v>HHE</v>
          </cell>
          <cell r="D57">
            <v>43</v>
          </cell>
          <cell r="E57">
            <v>0.94302241454188529</v>
          </cell>
        </row>
        <row r="58">
          <cell r="B58" t="str">
            <v>INDUSTRIAL MARKETING MANAGEMENT</v>
          </cell>
          <cell r="C58" t="str">
            <v>DGD</v>
          </cell>
          <cell r="D58">
            <v>284</v>
          </cell>
          <cell r="E58">
            <v>0.92672655242146573</v>
          </cell>
        </row>
        <row r="59">
          <cell r="B59" t="str">
            <v>EUROPEAN MANAGEMENT JOURNAL</v>
          </cell>
          <cell r="C59" t="str">
            <v>DGT</v>
          </cell>
          <cell r="D59">
            <v>78</v>
          </cell>
          <cell r="E59">
            <v>0.92193571707323918</v>
          </cell>
        </row>
        <row r="60">
          <cell r="B60" t="str">
            <v>OPERATIONS MANAGEMENT RESEARCH</v>
          </cell>
          <cell r="C60" t="str">
            <v>HFF</v>
          </cell>
          <cell r="D60">
            <v>20</v>
          </cell>
          <cell r="E60">
            <v>0.91600404642152011</v>
          </cell>
        </row>
        <row r="61">
          <cell r="B61" t="str">
            <v>ASIA PACIFIC JOURNAL OF MANAGEMENT</v>
          </cell>
          <cell r="C61" t="str">
            <v>HHI</v>
          </cell>
          <cell r="D61">
            <v>81</v>
          </cell>
          <cell r="E61">
            <v>0.91413844285254986</v>
          </cell>
        </row>
        <row r="62">
          <cell r="B62" t="str">
            <v>JOURNAL OF INNOVATION &amp; KNOWLEDGE</v>
          </cell>
          <cell r="C62" t="str">
            <v>HAJ</v>
          </cell>
          <cell r="D62">
            <v>30</v>
          </cell>
          <cell r="E62">
            <v>0.88307245012163837</v>
          </cell>
        </row>
        <row r="63">
          <cell r="B63" t="str">
            <v>INTERNATIONAL JOURNAL OF LOGISTICS MANAGEMENT</v>
          </cell>
          <cell r="C63" t="str">
            <v>HHO</v>
          </cell>
          <cell r="D63">
            <v>63</v>
          </cell>
          <cell r="E63">
            <v>0.87859942431538129</v>
          </cell>
        </row>
        <row r="64">
          <cell r="B64" t="str">
            <v>MANAGEMENT LEARNING</v>
          </cell>
          <cell r="C64" t="str">
            <v>HEF</v>
          </cell>
          <cell r="D64">
            <v>44</v>
          </cell>
          <cell r="E64">
            <v>0.87720457572424859</v>
          </cell>
        </row>
        <row r="65">
          <cell r="B65" t="str">
            <v>SMALL BUSINESS ECONOMICS</v>
          </cell>
          <cell r="C65" t="str">
            <v>AAP</v>
          </cell>
          <cell r="D65">
            <v>231</v>
          </cell>
          <cell r="E65">
            <v>0.86368383536014559</v>
          </cell>
        </row>
        <row r="66">
          <cell r="B66" t="str">
            <v>SYSTEM DYNAMICS REVIEW</v>
          </cell>
          <cell r="C66" t="str">
            <v>HGO</v>
          </cell>
          <cell r="D66">
            <v>15</v>
          </cell>
          <cell r="E66">
            <v>0.84880521515675422</v>
          </cell>
        </row>
        <row r="67">
          <cell r="B67" t="str">
            <v>MANAGEMENT ACCOUNTING RESEARCH</v>
          </cell>
          <cell r="C67" t="str">
            <v>DFF</v>
          </cell>
          <cell r="D67">
            <v>16</v>
          </cell>
          <cell r="E67">
            <v>0.84544366738121923</v>
          </cell>
        </row>
        <row r="68">
          <cell r="B68" t="str">
            <v>MANAGEMENT INTERNATIONAL REVIEW</v>
          </cell>
          <cell r="C68" t="str">
            <v>HEZ</v>
          </cell>
          <cell r="D68">
            <v>23</v>
          </cell>
          <cell r="E68">
            <v>0.84191629942964663</v>
          </cell>
        </row>
        <row r="69">
          <cell r="B69" t="str">
            <v>HARVARD BUSINESS REVIEW</v>
          </cell>
          <cell r="C69" t="str">
            <v>DHD</v>
          </cell>
          <cell r="D69">
            <v>61</v>
          </cell>
          <cell r="E69">
            <v>0.81043877681992549</v>
          </cell>
        </row>
        <row r="70">
          <cell r="B70" t="str">
            <v>RESEARCH IN ORGANIZATIONAL BEHAVIOR</v>
          </cell>
          <cell r="C70" t="str">
            <v>HGG</v>
          </cell>
          <cell r="D70">
            <v>3</v>
          </cell>
          <cell r="E70">
            <v>0.79975865549929703</v>
          </cell>
        </row>
        <row r="71">
          <cell r="B71" t="str">
            <v>LEADERSHIP</v>
          </cell>
          <cell r="C71" t="str">
            <v>HHZ</v>
          </cell>
          <cell r="D71">
            <v>50</v>
          </cell>
          <cell r="E71">
            <v>0.77551830546573519</v>
          </cell>
        </row>
        <row r="72">
          <cell r="B72" t="str">
            <v>INTERNATIONAL JOURNAL OF ENTREPRENEURIAL BEHAVIOR &amp; RESEARCH</v>
          </cell>
          <cell r="C72" t="str">
            <v>DGO</v>
          </cell>
          <cell r="D72">
            <v>91</v>
          </cell>
          <cell r="E72">
            <v>0.76932262381149752</v>
          </cell>
        </row>
        <row r="73">
          <cell r="B73" t="str">
            <v>MIS QUARTERLY EXECUTIVE</v>
          </cell>
          <cell r="C73" t="str">
            <v>HCX</v>
          </cell>
          <cell r="D73">
            <v>17</v>
          </cell>
          <cell r="E73">
            <v>0.73500682265178163</v>
          </cell>
        </row>
        <row r="74">
          <cell r="B74" t="str">
            <v>INTERNATIONAL ENTREPRENEURSHIP AND MANAGEMENT JOURNAL</v>
          </cell>
          <cell r="C74" t="str">
            <v>DGH</v>
          </cell>
          <cell r="D74">
            <v>110</v>
          </cell>
          <cell r="E74">
            <v>0.73457290541181719</v>
          </cell>
        </row>
        <row r="75">
          <cell r="B75" t="str">
            <v>INTERNATIONAL JOURNAL OF HUMAN RESOURCE MANAGEMENT</v>
          </cell>
          <cell r="C75" t="str">
            <v>HHA</v>
          </cell>
          <cell r="D75">
            <v>191</v>
          </cell>
          <cell r="E75">
            <v>0.71604747175089467</v>
          </cell>
        </row>
        <row r="76">
          <cell r="B76" t="str">
            <v>JOURNAL OF SERVICE THEORY AND PRACTICE</v>
          </cell>
          <cell r="C76" t="str">
            <v>HAC</v>
          </cell>
          <cell r="D76">
            <v>32</v>
          </cell>
          <cell r="E76">
            <v>0.70199333036159683</v>
          </cell>
        </row>
        <row r="77">
          <cell r="B77" t="str">
            <v>PUBLIC MANAGEMENT REVIEW</v>
          </cell>
          <cell r="C77" t="str">
            <v>HHG</v>
          </cell>
          <cell r="D77">
            <v>105</v>
          </cell>
          <cell r="E77">
            <v>0.66454473127321967</v>
          </cell>
        </row>
        <row r="78">
          <cell r="B78" t="str">
            <v>CREATIVITY AND INNOVATION MANAGEMENT</v>
          </cell>
          <cell r="C78" t="str">
            <v>HHP</v>
          </cell>
          <cell r="D78">
            <v>62</v>
          </cell>
          <cell r="E78">
            <v>0.66213771636700502</v>
          </cell>
        </row>
        <row r="79">
          <cell r="B79" t="str">
            <v>CORPORATE SOCIAL RESPONSIBILITY AND ENVIRONMENTAL MANAGEMENT</v>
          </cell>
          <cell r="C79" t="str">
            <v>DFX</v>
          </cell>
          <cell r="D79">
            <v>239</v>
          </cell>
          <cell r="E79">
            <v>0.65022590603786368</v>
          </cell>
        </row>
        <row r="80">
          <cell r="B80" t="str">
            <v>SCANDINAVIAN JOURNAL OF MANAGEMENT</v>
          </cell>
          <cell r="C80" t="str">
            <v>HFE</v>
          </cell>
          <cell r="D80">
            <v>20</v>
          </cell>
          <cell r="E80">
            <v>0.64677143188604291</v>
          </cell>
        </row>
        <row r="81">
          <cell r="B81" t="str">
            <v>NONPROFIT MANAGEMENT &amp; LEADERSHIP</v>
          </cell>
          <cell r="C81" t="str">
            <v>HGJ</v>
          </cell>
          <cell r="D81">
            <v>43</v>
          </cell>
          <cell r="E81">
            <v>0.63404276884847521</v>
          </cell>
        </row>
        <row r="82">
          <cell r="B82" t="str">
            <v>WORK AGING AND RETIREMENT</v>
          </cell>
          <cell r="C82" t="str">
            <v>HCV</v>
          </cell>
          <cell r="D82">
            <v>26</v>
          </cell>
          <cell r="E82">
            <v>0.63307901912863673</v>
          </cell>
        </row>
        <row r="83">
          <cell r="B83" t="str">
            <v>IEEE TRANSACTIONS ON ENGINEERING MANAGEMENT</v>
          </cell>
          <cell r="C83" t="str">
            <v>DFR</v>
          </cell>
          <cell r="D83">
            <v>107</v>
          </cell>
          <cell r="E83">
            <v>0.620256566737594</v>
          </cell>
        </row>
        <row r="84">
          <cell r="B84" t="str">
            <v>RESEARCH-TECHNOLOGY MANAGEMENT</v>
          </cell>
          <cell r="C84" t="str">
            <v>DFT</v>
          </cell>
          <cell r="D84">
            <v>32</v>
          </cell>
          <cell r="E84">
            <v>0.61434565102970795</v>
          </cell>
        </row>
        <row r="85">
          <cell r="B85" t="str">
            <v>JOURNAL OF TECHNOLOGY TRANSFER</v>
          </cell>
          <cell r="C85" t="str">
            <v>HHC</v>
          </cell>
          <cell r="D85">
            <v>117</v>
          </cell>
          <cell r="E85">
            <v>0.61411527443164804</v>
          </cell>
        </row>
        <row r="86">
          <cell r="B86" t="str">
            <v>INTERNATIONAL JOURNAL OF LOGISTICS-RESEARCH AND APPLICATIONS</v>
          </cell>
          <cell r="C86" t="str">
            <v>HHM</v>
          </cell>
          <cell r="D86">
            <v>70</v>
          </cell>
          <cell r="E86">
            <v>0.6120879900600501</v>
          </cell>
        </row>
        <row r="87">
          <cell r="B87" t="str">
            <v>SERVICE BUSINESS</v>
          </cell>
          <cell r="C87" t="str">
            <v>HAP</v>
          </cell>
          <cell r="D87">
            <v>22</v>
          </cell>
          <cell r="E87">
            <v>0.6084516131342218</v>
          </cell>
        </row>
        <row r="88">
          <cell r="B88" t="str">
            <v>SERVICE INDUSTRIES JOURNAL</v>
          </cell>
          <cell r="C88" t="str">
            <v>HHU</v>
          </cell>
          <cell r="D88">
            <v>57</v>
          </cell>
          <cell r="E88">
            <v>0.60687569629270333</v>
          </cell>
        </row>
        <row r="89">
          <cell r="B89" t="str">
            <v>REVIEW OF MANAGERIAL SCIENCE</v>
          </cell>
          <cell r="C89" t="str">
            <v>HHF</v>
          </cell>
          <cell r="D89">
            <v>89</v>
          </cell>
          <cell r="E89">
            <v>0.60300112293075958</v>
          </cell>
        </row>
        <row r="90">
          <cell r="B90" t="str">
            <v>INDUSTRY AND INNOVATION</v>
          </cell>
          <cell r="C90" t="str">
            <v>AEN</v>
          </cell>
          <cell r="D90">
            <v>59</v>
          </cell>
          <cell r="E90">
            <v>0.58072361973050646</v>
          </cell>
        </row>
        <row r="91">
          <cell r="B91" t="str">
            <v>JOURNAL OF LEADERSHIP &amp; ORGANIZATIONAL STUDIES</v>
          </cell>
          <cell r="C91" t="str">
            <v>HEN</v>
          </cell>
          <cell r="D91">
            <v>36</v>
          </cell>
          <cell r="E91">
            <v>0.57672473187378548</v>
          </cell>
        </row>
        <row r="92">
          <cell r="B92" t="str">
            <v>MANAGEMENT AND ORGANIZATION REVIEW</v>
          </cell>
          <cell r="C92" t="str">
            <v>HEI</v>
          </cell>
          <cell r="D92">
            <v>43</v>
          </cell>
          <cell r="E92">
            <v>0.56096659597661314</v>
          </cell>
        </row>
        <row r="93">
          <cell r="B93" t="str">
            <v>JOURNAL OF HOSPITALITY MARKETING &amp; MANAGEMENT</v>
          </cell>
          <cell r="C93" t="str">
            <v>DFY</v>
          </cell>
          <cell r="D93">
            <v>38</v>
          </cell>
          <cell r="E93">
            <v>0.54209240311745066</v>
          </cell>
        </row>
        <row r="94">
          <cell r="B94" t="str">
            <v>ELECTRONIC MARKETS</v>
          </cell>
          <cell r="C94" t="str">
            <v>DGZ</v>
          </cell>
          <cell r="D94">
            <v>66</v>
          </cell>
          <cell r="E94">
            <v>0.54075049256153251</v>
          </cell>
        </row>
        <row r="95">
          <cell r="B95" t="str">
            <v>INDUSTRIAL AND CORPORATE CHANGE</v>
          </cell>
          <cell r="C95" t="str">
            <v>AFG</v>
          </cell>
          <cell r="D95">
            <v>70</v>
          </cell>
          <cell r="E95">
            <v>0.53287817298955553</v>
          </cell>
        </row>
        <row r="96">
          <cell r="B96" t="str">
            <v>MANAGEMENT COMMUNICATION QUARTERLY</v>
          </cell>
          <cell r="C96" t="str">
            <v>HCH</v>
          </cell>
          <cell r="D96">
            <v>25</v>
          </cell>
          <cell r="E96">
            <v>0.50285718924994982</v>
          </cell>
        </row>
        <row r="97">
          <cell r="B97" t="str">
            <v>OMEGA-INTERNATIONAL JOURNAL OF MANAGEMENT SCIENCE</v>
          </cell>
          <cell r="C97" t="str">
            <v>HFM</v>
          </cell>
          <cell r="D97">
            <v>144</v>
          </cell>
          <cell r="E97">
            <v>0.49884124888234049</v>
          </cell>
        </row>
        <row r="98">
          <cell r="B98" t="str">
            <v>HUMAN RESOURCE DEVELOPMENT QUARTERLY</v>
          </cell>
          <cell r="C98" t="str">
            <v>HCW</v>
          </cell>
          <cell r="D98">
            <v>25</v>
          </cell>
          <cell r="E98">
            <v>0.47184127440336021</v>
          </cell>
        </row>
        <row r="99">
          <cell r="B99" t="str">
            <v>JOURNAL OF MANAGEMENT &amp; ORGANIZATION</v>
          </cell>
          <cell r="C99" t="str">
            <v>HHV</v>
          </cell>
          <cell r="D99">
            <v>56</v>
          </cell>
          <cell r="E99">
            <v>0.46435614252650959</v>
          </cell>
        </row>
        <row r="100">
          <cell r="B100" t="str">
            <v>SUSTAINABILITY ACCOUNTING MANAGEMENT AND POLICY JOURNAL</v>
          </cell>
          <cell r="C100" t="str">
            <v>DEY</v>
          </cell>
          <cell r="D100">
            <v>74</v>
          </cell>
          <cell r="E100">
            <v>0.46323484485202221</v>
          </cell>
        </row>
        <row r="101">
          <cell r="B101" t="str">
            <v>MANAGEMENT DECISION</v>
          </cell>
          <cell r="C101" t="str">
            <v>DGB</v>
          </cell>
          <cell r="D101">
            <v>210</v>
          </cell>
          <cell r="E101">
            <v>0.45926291406187608</v>
          </cell>
        </row>
        <row r="102">
          <cell r="B102" t="str">
            <v>ASIA PACIFIC JOURNAL OF HUMAN RESOURCES</v>
          </cell>
          <cell r="C102" t="str">
            <v>HCU</v>
          </cell>
          <cell r="D102">
            <v>41</v>
          </cell>
          <cell r="E102">
            <v>0.45560517433968772</v>
          </cell>
        </row>
        <row r="103">
          <cell r="B103" t="str">
            <v>CAREER DEVELOPMENT INTERNATIONAL</v>
          </cell>
          <cell r="C103" t="str">
            <v>HFW</v>
          </cell>
          <cell r="D103">
            <v>42</v>
          </cell>
          <cell r="E103">
            <v>0.44749784428774902</v>
          </cell>
        </row>
        <row r="104">
          <cell r="B104" t="str">
            <v>DECISION ANALYSIS</v>
          </cell>
          <cell r="C104" t="str">
            <v>HFH</v>
          </cell>
          <cell r="D104">
            <v>20</v>
          </cell>
          <cell r="E104">
            <v>0.44188090301345762</v>
          </cell>
        </row>
        <row r="105">
          <cell r="B105" t="str">
            <v>EUROPEAN JOURNAL OF INNOVATION MANAGEMENT</v>
          </cell>
          <cell r="C105" t="str">
            <v>DGC</v>
          </cell>
          <cell r="D105">
            <v>127</v>
          </cell>
          <cell r="E105">
            <v>0.43046192595464039</v>
          </cell>
        </row>
        <row r="106">
          <cell r="B106" t="str">
            <v>INTERNATIONAL JOURNAL OF FORECASTING</v>
          </cell>
          <cell r="C106" t="str">
            <v>ADB</v>
          </cell>
          <cell r="D106">
            <v>98</v>
          </cell>
          <cell r="E106">
            <v>0.42451526838481601</v>
          </cell>
        </row>
        <row r="107">
          <cell r="B107" t="str">
            <v>JOURNAL OF BRAND MANAGEMENT</v>
          </cell>
          <cell r="C107" t="str">
            <v>DHO</v>
          </cell>
          <cell r="D107">
            <v>46</v>
          </cell>
          <cell r="E107">
            <v>0.4232873296765447</v>
          </cell>
        </row>
        <row r="108">
          <cell r="B108" t="str">
            <v>INTERNATIONAL JOURNAL OF RETAIL &amp; DISTRIBUTION MANAGEMENT</v>
          </cell>
          <cell r="C108" t="str">
            <v>DGP</v>
          </cell>
          <cell r="D108">
            <v>89</v>
          </cell>
          <cell r="E108">
            <v>0.42232534961044538</v>
          </cell>
        </row>
        <row r="109">
          <cell r="B109" t="str">
            <v>JOURNAL OF PRODUCT AND BRAND MANAGEMENT</v>
          </cell>
          <cell r="C109" t="str">
            <v>DGK</v>
          </cell>
          <cell r="D109">
            <v>99</v>
          </cell>
          <cell r="E109">
            <v>0.41468924894633952</v>
          </cell>
        </row>
        <row r="110">
          <cell r="B110" t="str">
            <v>CORNELL HOSPITALITY QUARTERLY</v>
          </cell>
          <cell r="C110" t="str">
            <v>HCL</v>
          </cell>
          <cell r="D110">
            <v>48</v>
          </cell>
          <cell r="E110">
            <v>0.41461283896432849</v>
          </cell>
        </row>
        <row r="111">
          <cell r="B111" t="str">
            <v>JOURNAL OF ECONOMICS &amp; MANAGEMENT STRATEGY</v>
          </cell>
          <cell r="C111" t="str">
            <v>AHZ</v>
          </cell>
          <cell r="D111">
            <v>43</v>
          </cell>
          <cell r="E111">
            <v>0.41131960063699741</v>
          </cell>
        </row>
        <row r="112">
          <cell r="B112" t="str">
            <v>INNOVATION-ORGANIZATION &amp; MANAGEMENT</v>
          </cell>
          <cell r="C112" t="str">
            <v>HEY</v>
          </cell>
          <cell r="D112">
            <v>24</v>
          </cell>
          <cell r="E112">
            <v>0.39767817608610562</v>
          </cell>
        </row>
        <row r="113">
          <cell r="B113" t="str">
            <v>MIT SLOAN MANAGEMENT REVIEW</v>
          </cell>
          <cell r="C113" t="str">
            <v>DHQ</v>
          </cell>
          <cell r="D113">
            <v>44</v>
          </cell>
          <cell r="E113">
            <v>0.39572167492909188</v>
          </cell>
        </row>
        <row r="114">
          <cell r="B114" t="str">
            <v>INTERNATIONAL JOURNAL OF ACCOUNTING INFORMATION SYSTEMS</v>
          </cell>
          <cell r="C114" t="str">
            <v>DFP</v>
          </cell>
          <cell r="D114">
            <v>20</v>
          </cell>
          <cell r="E114">
            <v>0.39268556846488317</v>
          </cell>
        </row>
        <row r="115">
          <cell r="B115" t="str">
            <v>JOURNAL OF MARKETING MANAGEMENT</v>
          </cell>
          <cell r="C115" t="str">
            <v>DGQ</v>
          </cell>
          <cell r="D115">
            <v>81</v>
          </cell>
          <cell r="E115">
            <v>0.39138047272183668</v>
          </cell>
        </row>
        <row r="116">
          <cell r="B116" t="str">
            <v>ASIAN BUSINESS &amp; MANAGEMENT</v>
          </cell>
          <cell r="C116" t="str">
            <v>DHG</v>
          </cell>
          <cell r="D116">
            <v>52</v>
          </cell>
          <cell r="E116">
            <v>0.3841712065374509</v>
          </cell>
        </row>
        <row r="117">
          <cell r="B117" t="str">
            <v>JOURNAL OF HOSPITALITY AND TOURISM MANAGEMENT</v>
          </cell>
          <cell r="C117" t="str">
            <v>HCK</v>
          </cell>
          <cell r="D117">
            <v>151</v>
          </cell>
          <cell r="E117">
            <v>0.38024269407321171</v>
          </cell>
        </row>
        <row r="118">
          <cell r="B118" t="str">
            <v>ASIA PACIFIC BUSINESS REVIEW</v>
          </cell>
          <cell r="C118" t="str">
            <v>DHS</v>
          </cell>
          <cell r="D118">
            <v>43</v>
          </cell>
          <cell r="E118">
            <v>0.36946734021838029</v>
          </cell>
        </row>
        <row r="119">
          <cell r="B119" t="str">
            <v>LEADERSHIP &amp; ORGANIZATION DEVELOPMENT JOURNAL</v>
          </cell>
          <cell r="C119" t="str">
            <v>HHK</v>
          </cell>
          <cell r="D119">
            <v>76</v>
          </cell>
          <cell r="E119">
            <v>0.36200802629183382</v>
          </cell>
        </row>
        <row r="120">
          <cell r="B120" t="str">
            <v>GERMAN JOURNAL OF HUMAN RESOURCE MANAGEMENT-ZEITSCHRIFT FUR PERSONALFORSCHUNG</v>
          </cell>
          <cell r="C120" t="str">
            <v>HGC</v>
          </cell>
          <cell r="D120">
            <v>16</v>
          </cell>
          <cell r="E120">
            <v>0.35688528175064188</v>
          </cell>
        </row>
        <row r="121">
          <cell r="B121" t="str">
            <v>JOURNAL OF MANAGEMENT ANALYTICS</v>
          </cell>
          <cell r="C121" t="str">
            <v>HBB</v>
          </cell>
          <cell r="D121">
            <v>34</v>
          </cell>
          <cell r="E121">
            <v>0.34786858738957482</v>
          </cell>
        </row>
        <row r="122">
          <cell r="B122" t="str">
            <v>AUSTRALIAN JOURNAL OF MANAGEMENT</v>
          </cell>
          <cell r="C122" t="str">
            <v>DHK</v>
          </cell>
          <cell r="D122">
            <v>47</v>
          </cell>
          <cell r="E122">
            <v>0.34239754294209251</v>
          </cell>
        </row>
        <row r="123">
          <cell r="B123" t="str">
            <v>SERVICE SCIENCE</v>
          </cell>
          <cell r="C123" t="str">
            <v>HAW</v>
          </cell>
          <cell r="D123">
            <v>10</v>
          </cell>
          <cell r="E123">
            <v>0.34168949335103832</v>
          </cell>
        </row>
        <row r="124">
          <cell r="B124" t="str">
            <v>INTERNATIONAL JOURNAL OF MANAGING PROJECTS IN BUSINESS</v>
          </cell>
          <cell r="C124" t="str">
            <v>DGR</v>
          </cell>
          <cell r="D124">
            <v>78</v>
          </cell>
          <cell r="E124">
            <v>0.332149172051592</v>
          </cell>
        </row>
        <row r="125">
          <cell r="B125" t="str">
            <v>BRQ-BUSINESS RESEARCH QUARTERLY</v>
          </cell>
          <cell r="C125" t="str">
            <v>DHZ</v>
          </cell>
          <cell r="D125">
            <v>34</v>
          </cell>
          <cell r="E125">
            <v>0.3318765532597876</v>
          </cell>
        </row>
        <row r="126">
          <cell r="B126" t="str">
            <v>CROSS CULTURAL &amp; STRATEGIC MANAGEMENT</v>
          </cell>
          <cell r="C126" t="str">
            <v>HEC</v>
          </cell>
          <cell r="D126">
            <v>44</v>
          </cell>
          <cell r="E126">
            <v>0.31633162437156609</v>
          </cell>
        </row>
        <row r="127">
          <cell r="B127" t="str">
            <v>TECHNOLOGY ANALYSIS &amp; STRATEGIC MANAGEMENT</v>
          </cell>
          <cell r="C127" t="str">
            <v>HFJ</v>
          </cell>
          <cell r="D127">
            <v>118</v>
          </cell>
          <cell r="E127">
            <v>0.31267837155371231</v>
          </cell>
        </row>
        <row r="128">
          <cell r="B128" t="str">
            <v>GENDER IN MANAGEMENT</v>
          </cell>
          <cell r="C128" t="str">
            <v>HBH</v>
          </cell>
          <cell r="D128">
            <v>58</v>
          </cell>
          <cell r="E128">
            <v>0.31152427424063572</v>
          </cell>
        </row>
        <row r="129">
          <cell r="B129" t="str">
            <v>JOURNAL OF INTELLECTUAL CAPITAL</v>
          </cell>
          <cell r="C129" t="str">
            <v>DGL</v>
          </cell>
          <cell r="D129">
            <v>97</v>
          </cell>
          <cell r="E129">
            <v>0.31064947430423862</v>
          </cell>
        </row>
        <row r="130">
          <cell r="B130" t="str">
            <v>INTERNATIONAL JOURNAL OF LEAN SIX SIGMA</v>
          </cell>
          <cell r="C130" t="str">
            <v>HCG</v>
          </cell>
          <cell r="D130">
            <v>49</v>
          </cell>
          <cell r="E130">
            <v>0.3091117353457023</v>
          </cell>
        </row>
        <row r="131">
          <cell r="B131" t="str">
            <v>INTERNATIONAL JOURNAL OF MANPOWER</v>
          </cell>
          <cell r="C131" t="str">
            <v>HCO</v>
          </cell>
          <cell r="D131">
            <v>101</v>
          </cell>
          <cell r="E131">
            <v>0.29702335167872262</v>
          </cell>
        </row>
        <row r="132">
          <cell r="B132" t="str">
            <v>INFORMS JOURNAL ON APPLIED ANALYTICS</v>
          </cell>
          <cell r="C132" t="str">
            <v>HFR</v>
          </cell>
          <cell r="D132">
            <v>26</v>
          </cell>
          <cell r="E132">
            <v>0.29123334510210019</v>
          </cell>
        </row>
        <row r="133">
          <cell r="B133" t="str">
            <v>JOURNAL OF ORGANIZATIONAL BEHAVIOR MANAGEMENT</v>
          </cell>
          <cell r="C133" t="str">
            <v>HFY</v>
          </cell>
          <cell r="D133">
            <v>26</v>
          </cell>
          <cell r="E133">
            <v>0.2879485214196616</v>
          </cell>
        </row>
        <row r="134">
          <cell r="B134" t="str">
            <v>JOURNAL OF CONTINGENCIES AND CRISIS MANAGEMENT</v>
          </cell>
          <cell r="C134" t="str">
            <v>HHR</v>
          </cell>
          <cell r="D134">
            <v>60</v>
          </cell>
          <cell r="E134">
            <v>0.27897770911379027</v>
          </cell>
        </row>
        <row r="135">
          <cell r="B135" t="str">
            <v>EMPLOYEE RELATIONS</v>
          </cell>
          <cell r="C135" t="str">
            <v>HCN</v>
          </cell>
          <cell r="D135">
            <v>122</v>
          </cell>
          <cell r="E135">
            <v>0.2787272159952619</v>
          </cell>
        </row>
        <row r="136">
          <cell r="B136" t="str">
            <v>BALTIC JOURNAL OF MANAGEMENT</v>
          </cell>
          <cell r="C136" t="str">
            <v>HEB</v>
          </cell>
          <cell r="D136">
            <v>46</v>
          </cell>
          <cell r="E136">
            <v>0.27772310780784443</v>
          </cell>
        </row>
        <row r="137">
          <cell r="B137" t="str">
            <v>BUSINESS PROCESS MANAGEMENT JOURNAL</v>
          </cell>
          <cell r="C137" t="str">
            <v>DGJ</v>
          </cell>
          <cell r="D137">
            <v>102</v>
          </cell>
          <cell r="E137">
            <v>0.27528130645824128</v>
          </cell>
        </row>
        <row r="138">
          <cell r="B138" t="str">
            <v>CULTURE AND ORGANIZATION</v>
          </cell>
          <cell r="C138" t="str">
            <v>HEP</v>
          </cell>
          <cell r="D138">
            <v>36</v>
          </cell>
          <cell r="E138">
            <v>0.26459360349477973</v>
          </cell>
        </row>
        <row r="139">
          <cell r="B139" t="str">
            <v>ENGINEERING CONSTRUCTION AND ARCHITECTURAL MANAGEMENT</v>
          </cell>
          <cell r="C139" t="str">
            <v>HCF</v>
          </cell>
          <cell r="D139">
            <v>245</v>
          </cell>
          <cell r="E139">
            <v>0.26155204407897692</v>
          </cell>
        </row>
        <row r="140">
          <cell r="B140" t="str">
            <v>SOCIO-ECONOMIC PLANNING SCIENCES</v>
          </cell>
          <cell r="C140" t="str">
            <v>ABT</v>
          </cell>
          <cell r="D140">
            <v>138</v>
          </cell>
          <cell r="E140">
            <v>0.26009384274792607</v>
          </cell>
        </row>
        <row r="141">
          <cell r="B141" t="str">
            <v>JOURNAL OF FASHION MARKETING AND MANAGEMENT</v>
          </cell>
          <cell r="C141" t="str">
            <v>DHC</v>
          </cell>
          <cell r="D141">
            <v>65</v>
          </cell>
          <cell r="E141">
            <v>0.25585693426916328</v>
          </cell>
        </row>
        <row r="142">
          <cell r="B142" t="str">
            <v>QUALITATIVE RESEARCH IN ACCOUNTING AND MANAGEMENT</v>
          </cell>
          <cell r="C142" t="str">
            <v>DFE</v>
          </cell>
          <cell r="D142">
            <v>29</v>
          </cell>
          <cell r="E142">
            <v>0.24679765295044259</v>
          </cell>
        </row>
        <row r="143">
          <cell r="B143" t="str">
            <v>EURASIAN BUSINESS REVIEW</v>
          </cell>
          <cell r="C143" t="str">
            <v>BBN</v>
          </cell>
          <cell r="D143">
            <v>36</v>
          </cell>
          <cell r="E143">
            <v>0.24293792744999429</v>
          </cell>
        </row>
        <row r="144">
          <cell r="B144" t="str">
            <v>MANAGERIAL AUDITING JOURNAL</v>
          </cell>
          <cell r="C144" t="str">
            <v>DFD</v>
          </cell>
          <cell r="D144">
            <v>49</v>
          </cell>
          <cell r="E144">
            <v>0.23447892603011811</v>
          </cell>
        </row>
        <row r="145">
          <cell r="B145" t="str">
            <v>JOURNAL OF ORGANIZATIONAL CHANGE MANAGEMENT</v>
          </cell>
          <cell r="C145" t="str">
            <v>HQH</v>
          </cell>
          <cell r="D145">
            <v>87</v>
          </cell>
          <cell r="E145">
            <v>0.21892941180462219</v>
          </cell>
        </row>
        <row r="146">
          <cell r="B146" t="str">
            <v>NEGOTIATION JOURNAL</v>
          </cell>
          <cell r="C146" t="str">
            <v>HGN</v>
          </cell>
          <cell r="D146">
            <v>32</v>
          </cell>
          <cell r="E146">
            <v>0.21397999270289331</v>
          </cell>
        </row>
        <row r="147">
          <cell r="B147" t="str">
            <v>INTERNATIONAL TRANSACTIONS IN OPERATIONAL RESEARCH</v>
          </cell>
          <cell r="C147" t="str">
            <v>HFL</v>
          </cell>
          <cell r="D147">
            <v>209</v>
          </cell>
          <cell r="E147">
            <v>0.2136091884951847</v>
          </cell>
        </row>
        <row r="148">
          <cell r="B148" t="str">
            <v>TOTAL QUALITY MANAGEMENT &amp; BUSINESS EXCELLENCE</v>
          </cell>
          <cell r="C148" t="str">
            <v>HHB</v>
          </cell>
          <cell r="D148">
            <v>157</v>
          </cell>
          <cell r="E148">
            <v>0.21343006527390529</v>
          </cell>
        </row>
        <row r="149">
          <cell r="B149" t="str">
            <v>EUROPEAN JOURNAL OF INTERNATIONAL MANAGEMENT</v>
          </cell>
          <cell r="C149" t="str">
            <v>HEG</v>
          </cell>
          <cell r="D149">
            <v>44</v>
          </cell>
          <cell r="E149">
            <v>0.20774416498480461</v>
          </cell>
        </row>
        <row r="150">
          <cell r="B150" t="str">
            <v>NEGOTIATION AND CONFLICT MANAGEMENT RESEARCH</v>
          </cell>
          <cell r="C150" t="str">
            <v>HGB</v>
          </cell>
          <cell r="D150">
            <v>19</v>
          </cell>
          <cell r="E150">
            <v>0.20448824940555141</v>
          </cell>
        </row>
        <row r="151">
          <cell r="B151" t="str">
            <v>INFORMATION SYSTEMS AND E-BUSINESS MANAGEMENT</v>
          </cell>
          <cell r="C151" t="str">
            <v>DHY</v>
          </cell>
          <cell r="D151">
            <v>34</v>
          </cell>
          <cell r="E151">
            <v>0.20200399131680929</v>
          </cell>
        </row>
        <row r="152">
          <cell r="B152" t="str">
            <v>ORGANIZATIONAL DYNAMICS</v>
          </cell>
          <cell r="C152" t="str">
            <v>HAZ</v>
          </cell>
          <cell r="D152">
            <v>49</v>
          </cell>
          <cell r="E152">
            <v>0.18836832906270259</v>
          </cell>
        </row>
        <row r="153">
          <cell r="B153" t="str">
            <v>REVIEW OF INDUSTRIAL ORGANIZATION</v>
          </cell>
          <cell r="C153" t="str">
            <v>ADX</v>
          </cell>
          <cell r="D153">
            <v>76</v>
          </cell>
          <cell r="E153">
            <v>0.18386698833617451</v>
          </cell>
        </row>
        <row r="154">
          <cell r="B154" t="str">
            <v>CHINESE MANAGEMENT STUDIES</v>
          </cell>
          <cell r="C154" t="str">
            <v>HHT</v>
          </cell>
          <cell r="D154">
            <v>57</v>
          </cell>
          <cell r="E154">
            <v>0.1813741748128368</v>
          </cell>
        </row>
        <row r="155">
          <cell r="B155" t="str">
            <v>CANADIAN JOURNAL OF ADMINISTRATIVE SCIENCES-REVUE CANADIENNE DES SCIENCES DE L ADMINISTRATION</v>
          </cell>
          <cell r="C155" t="str">
            <v>DHT</v>
          </cell>
          <cell r="D155">
            <v>41</v>
          </cell>
          <cell r="E155">
            <v>0.18112650398055369</v>
          </cell>
        </row>
        <row r="156">
          <cell r="B156" t="str">
            <v>SYSTEMS RESEARCH AND BEHAVIORAL SCIENCE</v>
          </cell>
          <cell r="C156" t="str">
            <v>HGL</v>
          </cell>
          <cell r="D156">
            <v>100</v>
          </cell>
          <cell r="E156">
            <v>0.18016502450231531</v>
          </cell>
        </row>
        <row r="157">
          <cell r="B157" t="str">
            <v>INTERNATIONAL JOURNAL OF EMERGING MARKETS</v>
          </cell>
          <cell r="C157" t="str">
            <v>ABH</v>
          </cell>
          <cell r="D157">
            <v>149</v>
          </cell>
          <cell r="E157">
            <v>0.16706689819912099</v>
          </cell>
        </row>
        <row r="158">
          <cell r="B158" t="str">
            <v>ELECTRONIC COMMERCE RESEARCH</v>
          </cell>
          <cell r="C158" t="str">
            <v>DGU</v>
          </cell>
          <cell r="D158">
            <v>78</v>
          </cell>
          <cell r="E158">
            <v>0.1522247402109948</v>
          </cell>
        </row>
        <row r="159">
          <cell r="B159" t="str">
            <v>JOURNAL OF FORECASTING</v>
          </cell>
          <cell r="C159" t="str">
            <v>ABZ</v>
          </cell>
          <cell r="D159">
            <v>103</v>
          </cell>
          <cell r="E159">
            <v>0.15112293285267511</v>
          </cell>
        </row>
        <row r="160">
          <cell r="B160" t="str">
            <v>GROUP DECISION AND NEGOTIATION</v>
          </cell>
          <cell r="C160" t="str">
            <v>HGM</v>
          </cell>
          <cell r="D160">
            <v>62</v>
          </cell>
          <cell r="E160">
            <v>0.15043670691185379</v>
          </cell>
        </row>
        <row r="161">
          <cell r="B161" t="str">
            <v>MANAGEMENT &amp; ORGANIZATIONAL HISTORY</v>
          </cell>
          <cell r="C161" t="str">
            <v>HCJ</v>
          </cell>
          <cell r="D161">
            <v>20</v>
          </cell>
          <cell r="E161">
            <v>0.1494106148453723</v>
          </cell>
        </row>
        <row r="162">
          <cell r="B162" t="str">
            <v>MANAGERIAL AND DECISION ECONOMICS</v>
          </cell>
          <cell r="C162" t="str">
            <v>AAX</v>
          </cell>
          <cell r="D162">
            <v>161</v>
          </cell>
          <cell r="E162">
            <v>0.14659983646609201</v>
          </cell>
        </row>
        <row r="163">
          <cell r="B163" t="str">
            <v>EUROPEAN RESEARCH ON MANAGEMENT AND BUSINESS ECONOMICS</v>
          </cell>
          <cell r="C163" t="str">
            <v>CAS</v>
          </cell>
          <cell r="D163">
            <v>22</v>
          </cell>
          <cell r="E163">
            <v>0.14502213959435781</v>
          </cell>
        </row>
        <row r="164">
          <cell r="B164" t="str">
            <v>INTERNATIONAL JOURNAL OF TECHNOLOGY MANAGEMENT</v>
          </cell>
          <cell r="C164" t="str">
            <v>HPP</v>
          </cell>
          <cell r="D164">
            <v>40</v>
          </cell>
          <cell r="E164">
            <v>0.1241723341056671</v>
          </cell>
        </row>
        <row r="165">
          <cell r="B165" t="str">
            <v>INTERNATIONAL JOURNAL OF ARTS MANAGEMENT</v>
          </cell>
          <cell r="C165" t="str">
            <v>HCM</v>
          </cell>
          <cell r="D165">
            <v>19</v>
          </cell>
          <cell r="E165">
            <v>0.11289551607407609</v>
          </cell>
        </row>
        <row r="166">
          <cell r="B166" t="str">
            <v>INTERNATIONAL JOURNAL OF STRATEGIC PROPERTY MANAGEMENT</v>
          </cell>
          <cell r="C166" t="str">
            <v>HER</v>
          </cell>
          <cell r="D166">
            <v>33</v>
          </cell>
          <cell r="E166">
            <v>0.10540188662622089</v>
          </cell>
        </row>
        <row r="167">
          <cell r="B167" t="str">
            <v>COMPUTATIONAL ECONOMICS</v>
          </cell>
          <cell r="C167" t="str">
            <v>AAW</v>
          </cell>
          <cell r="D167">
            <v>163</v>
          </cell>
          <cell r="E167">
            <v>0.1021031010948987</v>
          </cell>
        </row>
        <row r="168">
          <cell r="B168" t="str">
            <v>INTERNATIONAL JOURNAL OF ISLAMIC AND MIDDLE EASTERN FINANCE AND MANAGEMENT</v>
          </cell>
          <cell r="C168" t="str">
            <v>DEZ</v>
          </cell>
          <cell r="D168">
            <v>62</v>
          </cell>
          <cell r="E168">
            <v>9.3960971313612987E-2</v>
          </cell>
        </row>
        <row r="169">
          <cell r="B169" t="str">
            <v>SYSTEMIC PRACTICE AND ACTION RESEARCH</v>
          </cell>
          <cell r="C169" t="str">
            <v>HHS</v>
          </cell>
          <cell r="D169">
            <v>58</v>
          </cell>
          <cell r="E169">
            <v>8.5105049881957884E-2</v>
          </cell>
        </row>
        <row r="170">
          <cell r="B170" t="str">
            <v>SCIENCE TECHNOLOGY AND SOCIETY</v>
          </cell>
          <cell r="C170" t="str">
            <v>HEV</v>
          </cell>
          <cell r="D170">
            <v>32</v>
          </cell>
          <cell r="E170">
            <v>8.1692863051976747E-2</v>
          </cell>
        </row>
        <row r="171">
          <cell r="B171" t="str">
            <v>JOURNAL OF COMPETITIVENESS</v>
          </cell>
          <cell r="C171" t="str">
            <v>BCN</v>
          </cell>
          <cell r="D171">
            <v>40</v>
          </cell>
          <cell r="E171">
            <v>7.0991907725292736E-2</v>
          </cell>
        </row>
        <row r="172">
          <cell r="B172" t="str">
            <v>SOUTH AFRICAN JOURNAL OF BUSINESS MANAGEMENT</v>
          </cell>
          <cell r="C172" t="str">
            <v>HAN</v>
          </cell>
          <cell r="D172">
            <v>29</v>
          </cell>
          <cell r="E172">
            <v>6.6522586523977856E-2</v>
          </cell>
        </row>
        <row r="173">
          <cell r="B173" t="str">
            <v>INTERNATIONAL JOURNAL OF SHIPPING AND TRANSPORT LOGISTICS</v>
          </cell>
          <cell r="C173" t="str">
            <v>HGP</v>
          </cell>
          <cell r="D173">
            <v>28</v>
          </cell>
          <cell r="E173">
            <v>6.6112950098407022E-2</v>
          </cell>
        </row>
        <row r="174">
          <cell r="B174" t="str">
            <v>RAE-REVISTA DE ADMINISTRACAO DE EMPRESAS</v>
          </cell>
          <cell r="C174" t="str">
            <v>HAH</v>
          </cell>
          <cell r="D174">
            <v>32</v>
          </cell>
          <cell r="E174">
            <v>5.8546544100756062E-2</v>
          </cell>
        </row>
        <row r="175">
          <cell r="B175" t="str">
            <v>RBGN-REVISTA BRASILEIRA DE GESTAO DE NEGOCIOS</v>
          </cell>
          <cell r="C175" t="str">
            <v>DHJ</v>
          </cell>
          <cell r="D175">
            <v>48</v>
          </cell>
          <cell r="E175">
            <v>5.7948183802077627E-2</v>
          </cell>
        </row>
        <row r="176">
          <cell r="B176" t="str">
            <v>INFORMATION TECHNOLOGY &amp; MANAGEMENT</v>
          </cell>
          <cell r="C176" t="str">
            <v>HCZ</v>
          </cell>
          <cell r="D176">
            <v>12</v>
          </cell>
          <cell r="E176">
            <v>5.7245205846984129E-2</v>
          </cell>
        </row>
        <row r="177">
          <cell r="B177" t="str">
            <v>ENGINEERING ECONOMIST</v>
          </cell>
          <cell r="C177" t="str">
            <v>DFV</v>
          </cell>
          <cell r="D177">
            <v>18</v>
          </cell>
          <cell r="E177">
            <v>4.9902713335988613E-2</v>
          </cell>
        </row>
        <row r="178">
          <cell r="B178" t="str">
            <v>ACADEMIA-REVISTA LATINOAMERICANA DE ADMINISTRACION</v>
          </cell>
          <cell r="C178" t="str">
            <v>DHX</v>
          </cell>
          <cell r="D178">
            <v>35</v>
          </cell>
          <cell r="E178">
            <v>4.2355229680527309E-2</v>
          </cell>
        </row>
        <row r="179">
          <cell r="B179" t="str">
            <v>SOUTH AFRICAN JOURNAL OF ECONOMIC AND MANAGEMENT SCIENCES</v>
          </cell>
          <cell r="C179" t="str">
            <v>BDV</v>
          </cell>
          <cell r="D179">
            <v>35</v>
          </cell>
          <cell r="E179">
            <v>4.0061455858434493E-2</v>
          </cell>
        </row>
        <row r="180">
          <cell r="B180" t="str">
            <v>JOURNAL OF EAST EUROPEAN MANAGEMENT STUDIES</v>
          </cell>
          <cell r="C180" t="str">
            <v>HEM</v>
          </cell>
          <cell r="D180">
            <v>37</v>
          </cell>
          <cell r="E180">
            <v>2.9756856728405941E-2</v>
          </cell>
        </row>
        <row r="181">
          <cell r="B181" t="str">
            <v>AMFITEATRU ECONOMIC</v>
          </cell>
          <cell r="C181" t="str">
            <v>AFJ</v>
          </cell>
          <cell r="D181">
            <v>72</v>
          </cell>
          <cell r="E181">
            <v>2.3362132984165031E-2</v>
          </cell>
        </row>
        <row r="182">
          <cell r="B182" t="str">
            <v>E &amp; M EKONOMIE A MANAGEMENT</v>
          </cell>
          <cell r="C182" t="str">
            <v>AHV</v>
          </cell>
          <cell r="D182">
            <v>55</v>
          </cell>
          <cell r="E182">
            <v>1.833481176563051E-2</v>
          </cell>
        </row>
        <row r="183">
          <cell r="B183" t="str">
            <v>MILITARY OPERATIONS RESEARCH</v>
          </cell>
          <cell r="C183" t="str">
            <v>HGR</v>
          </cell>
          <cell r="D183">
            <v>17</v>
          </cell>
          <cell r="E183">
            <v>0.01</v>
          </cell>
        </row>
        <row r="184">
          <cell r="B184" t="str">
            <v>BETRIEBSWIRTSCHAFTLICHE FORSCHUNG UND PRAXIS</v>
          </cell>
          <cell r="C184" t="str">
            <v>DFQ</v>
          </cell>
          <cell r="D184">
            <v>26</v>
          </cell>
          <cell r="E184">
            <v>0.01</v>
          </cell>
        </row>
      </sheetData>
      <sheetData sheetId="1">
        <row r="1">
          <cell r="B1" t="str">
            <v>institution</v>
          </cell>
          <cell r="C1" t="str">
            <v>pub</v>
          </cell>
          <cell r="D1" t="str">
            <v>acr</v>
          </cell>
          <cell r="E1" t="str">
            <v>iscore</v>
          </cell>
        </row>
        <row r="2">
          <cell r="B2" t="str">
            <v>University of Cambridge</v>
          </cell>
          <cell r="C2">
            <v>29</v>
          </cell>
          <cell r="D2" t="str">
            <v>AAT</v>
          </cell>
          <cell r="E2">
            <v>8</v>
          </cell>
        </row>
        <row r="3">
          <cell r="B3" t="str">
            <v>Tulane University</v>
          </cell>
          <cell r="C3">
            <v>7</v>
          </cell>
          <cell r="D3" t="str">
            <v>CHR</v>
          </cell>
          <cell r="E3">
            <v>7.9602003645460657</v>
          </cell>
        </row>
        <row r="4">
          <cell r="B4" t="str">
            <v>Stanford University</v>
          </cell>
          <cell r="C4">
            <v>59</v>
          </cell>
          <cell r="D4" t="str">
            <v>AAO</v>
          </cell>
          <cell r="E4">
            <v>7.7233048660269246</v>
          </cell>
        </row>
        <row r="5">
          <cell r="B5" t="str">
            <v>University of California Irvine</v>
          </cell>
          <cell r="C5">
            <v>21</v>
          </cell>
          <cell r="D5" t="str">
            <v>AGC</v>
          </cell>
          <cell r="E5">
            <v>7.5400946353324274</v>
          </cell>
        </row>
        <row r="6">
          <cell r="B6" t="str">
            <v>University of California Davis</v>
          </cell>
          <cell r="C6">
            <v>8</v>
          </cell>
          <cell r="D6" t="str">
            <v>ACY</v>
          </cell>
          <cell r="E6">
            <v>7.4821964079569439</v>
          </cell>
        </row>
        <row r="7">
          <cell r="B7" t="str">
            <v>Hautes Etudes Commerciales (HEC) Paris</v>
          </cell>
          <cell r="C7">
            <v>16</v>
          </cell>
          <cell r="D7" t="str">
            <v>AEU</v>
          </cell>
          <cell r="E7">
            <v>7.4391877228527772</v>
          </cell>
        </row>
        <row r="8">
          <cell r="B8" t="str">
            <v>Boston College</v>
          </cell>
          <cell r="C8">
            <v>29</v>
          </cell>
          <cell r="D8" t="str">
            <v>ACA</v>
          </cell>
          <cell r="E8">
            <v>6.8249857291477989</v>
          </cell>
        </row>
        <row r="9">
          <cell r="B9" t="str">
            <v>Boston University</v>
          </cell>
          <cell r="C9">
            <v>30</v>
          </cell>
          <cell r="D9" t="str">
            <v>ABA</v>
          </cell>
          <cell r="E9">
            <v>6.7696815236389982</v>
          </cell>
        </row>
        <row r="10">
          <cell r="B10" t="str">
            <v>INSEAD Business School</v>
          </cell>
          <cell r="C10">
            <v>51</v>
          </cell>
          <cell r="D10" t="str">
            <v>CAA</v>
          </cell>
          <cell r="E10">
            <v>6.5705772506799871</v>
          </cell>
        </row>
        <row r="11">
          <cell r="B11" t="str">
            <v>University of Virginia</v>
          </cell>
          <cell r="C11">
            <v>21</v>
          </cell>
          <cell r="D11" t="str">
            <v>AHJ</v>
          </cell>
          <cell r="E11">
            <v>6.3024225224204926</v>
          </cell>
        </row>
        <row r="12">
          <cell r="B12" t="str">
            <v>Rice University</v>
          </cell>
          <cell r="C12">
            <v>17</v>
          </cell>
          <cell r="D12" t="str">
            <v>AFL</v>
          </cell>
          <cell r="E12">
            <v>6.2548770496345476</v>
          </cell>
        </row>
        <row r="13">
          <cell r="B13" t="str">
            <v>Emory University</v>
          </cell>
          <cell r="C13">
            <v>14</v>
          </cell>
          <cell r="D13" t="str">
            <v>AEN</v>
          </cell>
          <cell r="E13">
            <v>6.1799181891480686</v>
          </cell>
        </row>
        <row r="14">
          <cell r="B14" t="str">
            <v>Johannes Kepler University Linz</v>
          </cell>
          <cell r="C14">
            <v>15</v>
          </cell>
          <cell r="D14" t="str">
            <v>BFL</v>
          </cell>
          <cell r="E14">
            <v>6.1718666492589991</v>
          </cell>
        </row>
        <row r="15">
          <cell r="B15" t="str">
            <v>Washington University (WUSTL)</v>
          </cell>
          <cell r="C15">
            <v>18</v>
          </cell>
          <cell r="D15" t="str">
            <v>AAX</v>
          </cell>
          <cell r="E15">
            <v>6.0838983777745623</v>
          </cell>
        </row>
        <row r="16">
          <cell r="B16" t="str">
            <v>University of Rhode Island</v>
          </cell>
          <cell r="C16">
            <v>10</v>
          </cell>
          <cell r="D16" t="str">
            <v>DDR</v>
          </cell>
          <cell r="E16">
            <v>6.0482329898014724</v>
          </cell>
        </row>
        <row r="17">
          <cell r="B17" t="str">
            <v>University of Washington Seattle</v>
          </cell>
          <cell r="C17">
            <v>27</v>
          </cell>
          <cell r="D17" t="str">
            <v>ADU</v>
          </cell>
          <cell r="E17">
            <v>6.0191429378705283</v>
          </cell>
        </row>
        <row r="18">
          <cell r="B18" t="str">
            <v>Dartmouth College</v>
          </cell>
          <cell r="C18">
            <v>8</v>
          </cell>
          <cell r="D18" t="str">
            <v>AAD</v>
          </cell>
          <cell r="E18">
            <v>5.9982346252021062</v>
          </cell>
        </row>
        <row r="19">
          <cell r="B19" t="str">
            <v>University of Georgia</v>
          </cell>
          <cell r="C19">
            <v>27</v>
          </cell>
          <cell r="D19" t="str">
            <v>AGL</v>
          </cell>
          <cell r="E19">
            <v>5.9281932621782687</v>
          </cell>
        </row>
        <row r="20">
          <cell r="B20" t="str">
            <v>University of Alberta</v>
          </cell>
          <cell r="C20">
            <v>26</v>
          </cell>
          <cell r="D20" t="str">
            <v>ABK</v>
          </cell>
          <cell r="E20">
            <v>5.7855163860648364</v>
          </cell>
        </row>
        <row r="21">
          <cell r="B21" t="str">
            <v>University of Munich</v>
          </cell>
          <cell r="C21">
            <v>24</v>
          </cell>
          <cell r="D21" t="str">
            <v>ADG</v>
          </cell>
          <cell r="E21">
            <v>5.7132507080965063</v>
          </cell>
        </row>
        <row r="22">
          <cell r="B22" t="str">
            <v>London Business School</v>
          </cell>
          <cell r="C22">
            <v>22</v>
          </cell>
          <cell r="D22" t="str">
            <v>ABF</v>
          </cell>
          <cell r="E22">
            <v>5.7121905763979726</v>
          </cell>
        </row>
        <row r="23">
          <cell r="B23" t="str">
            <v>University of Pittsburgh</v>
          </cell>
          <cell r="C23">
            <v>19</v>
          </cell>
          <cell r="D23" t="str">
            <v>BGD</v>
          </cell>
          <cell r="E23">
            <v>5.7103006680341091</v>
          </cell>
        </row>
        <row r="24">
          <cell r="B24" t="str">
            <v>Oklahoma State University - Stillwater</v>
          </cell>
          <cell r="C24">
            <v>14</v>
          </cell>
          <cell r="D24" t="str">
            <v>BCS</v>
          </cell>
          <cell r="E24">
            <v>5.6107517461352181</v>
          </cell>
        </row>
        <row r="25">
          <cell r="B25" t="str">
            <v>University of Michigan</v>
          </cell>
          <cell r="C25">
            <v>53</v>
          </cell>
          <cell r="D25" t="str">
            <v>AAV</v>
          </cell>
          <cell r="E25">
            <v>5.5849330831591164</v>
          </cell>
        </row>
        <row r="26">
          <cell r="B26" t="str">
            <v>Goethe University Frankfurt</v>
          </cell>
          <cell r="C26">
            <v>13</v>
          </cell>
          <cell r="D26" t="str">
            <v>BET</v>
          </cell>
          <cell r="E26">
            <v>5.5826032221097286</v>
          </cell>
        </row>
        <row r="27">
          <cell r="B27" t="str">
            <v>University of Texas Austin</v>
          </cell>
          <cell r="C27">
            <v>26</v>
          </cell>
          <cell r="D27" t="str">
            <v>ADQ</v>
          </cell>
          <cell r="E27">
            <v>5.5498978734345492</v>
          </cell>
        </row>
        <row r="28">
          <cell r="B28" t="str">
            <v>University of Utah</v>
          </cell>
          <cell r="C28">
            <v>18</v>
          </cell>
          <cell r="D28" t="str">
            <v>AHG</v>
          </cell>
          <cell r="E28">
            <v>5.50653113327441</v>
          </cell>
        </row>
        <row r="29">
          <cell r="B29" t="str">
            <v>Carnegie Mellon University</v>
          </cell>
          <cell r="C29">
            <v>27</v>
          </cell>
          <cell r="D29" t="str">
            <v>ACB</v>
          </cell>
          <cell r="E29">
            <v>5.5013058073876291</v>
          </cell>
        </row>
        <row r="30">
          <cell r="B30" t="str">
            <v>Imperial College London</v>
          </cell>
          <cell r="C30">
            <v>32</v>
          </cell>
          <cell r="D30" t="str">
            <v>ABD</v>
          </cell>
          <cell r="E30">
            <v>5.4370779553133932</v>
          </cell>
        </row>
        <row r="31">
          <cell r="B31" t="str">
            <v>Lehigh University</v>
          </cell>
          <cell r="C31">
            <v>17</v>
          </cell>
          <cell r="D31" t="str">
            <v>BCC</v>
          </cell>
          <cell r="E31">
            <v>5.4347728282185628</v>
          </cell>
        </row>
        <row r="32">
          <cell r="B32" t="str">
            <v>University of California Santa Barbara</v>
          </cell>
          <cell r="C32">
            <v>10</v>
          </cell>
          <cell r="D32" t="str">
            <v>ACZ</v>
          </cell>
          <cell r="E32">
            <v>5.3733351838239454</v>
          </cell>
        </row>
        <row r="33">
          <cell r="B33" t="str">
            <v>Yale University</v>
          </cell>
          <cell r="C33">
            <v>14</v>
          </cell>
          <cell r="D33" t="str">
            <v>AAY</v>
          </cell>
          <cell r="E33">
            <v>5.3674032909759406</v>
          </cell>
        </row>
        <row r="34">
          <cell r="B34" t="str">
            <v>McGill University</v>
          </cell>
          <cell r="C34">
            <v>28</v>
          </cell>
          <cell r="D34" t="str">
            <v>QEQ</v>
          </cell>
          <cell r="E34">
            <v>5.3672796947694623</v>
          </cell>
        </row>
        <row r="35">
          <cell r="B35" t="str">
            <v>University of North Carolina Chapel Hill</v>
          </cell>
          <cell r="C35">
            <v>29</v>
          </cell>
          <cell r="D35" t="str">
            <v>ADJ</v>
          </cell>
          <cell r="E35">
            <v>5.3407027585964038</v>
          </cell>
        </row>
        <row r="36">
          <cell r="B36" t="str">
            <v>Cornell University</v>
          </cell>
          <cell r="C36">
            <v>51</v>
          </cell>
          <cell r="D36" t="str">
            <v>ABB</v>
          </cell>
          <cell r="E36">
            <v>5.2464419386135983</v>
          </cell>
        </row>
        <row r="37">
          <cell r="B37" t="str">
            <v>Massachusetts Institute of Technology (MIT)</v>
          </cell>
          <cell r="C37">
            <v>65</v>
          </cell>
          <cell r="D37" t="str">
            <v>AAI</v>
          </cell>
          <cell r="E37">
            <v>5.1443481712869996</v>
          </cell>
        </row>
        <row r="38">
          <cell r="B38" t="str">
            <v>McMaster University</v>
          </cell>
          <cell r="C38">
            <v>23</v>
          </cell>
          <cell r="D38" t="str">
            <v>BCI</v>
          </cell>
          <cell r="E38">
            <v>5.0949164386700554</v>
          </cell>
        </row>
        <row r="39">
          <cell r="B39" t="str">
            <v>University of Nebraska Lincoln</v>
          </cell>
          <cell r="C39">
            <v>16</v>
          </cell>
          <cell r="D39" t="str">
            <v>BFU</v>
          </cell>
          <cell r="E39">
            <v>4.948677836941183</v>
          </cell>
        </row>
        <row r="40">
          <cell r="B40" t="str">
            <v>City St Georges, University of London</v>
          </cell>
          <cell r="C40">
            <v>44</v>
          </cell>
          <cell r="D40" t="str">
            <v>BBL</v>
          </cell>
          <cell r="E40">
            <v>4.8958379166132087</v>
          </cell>
        </row>
        <row r="41">
          <cell r="B41" t="str">
            <v>Singapore Management University</v>
          </cell>
          <cell r="C41">
            <v>34</v>
          </cell>
          <cell r="D41" t="str">
            <v>ACQ</v>
          </cell>
          <cell r="E41">
            <v>4.8847801817224381</v>
          </cell>
        </row>
        <row r="42">
          <cell r="B42" t="str">
            <v>University of Pennsylvania</v>
          </cell>
          <cell r="C42">
            <v>83</v>
          </cell>
          <cell r="D42" t="str">
            <v>AAW</v>
          </cell>
          <cell r="E42">
            <v>4.8628611372580721</v>
          </cell>
        </row>
        <row r="43">
          <cell r="B43" t="str">
            <v>New York University</v>
          </cell>
          <cell r="C43">
            <v>57</v>
          </cell>
          <cell r="D43" t="str">
            <v>AAM</v>
          </cell>
          <cell r="E43">
            <v>4.8561808998050484</v>
          </cell>
        </row>
        <row r="44">
          <cell r="B44" t="str">
            <v>Bocconi University</v>
          </cell>
          <cell r="C44">
            <v>54</v>
          </cell>
          <cell r="D44" t="str">
            <v>AAZ</v>
          </cell>
          <cell r="E44">
            <v>4.8437324821691252</v>
          </cell>
        </row>
        <row r="45">
          <cell r="B45" t="str">
            <v>University of Minnesota Twin Cities</v>
          </cell>
          <cell r="C45">
            <v>53</v>
          </cell>
          <cell r="D45" t="str">
            <v>ABP</v>
          </cell>
          <cell r="E45">
            <v>4.8000380024028946</v>
          </cell>
        </row>
        <row r="46">
          <cell r="B46" t="str">
            <v>Luiss Guido Carli University</v>
          </cell>
          <cell r="C46">
            <v>26</v>
          </cell>
          <cell r="D46" t="str">
            <v>AHY</v>
          </cell>
          <cell r="E46">
            <v>4.7289612538406214</v>
          </cell>
        </row>
        <row r="47">
          <cell r="B47" t="str">
            <v>London School Economics &amp; Political Science</v>
          </cell>
          <cell r="C47">
            <v>22</v>
          </cell>
          <cell r="D47" t="str">
            <v>AAH</v>
          </cell>
          <cell r="E47">
            <v>4.6829392407203994</v>
          </cell>
        </row>
        <row r="48">
          <cell r="B48" t="str">
            <v>University of Navarra</v>
          </cell>
          <cell r="C48">
            <v>28</v>
          </cell>
          <cell r="D48" t="str">
            <v>ADH</v>
          </cell>
          <cell r="E48">
            <v>4.6208534998308188</v>
          </cell>
        </row>
        <row r="49">
          <cell r="B49" t="str">
            <v>University of Southern California</v>
          </cell>
          <cell r="C49">
            <v>47</v>
          </cell>
          <cell r="D49" t="str">
            <v>ABS</v>
          </cell>
          <cell r="E49">
            <v>4.5774962144540794</v>
          </cell>
        </row>
        <row r="50">
          <cell r="B50" t="str">
            <v>Shanghai University of Finance &amp; Economics</v>
          </cell>
          <cell r="C50">
            <v>31</v>
          </cell>
          <cell r="D50" t="str">
            <v>BDK</v>
          </cell>
          <cell r="E50">
            <v>4.5297979703343074</v>
          </cell>
        </row>
        <row r="51">
          <cell r="B51" t="str">
            <v>Arizona State University-Tempe</v>
          </cell>
          <cell r="C51">
            <v>69</v>
          </cell>
          <cell r="D51" t="str">
            <v>AAA</v>
          </cell>
          <cell r="E51">
            <v>4.5137520800749336</v>
          </cell>
        </row>
        <row r="52">
          <cell r="B52" t="str">
            <v>University of Oregon</v>
          </cell>
          <cell r="C52">
            <v>15</v>
          </cell>
          <cell r="D52" t="str">
            <v>BFY</v>
          </cell>
          <cell r="E52">
            <v>4.4981199195076993</v>
          </cell>
        </row>
        <row r="53">
          <cell r="B53" t="str">
            <v>University of Miami</v>
          </cell>
          <cell r="C53">
            <v>19</v>
          </cell>
          <cell r="D53" t="str">
            <v>DAA</v>
          </cell>
          <cell r="E53">
            <v>4.4648754610808741</v>
          </cell>
        </row>
        <row r="54">
          <cell r="B54" t="str">
            <v>Drexel University</v>
          </cell>
          <cell r="C54">
            <v>25</v>
          </cell>
          <cell r="D54" t="str">
            <v>AEK</v>
          </cell>
          <cell r="E54">
            <v>4.4565558636359182</v>
          </cell>
        </row>
        <row r="55">
          <cell r="B55" t="str">
            <v>University College London</v>
          </cell>
          <cell r="C55">
            <v>46</v>
          </cell>
          <cell r="D55" t="str">
            <v>ADA</v>
          </cell>
          <cell r="E55">
            <v>4.4490724075909807</v>
          </cell>
        </row>
        <row r="56">
          <cell r="B56" t="str">
            <v>Southern Methodist University</v>
          </cell>
          <cell r="C56">
            <v>10</v>
          </cell>
          <cell r="D56" t="str">
            <v>BDN</v>
          </cell>
          <cell r="E56">
            <v>4.445510565266467</v>
          </cell>
        </row>
        <row r="57">
          <cell r="B57" t="str">
            <v>Harvard University</v>
          </cell>
          <cell r="C57">
            <v>106</v>
          </cell>
          <cell r="D57" t="str">
            <v>AAF</v>
          </cell>
          <cell r="E57">
            <v>4.4284250678852981</v>
          </cell>
        </row>
        <row r="58">
          <cell r="B58" t="str">
            <v>Universita Ca Foscari Venezia</v>
          </cell>
          <cell r="C58">
            <v>25</v>
          </cell>
          <cell r="D58" t="str">
            <v>BHM</v>
          </cell>
          <cell r="E58">
            <v>4.4268994334419816</v>
          </cell>
        </row>
        <row r="59">
          <cell r="B59" t="str">
            <v>University of Maryland College Park</v>
          </cell>
          <cell r="C59">
            <v>35</v>
          </cell>
          <cell r="D59" t="str">
            <v>ABO</v>
          </cell>
          <cell r="E59">
            <v>4.410191268598096</v>
          </cell>
        </row>
        <row r="60">
          <cell r="B60" t="str">
            <v>University of Calgary</v>
          </cell>
          <cell r="C60">
            <v>18</v>
          </cell>
          <cell r="D60" t="str">
            <v>ACX</v>
          </cell>
          <cell r="E60">
            <v>4.3996131995802923</v>
          </cell>
        </row>
        <row r="61">
          <cell r="B61" t="str">
            <v>University of California Berkeley</v>
          </cell>
          <cell r="C61">
            <v>45</v>
          </cell>
          <cell r="D61" t="str">
            <v>AAQ</v>
          </cell>
          <cell r="E61">
            <v>4.3768842812169364</v>
          </cell>
        </row>
        <row r="62">
          <cell r="B62" t="str">
            <v>Northeastern University</v>
          </cell>
          <cell r="C62">
            <v>30</v>
          </cell>
          <cell r="D62" t="str">
            <v>ACN</v>
          </cell>
          <cell r="E62">
            <v>4.3667417325611959</v>
          </cell>
        </row>
        <row r="63">
          <cell r="B63" t="str">
            <v>Northwestern University</v>
          </cell>
          <cell r="C63">
            <v>52</v>
          </cell>
          <cell r="D63" t="str">
            <v>AAL</v>
          </cell>
          <cell r="E63">
            <v>4.326277201933701</v>
          </cell>
        </row>
        <row r="64">
          <cell r="B64" t="str">
            <v>University of Gottingen</v>
          </cell>
          <cell r="C64">
            <v>15</v>
          </cell>
          <cell r="D64" t="str">
            <v>BEX</v>
          </cell>
          <cell r="E64">
            <v>4.3105945464843192</v>
          </cell>
        </row>
        <row r="65">
          <cell r="B65" t="str">
            <v>Royal Institute of Technology</v>
          </cell>
          <cell r="C65">
            <v>19</v>
          </cell>
          <cell r="D65" t="str">
            <v>DCK</v>
          </cell>
          <cell r="E65">
            <v>4.2948396628226586</v>
          </cell>
        </row>
        <row r="66">
          <cell r="B66" t="str">
            <v>Baylor University</v>
          </cell>
          <cell r="C66">
            <v>16</v>
          </cell>
          <cell r="D66" t="str">
            <v>DBY</v>
          </cell>
          <cell r="E66">
            <v>4.273968055859136</v>
          </cell>
        </row>
        <row r="67">
          <cell r="B67" t="str">
            <v>University of Hamburg</v>
          </cell>
          <cell r="C67">
            <v>17</v>
          </cell>
          <cell r="D67" t="str">
            <v>ACI</v>
          </cell>
          <cell r="E67">
            <v>4.1980435907697196</v>
          </cell>
        </row>
        <row r="68">
          <cell r="B68" t="str">
            <v>Universidad Carlos III de Madrid</v>
          </cell>
          <cell r="C68">
            <v>19</v>
          </cell>
          <cell r="D68" t="str">
            <v>BDX</v>
          </cell>
          <cell r="E68">
            <v>4.1791403584969302</v>
          </cell>
        </row>
        <row r="69">
          <cell r="B69" t="str">
            <v>University of Delaware</v>
          </cell>
          <cell r="C69">
            <v>13</v>
          </cell>
          <cell r="D69" t="str">
            <v>AGG</v>
          </cell>
          <cell r="E69">
            <v>4.1703206804746742</v>
          </cell>
        </row>
        <row r="70">
          <cell r="B70" t="str">
            <v>University of Melbourne</v>
          </cell>
          <cell r="C70">
            <v>73</v>
          </cell>
          <cell r="D70" t="str">
            <v>ADD</v>
          </cell>
          <cell r="E70">
            <v>4.1477604101657182</v>
          </cell>
        </row>
        <row r="71">
          <cell r="B71" t="str">
            <v>Johns Hopkins University</v>
          </cell>
          <cell r="C71">
            <v>24</v>
          </cell>
          <cell r="D71" t="str">
            <v>BBS</v>
          </cell>
          <cell r="E71">
            <v>4.1180839773438933</v>
          </cell>
        </row>
        <row r="72">
          <cell r="B72" t="str">
            <v>Syracuse University</v>
          </cell>
          <cell r="C72">
            <v>21</v>
          </cell>
          <cell r="D72" t="str">
            <v>BDQ</v>
          </cell>
          <cell r="E72">
            <v>4.1146022414534507</v>
          </cell>
        </row>
        <row r="73">
          <cell r="B73" t="str">
            <v>University of Colorado Denver</v>
          </cell>
          <cell r="C73">
            <v>13</v>
          </cell>
          <cell r="D73" t="str">
            <v>DEQ</v>
          </cell>
          <cell r="E73">
            <v>4.0782727326308041</v>
          </cell>
        </row>
        <row r="74">
          <cell r="B74" t="str">
            <v>Babson College</v>
          </cell>
          <cell r="C74">
            <v>19</v>
          </cell>
          <cell r="D74" t="str">
            <v>CHL</v>
          </cell>
          <cell r="E74">
            <v>4.0634675886728742</v>
          </cell>
        </row>
        <row r="75">
          <cell r="B75" t="str">
            <v>University of Oxford</v>
          </cell>
          <cell r="C75">
            <v>52</v>
          </cell>
          <cell r="D75" t="str">
            <v>ABQ</v>
          </cell>
          <cell r="E75">
            <v>4.0244847246587989</v>
          </cell>
        </row>
        <row r="76">
          <cell r="B76" t="str">
            <v>University of Iowa</v>
          </cell>
          <cell r="C76">
            <v>26</v>
          </cell>
          <cell r="D76" t="str">
            <v>BFE</v>
          </cell>
          <cell r="E76">
            <v>4.0112061291935488</v>
          </cell>
        </row>
        <row r="77">
          <cell r="B77" t="str">
            <v>George Mason University</v>
          </cell>
          <cell r="C77">
            <v>24</v>
          </cell>
          <cell r="D77" t="str">
            <v>ACF</v>
          </cell>
          <cell r="E77">
            <v>4.0029991956880302</v>
          </cell>
        </row>
        <row r="78">
          <cell r="B78" t="str">
            <v>Vrije Universiteit Amsterdam</v>
          </cell>
          <cell r="C78">
            <v>63</v>
          </cell>
          <cell r="D78" t="str">
            <v>ADV</v>
          </cell>
          <cell r="E78">
            <v>3.9982924776804611</v>
          </cell>
        </row>
        <row r="79">
          <cell r="B79" t="str">
            <v>Lappeenranta-Lahti University of Technology LUT</v>
          </cell>
          <cell r="C79">
            <v>37</v>
          </cell>
          <cell r="D79" t="str">
            <v>BCA</v>
          </cell>
          <cell r="E79">
            <v>3.9678094765404168</v>
          </cell>
        </row>
        <row r="80">
          <cell r="B80" t="str">
            <v>Leuphana University Luneburg</v>
          </cell>
          <cell r="C80">
            <v>21</v>
          </cell>
          <cell r="D80" t="str">
            <v>DDL</v>
          </cell>
          <cell r="E80">
            <v>3.9602021431372649</v>
          </cell>
        </row>
        <row r="81">
          <cell r="B81" t="str">
            <v>Rutgers University Newark</v>
          </cell>
          <cell r="C81">
            <v>28</v>
          </cell>
          <cell r="D81" t="str">
            <v>DBD</v>
          </cell>
          <cell r="E81">
            <v>3.9573189597981848</v>
          </cell>
        </row>
        <row r="82">
          <cell r="B82" t="str">
            <v>Universidade Catolica Portuguesa</v>
          </cell>
          <cell r="C82">
            <v>27</v>
          </cell>
          <cell r="D82" t="str">
            <v>BEK</v>
          </cell>
          <cell r="E82">
            <v>3.9496582662123911</v>
          </cell>
        </row>
        <row r="83">
          <cell r="B83" t="str">
            <v>University of Tennessee Knoxville</v>
          </cell>
          <cell r="C83">
            <v>41</v>
          </cell>
          <cell r="D83" t="str">
            <v>BGN</v>
          </cell>
          <cell r="E83">
            <v>3.937208313459363</v>
          </cell>
        </row>
        <row r="84">
          <cell r="B84" t="str">
            <v>University of California Los Angeles</v>
          </cell>
          <cell r="C84">
            <v>38</v>
          </cell>
          <cell r="D84" t="str">
            <v>AAR</v>
          </cell>
          <cell r="E84">
            <v>3.9214853911155632</v>
          </cell>
        </row>
        <row r="85">
          <cell r="B85" t="str">
            <v>Queens University - Canada</v>
          </cell>
          <cell r="C85">
            <v>12</v>
          </cell>
          <cell r="D85" t="str">
            <v>BDA</v>
          </cell>
          <cell r="E85">
            <v>3.902465517677999</v>
          </cell>
        </row>
        <row r="86">
          <cell r="B86" t="str">
            <v>Hong Kong University of Science &amp; Technology</v>
          </cell>
          <cell r="C86">
            <v>26</v>
          </cell>
          <cell r="D86" t="str">
            <v>ACL</v>
          </cell>
          <cell r="E86">
            <v>3.8803247728378798</v>
          </cell>
        </row>
        <row r="87">
          <cell r="B87" t="str">
            <v>Western University (University of Western Ontario)</v>
          </cell>
          <cell r="C87">
            <v>38</v>
          </cell>
          <cell r="D87" t="str">
            <v>ABW</v>
          </cell>
          <cell r="E87">
            <v>3.833224785427725</v>
          </cell>
        </row>
        <row r="88">
          <cell r="B88" t="str">
            <v>Georgia Institute of Technology</v>
          </cell>
          <cell r="C88">
            <v>29</v>
          </cell>
          <cell r="D88" t="str">
            <v>AER</v>
          </cell>
          <cell r="E88">
            <v>3.8294024764881782</v>
          </cell>
        </row>
        <row r="89">
          <cell r="B89" t="str">
            <v>University of Warwick</v>
          </cell>
          <cell r="C89">
            <v>59</v>
          </cell>
          <cell r="D89" t="str">
            <v>ADT</v>
          </cell>
          <cell r="E89">
            <v>3.826298604848744</v>
          </cell>
        </row>
        <row r="90">
          <cell r="B90" t="str">
            <v>University of Toronto</v>
          </cell>
          <cell r="C90">
            <v>51</v>
          </cell>
          <cell r="D90" t="str">
            <v>ABT</v>
          </cell>
          <cell r="E90">
            <v>3.819341362561044</v>
          </cell>
        </row>
        <row r="91">
          <cell r="B91" t="str">
            <v>WHU - Otto Beisheim School of Management</v>
          </cell>
          <cell r="C91">
            <v>38</v>
          </cell>
          <cell r="D91" t="str">
            <v>AHO</v>
          </cell>
          <cell r="E91">
            <v>3.8186475245038669</v>
          </cell>
        </row>
        <row r="92">
          <cell r="B92" t="str">
            <v>Shanghai University</v>
          </cell>
          <cell r="C92">
            <v>31</v>
          </cell>
          <cell r="D92" t="str">
            <v>BDM</v>
          </cell>
          <cell r="E92">
            <v>3.8107850557912131</v>
          </cell>
        </row>
        <row r="93">
          <cell r="B93" t="str">
            <v>Rutgers University New Brunswick</v>
          </cell>
          <cell r="C93">
            <v>60</v>
          </cell>
          <cell r="D93" t="str">
            <v>AFM</v>
          </cell>
          <cell r="E93">
            <v>3.806835338561537</v>
          </cell>
        </row>
        <row r="94">
          <cell r="B94" t="str">
            <v>York University - Canada</v>
          </cell>
          <cell r="C94">
            <v>34</v>
          </cell>
          <cell r="D94" t="str">
            <v>ABX</v>
          </cell>
          <cell r="E94">
            <v>3.8032246383716402</v>
          </cell>
        </row>
        <row r="95">
          <cell r="B95" t="str">
            <v>Pennsylvania State University</v>
          </cell>
          <cell r="C95">
            <v>75</v>
          </cell>
          <cell r="D95" t="str">
            <v>ADZ</v>
          </cell>
          <cell r="E95">
            <v>3.8010834935446711</v>
          </cell>
        </row>
        <row r="96">
          <cell r="B96" t="str">
            <v>University of Bath</v>
          </cell>
          <cell r="C96">
            <v>51</v>
          </cell>
          <cell r="D96" t="str">
            <v>AFZ</v>
          </cell>
          <cell r="E96">
            <v>3.7892738110711779</v>
          </cell>
        </row>
        <row r="97">
          <cell r="B97" t="str">
            <v>University of Connecticut</v>
          </cell>
          <cell r="C97">
            <v>19</v>
          </cell>
          <cell r="D97" t="str">
            <v>BEO</v>
          </cell>
          <cell r="E97">
            <v>3.7755286252412148</v>
          </cell>
        </row>
        <row r="98">
          <cell r="B98" t="str">
            <v>Indiana University Bloomington</v>
          </cell>
          <cell r="C98">
            <v>70</v>
          </cell>
          <cell r="D98" t="str">
            <v>AAG</v>
          </cell>
          <cell r="E98">
            <v>3.7754518447843428</v>
          </cell>
        </row>
        <row r="99">
          <cell r="B99" t="str">
            <v>University of Florida</v>
          </cell>
          <cell r="C99">
            <v>42</v>
          </cell>
          <cell r="D99" t="str">
            <v>AGK</v>
          </cell>
          <cell r="E99">
            <v>3.770012971880945</v>
          </cell>
        </row>
        <row r="100">
          <cell r="B100" t="str">
            <v>Dublin City University</v>
          </cell>
          <cell r="C100">
            <v>16</v>
          </cell>
          <cell r="D100" t="str">
            <v>AEL</v>
          </cell>
          <cell r="E100">
            <v>3.7100447073085219</v>
          </cell>
        </row>
        <row r="101">
          <cell r="B101" t="str">
            <v>Vienna University of Economics &amp; Business</v>
          </cell>
          <cell r="C101">
            <v>35</v>
          </cell>
          <cell r="D101" t="str">
            <v>AHP</v>
          </cell>
          <cell r="E101">
            <v>3.702292540606178</v>
          </cell>
        </row>
        <row r="102">
          <cell r="B102" t="str">
            <v>University of Texas Dallas</v>
          </cell>
          <cell r="C102">
            <v>32</v>
          </cell>
          <cell r="D102" t="str">
            <v>ADR</v>
          </cell>
          <cell r="E102">
            <v>3.6912229582198148</v>
          </cell>
        </row>
        <row r="103">
          <cell r="B103" t="str">
            <v>Universite Catholique Louvain</v>
          </cell>
          <cell r="C103">
            <v>32</v>
          </cell>
          <cell r="D103" t="str">
            <v>AEG</v>
          </cell>
          <cell r="E103">
            <v>3.6912229582198148</v>
          </cell>
        </row>
        <row r="104">
          <cell r="B104" t="str">
            <v>University of Victoria</v>
          </cell>
          <cell r="C104">
            <v>17</v>
          </cell>
          <cell r="D104" t="str">
            <v>BGQ</v>
          </cell>
          <cell r="E104">
            <v>3.6832050935193319</v>
          </cell>
        </row>
        <row r="105">
          <cell r="B105" t="str">
            <v>Copenhagen Business School</v>
          </cell>
          <cell r="C105">
            <v>135</v>
          </cell>
          <cell r="D105" t="str">
            <v>AAC</v>
          </cell>
          <cell r="E105">
            <v>3.6790592785913021</v>
          </cell>
        </row>
        <row r="106">
          <cell r="B106" t="str">
            <v>Georgetown University</v>
          </cell>
          <cell r="C106">
            <v>20</v>
          </cell>
          <cell r="D106" t="str">
            <v>AEQ</v>
          </cell>
          <cell r="E106">
            <v>3.6754236277400638</v>
          </cell>
        </row>
        <row r="107">
          <cell r="B107" t="str">
            <v>Auburn University</v>
          </cell>
          <cell r="C107">
            <v>40</v>
          </cell>
          <cell r="D107" t="str">
            <v>AHF</v>
          </cell>
          <cell r="E107">
            <v>3.651907782257771</v>
          </cell>
        </row>
        <row r="108">
          <cell r="B108" t="str">
            <v>Georgia State University</v>
          </cell>
          <cell r="C108">
            <v>28</v>
          </cell>
          <cell r="D108" t="str">
            <v>ACH</v>
          </cell>
          <cell r="E108">
            <v>3.645532216975337</v>
          </cell>
        </row>
        <row r="109">
          <cell r="B109" t="str">
            <v>Aalto University</v>
          </cell>
          <cell r="C109">
            <v>65</v>
          </cell>
          <cell r="D109" t="str">
            <v>AEA</v>
          </cell>
          <cell r="E109">
            <v>3.6433788077302931</v>
          </cell>
        </row>
        <row r="110">
          <cell r="B110" t="str">
            <v>Iowa State University</v>
          </cell>
          <cell r="C110">
            <v>38</v>
          </cell>
          <cell r="D110" t="str">
            <v>BBQ</v>
          </cell>
          <cell r="E110">
            <v>3.6422500792833858</v>
          </cell>
        </row>
        <row r="111">
          <cell r="B111" t="str">
            <v>Hunan University</v>
          </cell>
          <cell r="C111">
            <v>28</v>
          </cell>
          <cell r="D111" t="str">
            <v>BBK</v>
          </cell>
          <cell r="E111">
            <v>3.6246205208640432</v>
          </cell>
        </row>
        <row r="112">
          <cell r="B112" t="str">
            <v>George Washington University</v>
          </cell>
          <cell r="C112">
            <v>33</v>
          </cell>
          <cell r="D112" t="str">
            <v>ACG</v>
          </cell>
          <cell r="E112">
            <v>3.6127609391939322</v>
          </cell>
        </row>
        <row r="113">
          <cell r="B113" t="str">
            <v>University of Zurich</v>
          </cell>
          <cell r="C113">
            <v>21</v>
          </cell>
          <cell r="D113" t="str">
            <v>ABV</v>
          </cell>
          <cell r="E113">
            <v>3.6120090934222131</v>
          </cell>
        </row>
        <row r="114">
          <cell r="B114" t="str">
            <v>Free University of Bozen-Bolzano</v>
          </cell>
          <cell r="C114">
            <v>28</v>
          </cell>
          <cell r="D114" t="str">
            <v>AEP</v>
          </cell>
          <cell r="E114">
            <v>3.600983633558255</v>
          </cell>
        </row>
        <row r="115">
          <cell r="B115" t="str">
            <v>Ihsan Dogramaci Bilkent University</v>
          </cell>
          <cell r="C115">
            <v>11</v>
          </cell>
          <cell r="D115" t="str">
            <v>DCX</v>
          </cell>
          <cell r="E115">
            <v>3.5854794173089668</v>
          </cell>
        </row>
        <row r="116">
          <cell r="B116" t="str">
            <v>Universite Grenoble Alpes (UGA)</v>
          </cell>
          <cell r="C116">
            <v>8</v>
          </cell>
          <cell r="D116" t="str">
            <v>CHG</v>
          </cell>
          <cell r="E116">
            <v>3.5762349742734481</v>
          </cell>
        </row>
        <row r="117">
          <cell r="B117" t="str">
            <v>University of Arkansas Fayetteville</v>
          </cell>
          <cell r="C117">
            <v>47</v>
          </cell>
          <cell r="D117" t="str">
            <v>BEE</v>
          </cell>
          <cell r="E117">
            <v>3.575763125315047</v>
          </cell>
        </row>
        <row r="118">
          <cell r="B118" t="str">
            <v>University of Vaasa</v>
          </cell>
          <cell r="C118">
            <v>29</v>
          </cell>
          <cell r="D118" t="str">
            <v>CBS</v>
          </cell>
          <cell r="E118">
            <v>3.5630200529752249</v>
          </cell>
        </row>
        <row r="119">
          <cell r="B119" t="str">
            <v>National University of Singapore</v>
          </cell>
          <cell r="C119">
            <v>54</v>
          </cell>
          <cell r="D119" t="str">
            <v>AAJ</v>
          </cell>
          <cell r="E119">
            <v>3.5480758343406911</v>
          </cell>
        </row>
        <row r="120">
          <cell r="B120" t="str">
            <v>University of Arizona</v>
          </cell>
          <cell r="C120">
            <v>14</v>
          </cell>
          <cell r="D120" t="str">
            <v>ACU</v>
          </cell>
          <cell r="E120">
            <v>3.547458058843505</v>
          </cell>
        </row>
        <row r="121">
          <cell r="B121" t="str">
            <v>University of British Columbia</v>
          </cell>
          <cell r="C121">
            <v>22</v>
          </cell>
          <cell r="D121" t="str">
            <v>ACW</v>
          </cell>
          <cell r="E121">
            <v>3.5436799090634521</v>
          </cell>
        </row>
        <row r="122">
          <cell r="B122" t="str">
            <v>University of Surrey</v>
          </cell>
          <cell r="C122">
            <v>33</v>
          </cell>
          <cell r="D122" t="str">
            <v>AHC</v>
          </cell>
          <cell r="E122">
            <v>3.5303455939917541</v>
          </cell>
        </row>
        <row r="123">
          <cell r="B123" t="str">
            <v>University of St Gallen</v>
          </cell>
          <cell r="C123">
            <v>50</v>
          </cell>
          <cell r="D123" t="str">
            <v>ADO</v>
          </cell>
          <cell r="E123">
            <v>3.527608603756514</v>
          </cell>
        </row>
        <row r="124">
          <cell r="B124" t="str">
            <v>University of Geneva</v>
          </cell>
          <cell r="C124">
            <v>7</v>
          </cell>
          <cell r="D124" t="str">
            <v>BEU</v>
          </cell>
          <cell r="E124">
            <v>3.5250497663729812</v>
          </cell>
        </row>
        <row r="125">
          <cell r="B125" t="str">
            <v>University of Cincinnati</v>
          </cell>
          <cell r="C125">
            <v>18</v>
          </cell>
          <cell r="D125" t="str">
            <v>DCL</v>
          </cell>
          <cell r="E125">
            <v>3.5144881547232512</v>
          </cell>
        </row>
        <row r="126">
          <cell r="B126" t="str">
            <v>University of Liverpool</v>
          </cell>
          <cell r="C126">
            <v>60</v>
          </cell>
          <cell r="D126" t="str">
            <v>BFM</v>
          </cell>
          <cell r="E126">
            <v>3.493228506010523</v>
          </cell>
        </row>
        <row r="127">
          <cell r="B127" t="str">
            <v>University of Notre Dame</v>
          </cell>
          <cell r="C127">
            <v>26</v>
          </cell>
          <cell r="D127" t="str">
            <v>ADK</v>
          </cell>
          <cell r="E127">
            <v>3.4835734757358421</v>
          </cell>
        </row>
        <row r="128">
          <cell r="B128" t="str">
            <v>University of Wisconsin Madison</v>
          </cell>
          <cell r="C128">
            <v>23</v>
          </cell>
          <cell r="D128" t="str">
            <v>AHM</v>
          </cell>
          <cell r="E128">
            <v>3.4822257597958881</v>
          </cell>
        </row>
        <row r="129">
          <cell r="B129" t="str">
            <v>IE University</v>
          </cell>
          <cell r="C129">
            <v>31</v>
          </cell>
          <cell r="D129" t="str">
            <v>BBM</v>
          </cell>
          <cell r="E129">
            <v>3.4764919185731191</v>
          </cell>
        </row>
        <row r="130">
          <cell r="B130" t="str">
            <v>University of Colorado Boulder</v>
          </cell>
          <cell r="C130">
            <v>27</v>
          </cell>
          <cell r="D130" t="str">
            <v>AGE</v>
          </cell>
          <cell r="E130">
            <v>3.4739514036883379</v>
          </cell>
        </row>
        <row r="131">
          <cell r="B131" t="str">
            <v>Tilburg University</v>
          </cell>
          <cell r="C131">
            <v>52</v>
          </cell>
          <cell r="D131" t="str">
            <v>ACR</v>
          </cell>
          <cell r="E131">
            <v>3.470066790946321</v>
          </cell>
        </row>
        <row r="132">
          <cell r="B132" t="str">
            <v>Florida State University</v>
          </cell>
          <cell r="C132">
            <v>38</v>
          </cell>
          <cell r="D132" t="str">
            <v>BBB</v>
          </cell>
          <cell r="E132">
            <v>3.4656643071256381</v>
          </cell>
        </row>
        <row r="133">
          <cell r="B133" t="str">
            <v>University of Derby</v>
          </cell>
          <cell r="C133">
            <v>24</v>
          </cell>
          <cell r="D133" t="str">
            <v>DDJ</v>
          </cell>
          <cell r="E133">
            <v>3.4609884480957178</v>
          </cell>
        </row>
        <row r="134">
          <cell r="B134" t="str">
            <v>Marquette University</v>
          </cell>
          <cell r="C134">
            <v>11</v>
          </cell>
          <cell r="D134" t="str">
            <v>DDV</v>
          </cell>
          <cell r="E134">
            <v>3.4584221714693362</v>
          </cell>
        </row>
        <row r="135">
          <cell r="B135" t="str">
            <v>University of Sussex</v>
          </cell>
          <cell r="C135">
            <v>44</v>
          </cell>
          <cell r="D135" t="str">
            <v>AHD</v>
          </cell>
          <cell r="E135">
            <v>3.4498456675444742</v>
          </cell>
        </row>
        <row r="136">
          <cell r="B136" t="str">
            <v>University of Manitoba</v>
          </cell>
          <cell r="C136">
            <v>14</v>
          </cell>
          <cell r="D136" t="str">
            <v>DDZ</v>
          </cell>
          <cell r="E136">
            <v>3.439179412747666</v>
          </cell>
        </row>
        <row r="137">
          <cell r="B137" t="str">
            <v>Villanova University</v>
          </cell>
          <cell r="C137">
            <v>22</v>
          </cell>
          <cell r="D137" t="str">
            <v>AGM</v>
          </cell>
          <cell r="E137">
            <v>3.4386701805380082</v>
          </cell>
        </row>
        <row r="138">
          <cell r="B138" t="str">
            <v>University of Aberdeen</v>
          </cell>
          <cell r="C138">
            <v>14</v>
          </cell>
          <cell r="D138" t="str">
            <v>BEM</v>
          </cell>
          <cell r="E138">
            <v>3.4220475782116568</v>
          </cell>
        </row>
        <row r="139">
          <cell r="B139" t="str">
            <v>University of Auckland</v>
          </cell>
          <cell r="C139">
            <v>42</v>
          </cell>
          <cell r="D139" t="str">
            <v>ACV</v>
          </cell>
          <cell r="E139">
            <v>3.4167818206350331</v>
          </cell>
        </row>
        <row r="140">
          <cell r="B140" t="str">
            <v>University of Edinburgh</v>
          </cell>
          <cell r="C140">
            <v>41</v>
          </cell>
          <cell r="D140" t="str">
            <v>AGJ</v>
          </cell>
          <cell r="E140">
            <v>3.403090554173247</v>
          </cell>
        </row>
        <row r="141">
          <cell r="B141" t="str">
            <v>Nanyang Technological University</v>
          </cell>
          <cell r="C141">
            <v>36</v>
          </cell>
          <cell r="D141" t="str">
            <v>AFE</v>
          </cell>
          <cell r="E141">
            <v>3.3983714441831858</v>
          </cell>
        </row>
        <row r="142">
          <cell r="B142" t="str">
            <v>EDHEC Business School</v>
          </cell>
          <cell r="C142">
            <v>12</v>
          </cell>
          <cell r="D142" t="str">
            <v>DCV</v>
          </cell>
          <cell r="E142">
            <v>3.383174776176646</v>
          </cell>
        </row>
        <row r="143">
          <cell r="B143" t="str">
            <v>Florida International University</v>
          </cell>
          <cell r="C143">
            <v>31</v>
          </cell>
          <cell r="D143" t="str">
            <v>BBA</v>
          </cell>
          <cell r="E143">
            <v>3.3828733895633429</v>
          </cell>
        </row>
        <row r="144">
          <cell r="B144" t="str">
            <v>emlyon business school</v>
          </cell>
          <cell r="C144">
            <v>26</v>
          </cell>
          <cell r="D144" t="str">
            <v>DBL</v>
          </cell>
          <cell r="E144">
            <v>3.3782544409158879</v>
          </cell>
        </row>
        <row r="145">
          <cell r="B145" t="str">
            <v>University of Leicester</v>
          </cell>
          <cell r="C145">
            <v>19</v>
          </cell>
          <cell r="D145" t="str">
            <v>CHO</v>
          </cell>
          <cell r="E145">
            <v>3.376749238154408</v>
          </cell>
        </row>
        <row r="146">
          <cell r="B146" t="str">
            <v>University of Sydney</v>
          </cell>
          <cell r="C146">
            <v>66</v>
          </cell>
          <cell r="D146" t="str">
            <v>ADP</v>
          </cell>
          <cell r="E146">
            <v>3.3708252428689272</v>
          </cell>
        </row>
        <row r="147">
          <cell r="B147" t="str">
            <v>Hanken School of Economics</v>
          </cell>
          <cell r="C147">
            <v>50</v>
          </cell>
          <cell r="D147" t="str">
            <v>CHE</v>
          </cell>
          <cell r="E147">
            <v>3.3690094259636161</v>
          </cell>
        </row>
        <row r="148">
          <cell r="B148" t="str">
            <v>Erasmus University Rotterdam</v>
          </cell>
          <cell r="C148">
            <v>108</v>
          </cell>
          <cell r="D148" t="str">
            <v>AAE</v>
          </cell>
          <cell r="E148">
            <v>3.3667393320409049</v>
          </cell>
        </row>
        <row r="149">
          <cell r="B149" t="str">
            <v>Duke University</v>
          </cell>
          <cell r="C149">
            <v>27</v>
          </cell>
          <cell r="D149" t="str">
            <v>ABC</v>
          </cell>
          <cell r="E149">
            <v>3.3662331312872271</v>
          </cell>
        </row>
        <row r="150">
          <cell r="B150" t="str">
            <v>China Europe International Business School</v>
          </cell>
          <cell r="C150">
            <v>24</v>
          </cell>
          <cell r="D150" t="str">
            <v>DET</v>
          </cell>
          <cell r="E150">
            <v>3.3571046583237441</v>
          </cell>
        </row>
        <row r="151">
          <cell r="B151" t="str">
            <v>University of Birmingham</v>
          </cell>
          <cell r="C151">
            <v>41</v>
          </cell>
          <cell r="D151" t="str">
            <v>AGB</v>
          </cell>
          <cell r="E151">
            <v>3.3568410221336702</v>
          </cell>
        </row>
        <row r="152">
          <cell r="B152" t="str">
            <v>University of Ottawa</v>
          </cell>
          <cell r="C152">
            <v>27</v>
          </cell>
          <cell r="D152" t="str">
            <v>BGA</v>
          </cell>
          <cell r="E152">
            <v>3.3568241521167912</v>
          </cell>
        </row>
        <row r="153">
          <cell r="B153" t="str">
            <v>University of Lausanne</v>
          </cell>
          <cell r="C153">
            <v>13</v>
          </cell>
          <cell r="D153" t="str">
            <v>AGO</v>
          </cell>
          <cell r="E153">
            <v>3.348270188675325</v>
          </cell>
        </row>
        <row r="154">
          <cell r="B154" t="str">
            <v>Columbia University</v>
          </cell>
          <cell r="C154">
            <v>39</v>
          </cell>
          <cell r="D154" t="str">
            <v>AAB</v>
          </cell>
          <cell r="E154">
            <v>3.340290057164558</v>
          </cell>
        </row>
        <row r="155">
          <cell r="B155" t="str">
            <v>Tel Aviv University</v>
          </cell>
          <cell r="C155">
            <v>21</v>
          </cell>
          <cell r="D155" t="str">
            <v>BDT</v>
          </cell>
          <cell r="E155">
            <v>3.3387875366849729</v>
          </cell>
        </row>
        <row r="156">
          <cell r="B156" t="str">
            <v>Lund University</v>
          </cell>
          <cell r="C156">
            <v>58</v>
          </cell>
          <cell r="D156" t="str">
            <v>AFB</v>
          </cell>
          <cell r="E156">
            <v>3.3337747488151321</v>
          </cell>
        </row>
        <row r="157">
          <cell r="B157" t="str">
            <v>University of Exeter</v>
          </cell>
          <cell r="C157">
            <v>32</v>
          </cell>
          <cell r="D157" t="str">
            <v>BES</v>
          </cell>
          <cell r="E157">
            <v>3.3213517577499978</v>
          </cell>
        </row>
        <row r="158">
          <cell r="B158" t="str">
            <v>Ohio State University</v>
          </cell>
          <cell r="C158">
            <v>51</v>
          </cell>
          <cell r="D158" t="str">
            <v>ACO</v>
          </cell>
          <cell r="E158">
            <v>3.304084244018989</v>
          </cell>
        </row>
        <row r="159">
          <cell r="B159" t="str">
            <v>Texas Christian University</v>
          </cell>
          <cell r="C159">
            <v>18</v>
          </cell>
          <cell r="D159" t="str">
            <v>DAX</v>
          </cell>
          <cell r="E159">
            <v>3.302108402922928</v>
          </cell>
        </row>
        <row r="160">
          <cell r="B160" t="str">
            <v>Osaka University</v>
          </cell>
          <cell r="C160">
            <v>6</v>
          </cell>
          <cell r="D160" t="str">
            <v>AFA</v>
          </cell>
          <cell r="E160">
            <v>3.296918186432221</v>
          </cell>
        </row>
        <row r="161">
          <cell r="B161" t="str">
            <v>University of Queensland</v>
          </cell>
          <cell r="C161">
            <v>80</v>
          </cell>
          <cell r="D161" t="str">
            <v>ADM</v>
          </cell>
          <cell r="E161">
            <v>3.2793706509380289</v>
          </cell>
        </row>
        <row r="162">
          <cell r="B162" t="str">
            <v>BI Norwegian Business School</v>
          </cell>
          <cell r="C162">
            <v>48</v>
          </cell>
          <cell r="D162" t="str">
            <v>AEE</v>
          </cell>
          <cell r="E162">
            <v>3.2770509145466278</v>
          </cell>
        </row>
        <row r="163">
          <cell r="B163" t="str">
            <v>King's College London</v>
          </cell>
          <cell r="C163">
            <v>39</v>
          </cell>
          <cell r="D163" t="str">
            <v>BBX</v>
          </cell>
          <cell r="E163">
            <v>3.2662075083178639</v>
          </cell>
        </row>
        <row r="164">
          <cell r="B164" t="str">
            <v>Tecnologico de Monterrey</v>
          </cell>
          <cell r="C164">
            <v>22</v>
          </cell>
          <cell r="D164" t="str">
            <v>CAH</v>
          </cell>
          <cell r="E164">
            <v>3.2492331291871541</v>
          </cell>
        </row>
        <row r="165">
          <cell r="B165" t="str">
            <v>ETH Zurich</v>
          </cell>
          <cell r="C165">
            <v>37</v>
          </cell>
          <cell r="D165" t="str">
            <v>AFT</v>
          </cell>
          <cell r="E165">
            <v>3.2440411832236831</v>
          </cell>
        </row>
        <row r="166">
          <cell r="B166" t="str">
            <v>University of Illinois Chicago</v>
          </cell>
          <cell r="C166">
            <v>14</v>
          </cell>
          <cell r="D166" t="str">
            <v>AGN</v>
          </cell>
          <cell r="E166">
            <v>3.2374779101080229</v>
          </cell>
        </row>
        <row r="167">
          <cell r="B167" t="str">
            <v>Universitat Ramon Llull</v>
          </cell>
          <cell r="C167">
            <v>38</v>
          </cell>
          <cell r="D167" t="str">
            <v>CAN</v>
          </cell>
          <cell r="E167">
            <v>3.2244185796042149</v>
          </cell>
        </row>
        <row r="168">
          <cell r="B168" t="str">
            <v>Chalmers University of Technology</v>
          </cell>
          <cell r="C168">
            <v>31</v>
          </cell>
          <cell r="D168" t="str">
            <v>DEH</v>
          </cell>
          <cell r="E168">
            <v>3.221939924709909</v>
          </cell>
        </row>
        <row r="169">
          <cell r="B169" t="str">
            <v>Loughborough University</v>
          </cell>
          <cell r="C169">
            <v>47</v>
          </cell>
          <cell r="D169" t="str">
            <v>BFO</v>
          </cell>
          <cell r="E169">
            <v>3.2033357319512281</v>
          </cell>
        </row>
        <row r="170">
          <cell r="B170" t="str">
            <v>University of Stirling</v>
          </cell>
          <cell r="C170">
            <v>8</v>
          </cell>
          <cell r="D170" t="str">
            <v>DDF</v>
          </cell>
          <cell r="E170">
            <v>3.1884021836921912</v>
          </cell>
        </row>
        <row r="171">
          <cell r="B171" t="str">
            <v>Queens University Belfast</v>
          </cell>
          <cell r="C171">
            <v>9</v>
          </cell>
          <cell r="D171" t="str">
            <v>BCZ</v>
          </cell>
          <cell r="E171">
            <v>3.1839848731326388</v>
          </cell>
        </row>
        <row r="172">
          <cell r="B172" t="str">
            <v>University of Kentucky</v>
          </cell>
          <cell r="C172">
            <v>12</v>
          </cell>
          <cell r="D172" t="str">
            <v>AEH</v>
          </cell>
          <cell r="E172">
            <v>3.1764124509354361</v>
          </cell>
        </row>
        <row r="173">
          <cell r="B173" t="str">
            <v>University of Glasgow</v>
          </cell>
          <cell r="C173">
            <v>21</v>
          </cell>
          <cell r="D173" t="str">
            <v>BEV</v>
          </cell>
          <cell r="E173">
            <v>3.1679204036714448</v>
          </cell>
        </row>
        <row r="174">
          <cell r="B174" t="str">
            <v>NEOMA Business School</v>
          </cell>
          <cell r="C174">
            <v>16</v>
          </cell>
          <cell r="D174" t="str">
            <v>DDN</v>
          </cell>
          <cell r="E174">
            <v>3.167623478956628</v>
          </cell>
        </row>
        <row r="175">
          <cell r="B175" t="str">
            <v>Binghamton University, SUNY</v>
          </cell>
          <cell r="C175">
            <v>15</v>
          </cell>
          <cell r="D175" t="str">
            <v>DDI</v>
          </cell>
          <cell r="E175">
            <v>3.1584899907081798</v>
          </cell>
        </row>
        <row r="176">
          <cell r="B176" t="str">
            <v>University of Bergamo</v>
          </cell>
          <cell r="C176">
            <v>20</v>
          </cell>
          <cell r="D176" t="str">
            <v>AGA</v>
          </cell>
          <cell r="E176">
            <v>3.14336319960973</v>
          </cell>
        </row>
        <row r="177">
          <cell r="B177" t="str">
            <v>University of Padua</v>
          </cell>
          <cell r="C177">
            <v>30</v>
          </cell>
          <cell r="D177" t="str">
            <v>BGB</v>
          </cell>
          <cell r="E177">
            <v>3.1383826983846541</v>
          </cell>
        </row>
        <row r="178">
          <cell r="B178" t="str">
            <v>University of Reading</v>
          </cell>
          <cell r="C178">
            <v>50</v>
          </cell>
          <cell r="D178" t="str">
            <v>AGY</v>
          </cell>
          <cell r="E178">
            <v>3.138250129576531</v>
          </cell>
        </row>
        <row r="179">
          <cell r="B179" t="str">
            <v>University of Leeds</v>
          </cell>
          <cell r="C179">
            <v>57</v>
          </cell>
          <cell r="D179" t="str">
            <v>AGQ</v>
          </cell>
          <cell r="E179">
            <v>3.1158670090089289</v>
          </cell>
        </row>
        <row r="180">
          <cell r="B180" t="str">
            <v>Brigham Young University</v>
          </cell>
          <cell r="C180">
            <v>19</v>
          </cell>
          <cell r="D180" t="str">
            <v>AHZ</v>
          </cell>
          <cell r="E180">
            <v>3.1103319177512909</v>
          </cell>
        </row>
        <row r="181">
          <cell r="B181" t="str">
            <v>Pontificia Universidad Catolica de Chile</v>
          </cell>
          <cell r="C181">
            <v>13</v>
          </cell>
          <cell r="D181" t="str">
            <v>CAC</v>
          </cell>
          <cell r="E181">
            <v>3.1075666600875609</v>
          </cell>
        </row>
        <row r="182">
          <cell r="B182" t="str">
            <v>Royal Holloway University London</v>
          </cell>
          <cell r="C182">
            <v>19</v>
          </cell>
          <cell r="D182" t="str">
            <v>BDE</v>
          </cell>
          <cell r="E182">
            <v>3.0761894815562671</v>
          </cell>
        </row>
        <row r="183">
          <cell r="B183" t="str">
            <v>Solent University</v>
          </cell>
          <cell r="C183">
            <v>26</v>
          </cell>
          <cell r="D183" t="str">
            <v>CBZ</v>
          </cell>
          <cell r="E183">
            <v>3.0749989455091642</v>
          </cell>
        </row>
        <row r="184">
          <cell r="B184" t="str">
            <v>Bentley University</v>
          </cell>
          <cell r="C184">
            <v>12</v>
          </cell>
          <cell r="D184" t="str">
            <v>DAJ</v>
          </cell>
          <cell r="E184">
            <v>3.0740583537498472</v>
          </cell>
        </row>
        <row r="185">
          <cell r="B185" t="str">
            <v>Texas A&amp;M University College Station</v>
          </cell>
          <cell r="C185">
            <v>59</v>
          </cell>
          <cell r="D185" t="str">
            <v>AAP</v>
          </cell>
          <cell r="E185">
            <v>3.0656812635644139</v>
          </cell>
        </row>
        <row r="186">
          <cell r="B186" t="str">
            <v>Durham University</v>
          </cell>
          <cell r="C186">
            <v>63</v>
          </cell>
          <cell r="D186" t="str">
            <v>BAR</v>
          </cell>
          <cell r="E186">
            <v>3.0647285657029402</v>
          </cell>
        </row>
        <row r="187">
          <cell r="B187" t="str">
            <v>Scuola Superiore Sant'Anna</v>
          </cell>
          <cell r="C187">
            <v>25</v>
          </cell>
          <cell r="D187" t="str">
            <v>BDI</v>
          </cell>
          <cell r="E187">
            <v>3.051069331413105</v>
          </cell>
        </row>
        <row r="188">
          <cell r="B188" t="str">
            <v>RWTH Aachen University</v>
          </cell>
          <cell r="C188">
            <v>21</v>
          </cell>
          <cell r="D188" t="str">
            <v>BDG</v>
          </cell>
          <cell r="E188">
            <v>3.0436058301267712</v>
          </cell>
        </row>
        <row r="189">
          <cell r="B189" t="str">
            <v>University of Mannheim</v>
          </cell>
          <cell r="C189">
            <v>13</v>
          </cell>
          <cell r="D189" t="str">
            <v>AGS</v>
          </cell>
          <cell r="E189">
            <v>3.0300576101525079</v>
          </cell>
        </row>
        <row r="190">
          <cell r="B190" t="str">
            <v>University of Memphis</v>
          </cell>
          <cell r="C190">
            <v>15</v>
          </cell>
          <cell r="D190" t="str">
            <v>DBO</v>
          </cell>
          <cell r="E190">
            <v>3.023874923176249</v>
          </cell>
        </row>
        <row r="191">
          <cell r="B191" t="str">
            <v>Autonomous University of Barcelona</v>
          </cell>
          <cell r="C191">
            <v>19</v>
          </cell>
          <cell r="D191" t="str">
            <v>AFY</v>
          </cell>
          <cell r="E191">
            <v>3.0054468100749121</v>
          </cell>
        </row>
        <row r="192">
          <cell r="B192" t="str">
            <v>Polytechnic University of Milan</v>
          </cell>
          <cell r="C192">
            <v>66</v>
          </cell>
          <cell r="D192" t="str">
            <v>AFH</v>
          </cell>
          <cell r="E192">
            <v>2.9764030008424829</v>
          </cell>
        </row>
        <row r="193">
          <cell r="B193" t="str">
            <v>ESCP Business School</v>
          </cell>
          <cell r="C193">
            <v>43</v>
          </cell>
          <cell r="D193" t="str">
            <v>BHU</v>
          </cell>
          <cell r="E193">
            <v>2.9728986194447242</v>
          </cell>
        </row>
        <row r="194">
          <cell r="B194" t="str">
            <v>IZA Institute Labor Economics</v>
          </cell>
          <cell r="C194">
            <v>14</v>
          </cell>
          <cell r="D194" t="str">
            <v>ACM</v>
          </cell>
          <cell r="E194">
            <v>2.9710775246979031</v>
          </cell>
        </row>
        <row r="195">
          <cell r="B195" t="str">
            <v>University of Bristol</v>
          </cell>
          <cell r="C195">
            <v>23</v>
          </cell>
          <cell r="D195" t="str">
            <v>BEH</v>
          </cell>
          <cell r="E195">
            <v>2.969349911378508</v>
          </cell>
        </row>
        <row r="196">
          <cell r="B196" t="str">
            <v>Free University of Berlin</v>
          </cell>
          <cell r="C196">
            <v>18</v>
          </cell>
          <cell r="D196" t="str">
            <v>BBC</v>
          </cell>
          <cell r="E196">
            <v>2.965609161282468</v>
          </cell>
        </row>
        <row r="197">
          <cell r="B197" t="str">
            <v>Hitotsubashi University</v>
          </cell>
          <cell r="C197">
            <v>8</v>
          </cell>
          <cell r="D197" t="str">
            <v>ADX</v>
          </cell>
          <cell r="E197">
            <v>2.9583107405692521</v>
          </cell>
        </row>
        <row r="198">
          <cell r="B198" t="str">
            <v>Queen Mary University London</v>
          </cell>
          <cell r="C198">
            <v>16</v>
          </cell>
          <cell r="D198" t="str">
            <v>BCY</v>
          </cell>
          <cell r="E198">
            <v>2.9364238650010601</v>
          </cell>
        </row>
        <row r="199">
          <cell r="B199" t="str">
            <v>Universite de Strasbourg</v>
          </cell>
          <cell r="C199">
            <v>8</v>
          </cell>
          <cell r="D199" t="str">
            <v>AHS</v>
          </cell>
          <cell r="E199">
            <v>2.9336647174144059</v>
          </cell>
        </row>
        <row r="200">
          <cell r="B200" t="str">
            <v>University of St Andrews</v>
          </cell>
          <cell r="C200">
            <v>13</v>
          </cell>
          <cell r="D200" t="str">
            <v>BGL</v>
          </cell>
          <cell r="E200">
            <v>2.9255465379782262</v>
          </cell>
        </row>
        <row r="201">
          <cell r="B201" t="str">
            <v>Oregon State University</v>
          </cell>
          <cell r="C201">
            <v>11</v>
          </cell>
          <cell r="D201" t="str">
            <v>BCU</v>
          </cell>
          <cell r="E201">
            <v>2.9169624377765291</v>
          </cell>
        </row>
        <row r="202">
          <cell r="B202" t="str">
            <v>Tampere University</v>
          </cell>
          <cell r="C202">
            <v>11</v>
          </cell>
          <cell r="D202" t="str">
            <v>DBG</v>
          </cell>
          <cell r="E202">
            <v>2.9169624377765291</v>
          </cell>
        </row>
        <row r="203">
          <cell r="B203" t="str">
            <v>Michigan State University</v>
          </cell>
          <cell r="C203">
            <v>60</v>
          </cell>
          <cell r="D203" t="str">
            <v>ABH</v>
          </cell>
          <cell r="E203">
            <v>2.9023496357957739</v>
          </cell>
        </row>
        <row r="204">
          <cell r="B204" t="str">
            <v>Technical University of Munich</v>
          </cell>
          <cell r="C204">
            <v>29</v>
          </cell>
          <cell r="D204" t="str">
            <v>BDR</v>
          </cell>
          <cell r="E204">
            <v>2.8911280459455608</v>
          </cell>
        </row>
        <row r="205">
          <cell r="B205" t="str">
            <v>University College Dublin</v>
          </cell>
          <cell r="C205">
            <v>26</v>
          </cell>
          <cell r="D205" t="str">
            <v>AGD</v>
          </cell>
          <cell r="E205">
            <v>2.8808288356232632</v>
          </cell>
        </row>
        <row r="206">
          <cell r="B206" t="str">
            <v>Clemson University</v>
          </cell>
          <cell r="C206">
            <v>19</v>
          </cell>
          <cell r="D206" t="str">
            <v>BAJ</v>
          </cell>
          <cell r="E206">
            <v>2.864390050271056</v>
          </cell>
        </row>
        <row r="207">
          <cell r="B207" t="str">
            <v>Universite de Montreal</v>
          </cell>
          <cell r="C207">
            <v>60</v>
          </cell>
          <cell r="D207" t="str">
            <v>ADF</v>
          </cell>
          <cell r="E207">
            <v>2.8609893334411458</v>
          </cell>
        </row>
        <row r="208">
          <cell r="B208" t="str">
            <v>Baruch College (CUNY)</v>
          </cell>
          <cell r="C208">
            <v>18</v>
          </cell>
          <cell r="D208" t="str">
            <v>BFK</v>
          </cell>
          <cell r="E208">
            <v>2.8594388962310089</v>
          </cell>
        </row>
        <row r="209">
          <cell r="B209" t="str">
            <v>University of Verona</v>
          </cell>
          <cell r="C209">
            <v>18</v>
          </cell>
          <cell r="D209" t="str">
            <v>BAV</v>
          </cell>
          <cell r="E209">
            <v>2.8594388962310089</v>
          </cell>
        </row>
        <row r="210">
          <cell r="B210" t="str">
            <v>University of Massachusetts Amherst</v>
          </cell>
          <cell r="C210">
            <v>16</v>
          </cell>
          <cell r="D210" t="str">
            <v>BFR</v>
          </cell>
          <cell r="E210">
            <v>2.8482270135705048</v>
          </cell>
        </row>
        <row r="211">
          <cell r="B211" t="str">
            <v>University of Duisburg Essen</v>
          </cell>
          <cell r="C211">
            <v>15</v>
          </cell>
          <cell r="D211" t="str">
            <v>BAY</v>
          </cell>
          <cell r="E211">
            <v>2.8469591836586812</v>
          </cell>
        </row>
        <row r="212">
          <cell r="B212" t="str">
            <v>University of Cologne</v>
          </cell>
          <cell r="C212">
            <v>15</v>
          </cell>
          <cell r="D212" t="str">
            <v>BEN</v>
          </cell>
          <cell r="E212">
            <v>2.8426776559196059</v>
          </cell>
        </row>
        <row r="213">
          <cell r="B213" t="str">
            <v>Vanderbilt University</v>
          </cell>
          <cell r="C213">
            <v>14</v>
          </cell>
          <cell r="D213" t="str">
            <v>BGW</v>
          </cell>
          <cell r="E213">
            <v>2.8386884727619281</v>
          </cell>
        </row>
        <row r="214">
          <cell r="B214" t="str">
            <v>heSam Universite</v>
          </cell>
          <cell r="C214">
            <v>46</v>
          </cell>
          <cell r="D214" t="str">
            <v>BBG</v>
          </cell>
          <cell r="E214">
            <v>2.833032397008437</v>
          </cell>
        </row>
        <row r="215">
          <cell r="B215" t="str">
            <v>Norwegian University of Science &amp; Technology (NTNU)</v>
          </cell>
          <cell r="C215">
            <v>26</v>
          </cell>
          <cell r="D215" t="str">
            <v>BCR</v>
          </cell>
          <cell r="E215">
            <v>2.832049584879655</v>
          </cell>
        </row>
        <row r="216">
          <cell r="B216" t="str">
            <v>University of Kent</v>
          </cell>
          <cell r="C216">
            <v>28</v>
          </cell>
          <cell r="D216" t="str">
            <v>BFH</v>
          </cell>
          <cell r="E216">
            <v>2.824721578554398</v>
          </cell>
        </row>
        <row r="217">
          <cell r="B217" t="str">
            <v>University of South Florida</v>
          </cell>
          <cell r="C217">
            <v>33</v>
          </cell>
          <cell r="D217" t="str">
            <v>CHB</v>
          </cell>
          <cell r="E217">
            <v>2.8061550145391392</v>
          </cell>
        </row>
        <row r="218">
          <cell r="B218" t="str">
            <v>Jonkoping University</v>
          </cell>
          <cell r="C218">
            <v>33</v>
          </cell>
          <cell r="D218" t="str">
            <v>BBT</v>
          </cell>
          <cell r="E218">
            <v>2.8038409426777271</v>
          </cell>
        </row>
        <row r="219">
          <cell r="B219" t="str">
            <v>Purdue University</v>
          </cell>
          <cell r="C219">
            <v>48</v>
          </cell>
          <cell r="D219" t="str">
            <v>ACP</v>
          </cell>
          <cell r="E219">
            <v>2.7891802705485529</v>
          </cell>
        </row>
        <row r="220">
          <cell r="B220" t="str">
            <v>University of Antwerp</v>
          </cell>
          <cell r="C220">
            <v>27</v>
          </cell>
          <cell r="D220" t="str">
            <v>BED</v>
          </cell>
          <cell r="E220">
            <v>2.7877500530329842</v>
          </cell>
        </row>
        <row r="221">
          <cell r="B221" t="str">
            <v>Cranfield University</v>
          </cell>
          <cell r="C221">
            <v>27</v>
          </cell>
          <cell r="D221" t="str">
            <v>DBZ</v>
          </cell>
          <cell r="E221">
            <v>2.786512838247293</v>
          </cell>
        </row>
        <row r="222">
          <cell r="B222" t="str">
            <v>University of Florence</v>
          </cell>
          <cell r="C222">
            <v>21</v>
          </cell>
          <cell r="D222" t="str">
            <v>BAK</v>
          </cell>
          <cell r="E222">
            <v>2.7848005476210891</v>
          </cell>
        </row>
        <row r="223">
          <cell r="B223" t="str">
            <v>University of Nottingham</v>
          </cell>
          <cell r="C223">
            <v>47</v>
          </cell>
          <cell r="D223" t="str">
            <v>ADL</v>
          </cell>
          <cell r="E223">
            <v>2.7843651192875321</v>
          </cell>
        </row>
        <row r="224">
          <cell r="B224" t="str">
            <v>Stockholm School of Economics</v>
          </cell>
          <cell r="C224">
            <v>30</v>
          </cell>
          <cell r="D224" t="str">
            <v>AFR</v>
          </cell>
          <cell r="E224">
            <v>2.7834081841574481</v>
          </cell>
        </row>
        <row r="225">
          <cell r="B225" t="str">
            <v>Temple University</v>
          </cell>
          <cell r="C225">
            <v>35</v>
          </cell>
          <cell r="D225" t="str">
            <v>AFU</v>
          </cell>
          <cell r="E225">
            <v>2.7832844879179479</v>
          </cell>
        </row>
        <row r="226">
          <cell r="B226" t="str">
            <v>SKEMA Business School</v>
          </cell>
          <cell r="C226">
            <v>19</v>
          </cell>
          <cell r="D226" t="str">
            <v>DAV</v>
          </cell>
          <cell r="E226">
            <v>2.769819957657822</v>
          </cell>
        </row>
        <row r="227">
          <cell r="B227" t="str">
            <v>University of Granada</v>
          </cell>
          <cell r="C227">
            <v>31</v>
          </cell>
          <cell r="D227" t="str">
            <v>BEY</v>
          </cell>
          <cell r="E227">
            <v>2.764694022993174</v>
          </cell>
        </row>
        <row r="228">
          <cell r="B228" t="str">
            <v>Open University - UK</v>
          </cell>
          <cell r="C228">
            <v>31</v>
          </cell>
          <cell r="D228" t="str">
            <v>BHP</v>
          </cell>
          <cell r="E228">
            <v>2.7570124665805809</v>
          </cell>
        </row>
        <row r="229">
          <cell r="B229" t="str">
            <v>Technische Universitat Dresden</v>
          </cell>
          <cell r="C229">
            <v>16</v>
          </cell>
          <cell r="D229" t="str">
            <v>BCV</v>
          </cell>
          <cell r="E229">
            <v>2.7292612867458441</v>
          </cell>
        </row>
        <row r="230">
          <cell r="B230" t="str">
            <v>Max Planck Society</v>
          </cell>
          <cell r="C230">
            <v>10</v>
          </cell>
          <cell r="D230" t="str">
            <v>BCH</v>
          </cell>
          <cell r="E230">
            <v>2.7286348139234762</v>
          </cell>
        </row>
        <row r="231">
          <cell r="B231" t="str">
            <v>University of Manchester</v>
          </cell>
          <cell r="C231">
            <v>73</v>
          </cell>
          <cell r="D231" t="str">
            <v>ADC</v>
          </cell>
          <cell r="E231">
            <v>2.7265174430162959</v>
          </cell>
        </row>
        <row r="232">
          <cell r="B232" t="str">
            <v>University of Graz</v>
          </cell>
          <cell r="C232">
            <v>9</v>
          </cell>
          <cell r="D232" t="str">
            <v>DER</v>
          </cell>
          <cell r="E232">
            <v>2.7249883128264041</v>
          </cell>
        </row>
        <row r="233">
          <cell r="B233" t="str">
            <v>Norwegian School of Economics (NHH)</v>
          </cell>
          <cell r="C233">
            <v>31</v>
          </cell>
          <cell r="D233" t="str">
            <v>BCQ</v>
          </cell>
          <cell r="E233">
            <v>2.7200947483731861</v>
          </cell>
        </row>
        <row r="234">
          <cell r="B234" t="str">
            <v>University of Alabama Tuscaloosa</v>
          </cell>
          <cell r="C234">
            <v>23</v>
          </cell>
          <cell r="D234" t="str">
            <v>BEB</v>
          </cell>
          <cell r="E234">
            <v>2.718072502106748</v>
          </cell>
        </row>
        <row r="235">
          <cell r="B235" t="str">
            <v>University of Central Florida</v>
          </cell>
          <cell r="C235">
            <v>39</v>
          </cell>
          <cell r="D235" t="str">
            <v>BEA</v>
          </cell>
          <cell r="E235">
            <v>2.7132201588492051</v>
          </cell>
        </row>
        <row r="236">
          <cell r="B236" t="str">
            <v>De Montfort University</v>
          </cell>
          <cell r="C236">
            <v>27</v>
          </cell>
          <cell r="D236" t="str">
            <v>CCD</v>
          </cell>
          <cell r="E236">
            <v>2.7043110128566878</v>
          </cell>
        </row>
        <row r="237">
          <cell r="B237" t="str">
            <v>University of Vienna</v>
          </cell>
          <cell r="C237">
            <v>16</v>
          </cell>
          <cell r="D237" t="str">
            <v>BGR</v>
          </cell>
          <cell r="E237">
            <v>2.7010282905251688</v>
          </cell>
        </row>
        <row r="238">
          <cell r="B238" t="str">
            <v>University of Amsterdam</v>
          </cell>
          <cell r="C238">
            <v>56</v>
          </cell>
          <cell r="D238" t="str">
            <v>ACS</v>
          </cell>
          <cell r="E238">
            <v>2.695166602596144</v>
          </cell>
        </row>
        <row r="239">
          <cell r="B239" t="str">
            <v>University of North Carolina Greensboro</v>
          </cell>
          <cell r="C239">
            <v>29</v>
          </cell>
          <cell r="D239" t="str">
            <v>CAS</v>
          </cell>
          <cell r="E239">
            <v>2.6814741105604738</v>
          </cell>
        </row>
        <row r="240">
          <cell r="B240" t="str">
            <v>University of Helsinki</v>
          </cell>
          <cell r="C240">
            <v>12</v>
          </cell>
          <cell r="D240" t="str">
            <v>AGV</v>
          </cell>
          <cell r="E240">
            <v>2.6809318285116981</v>
          </cell>
        </row>
        <row r="241">
          <cell r="B241" t="str">
            <v>Aston University</v>
          </cell>
          <cell r="C241">
            <v>44</v>
          </cell>
          <cell r="D241" t="str">
            <v>AEB</v>
          </cell>
          <cell r="E241">
            <v>2.6714778323590811</v>
          </cell>
        </row>
        <row r="242">
          <cell r="B242" t="str">
            <v>Wuhan University</v>
          </cell>
          <cell r="C242">
            <v>28</v>
          </cell>
          <cell r="D242" t="str">
            <v>BHS</v>
          </cell>
          <cell r="E242">
            <v>2.667813614967093</v>
          </cell>
        </row>
        <row r="243">
          <cell r="B243" t="str">
            <v>University of Illinois Urbana-Champaign</v>
          </cell>
          <cell r="C243">
            <v>38</v>
          </cell>
          <cell r="D243" t="str">
            <v>ADB</v>
          </cell>
          <cell r="E243">
            <v>2.6634110540316649</v>
          </cell>
        </row>
        <row r="244">
          <cell r="B244" t="str">
            <v>University of South Carolina Columbia</v>
          </cell>
          <cell r="C244">
            <v>38</v>
          </cell>
          <cell r="D244" t="str">
            <v>ABR</v>
          </cell>
          <cell r="E244">
            <v>2.663033358294967</v>
          </cell>
        </row>
        <row r="245">
          <cell r="B245" t="str">
            <v>Montpellier Business School</v>
          </cell>
          <cell r="C245">
            <v>35</v>
          </cell>
          <cell r="D245" t="str">
            <v>ABJ</v>
          </cell>
          <cell r="E245">
            <v>2.6559391177606648</v>
          </cell>
        </row>
        <row r="246">
          <cell r="B246" t="str">
            <v>Radboud University Nijmegen</v>
          </cell>
          <cell r="C246">
            <v>32</v>
          </cell>
          <cell r="D246" t="str">
            <v>BDB</v>
          </cell>
          <cell r="E246">
            <v>2.6521156587446599</v>
          </cell>
        </row>
        <row r="247">
          <cell r="B247" t="str">
            <v>Nottingham Trent University</v>
          </cell>
          <cell r="C247">
            <v>30</v>
          </cell>
          <cell r="D247" t="str">
            <v>BDW</v>
          </cell>
          <cell r="E247">
            <v>2.6382912327698249</v>
          </cell>
        </row>
        <row r="248">
          <cell r="B248" t="str">
            <v>University of Otago</v>
          </cell>
          <cell r="C248">
            <v>21</v>
          </cell>
          <cell r="D248" t="str">
            <v>BFZ</v>
          </cell>
          <cell r="E248">
            <v>2.6254742522893331</v>
          </cell>
        </row>
        <row r="249">
          <cell r="B249" t="str">
            <v>University of Waikato</v>
          </cell>
          <cell r="C249">
            <v>22</v>
          </cell>
          <cell r="D249" t="str">
            <v>AHK</v>
          </cell>
          <cell r="E249">
            <v>2.624139969915515</v>
          </cell>
        </row>
        <row r="250">
          <cell r="B250" t="str">
            <v>Lancaster University</v>
          </cell>
          <cell r="C250">
            <v>61</v>
          </cell>
          <cell r="D250" t="str">
            <v>AEY</v>
          </cell>
          <cell r="E250">
            <v>2.6200326548441319</v>
          </cell>
        </row>
        <row r="251">
          <cell r="B251" t="str">
            <v>G d'Annunzio University of Chieti-Pescara</v>
          </cell>
          <cell r="C251">
            <v>18</v>
          </cell>
          <cell r="D251" t="str">
            <v>DBV</v>
          </cell>
          <cell r="E251">
            <v>2.619753574310268</v>
          </cell>
        </row>
        <row r="252">
          <cell r="B252" t="str">
            <v>University of Southampton</v>
          </cell>
          <cell r="C252">
            <v>37</v>
          </cell>
          <cell r="D252" t="str">
            <v>AHB</v>
          </cell>
          <cell r="E252">
            <v>2.612864881749045</v>
          </cell>
        </row>
        <row r="253">
          <cell r="B253" t="str">
            <v>Claremont Colleges</v>
          </cell>
          <cell r="C253">
            <v>8</v>
          </cell>
          <cell r="D253" t="str">
            <v>DCH</v>
          </cell>
          <cell r="E253">
            <v>2.608053220297093</v>
          </cell>
        </row>
        <row r="254">
          <cell r="B254" t="str">
            <v>Louisiana State University</v>
          </cell>
          <cell r="C254">
            <v>19</v>
          </cell>
          <cell r="D254" t="str">
            <v>CAK</v>
          </cell>
          <cell r="E254">
            <v>2.5974588512855679</v>
          </cell>
        </row>
        <row r="255">
          <cell r="B255" t="str">
            <v>Australian National University</v>
          </cell>
          <cell r="C255">
            <v>29</v>
          </cell>
          <cell r="D255" t="str">
            <v>AEC</v>
          </cell>
          <cell r="E255">
            <v>2.594171750994168</v>
          </cell>
        </row>
        <row r="256">
          <cell r="B256" t="str">
            <v>University of Canterbury</v>
          </cell>
          <cell r="C256">
            <v>20</v>
          </cell>
          <cell r="D256" t="str">
            <v>BEI</v>
          </cell>
          <cell r="E256">
            <v>2.590905507461954</v>
          </cell>
        </row>
        <row r="257">
          <cell r="B257" t="str">
            <v>Linkoping University</v>
          </cell>
          <cell r="C257">
            <v>33</v>
          </cell>
          <cell r="D257" t="str">
            <v>AEZ</v>
          </cell>
          <cell r="E257">
            <v>2.589719270807747</v>
          </cell>
        </row>
        <row r="258">
          <cell r="B258" t="str">
            <v>Chapman University</v>
          </cell>
          <cell r="C258">
            <v>4</v>
          </cell>
          <cell r="D258" t="str">
            <v>DEI</v>
          </cell>
          <cell r="E258">
            <v>2.5868216995850992</v>
          </cell>
        </row>
        <row r="259">
          <cell r="B259" t="str">
            <v>Simon Fraser University</v>
          </cell>
          <cell r="C259">
            <v>28</v>
          </cell>
          <cell r="D259" t="str">
            <v>AFO</v>
          </cell>
          <cell r="E259">
            <v>2.5867592075014998</v>
          </cell>
        </row>
        <row r="260">
          <cell r="B260" t="str">
            <v>University of Technology Sydney</v>
          </cell>
          <cell r="C260">
            <v>52</v>
          </cell>
          <cell r="D260" t="str">
            <v>AHE</v>
          </cell>
          <cell r="E260">
            <v>2.5743415152320011</v>
          </cell>
        </row>
        <row r="261">
          <cell r="B261" t="str">
            <v>University of Salamanca</v>
          </cell>
          <cell r="C261">
            <v>21</v>
          </cell>
          <cell r="D261" t="str">
            <v>DDS</v>
          </cell>
          <cell r="E261">
            <v>2.5669279986965021</v>
          </cell>
        </row>
        <row r="262">
          <cell r="B262" t="str">
            <v>Heriot Watt University</v>
          </cell>
          <cell r="C262">
            <v>18</v>
          </cell>
          <cell r="D262" t="str">
            <v>AFC</v>
          </cell>
          <cell r="E262">
            <v>2.5572824379248411</v>
          </cell>
        </row>
        <row r="263">
          <cell r="B263" t="str">
            <v>Universite Cote d'Azur</v>
          </cell>
          <cell r="C263">
            <v>25</v>
          </cell>
          <cell r="D263" t="str">
            <v>CAR</v>
          </cell>
          <cell r="E263">
            <v>2.5498083887365879</v>
          </cell>
        </row>
        <row r="264">
          <cell r="B264" t="str">
            <v>University of Copenhagen</v>
          </cell>
          <cell r="C264">
            <v>16</v>
          </cell>
          <cell r="D264" t="str">
            <v>AGF</v>
          </cell>
          <cell r="E264">
            <v>2.5474975696957118</v>
          </cell>
        </row>
        <row r="265">
          <cell r="B265" t="str">
            <v>Brunel University</v>
          </cell>
          <cell r="C265">
            <v>29</v>
          </cell>
          <cell r="D265" t="str">
            <v>BAB</v>
          </cell>
          <cell r="E265">
            <v>2.5452157132610669</v>
          </cell>
        </row>
        <row r="266">
          <cell r="B266" t="str">
            <v>Trinity College Dublin</v>
          </cell>
          <cell r="C266">
            <v>27</v>
          </cell>
          <cell r="D266" t="str">
            <v>AFW</v>
          </cell>
          <cell r="E266">
            <v>2.538235824929358</v>
          </cell>
        </row>
        <row r="267">
          <cell r="B267" t="str">
            <v>IESEG School of Management</v>
          </cell>
          <cell r="C267">
            <v>25</v>
          </cell>
          <cell r="D267" t="str">
            <v>BBN</v>
          </cell>
          <cell r="E267">
            <v>2.5322023469470678</v>
          </cell>
        </row>
        <row r="268">
          <cell r="B268" t="str">
            <v>University of Strathclyde</v>
          </cell>
          <cell r="C268">
            <v>19</v>
          </cell>
          <cell r="D268" t="str">
            <v>BGM</v>
          </cell>
          <cell r="E268">
            <v>2.531159943327506</v>
          </cell>
        </row>
        <row r="269">
          <cell r="B269" t="str">
            <v>Utrecht University</v>
          </cell>
          <cell r="C269">
            <v>42</v>
          </cell>
          <cell r="D269" t="str">
            <v>BGO</v>
          </cell>
          <cell r="E269">
            <v>2.5276601677231789</v>
          </cell>
        </row>
        <row r="270">
          <cell r="B270" t="str">
            <v>University of Newcastle</v>
          </cell>
          <cell r="C270">
            <v>31</v>
          </cell>
          <cell r="D270" t="str">
            <v>AGT</v>
          </cell>
          <cell r="E270">
            <v>2.52645037113072</v>
          </cell>
        </row>
        <row r="271">
          <cell r="B271" t="str">
            <v>Peking University</v>
          </cell>
          <cell r="C271">
            <v>39</v>
          </cell>
          <cell r="D271" t="str">
            <v>AFF</v>
          </cell>
          <cell r="E271">
            <v>2.5173449298051729</v>
          </cell>
        </row>
        <row r="272">
          <cell r="B272" t="str">
            <v>Aarhus University</v>
          </cell>
          <cell r="C272">
            <v>59</v>
          </cell>
          <cell r="D272" t="str">
            <v>ABY</v>
          </cell>
          <cell r="E272">
            <v>2.5037752952947971</v>
          </cell>
        </row>
        <row r="273">
          <cell r="B273" t="str">
            <v>Universite Toulouse 1 Capitole</v>
          </cell>
          <cell r="C273">
            <v>6</v>
          </cell>
          <cell r="D273" t="str">
            <v>ABU</v>
          </cell>
          <cell r="E273">
            <v>2.5025610975222978</v>
          </cell>
        </row>
        <row r="274">
          <cell r="B274" t="str">
            <v>Colorado State University</v>
          </cell>
          <cell r="C274">
            <v>18</v>
          </cell>
          <cell r="D274" t="str">
            <v>BHX</v>
          </cell>
          <cell r="E274">
            <v>2.4969371763361008</v>
          </cell>
        </row>
        <row r="275">
          <cell r="B275" t="str">
            <v>University of Twente</v>
          </cell>
          <cell r="C275">
            <v>27</v>
          </cell>
          <cell r="D275" t="str">
            <v>ADS</v>
          </cell>
          <cell r="E275">
            <v>2.49497033147999</v>
          </cell>
        </row>
        <row r="276">
          <cell r="B276" t="str">
            <v>Hong Kong Baptist University</v>
          </cell>
          <cell r="C276">
            <v>23</v>
          </cell>
          <cell r="D276" t="str">
            <v>BBI</v>
          </cell>
          <cell r="E276">
            <v>2.49434294820152</v>
          </cell>
        </row>
        <row r="277">
          <cell r="B277" t="str">
            <v>Eindhoven University of Technology</v>
          </cell>
          <cell r="C277">
            <v>33</v>
          </cell>
          <cell r="D277" t="str">
            <v>BAU</v>
          </cell>
          <cell r="E277">
            <v>2.4933499901442802</v>
          </cell>
        </row>
        <row r="278">
          <cell r="B278" t="str">
            <v>Florida Atlantic University</v>
          </cell>
          <cell r="C278">
            <v>35</v>
          </cell>
          <cell r="D278" t="str">
            <v>CBP</v>
          </cell>
          <cell r="E278">
            <v>2.491925920280806</v>
          </cell>
        </row>
        <row r="279">
          <cell r="B279" t="str">
            <v>University of Texas Rio Grande Valley</v>
          </cell>
          <cell r="C279">
            <v>10</v>
          </cell>
          <cell r="D279" t="str">
            <v>DCG</v>
          </cell>
          <cell r="E279">
            <v>2.4798474710586489</v>
          </cell>
        </row>
        <row r="280">
          <cell r="B280" t="str">
            <v>Chinese University of Hong Kong</v>
          </cell>
          <cell r="C280">
            <v>32</v>
          </cell>
          <cell r="D280" t="str">
            <v>ACD</v>
          </cell>
          <cell r="E280">
            <v>2.4796042168796801</v>
          </cell>
        </row>
        <row r="281">
          <cell r="B281" t="str">
            <v>Maastricht University</v>
          </cell>
          <cell r="C281">
            <v>48</v>
          </cell>
          <cell r="D281" t="str">
            <v>ABG</v>
          </cell>
          <cell r="E281">
            <v>2.478777089945599</v>
          </cell>
        </row>
        <row r="282">
          <cell r="B282" t="str">
            <v>University of Oklahoma - Norman</v>
          </cell>
          <cell r="C282">
            <v>20</v>
          </cell>
          <cell r="D282" t="str">
            <v>BFX</v>
          </cell>
          <cell r="E282">
            <v>2.4777177354426709</v>
          </cell>
        </row>
        <row r="283">
          <cell r="B283" t="str">
            <v>University of Groningen</v>
          </cell>
          <cell r="C283">
            <v>51</v>
          </cell>
          <cell r="D283" t="str">
            <v>ABM</v>
          </cell>
          <cell r="E283">
            <v>2.4681366986306901</v>
          </cell>
        </row>
        <row r="284">
          <cell r="B284" t="str">
            <v>Leibniz University Hannover</v>
          </cell>
          <cell r="C284">
            <v>9</v>
          </cell>
          <cell r="D284" t="str">
            <v>BAA</v>
          </cell>
          <cell r="E284">
            <v>2.462470215376364</v>
          </cell>
        </row>
        <row r="285">
          <cell r="B285" t="str">
            <v>North Carolina State University</v>
          </cell>
          <cell r="C285">
            <v>42</v>
          </cell>
          <cell r="D285" t="str">
            <v>BCL</v>
          </cell>
          <cell r="E285">
            <v>2.4604803827697652</v>
          </cell>
        </row>
        <row r="286">
          <cell r="B286" t="str">
            <v>Audencia</v>
          </cell>
          <cell r="C286">
            <v>28</v>
          </cell>
          <cell r="D286" t="str">
            <v>BBW</v>
          </cell>
          <cell r="E286">
            <v>2.4595959811003691</v>
          </cell>
        </row>
        <row r="287">
          <cell r="B287" t="str">
            <v>Universite de Montpellier</v>
          </cell>
          <cell r="C287">
            <v>20</v>
          </cell>
          <cell r="D287" t="str">
            <v>BFT</v>
          </cell>
          <cell r="E287">
            <v>2.458551221924933</v>
          </cell>
        </row>
        <row r="288">
          <cell r="B288" t="str">
            <v>University of South Australia</v>
          </cell>
          <cell r="C288">
            <v>34</v>
          </cell>
          <cell r="D288" t="str">
            <v>BGJ</v>
          </cell>
          <cell r="E288">
            <v>2.449851221064498</v>
          </cell>
        </row>
        <row r="289">
          <cell r="B289" t="str">
            <v>Fudan University</v>
          </cell>
          <cell r="C289">
            <v>21</v>
          </cell>
          <cell r="D289" t="str">
            <v>BBD</v>
          </cell>
          <cell r="E289">
            <v>2.4465859124159488</v>
          </cell>
        </row>
        <row r="290">
          <cell r="B290" t="str">
            <v>University of Konstanz</v>
          </cell>
          <cell r="C290">
            <v>5</v>
          </cell>
          <cell r="D290" t="str">
            <v>BAS</v>
          </cell>
          <cell r="E290">
            <v>2.445623978167426</v>
          </cell>
        </row>
        <row r="291">
          <cell r="B291" t="str">
            <v>City University of Hong Kong</v>
          </cell>
          <cell r="C291">
            <v>38</v>
          </cell>
          <cell r="D291" t="str">
            <v>AEI</v>
          </cell>
          <cell r="E291">
            <v>2.4399313862512941</v>
          </cell>
        </row>
        <row r="292">
          <cell r="B292" t="str">
            <v>University of New Mexico</v>
          </cell>
          <cell r="C292">
            <v>12</v>
          </cell>
          <cell r="D292" t="str">
            <v>DCN</v>
          </cell>
          <cell r="E292">
            <v>2.436965466644085</v>
          </cell>
        </row>
        <row r="293">
          <cell r="B293" t="str">
            <v>Institut Polytechnique de Paris</v>
          </cell>
          <cell r="C293">
            <v>9</v>
          </cell>
          <cell r="D293" t="str">
            <v>BFW</v>
          </cell>
          <cell r="E293">
            <v>2.4349581859841969</v>
          </cell>
        </row>
        <row r="294">
          <cell r="B294" t="str">
            <v>Middlesex University</v>
          </cell>
          <cell r="C294">
            <v>18</v>
          </cell>
          <cell r="D294" t="str">
            <v>BFP</v>
          </cell>
          <cell r="E294">
            <v>2.4340121564315451</v>
          </cell>
        </row>
        <row r="295">
          <cell r="B295" t="str">
            <v>American University</v>
          </cell>
          <cell r="C295">
            <v>22</v>
          </cell>
          <cell r="D295" t="str">
            <v>BEC</v>
          </cell>
          <cell r="E295">
            <v>2.4323968494355879</v>
          </cell>
        </row>
        <row r="296">
          <cell r="B296" t="str">
            <v>University of Salento</v>
          </cell>
          <cell r="C296">
            <v>31</v>
          </cell>
          <cell r="D296" t="str">
            <v>DBH</v>
          </cell>
          <cell r="E296">
            <v>2.4264819648382141</v>
          </cell>
        </row>
        <row r="297">
          <cell r="B297" t="str">
            <v>Cardiff University</v>
          </cell>
          <cell r="C297">
            <v>56</v>
          </cell>
          <cell r="D297" t="str">
            <v>BAE</v>
          </cell>
          <cell r="E297">
            <v>2.424002523434841</v>
          </cell>
        </row>
        <row r="298">
          <cell r="B298" t="str">
            <v>Monash University</v>
          </cell>
          <cell r="C298">
            <v>74</v>
          </cell>
          <cell r="D298" t="str">
            <v>ABI</v>
          </cell>
          <cell r="E298">
            <v>2.4177874527107139</v>
          </cell>
        </row>
        <row r="299">
          <cell r="B299" t="str">
            <v>University of North Carolina Charlotte</v>
          </cell>
          <cell r="C299">
            <v>22</v>
          </cell>
          <cell r="D299" t="str">
            <v>CHP</v>
          </cell>
          <cell r="E299">
            <v>2.4125864180313559</v>
          </cell>
        </row>
        <row r="300">
          <cell r="B300" t="str">
            <v>University of Massachusetts Lowell</v>
          </cell>
          <cell r="C300">
            <v>14</v>
          </cell>
          <cell r="D300" t="str">
            <v>DDP</v>
          </cell>
          <cell r="E300">
            <v>2.403165470621389</v>
          </cell>
        </row>
        <row r="301">
          <cell r="B301" t="str">
            <v>University of Trento</v>
          </cell>
          <cell r="C301">
            <v>7</v>
          </cell>
          <cell r="D301" t="str">
            <v>BBU</v>
          </cell>
          <cell r="E301">
            <v>2.3901583168493139</v>
          </cell>
        </row>
        <row r="302">
          <cell r="B302" t="str">
            <v>University of Zaragoza</v>
          </cell>
          <cell r="C302">
            <v>29</v>
          </cell>
          <cell r="D302" t="str">
            <v>BFB</v>
          </cell>
          <cell r="E302">
            <v>2.38513929617584</v>
          </cell>
        </row>
        <row r="303">
          <cell r="B303" t="str">
            <v>Parthenope University Naples</v>
          </cell>
          <cell r="C303">
            <v>41</v>
          </cell>
          <cell r="D303" t="str">
            <v>BCK</v>
          </cell>
          <cell r="E303">
            <v>2.3794551590103161</v>
          </cell>
        </row>
        <row r="304">
          <cell r="B304" t="str">
            <v>Macquarie University</v>
          </cell>
          <cell r="C304">
            <v>50</v>
          </cell>
          <cell r="D304" t="str">
            <v>BCE</v>
          </cell>
          <cell r="E304">
            <v>2.372715850129071</v>
          </cell>
        </row>
        <row r="305">
          <cell r="B305" t="str">
            <v>Humboldt University of Berlin</v>
          </cell>
          <cell r="C305">
            <v>8</v>
          </cell>
          <cell r="D305" t="str">
            <v>BHY</v>
          </cell>
          <cell r="E305">
            <v>2.3689393314179772</v>
          </cell>
        </row>
        <row r="306">
          <cell r="B306" t="str">
            <v>University of Nottingham Ningbo China</v>
          </cell>
          <cell r="C306">
            <v>21</v>
          </cell>
          <cell r="D306" t="str">
            <v>BGU</v>
          </cell>
          <cell r="E306">
            <v>2.367836397615831</v>
          </cell>
        </row>
        <row r="307">
          <cell r="B307" t="str">
            <v>Wilfrid Laurier University</v>
          </cell>
          <cell r="C307">
            <v>14</v>
          </cell>
          <cell r="D307" t="str">
            <v>BHA</v>
          </cell>
          <cell r="E307">
            <v>2.3667890762900661</v>
          </cell>
        </row>
        <row r="308">
          <cell r="B308" t="str">
            <v>University at Albany, SUNY</v>
          </cell>
          <cell r="C308">
            <v>19</v>
          </cell>
          <cell r="D308" t="str">
            <v>DDH</v>
          </cell>
          <cell r="E308">
            <v>2.3626703304843808</v>
          </cell>
        </row>
        <row r="309">
          <cell r="B309" t="str">
            <v>Universite PSL</v>
          </cell>
          <cell r="C309">
            <v>15</v>
          </cell>
          <cell r="D309" t="str">
            <v>BCW</v>
          </cell>
          <cell r="E309">
            <v>2.3528646817316941</v>
          </cell>
        </row>
        <row r="310">
          <cell r="B310" t="str">
            <v>Universidade Nova de Lisboa</v>
          </cell>
          <cell r="C310">
            <v>18</v>
          </cell>
          <cell r="D310" t="str">
            <v>AGU</v>
          </cell>
          <cell r="E310">
            <v>2.3525756936032458</v>
          </cell>
        </row>
        <row r="311">
          <cell r="B311" t="str">
            <v>Kansas State University</v>
          </cell>
          <cell r="C311">
            <v>9</v>
          </cell>
          <cell r="D311" t="str">
            <v>CGU</v>
          </cell>
          <cell r="E311">
            <v>2.34953510830274</v>
          </cell>
        </row>
        <row r="312">
          <cell r="B312" t="str">
            <v>Kedge Business School</v>
          </cell>
          <cell r="C312">
            <v>34</v>
          </cell>
          <cell r="D312" t="str">
            <v>BEP</v>
          </cell>
          <cell r="E312">
            <v>2.3490042655965002</v>
          </cell>
        </row>
        <row r="313">
          <cell r="B313" t="str">
            <v>Newcastle University - UK</v>
          </cell>
          <cell r="C313">
            <v>59</v>
          </cell>
          <cell r="D313" t="str">
            <v>BCP</v>
          </cell>
          <cell r="E313">
            <v>2.3484265096263148</v>
          </cell>
        </row>
        <row r="314">
          <cell r="B314" t="str">
            <v>University of Hong Kong</v>
          </cell>
          <cell r="C314">
            <v>25</v>
          </cell>
          <cell r="D314" t="str">
            <v>ABN</v>
          </cell>
          <cell r="E314">
            <v>2.3456488172685428</v>
          </cell>
        </row>
        <row r="315">
          <cell r="B315" t="str">
            <v>University of Kansas</v>
          </cell>
          <cell r="C315">
            <v>9</v>
          </cell>
          <cell r="D315" t="str">
            <v>BFF</v>
          </cell>
          <cell r="E315">
            <v>2.3447881722934958</v>
          </cell>
        </row>
        <row r="316">
          <cell r="B316" t="str">
            <v>Miami University</v>
          </cell>
          <cell r="C316">
            <v>17</v>
          </cell>
          <cell r="D316" t="str">
            <v>BCO</v>
          </cell>
          <cell r="E316">
            <v>2.344304916342876</v>
          </cell>
        </row>
        <row r="317">
          <cell r="B317" t="str">
            <v>University Hohenheim</v>
          </cell>
          <cell r="C317">
            <v>17</v>
          </cell>
          <cell r="D317" t="str">
            <v>BEQ</v>
          </cell>
          <cell r="E317">
            <v>2.3426345245885618</v>
          </cell>
        </row>
        <row r="318">
          <cell r="B318" t="str">
            <v>University of Barcelona</v>
          </cell>
          <cell r="C318">
            <v>15</v>
          </cell>
          <cell r="D318" t="str">
            <v>CAM</v>
          </cell>
          <cell r="E318">
            <v>2.3320034780407579</v>
          </cell>
        </row>
        <row r="319">
          <cell r="B319" t="str">
            <v>Hebrew University of Jerusalem</v>
          </cell>
          <cell r="C319">
            <v>11</v>
          </cell>
          <cell r="D319" t="str">
            <v>AET</v>
          </cell>
          <cell r="E319">
            <v>2.3208027523231358</v>
          </cell>
        </row>
        <row r="320">
          <cell r="B320" t="str">
            <v>Universidad de Chile</v>
          </cell>
          <cell r="C320">
            <v>14</v>
          </cell>
          <cell r="D320" t="str">
            <v>CAQ</v>
          </cell>
          <cell r="E320">
            <v>2.3184275554220921</v>
          </cell>
        </row>
        <row r="321">
          <cell r="B321" t="str">
            <v>Nankai University</v>
          </cell>
          <cell r="C321">
            <v>27</v>
          </cell>
          <cell r="D321" t="str">
            <v>BEL</v>
          </cell>
          <cell r="E321">
            <v>2.317731173929487</v>
          </cell>
        </row>
        <row r="322">
          <cell r="B322" t="str">
            <v>Stockholm University</v>
          </cell>
          <cell r="C322">
            <v>33</v>
          </cell>
          <cell r="D322" t="str">
            <v>AFS</v>
          </cell>
          <cell r="E322">
            <v>2.3065172516360208</v>
          </cell>
        </row>
        <row r="323">
          <cell r="B323" t="str">
            <v>The Chinese University of Hong Kong, Shenzhen</v>
          </cell>
          <cell r="C323">
            <v>5</v>
          </cell>
          <cell r="D323" t="str">
            <v>DEF</v>
          </cell>
          <cell r="E323">
            <v>2.3062889911212241</v>
          </cell>
        </row>
        <row r="324">
          <cell r="B324" t="str">
            <v>Griffith University</v>
          </cell>
          <cell r="C324">
            <v>56</v>
          </cell>
          <cell r="D324" t="str">
            <v>BBF</v>
          </cell>
          <cell r="E324">
            <v>2.300532523125995</v>
          </cell>
        </row>
        <row r="325">
          <cell r="B325" t="str">
            <v>University of California San Diego</v>
          </cell>
          <cell r="C325">
            <v>7</v>
          </cell>
          <cell r="D325" t="str">
            <v>AAS</v>
          </cell>
          <cell r="E325">
            <v>2.2793791602930189</v>
          </cell>
        </row>
        <row r="326">
          <cell r="B326" t="str">
            <v>University of Bayreuth</v>
          </cell>
          <cell r="C326">
            <v>25</v>
          </cell>
          <cell r="D326" t="str">
            <v>DAI</v>
          </cell>
          <cell r="E326">
            <v>2.2791147656293962</v>
          </cell>
        </row>
        <row r="327">
          <cell r="B327" t="str">
            <v>Shanghai Jiao Tong University</v>
          </cell>
          <cell r="C327">
            <v>65</v>
          </cell>
          <cell r="D327" t="str">
            <v>AFN</v>
          </cell>
          <cell r="E327">
            <v>2.2685553986233251</v>
          </cell>
        </row>
        <row r="328">
          <cell r="B328" t="str">
            <v>University of Sheffield</v>
          </cell>
          <cell r="C328">
            <v>28</v>
          </cell>
          <cell r="D328" t="str">
            <v>AHA</v>
          </cell>
          <cell r="E328">
            <v>2.2667429708505948</v>
          </cell>
        </row>
        <row r="329">
          <cell r="B329" t="str">
            <v>Carleton University</v>
          </cell>
          <cell r="C329">
            <v>15</v>
          </cell>
          <cell r="D329" t="str">
            <v>AHX</v>
          </cell>
          <cell r="E329">
            <v>2.2665845861084288</v>
          </cell>
        </row>
        <row r="330">
          <cell r="B330" t="str">
            <v>Northumbria University</v>
          </cell>
          <cell r="C330">
            <v>40</v>
          </cell>
          <cell r="D330" t="str">
            <v>CAT</v>
          </cell>
          <cell r="E330">
            <v>2.2658451887806348</v>
          </cell>
        </row>
        <row r="331">
          <cell r="B331" t="str">
            <v>University of Milano-Bicocca</v>
          </cell>
          <cell r="C331">
            <v>12</v>
          </cell>
          <cell r="D331" t="str">
            <v>CHH</v>
          </cell>
          <cell r="E331">
            <v>2.2653043033744491</v>
          </cell>
        </row>
        <row r="332">
          <cell r="B332" t="str">
            <v>University of Valencia</v>
          </cell>
          <cell r="C332">
            <v>65</v>
          </cell>
          <cell r="D332" t="str">
            <v>BGP</v>
          </cell>
          <cell r="E332">
            <v>2.263490436502078</v>
          </cell>
        </row>
        <row r="333">
          <cell r="B333" t="str">
            <v>Queensland University of Technology (QUT)</v>
          </cell>
          <cell r="C333">
            <v>57</v>
          </cell>
          <cell r="D333" t="str">
            <v>AFJ</v>
          </cell>
          <cell r="E333">
            <v>2.263085547785618</v>
          </cell>
        </row>
        <row r="334">
          <cell r="B334" t="str">
            <v>Tongji University</v>
          </cell>
          <cell r="C334">
            <v>59</v>
          </cell>
          <cell r="D334" t="str">
            <v>BDV</v>
          </cell>
          <cell r="E334">
            <v>2.2601157331890702</v>
          </cell>
        </row>
        <row r="335">
          <cell r="B335" t="str">
            <v>University of West England</v>
          </cell>
          <cell r="C335">
            <v>25</v>
          </cell>
          <cell r="D335" t="str">
            <v>DCP</v>
          </cell>
          <cell r="E335">
            <v>2.2599464615651579</v>
          </cell>
        </row>
        <row r="336">
          <cell r="B336" t="str">
            <v>University of Naples Federico II</v>
          </cell>
          <cell r="C336">
            <v>44</v>
          </cell>
          <cell r="D336" t="str">
            <v>CBA</v>
          </cell>
          <cell r="E336">
            <v>2.2565475626689042</v>
          </cell>
        </row>
        <row r="337">
          <cell r="B337" t="str">
            <v>Ifo Institut</v>
          </cell>
          <cell r="C337">
            <v>11</v>
          </cell>
          <cell r="D337" t="str">
            <v>AHT</v>
          </cell>
          <cell r="E337">
            <v>2.256122815111576</v>
          </cell>
        </row>
        <row r="338">
          <cell r="B338" t="str">
            <v>Washington State University</v>
          </cell>
          <cell r="C338">
            <v>16</v>
          </cell>
          <cell r="D338" t="str">
            <v>CAD</v>
          </cell>
          <cell r="E338">
            <v>2.249331961124637</v>
          </cell>
        </row>
        <row r="339">
          <cell r="B339" t="str">
            <v>University of Houston</v>
          </cell>
          <cell r="C339">
            <v>40</v>
          </cell>
          <cell r="D339" t="str">
            <v>BFA</v>
          </cell>
          <cell r="E339">
            <v>2.2482989825791959</v>
          </cell>
        </row>
        <row r="340">
          <cell r="B340" t="str">
            <v>University of Rome Tor Vergata</v>
          </cell>
          <cell r="C340">
            <v>21</v>
          </cell>
          <cell r="D340" t="str">
            <v>CBH</v>
          </cell>
          <cell r="E340">
            <v>2.2437746528575651</v>
          </cell>
        </row>
        <row r="341">
          <cell r="B341" t="str">
            <v>Ghent University</v>
          </cell>
          <cell r="C341">
            <v>42</v>
          </cell>
          <cell r="D341" t="str">
            <v>AES</v>
          </cell>
          <cell r="E341">
            <v>2.237208352397785</v>
          </cell>
        </row>
        <row r="342">
          <cell r="B342" t="str">
            <v>ESSEC Business School</v>
          </cell>
          <cell r="C342">
            <v>20</v>
          </cell>
          <cell r="D342" t="str">
            <v>BAW</v>
          </cell>
          <cell r="E342">
            <v>2.23544215452727</v>
          </cell>
        </row>
        <row r="343">
          <cell r="B343" t="str">
            <v>University of Essex</v>
          </cell>
          <cell r="C343">
            <v>43</v>
          </cell>
          <cell r="D343" t="str">
            <v>BER</v>
          </cell>
          <cell r="E343">
            <v>2.231318013271113</v>
          </cell>
        </row>
        <row r="344">
          <cell r="B344" t="str">
            <v>Beijing Institute of Technology</v>
          </cell>
          <cell r="C344">
            <v>31</v>
          </cell>
          <cell r="D344" t="str">
            <v>AED</v>
          </cell>
          <cell r="E344">
            <v>2.2209913498458409</v>
          </cell>
        </row>
        <row r="345">
          <cell r="B345" t="str">
            <v>Consejo Superior de Investigaciones Cientificas (CSIC)</v>
          </cell>
          <cell r="C345">
            <v>16</v>
          </cell>
          <cell r="D345" t="str">
            <v>AEV</v>
          </cell>
          <cell r="E345">
            <v>2.2183660102782512</v>
          </cell>
        </row>
        <row r="346">
          <cell r="B346" t="str">
            <v>Universite de Rennes</v>
          </cell>
          <cell r="C346">
            <v>27</v>
          </cell>
          <cell r="D346" t="str">
            <v>BBE</v>
          </cell>
          <cell r="E346">
            <v>2.213855041145286</v>
          </cell>
        </row>
        <row r="347">
          <cell r="B347" t="str">
            <v>University of Southern Denmark</v>
          </cell>
          <cell r="C347">
            <v>47</v>
          </cell>
          <cell r="D347" t="str">
            <v>BGK</v>
          </cell>
          <cell r="E347">
            <v>2.212342091081267</v>
          </cell>
        </row>
        <row r="348">
          <cell r="B348" t="str">
            <v>Victoria University Wellington</v>
          </cell>
          <cell r="C348">
            <v>11</v>
          </cell>
          <cell r="D348" t="str">
            <v>BHZ</v>
          </cell>
          <cell r="E348">
            <v>2.2118054312783761</v>
          </cell>
        </row>
        <row r="349">
          <cell r="B349" t="str">
            <v>University of Milan</v>
          </cell>
          <cell r="C349">
            <v>6</v>
          </cell>
          <cell r="D349" t="str">
            <v>BAD</v>
          </cell>
          <cell r="E349">
            <v>2.209504049602506</v>
          </cell>
        </row>
        <row r="350">
          <cell r="B350" t="str">
            <v>Fordham University</v>
          </cell>
          <cell r="C350">
            <v>16</v>
          </cell>
          <cell r="D350" t="str">
            <v>CGQ</v>
          </cell>
          <cell r="E350">
            <v>2.209401058532217</v>
          </cell>
        </row>
        <row r="351">
          <cell r="B351" t="str">
            <v>Utah State University</v>
          </cell>
          <cell r="C351">
            <v>16</v>
          </cell>
          <cell r="D351" t="str">
            <v>AEF</v>
          </cell>
          <cell r="E351">
            <v>2.209324822970903</v>
          </cell>
        </row>
        <row r="352">
          <cell r="B352" t="str">
            <v>Virginia Polytechnic Institute &amp; State University</v>
          </cell>
          <cell r="C352">
            <v>24</v>
          </cell>
          <cell r="D352" t="str">
            <v>BGY</v>
          </cell>
          <cell r="E352">
            <v>2.2047132161720469</v>
          </cell>
        </row>
        <row r="353">
          <cell r="B353" t="str">
            <v>Xi'an Jiaotong-Liverpool University</v>
          </cell>
          <cell r="C353">
            <v>14</v>
          </cell>
          <cell r="D353" t="str">
            <v>DBT</v>
          </cell>
          <cell r="E353">
            <v>2.2008468782935409</v>
          </cell>
        </row>
        <row r="354">
          <cell r="B354" t="str">
            <v>Tinbergen Institute</v>
          </cell>
          <cell r="C354">
            <v>7</v>
          </cell>
          <cell r="D354" t="str">
            <v>CAI</v>
          </cell>
          <cell r="E354">
            <v>2.1958429507136761</v>
          </cell>
        </row>
        <row r="355">
          <cell r="B355" t="str">
            <v>Zhejiang University</v>
          </cell>
          <cell r="C355">
            <v>67</v>
          </cell>
          <cell r="D355" t="str">
            <v>BHD</v>
          </cell>
          <cell r="E355">
            <v>2.1916826194622998</v>
          </cell>
        </row>
        <row r="356">
          <cell r="B356" t="str">
            <v>University of Turku</v>
          </cell>
          <cell r="C356">
            <v>26</v>
          </cell>
          <cell r="D356" t="str">
            <v>CGK</v>
          </cell>
          <cell r="E356">
            <v>2.1829450376402759</v>
          </cell>
        </row>
        <row r="357">
          <cell r="B357" t="str">
            <v>Curtin University</v>
          </cell>
          <cell r="C357">
            <v>36</v>
          </cell>
          <cell r="D357" t="str">
            <v>BAP</v>
          </cell>
          <cell r="E357">
            <v>2.1804457796627839</v>
          </cell>
        </row>
        <row r="358">
          <cell r="B358" t="str">
            <v>Concordia University - Canada</v>
          </cell>
          <cell r="C358">
            <v>38</v>
          </cell>
          <cell r="D358" t="str">
            <v>BAM</v>
          </cell>
          <cell r="E358">
            <v>2.1761193825149729</v>
          </cell>
        </row>
        <row r="359">
          <cell r="B359" t="str">
            <v>San Diego State University</v>
          </cell>
          <cell r="C359">
            <v>12</v>
          </cell>
          <cell r="D359" t="str">
            <v>BHN</v>
          </cell>
          <cell r="E359">
            <v>2.1751806606276691</v>
          </cell>
        </row>
        <row r="360">
          <cell r="B360" t="str">
            <v>Swansea University</v>
          </cell>
          <cell r="C360">
            <v>20</v>
          </cell>
          <cell r="D360" t="str">
            <v>CHQ</v>
          </cell>
          <cell r="E360">
            <v>2.1718390696643382</v>
          </cell>
        </row>
        <row r="361">
          <cell r="B361" t="str">
            <v>KU Leuven</v>
          </cell>
          <cell r="C361">
            <v>58</v>
          </cell>
          <cell r="D361" t="str">
            <v>AEX</v>
          </cell>
          <cell r="E361">
            <v>2.1711043446220519</v>
          </cell>
        </row>
        <row r="362">
          <cell r="B362" t="str">
            <v>Deakin University</v>
          </cell>
          <cell r="C362">
            <v>49</v>
          </cell>
          <cell r="D362" t="str">
            <v>ACE</v>
          </cell>
          <cell r="E362">
            <v>2.1652866741871968</v>
          </cell>
        </row>
        <row r="363">
          <cell r="B363" t="str">
            <v>University of Missouri Columbia</v>
          </cell>
          <cell r="C363">
            <v>36</v>
          </cell>
          <cell r="D363" t="str">
            <v>BFS</v>
          </cell>
          <cell r="E363">
            <v>2.1649017491799372</v>
          </cell>
        </row>
        <row r="364">
          <cell r="B364" t="str">
            <v>Brock University</v>
          </cell>
          <cell r="C364">
            <v>18</v>
          </cell>
          <cell r="D364" t="str">
            <v>DEG</v>
          </cell>
          <cell r="E364">
            <v>2.1604443758543161</v>
          </cell>
        </row>
        <row r="365">
          <cell r="B365" t="str">
            <v>Massey University</v>
          </cell>
          <cell r="C365">
            <v>31</v>
          </cell>
          <cell r="D365" t="str">
            <v>BCF</v>
          </cell>
          <cell r="E365">
            <v>2.1599196471326239</v>
          </cell>
        </row>
        <row r="366">
          <cell r="B366" t="str">
            <v>West Virginia University</v>
          </cell>
          <cell r="C366">
            <v>9</v>
          </cell>
          <cell r="D366" t="str">
            <v>CGS</v>
          </cell>
          <cell r="E366">
            <v>2.1578399662279821</v>
          </cell>
        </row>
        <row r="367">
          <cell r="B367" t="str">
            <v>Toronto Metropolitan University</v>
          </cell>
          <cell r="C367">
            <v>25</v>
          </cell>
          <cell r="D367" t="str">
            <v>ADE</v>
          </cell>
          <cell r="E367">
            <v>2.1569155514722089</v>
          </cell>
        </row>
        <row r="368">
          <cell r="B368" t="str">
            <v>Wageningen University &amp; Research</v>
          </cell>
          <cell r="C368">
            <v>13</v>
          </cell>
          <cell r="D368" t="str">
            <v>BGZ</v>
          </cell>
          <cell r="E368">
            <v>2.1530426025489451</v>
          </cell>
        </row>
        <row r="369">
          <cell r="B369" t="str">
            <v>Sapienza University Rome</v>
          </cell>
          <cell r="C369">
            <v>35</v>
          </cell>
          <cell r="D369" t="str">
            <v>CBG</v>
          </cell>
          <cell r="E369">
            <v>2.1502499342303492</v>
          </cell>
        </row>
        <row r="370">
          <cell r="B370" t="str">
            <v>National Taiwan University</v>
          </cell>
          <cell r="C370">
            <v>31</v>
          </cell>
          <cell r="D370" t="str">
            <v>BCN</v>
          </cell>
          <cell r="E370">
            <v>2.1318963573227689</v>
          </cell>
        </row>
        <row r="371">
          <cell r="B371" t="str">
            <v>Tsinghua University</v>
          </cell>
          <cell r="C371">
            <v>65</v>
          </cell>
          <cell r="D371" t="str">
            <v>AFX</v>
          </cell>
          <cell r="E371">
            <v>2.129429590231076</v>
          </cell>
        </row>
        <row r="372">
          <cell r="B372" t="str">
            <v>Centre National de la Recherche Scientifique (CNRS)</v>
          </cell>
          <cell r="C372">
            <v>61</v>
          </cell>
          <cell r="D372" t="str">
            <v>AEJ</v>
          </cell>
          <cell r="E372">
            <v>2.1275486478765111</v>
          </cell>
        </row>
        <row r="373">
          <cell r="B373" t="str">
            <v>Virginia Commonwealth University</v>
          </cell>
          <cell r="C373">
            <v>22</v>
          </cell>
          <cell r="D373" t="str">
            <v>DFD</v>
          </cell>
          <cell r="E373">
            <v>2.1161373429632562</v>
          </cell>
        </row>
        <row r="374">
          <cell r="B374" t="str">
            <v>Northwestern Polytechnical University</v>
          </cell>
          <cell r="C374">
            <v>32</v>
          </cell>
          <cell r="D374" t="str">
            <v>DAP</v>
          </cell>
          <cell r="E374">
            <v>2.1159717467094792</v>
          </cell>
        </row>
        <row r="375">
          <cell r="B375" t="str">
            <v>Renmin University of China</v>
          </cell>
          <cell r="C375">
            <v>50</v>
          </cell>
          <cell r="D375" t="str">
            <v>AFK</v>
          </cell>
          <cell r="E375">
            <v>2.1152921742506439</v>
          </cell>
        </row>
        <row r="376">
          <cell r="B376" t="str">
            <v>Harbin Institute of Technology</v>
          </cell>
          <cell r="C376">
            <v>36</v>
          </cell>
          <cell r="D376" t="str">
            <v>CAF</v>
          </cell>
          <cell r="E376">
            <v>2.1127380176539599</v>
          </cell>
        </row>
        <row r="377">
          <cell r="B377" t="str">
            <v>Central South University</v>
          </cell>
          <cell r="C377">
            <v>22</v>
          </cell>
          <cell r="D377" t="str">
            <v>BAG</v>
          </cell>
          <cell r="E377">
            <v>2.1091596744635961</v>
          </cell>
        </row>
        <row r="378">
          <cell r="B378" t="str">
            <v>University of Munster</v>
          </cell>
          <cell r="C378">
            <v>15</v>
          </cell>
          <cell r="D378" t="str">
            <v>DAC</v>
          </cell>
          <cell r="E378">
            <v>2.0978269501275721</v>
          </cell>
        </row>
        <row r="379">
          <cell r="B379" t="str">
            <v>University of Erlangen Nuremberg</v>
          </cell>
          <cell r="C379">
            <v>25</v>
          </cell>
          <cell r="D379" t="str">
            <v>ABZ</v>
          </cell>
          <cell r="E379">
            <v>2.0907445399514408</v>
          </cell>
        </row>
        <row r="380">
          <cell r="B380" t="str">
            <v>Southwestern University of Finance &amp; Economics - China</v>
          </cell>
          <cell r="C380">
            <v>37</v>
          </cell>
          <cell r="D380" t="str">
            <v>AFQ</v>
          </cell>
          <cell r="E380">
            <v>2.0905694311679048</v>
          </cell>
        </row>
        <row r="381">
          <cell r="B381" t="str">
            <v>National Chengchi University</v>
          </cell>
          <cell r="C381">
            <v>14</v>
          </cell>
          <cell r="D381" t="str">
            <v>CAE</v>
          </cell>
          <cell r="E381">
            <v>2.0901370541156101</v>
          </cell>
        </row>
        <row r="382">
          <cell r="B382" t="str">
            <v>University of Macau</v>
          </cell>
          <cell r="C382">
            <v>14</v>
          </cell>
          <cell r="D382" t="str">
            <v>CHJ</v>
          </cell>
          <cell r="E382">
            <v>2.0894369125975691</v>
          </cell>
        </row>
        <row r="383">
          <cell r="B383" t="str">
            <v>University of Texas at San Antonio (UTSA)</v>
          </cell>
          <cell r="C383">
            <v>16</v>
          </cell>
          <cell r="D383" t="str">
            <v>BDP</v>
          </cell>
          <cell r="E383">
            <v>2.0869086387205038</v>
          </cell>
        </row>
        <row r="384">
          <cell r="B384" t="str">
            <v>Warsaw School of Economics</v>
          </cell>
          <cell r="C384">
            <v>6</v>
          </cell>
          <cell r="D384" t="str">
            <v>AGZ</v>
          </cell>
          <cell r="E384">
            <v>2.0802049319102331</v>
          </cell>
        </row>
        <row r="385">
          <cell r="B385" t="str">
            <v>Universite Paris Saclay</v>
          </cell>
          <cell r="C385">
            <v>8</v>
          </cell>
          <cell r="D385" t="str">
            <v>CBD</v>
          </cell>
          <cell r="E385">
            <v>2.0762061433863281</v>
          </cell>
        </row>
        <row r="386">
          <cell r="B386" t="str">
            <v>Texas Tech University</v>
          </cell>
          <cell r="C386">
            <v>25</v>
          </cell>
          <cell r="D386" t="str">
            <v>BDU</v>
          </cell>
          <cell r="E386">
            <v>2.0761480296837842</v>
          </cell>
        </row>
        <row r="387">
          <cell r="B387" t="str">
            <v>Hong Kong Polytechnic University</v>
          </cell>
          <cell r="C387">
            <v>83</v>
          </cell>
          <cell r="D387" t="str">
            <v>ACK</v>
          </cell>
          <cell r="E387">
            <v>2.0742321089513012</v>
          </cell>
        </row>
        <row r="388">
          <cell r="B388" t="str">
            <v>Sungkyunkwan University (SKKU)</v>
          </cell>
          <cell r="C388">
            <v>15</v>
          </cell>
          <cell r="D388" t="str">
            <v>BDS</v>
          </cell>
          <cell r="E388">
            <v>2.0695072088059612</v>
          </cell>
        </row>
        <row r="389">
          <cell r="B389" t="str">
            <v>Universidad Pablo de Olavide</v>
          </cell>
          <cell r="C389">
            <v>28</v>
          </cell>
          <cell r="D389" t="str">
            <v>CBB</v>
          </cell>
          <cell r="E389">
            <v>2.0686430703000269</v>
          </cell>
        </row>
        <row r="390">
          <cell r="B390" t="str">
            <v>Uppsala University</v>
          </cell>
          <cell r="C390">
            <v>28</v>
          </cell>
          <cell r="D390" t="str">
            <v>BGV</v>
          </cell>
          <cell r="E390">
            <v>2.066210024583484</v>
          </cell>
        </row>
        <row r="391">
          <cell r="B391" t="str">
            <v>University of Bologna</v>
          </cell>
          <cell r="C391">
            <v>45</v>
          </cell>
          <cell r="D391" t="str">
            <v>BEG</v>
          </cell>
          <cell r="E391">
            <v>2.061008475970564</v>
          </cell>
        </row>
        <row r="392">
          <cell r="B392" t="str">
            <v>Old Dominion University</v>
          </cell>
          <cell r="C392">
            <v>27</v>
          </cell>
          <cell r="D392" t="str">
            <v>CHF</v>
          </cell>
          <cell r="E392">
            <v>2.0554726605124891</v>
          </cell>
        </row>
        <row r="393">
          <cell r="B393" t="str">
            <v>University of Portsmouth</v>
          </cell>
          <cell r="C393">
            <v>36</v>
          </cell>
          <cell r="D393" t="str">
            <v>BGE</v>
          </cell>
          <cell r="E393">
            <v>2.0542631882084339</v>
          </cell>
        </row>
        <row r="394">
          <cell r="B394" t="str">
            <v>University of Siena</v>
          </cell>
          <cell r="C394">
            <v>8</v>
          </cell>
          <cell r="D394" t="str">
            <v>DCO</v>
          </cell>
          <cell r="E394">
            <v>2.0539064666094999</v>
          </cell>
        </row>
        <row r="395">
          <cell r="B395" t="str">
            <v>Mississippi State University</v>
          </cell>
          <cell r="C395">
            <v>11</v>
          </cell>
          <cell r="D395" t="str">
            <v>AFD</v>
          </cell>
          <cell r="E395">
            <v>2.0457774062224421</v>
          </cell>
        </row>
        <row r="396">
          <cell r="B396" t="str">
            <v>University of Mississippi</v>
          </cell>
          <cell r="C396">
            <v>11</v>
          </cell>
          <cell r="D396" t="str">
            <v>DCF</v>
          </cell>
          <cell r="E396">
            <v>2.0457774062224421</v>
          </cell>
        </row>
        <row r="397">
          <cell r="B397" t="str">
            <v>University of Turin</v>
          </cell>
          <cell r="C397">
            <v>41</v>
          </cell>
          <cell r="D397" t="str">
            <v>CCB</v>
          </cell>
          <cell r="E397">
            <v>2.043778162545081</v>
          </cell>
        </row>
        <row r="398">
          <cell r="B398" t="str">
            <v>University of Wisconsin Milwaukee</v>
          </cell>
          <cell r="C398">
            <v>7</v>
          </cell>
          <cell r="D398" t="str">
            <v>DDG</v>
          </cell>
          <cell r="E398">
            <v>2.039539119914068</v>
          </cell>
        </row>
        <row r="399">
          <cell r="B399" t="str">
            <v>University of Basque Country</v>
          </cell>
          <cell r="C399">
            <v>18</v>
          </cell>
          <cell r="D399" t="str">
            <v>CBC</v>
          </cell>
          <cell r="E399">
            <v>2.0364699925193719</v>
          </cell>
        </row>
        <row r="400">
          <cell r="B400" t="str">
            <v>Texas State University San Marcos</v>
          </cell>
          <cell r="C400">
            <v>21</v>
          </cell>
          <cell r="D400" t="str">
            <v>DEW</v>
          </cell>
          <cell r="E400">
            <v>2.035263666438563</v>
          </cell>
        </row>
        <row r="401">
          <cell r="B401" t="str">
            <v>University of Innsbruck</v>
          </cell>
          <cell r="C401">
            <v>20</v>
          </cell>
          <cell r="D401" t="str">
            <v>BFC</v>
          </cell>
          <cell r="E401">
            <v>2.0349308935034012</v>
          </cell>
        </row>
        <row r="402">
          <cell r="B402" t="str">
            <v>University of New South Wales Sydney</v>
          </cell>
          <cell r="C402">
            <v>55</v>
          </cell>
          <cell r="D402" t="str">
            <v>ADI</v>
          </cell>
          <cell r="E402">
            <v>2.0301331999909338</v>
          </cell>
        </row>
        <row r="403">
          <cell r="B403" t="str">
            <v>Aix-Marseille Universite</v>
          </cell>
          <cell r="C403">
            <v>16</v>
          </cell>
          <cell r="D403" t="str">
            <v>BHG</v>
          </cell>
          <cell r="E403">
            <v>2.0296944937371921</v>
          </cell>
        </row>
        <row r="404">
          <cell r="B404" t="str">
            <v>California State University Fullerton</v>
          </cell>
          <cell r="C404">
            <v>14</v>
          </cell>
          <cell r="D404" t="str">
            <v>DAZ</v>
          </cell>
          <cell r="E404">
            <v>2.0293807652719398</v>
          </cell>
        </row>
        <row r="405">
          <cell r="B405" t="str">
            <v>Universidade de Santiago de Compostela</v>
          </cell>
          <cell r="C405">
            <v>13</v>
          </cell>
          <cell r="D405" t="str">
            <v>BHW</v>
          </cell>
          <cell r="E405">
            <v>2.0272330125539781</v>
          </cell>
        </row>
        <row r="406">
          <cell r="B406" t="str">
            <v>University of Wollongong</v>
          </cell>
          <cell r="C406">
            <v>26</v>
          </cell>
          <cell r="D406" t="str">
            <v>BFG</v>
          </cell>
          <cell r="E406">
            <v>2.0210824507219529</v>
          </cell>
        </row>
        <row r="407">
          <cell r="B407" t="str">
            <v>Sun Yat Sen University</v>
          </cell>
          <cell r="C407">
            <v>45</v>
          </cell>
          <cell r="D407" t="str">
            <v>BDO</v>
          </cell>
          <cell r="E407">
            <v>2.0146642743501402</v>
          </cell>
        </row>
        <row r="408">
          <cell r="B408" t="str">
            <v>Laval University</v>
          </cell>
          <cell r="C408">
            <v>17</v>
          </cell>
          <cell r="D408" t="str">
            <v>AGP</v>
          </cell>
          <cell r="E408">
            <v>2.00745651329445</v>
          </cell>
        </row>
        <row r="409">
          <cell r="B409" t="str">
            <v>Southern Illinois University</v>
          </cell>
          <cell r="C409">
            <v>15</v>
          </cell>
          <cell r="D409" t="str">
            <v>DBK</v>
          </cell>
          <cell r="E409">
            <v>1.9968397306467991</v>
          </cell>
        </row>
        <row r="410">
          <cell r="B410" t="str">
            <v>Athens University of Economics &amp; Business</v>
          </cell>
          <cell r="C410">
            <v>19</v>
          </cell>
          <cell r="D410" t="str">
            <v>AHV</v>
          </cell>
          <cell r="E410">
            <v>1.9883617350730849</v>
          </cell>
        </row>
        <row r="411">
          <cell r="B411" t="str">
            <v>Catholic University of the Sacred Heart</v>
          </cell>
          <cell r="C411">
            <v>15</v>
          </cell>
          <cell r="D411" t="str">
            <v>BAT</v>
          </cell>
          <cell r="E411">
            <v>1.982801164016522</v>
          </cell>
        </row>
        <row r="412">
          <cell r="B412" t="str">
            <v>Royal Melbourne Institute of Technology (RMIT)</v>
          </cell>
          <cell r="C412">
            <v>71</v>
          </cell>
          <cell r="D412" t="str">
            <v>BDD</v>
          </cell>
          <cell r="E412">
            <v>1.972292583425769</v>
          </cell>
        </row>
        <row r="413">
          <cell r="B413" t="str">
            <v>COMSATS University Islamabad (CUI)</v>
          </cell>
          <cell r="C413">
            <v>51</v>
          </cell>
          <cell r="D413" t="str">
            <v>BAL</v>
          </cell>
          <cell r="E413">
            <v>1.969749241715371</v>
          </cell>
        </row>
        <row r="414">
          <cell r="B414" t="str">
            <v>Hang Seng University of Hong Kong</v>
          </cell>
          <cell r="C414">
            <v>12</v>
          </cell>
          <cell r="D414" t="str">
            <v>DDT</v>
          </cell>
          <cell r="E414">
            <v>1.9692222475775181</v>
          </cell>
        </row>
        <row r="415">
          <cell r="B415" t="str">
            <v>University of Sevilla</v>
          </cell>
          <cell r="C415">
            <v>47</v>
          </cell>
          <cell r="D415" t="str">
            <v>CBK</v>
          </cell>
          <cell r="E415">
            <v>1.9673768818844759</v>
          </cell>
        </row>
        <row r="416">
          <cell r="B416" t="str">
            <v>Qatar University</v>
          </cell>
          <cell r="C416">
            <v>20</v>
          </cell>
          <cell r="D416" t="str">
            <v>BGG</v>
          </cell>
          <cell r="E416">
            <v>1.9659532513120339</v>
          </cell>
        </row>
        <row r="417">
          <cell r="B417" t="str">
            <v>Kozminski University</v>
          </cell>
          <cell r="C417">
            <v>18</v>
          </cell>
          <cell r="D417" t="str">
            <v>DFE</v>
          </cell>
          <cell r="E417">
            <v>1.9591496082711031</v>
          </cell>
        </row>
        <row r="418">
          <cell r="B418" t="str">
            <v>Auckland University of Technology</v>
          </cell>
          <cell r="C418">
            <v>18</v>
          </cell>
          <cell r="D418" t="str">
            <v>AHW</v>
          </cell>
          <cell r="E418">
            <v>1.956650637196562</v>
          </cell>
        </row>
        <row r="419">
          <cell r="B419" t="str">
            <v>Nanjing University</v>
          </cell>
          <cell r="C419">
            <v>34</v>
          </cell>
          <cell r="D419" t="str">
            <v>BCM</v>
          </cell>
          <cell r="E419">
            <v>1.95060675730211</v>
          </cell>
        </row>
        <row r="420">
          <cell r="B420" t="str">
            <v>University of East Anglia</v>
          </cell>
          <cell r="C420">
            <v>18</v>
          </cell>
          <cell r="D420" t="str">
            <v>AGH</v>
          </cell>
          <cell r="E420">
            <v>1.946992183132497</v>
          </cell>
        </row>
        <row r="421">
          <cell r="B421" t="str">
            <v>Dongbei University of Finance &amp; Economics</v>
          </cell>
          <cell r="C421">
            <v>27</v>
          </cell>
          <cell r="D421" t="str">
            <v>CGY</v>
          </cell>
          <cell r="E421">
            <v>1.94391110371266</v>
          </cell>
        </row>
        <row r="422">
          <cell r="B422" t="str">
            <v>University of York - UK</v>
          </cell>
          <cell r="C422">
            <v>21</v>
          </cell>
          <cell r="D422" t="str">
            <v>BGT</v>
          </cell>
          <cell r="E422">
            <v>1.934783326054307</v>
          </cell>
        </row>
        <row r="423">
          <cell r="B423" t="str">
            <v>University of Chicago</v>
          </cell>
          <cell r="C423">
            <v>9</v>
          </cell>
          <cell r="D423" t="str">
            <v>AAU</v>
          </cell>
          <cell r="E423">
            <v>1.92644114894994</v>
          </cell>
        </row>
        <row r="424">
          <cell r="B424" t="str">
            <v>Aalborg University</v>
          </cell>
          <cell r="C424">
            <v>30</v>
          </cell>
          <cell r="D424" t="str">
            <v>BHF</v>
          </cell>
          <cell r="E424">
            <v>1.9218800267339571</v>
          </cell>
        </row>
        <row r="425">
          <cell r="B425" t="str">
            <v>Zhejiang University of Finance &amp; Economics</v>
          </cell>
          <cell r="C425">
            <v>14</v>
          </cell>
          <cell r="D425" t="str">
            <v>CGZ</v>
          </cell>
          <cell r="E425">
            <v>1.9083135077360001</v>
          </cell>
        </row>
        <row r="426">
          <cell r="B426" t="str">
            <v>Universita degli Studi di Bari Aldo Moro</v>
          </cell>
          <cell r="C426">
            <v>10</v>
          </cell>
          <cell r="D426" t="str">
            <v>CGN</v>
          </cell>
          <cell r="E426">
            <v>1.907570800822934</v>
          </cell>
        </row>
        <row r="427">
          <cell r="B427" t="str">
            <v>Lahore University of Management Sciences</v>
          </cell>
          <cell r="C427">
            <v>16</v>
          </cell>
          <cell r="D427" t="str">
            <v>DDK</v>
          </cell>
          <cell r="E427">
            <v>1.906942136722221</v>
          </cell>
        </row>
        <row r="428">
          <cell r="B428" t="str">
            <v>Universitetet i Stavanger</v>
          </cell>
          <cell r="C428">
            <v>7</v>
          </cell>
          <cell r="D428" t="str">
            <v>DBN</v>
          </cell>
          <cell r="E428">
            <v>1.904831878644212</v>
          </cell>
        </row>
        <row r="429">
          <cell r="B429" t="str">
            <v>Universiti Malaya</v>
          </cell>
          <cell r="C429">
            <v>24</v>
          </cell>
          <cell r="D429" t="str">
            <v>BDY</v>
          </cell>
          <cell r="E429">
            <v>1.903452055758583</v>
          </cell>
        </row>
        <row r="430">
          <cell r="B430" t="str">
            <v>University of Nevada Las Vegas</v>
          </cell>
          <cell r="C430">
            <v>14</v>
          </cell>
          <cell r="D430" t="str">
            <v>DCM</v>
          </cell>
          <cell r="E430">
            <v>1.894516430261129</v>
          </cell>
        </row>
        <row r="431">
          <cell r="B431" t="str">
            <v>Instituto Universitario de Lisboa</v>
          </cell>
          <cell r="C431">
            <v>23</v>
          </cell>
          <cell r="D431" t="str">
            <v>BBP</v>
          </cell>
          <cell r="E431">
            <v>1.8898659885490701</v>
          </cell>
        </row>
        <row r="432">
          <cell r="B432" t="str">
            <v>Capital University of Economics &amp; Business</v>
          </cell>
          <cell r="C432">
            <v>13</v>
          </cell>
          <cell r="D432" t="str">
            <v>BHQ</v>
          </cell>
          <cell r="E432">
            <v>1.8878476912093549</v>
          </cell>
        </row>
        <row r="433">
          <cell r="B433" t="str">
            <v>University of Zagreb</v>
          </cell>
          <cell r="C433">
            <v>18</v>
          </cell>
          <cell r="D433" t="str">
            <v>CBR</v>
          </cell>
          <cell r="E433">
            <v>1.886548154252438</v>
          </cell>
        </row>
        <row r="434">
          <cell r="B434" t="str">
            <v>National Taipei University</v>
          </cell>
          <cell r="C434">
            <v>12</v>
          </cell>
          <cell r="D434" t="str">
            <v>DCY</v>
          </cell>
          <cell r="E434">
            <v>1.885072819077056</v>
          </cell>
        </row>
        <row r="435">
          <cell r="B435" t="str">
            <v>Universidad Publica de Navarra</v>
          </cell>
          <cell r="C435">
            <v>19</v>
          </cell>
          <cell r="D435" t="str">
            <v>DDC</v>
          </cell>
          <cell r="E435">
            <v>1.8843517518014099</v>
          </cell>
        </row>
        <row r="436">
          <cell r="B436" t="str">
            <v>Universitat Politecnica de Valencia</v>
          </cell>
          <cell r="C436">
            <v>26</v>
          </cell>
          <cell r="D436" t="str">
            <v>CBE</v>
          </cell>
          <cell r="E436">
            <v>1.883500839697966</v>
          </cell>
        </row>
        <row r="437">
          <cell r="B437" t="str">
            <v>Swinburne University of Technology</v>
          </cell>
          <cell r="C437">
            <v>42</v>
          </cell>
          <cell r="D437" t="str">
            <v>BCD</v>
          </cell>
          <cell r="E437">
            <v>1.883030027590364</v>
          </cell>
        </row>
        <row r="438">
          <cell r="B438" t="str">
            <v>University of Palermo</v>
          </cell>
          <cell r="C438">
            <v>10</v>
          </cell>
          <cell r="D438" t="str">
            <v>DEC</v>
          </cell>
          <cell r="E438">
            <v>1.876071489196822</v>
          </cell>
        </row>
        <row r="439">
          <cell r="B439" t="str">
            <v>University of Guelph</v>
          </cell>
          <cell r="C439">
            <v>12</v>
          </cell>
          <cell r="D439" t="str">
            <v>CGP</v>
          </cell>
          <cell r="E439">
            <v>1.8709201653823571</v>
          </cell>
        </row>
        <row r="440">
          <cell r="B440" t="str">
            <v>King Abdulaziz University</v>
          </cell>
          <cell r="C440">
            <v>16</v>
          </cell>
          <cell r="D440" t="str">
            <v>DBJ</v>
          </cell>
          <cell r="E440">
            <v>1.8700785798439159</v>
          </cell>
        </row>
        <row r="441">
          <cell r="B441" t="str">
            <v>Universite Libre de Bruxelles</v>
          </cell>
          <cell r="C441">
            <v>12</v>
          </cell>
          <cell r="D441" t="str">
            <v>BFJ</v>
          </cell>
          <cell r="E441">
            <v>1.868668797278026</v>
          </cell>
        </row>
        <row r="442">
          <cell r="B442" t="str">
            <v>Seoul National University (SNU)</v>
          </cell>
          <cell r="C442">
            <v>35</v>
          </cell>
          <cell r="D442" t="str">
            <v>BDJ</v>
          </cell>
          <cell r="E442">
            <v>1.8648797659217451</v>
          </cell>
        </row>
        <row r="443">
          <cell r="B443" t="str">
            <v>Universidade do Porto</v>
          </cell>
          <cell r="C443">
            <v>25</v>
          </cell>
          <cell r="D443" t="str">
            <v>CBF</v>
          </cell>
          <cell r="E443">
            <v>1.863931692783984</v>
          </cell>
        </row>
        <row r="444">
          <cell r="B444" t="str">
            <v>University of Huddersfield</v>
          </cell>
          <cell r="C444">
            <v>19</v>
          </cell>
          <cell r="D444" t="str">
            <v>CGR</v>
          </cell>
          <cell r="E444">
            <v>1.863004741876199</v>
          </cell>
        </row>
        <row r="445">
          <cell r="B445" t="str">
            <v>Central University of Finance &amp; Economics</v>
          </cell>
          <cell r="C445">
            <v>15</v>
          </cell>
          <cell r="D445" t="str">
            <v>BAH</v>
          </cell>
          <cell r="E445">
            <v>1.8601591609136421</v>
          </cell>
        </row>
        <row r="446">
          <cell r="B446" t="str">
            <v>Universidade de Coimbra</v>
          </cell>
          <cell r="C446">
            <v>19</v>
          </cell>
          <cell r="D446" t="str">
            <v>CCE</v>
          </cell>
          <cell r="E446">
            <v>1.85817286138021</v>
          </cell>
        </row>
        <row r="447">
          <cell r="B447" t="str">
            <v>Shandong University</v>
          </cell>
          <cell r="C447">
            <v>26</v>
          </cell>
          <cell r="D447" t="str">
            <v>BFQ</v>
          </cell>
          <cell r="E447">
            <v>1.853891207536563</v>
          </cell>
        </row>
        <row r="448">
          <cell r="B448" t="str">
            <v>Northeastern University - China</v>
          </cell>
          <cell r="C448">
            <v>12</v>
          </cell>
          <cell r="D448" t="str">
            <v>DEN</v>
          </cell>
          <cell r="E448">
            <v>1.853349189650269</v>
          </cell>
        </row>
        <row r="449">
          <cell r="B449" t="str">
            <v>Beijing Normal University</v>
          </cell>
          <cell r="C449">
            <v>20</v>
          </cell>
          <cell r="D449" t="str">
            <v>BBV</v>
          </cell>
          <cell r="E449">
            <v>1.838734181581231</v>
          </cell>
        </row>
        <row r="450">
          <cell r="B450" t="str">
            <v>Delft University of Technology</v>
          </cell>
          <cell r="C450">
            <v>21</v>
          </cell>
          <cell r="D450" t="str">
            <v>BAQ</v>
          </cell>
          <cell r="E450">
            <v>1.8363381741748861</v>
          </cell>
        </row>
        <row r="451">
          <cell r="B451" t="str">
            <v>Xi'an Jiaotong University</v>
          </cell>
          <cell r="C451">
            <v>69</v>
          </cell>
          <cell r="D451" t="str">
            <v>BHB</v>
          </cell>
          <cell r="E451">
            <v>1.8356840531553791</v>
          </cell>
        </row>
        <row r="452">
          <cell r="B452" t="str">
            <v>Huazhong University of Science &amp; Technology</v>
          </cell>
          <cell r="C452">
            <v>37</v>
          </cell>
          <cell r="D452" t="str">
            <v>BBJ</v>
          </cell>
          <cell r="E452">
            <v>1.8338215271276599</v>
          </cell>
        </row>
        <row r="453">
          <cell r="B453" t="str">
            <v>Ho Chi Minh City University Economics</v>
          </cell>
          <cell r="C453">
            <v>11</v>
          </cell>
          <cell r="D453" t="str">
            <v>BBH</v>
          </cell>
          <cell r="E453">
            <v>1.8305299084932309</v>
          </cell>
        </row>
        <row r="454">
          <cell r="B454" t="str">
            <v>University of International Business &amp; Economics</v>
          </cell>
          <cell r="C454">
            <v>23</v>
          </cell>
          <cell r="D454" t="str">
            <v>BFD</v>
          </cell>
          <cell r="E454">
            <v>1.824262060370446</v>
          </cell>
        </row>
        <row r="455">
          <cell r="B455" t="str">
            <v>Roma Tre University</v>
          </cell>
          <cell r="C455">
            <v>15</v>
          </cell>
          <cell r="D455" t="str">
            <v>BAI</v>
          </cell>
          <cell r="E455">
            <v>1.8226183301169541</v>
          </cell>
        </row>
        <row r="456">
          <cell r="B456" t="str">
            <v>Tianjin University</v>
          </cell>
          <cell r="C456">
            <v>45</v>
          </cell>
          <cell r="D456" t="str">
            <v>AHH</v>
          </cell>
          <cell r="E456">
            <v>1.8187236319587321</v>
          </cell>
        </row>
        <row r="457">
          <cell r="B457" t="str">
            <v>Zayed University</v>
          </cell>
          <cell r="C457">
            <v>8</v>
          </cell>
          <cell r="D457" t="str">
            <v>DCU</v>
          </cell>
          <cell r="E457">
            <v>1.810997876313166</v>
          </cell>
        </row>
        <row r="458">
          <cell r="B458" t="str">
            <v>Manchester Metropolitan University</v>
          </cell>
          <cell r="C458">
            <v>29</v>
          </cell>
          <cell r="D458" t="str">
            <v>DBM</v>
          </cell>
          <cell r="E458">
            <v>1.810354485576283</v>
          </cell>
        </row>
        <row r="459">
          <cell r="B459" t="str">
            <v>Complutense University of Madrid</v>
          </cell>
          <cell r="C459">
            <v>21</v>
          </cell>
          <cell r="D459" t="str">
            <v>CCF</v>
          </cell>
          <cell r="E459">
            <v>1.8095964513403271</v>
          </cell>
        </row>
        <row r="460">
          <cell r="B460" t="str">
            <v>Yonsei University</v>
          </cell>
          <cell r="C460">
            <v>32</v>
          </cell>
          <cell r="D460" t="str">
            <v>BHC</v>
          </cell>
          <cell r="E460">
            <v>1.8039762078416031</v>
          </cell>
        </row>
        <row r="461">
          <cell r="B461" t="str">
            <v>Coventry University</v>
          </cell>
          <cell r="C461">
            <v>37</v>
          </cell>
          <cell r="D461" t="str">
            <v>BDC</v>
          </cell>
          <cell r="E461">
            <v>1.8031011469563409</v>
          </cell>
        </row>
        <row r="462">
          <cell r="B462" t="str">
            <v>University of North Texas Denton</v>
          </cell>
          <cell r="C462">
            <v>20</v>
          </cell>
          <cell r="D462" t="str">
            <v>BAN</v>
          </cell>
          <cell r="E462">
            <v>1.8005364629584351</v>
          </cell>
        </row>
        <row r="463">
          <cell r="B463" t="str">
            <v>University of Western Australia</v>
          </cell>
          <cell r="C463">
            <v>34</v>
          </cell>
          <cell r="D463" t="str">
            <v>AHL</v>
          </cell>
          <cell r="E463">
            <v>1.7998527068969521</v>
          </cell>
        </row>
        <row r="464">
          <cell r="B464" t="str">
            <v>University of Waterloo</v>
          </cell>
          <cell r="C464">
            <v>18</v>
          </cell>
          <cell r="D464" t="str">
            <v>BGS</v>
          </cell>
          <cell r="E464">
            <v>1.792114434536126</v>
          </cell>
        </row>
        <row r="465">
          <cell r="B465" t="str">
            <v>Chongqing University</v>
          </cell>
          <cell r="C465">
            <v>28</v>
          </cell>
          <cell r="D465" t="str">
            <v>BFN</v>
          </cell>
          <cell r="E465">
            <v>1.7893848830278809</v>
          </cell>
        </row>
        <row r="466">
          <cell r="B466" t="str">
            <v>Karlsruhe Institute of Technology</v>
          </cell>
          <cell r="C466">
            <v>12</v>
          </cell>
          <cell r="D466" t="str">
            <v>AEM</v>
          </cell>
          <cell r="E466">
            <v>1.7854529876856799</v>
          </cell>
        </row>
        <row r="467">
          <cell r="B467" t="str">
            <v>Southwest Jiaotong University</v>
          </cell>
          <cell r="C467">
            <v>30</v>
          </cell>
          <cell r="D467" t="str">
            <v>BCX</v>
          </cell>
          <cell r="E467">
            <v>1.784768945654732</v>
          </cell>
        </row>
        <row r="468">
          <cell r="B468" t="str">
            <v>Waseda University</v>
          </cell>
          <cell r="C468">
            <v>16</v>
          </cell>
          <cell r="D468" t="str">
            <v>BAZ</v>
          </cell>
          <cell r="E468">
            <v>1.7826178509268089</v>
          </cell>
        </row>
        <row r="469">
          <cell r="B469" t="str">
            <v>University of Gothenburg</v>
          </cell>
          <cell r="C469">
            <v>32</v>
          </cell>
          <cell r="D469" t="str">
            <v>BEW</v>
          </cell>
          <cell r="E469">
            <v>1.7808762061026411</v>
          </cell>
        </row>
        <row r="470">
          <cell r="B470" t="str">
            <v>Edith Cowan University</v>
          </cell>
          <cell r="C470">
            <v>27</v>
          </cell>
          <cell r="D470" t="str">
            <v>DCI</v>
          </cell>
          <cell r="E470">
            <v>1.779521947444662</v>
          </cell>
        </row>
        <row r="471">
          <cell r="B471" t="str">
            <v>Zhongnan University of Economics &amp; Law</v>
          </cell>
          <cell r="C471">
            <v>19</v>
          </cell>
          <cell r="D471" t="str">
            <v>BHT</v>
          </cell>
          <cell r="E471">
            <v>1.7794870472282549</v>
          </cell>
        </row>
        <row r="472">
          <cell r="B472" t="str">
            <v>Getulio Vargas Foundation</v>
          </cell>
          <cell r="C472">
            <v>34</v>
          </cell>
          <cell r="D472" t="str">
            <v>CBY</v>
          </cell>
          <cell r="E472">
            <v>1.7697097735446381</v>
          </cell>
        </row>
        <row r="473">
          <cell r="B473" t="str">
            <v>La Trobe University</v>
          </cell>
          <cell r="C473">
            <v>20</v>
          </cell>
          <cell r="D473" t="str">
            <v>CCA</v>
          </cell>
          <cell r="E473">
            <v>1.7653616515966171</v>
          </cell>
        </row>
        <row r="474">
          <cell r="B474" t="str">
            <v>Chinese Academy of Sciences</v>
          </cell>
          <cell r="C474">
            <v>86</v>
          </cell>
          <cell r="D474" t="str">
            <v>ADY</v>
          </cell>
          <cell r="E474">
            <v>1.756241732252698</v>
          </cell>
        </row>
        <row r="475">
          <cell r="B475" t="str">
            <v>Marche Polytechnic University</v>
          </cell>
          <cell r="C475">
            <v>14</v>
          </cell>
          <cell r="D475" t="str">
            <v>BDH</v>
          </cell>
          <cell r="E475">
            <v>1.75447270988988</v>
          </cell>
        </row>
        <row r="476">
          <cell r="B476" t="str">
            <v>Illinois State University</v>
          </cell>
          <cell r="C476">
            <v>17</v>
          </cell>
          <cell r="D476" t="str">
            <v>DCJ</v>
          </cell>
          <cell r="E476">
            <v>1.752011570014248</v>
          </cell>
        </row>
        <row r="477">
          <cell r="B477" t="str">
            <v>Kyoto University</v>
          </cell>
          <cell r="C477">
            <v>8</v>
          </cell>
          <cell r="D477" t="str">
            <v>ADN</v>
          </cell>
          <cell r="E477">
            <v>1.7473374339558461</v>
          </cell>
        </row>
        <row r="478">
          <cell r="B478" t="str">
            <v>Universite de Lille</v>
          </cell>
          <cell r="C478">
            <v>9</v>
          </cell>
          <cell r="D478" t="str">
            <v>BHL</v>
          </cell>
          <cell r="E478">
            <v>1.7468049338830109</v>
          </cell>
        </row>
        <row r="479">
          <cell r="B479" t="str">
            <v>Shenzhen University</v>
          </cell>
          <cell r="C479">
            <v>25</v>
          </cell>
          <cell r="D479" t="str">
            <v>CGM</v>
          </cell>
          <cell r="E479">
            <v>1.7460331737636119</v>
          </cell>
        </row>
        <row r="480">
          <cell r="B480" t="str">
            <v>University of Bern</v>
          </cell>
          <cell r="C480">
            <v>19</v>
          </cell>
          <cell r="D480" t="str">
            <v>BEF</v>
          </cell>
          <cell r="E480">
            <v>1.744119582937411</v>
          </cell>
        </row>
        <row r="481">
          <cell r="B481" t="str">
            <v>National Cheng Kung University</v>
          </cell>
          <cell r="C481">
            <v>16</v>
          </cell>
          <cell r="D481" t="str">
            <v>DEM</v>
          </cell>
          <cell r="E481">
            <v>1.7360419628021739</v>
          </cell>
        </row>
        <row r="482">
          <cell r="B482" t="str">
            <v>Sichuan University</v>
          </cell>
          <cell r="C482">
            <v>34</v>
          </cell>
          <cell r="D482" t="str">
            <v>BDL</v>
          </cell>
          <cell r="E482">
            <v>1.7327304837964339</v>
          </cell>
        </row>
        <row r="483">
          <cell r="B483" t="str">
            <v>University of Haifa</v>
          </cell>
          <cell r="C483">
            <v>10</v>
          </cell>
          <cell r="D483" t="str">
            <v>DDX</v>
          </cell>
          <cell r="E483">
            <v>1.7298607654407061</v>
          </cell>
        </row>
        <row r="484">
          <cell r="B484" t="str">
            <v>University of Pisa</v>
          </cell>
          <cell r="C484">
            <v>19</v>
          </cell>
          <cell r="D484" t="str">
            <v>CHA</v>
          </cell>
          <cell r="E484">
            <v>1.7224433303277771</v>
          </cell>
        </row>
        <row r="485">
          <cell r="B485" t="str">
            <v>University of Tasmania</v>
          </cell>
          <cell r="C485">
            <v>13</v>
          </cell>
          <cell r="D485" t="str">
            <v>AFP</v>
          </cell>
          <cell r="E485">
            <v>1.7199406814696829</v>
          </cell>
        </row>
        <row r="486">
          <cell r="B486" t="str">
            <v>Eastern Mediterranean University</v>
          </cell>
          <cell r="C486">
            <v>17</v>
          </cell>
          <cell r="D486" t="str">
            <v>DAD</v>
          </cell>
          <cell r="E486">
            <v>1.719745326523481</v>
          </cell>
        </row>
        <row r="487">
          <cell r="B487" t="str">
            <v>Universidade de Vigo</v>
          </cell>
          <cell r="C487">
            <v>12</v>
          </cell>
          <cell r="D487" t="str">
            <v>CCI</v>
          </cell>
          <cell r="E487">
            <v>1.7181986677437471</v>
          </cell>
        </row>
        <row r="488">
          <cell r="B488" t="str">
            <v>Xiamen University</v>
          </cell>
          <cell r="C488">
            <v>27</v>
          </cell>
          <cell r="D488" t="str">
            <v>AHQ</v>
          </cell>
          <cell r="E488">
            <v>1.7136696991926039</v>
          </cell>
        </row>
        <row r="489">
          <cell r="B489" t="str">
            <v>University of Oslo</v>
          </cell>
          <cell r="C489">
            <v>7</v>
          </cell>
          <cell r="D489" t="str">
            <v>CBV</v>
          </cell>
          <cell r="E489">
            <v>1.7108527857597671</v>
          </cell>
        </row>
        <row r="490">
          <cell r="B490" t="str">
            <v>University of Salerno</v>
          </cell>
          <cell r="C490">
            <v>20</v>
          </cell>
          <cell r="D490" t="str">
            <v>DAF</v>
          </cell>
          <cell r="E490">
            <v>1.708078555729406</v>
          </cell>
        </row>
        <row r="491">
          <cell r="B491" t="str">
            <v>Universite de Lorraine</v>
          </cell>
          <cell r="C491">
            <v>11</v>
          </cell>
          <cell r="D491" t="str">
            <v>CBJ</v>
          </cell>
          <cell r="E491">
            <v>1.7074530024911749</v>
          </cell>
        </row>
        <row r="492">
          <cell r="B492" t="str">
            <v>East China University of Science &amp; Technology</v>
          </cell>
          <cell r="C492">
            <v>19</v>
          </cell>
          <cell r="D492" t="str">
            <v>BHH</v>
          </cell>
          <cell r="E492">
            <v>1.705191008284217</v>
          </cell>
        </row>
        <row r="493">
          <cell r="B493" t="str">
            <v>Guangdong University of Foreign Studies</v>
          </cell>
          <cell r="C493">
            <v>13</v>
          </cell>
          <cell r="D493" t="str">
            <v>DCW</v>
          </cell>
          <cell r="E493">
            <v>1.702977908788299</v>
          </cell>
        </row>
        <row r="494">
          <cell r="B494" t="str">
            <v>Shanghai Lixin University of Accounting &amp; Finance</v>
          </cell>
          <cell r="C494">
            <v>9</v>
          </cell>
          <cell r="D494" t="str">
            <v>CGL</v>
          </cell>
          <cell r="E494">
            <v>1.702171696588997</v>
          </cell>
        </row>
        <row r="495">
          <cell r="B495" t="str">
            <v>Beijing Jiaotong University</v>
          </cell>
          <cell r="C495">
            <v>19</v>
          </cell>
          <cell r="D495" t="str">
            <v>ABE</v>
          </cell>
          <cell r="E495">
            <v>1.6994434300958541</v>
          </cell>
        </row>
        <row r="496">
          <cell r="B496" t="str">
            <v>Universidade de Sao Paulo</v>
          </cell>
          <cell r="C496">
            <v>42</v>
          </cell>
          <cell r="D496" t="str">
            <v>CCH</v>
          </cell>
          <cell r="E496">
            <v>1.6961357919690949</v>
          </cell>
        </row>
        <row r="497">
          <cell r="B497" t="str">
            <v>Nanjing Audit University</v>
          </cell>
          <cell r="C497">
            <v>20</v>
          </cell>
          <cell r="D497" t="str">
            <v>CBW</v>
          </cell>
          <cell r="E497">
            <v>1.695012238197398</v>
          </cell>
        </row>
        <row r="498">
          <cell r="B498" t="str">
            <v>University of Johannesburg</v>
          </cell>
          <cell r="C498">
            <v>31</v>
          </cell>
          <cell r="D498" t="str">
            <v>CAB</v>
          </cell>
          <cell r="E498">
            <v>1.692378555484402</v>
          </cell>
        </row>
        <row r="499">
          <cell r="B499" t="str">
            <v>University of Bergen</v>
          </cell>
          <cell r="C499">
            <v>16</v>
          </cell>
          <cell r="D499" t="str">
            <v>DEX</v>
          </cell>
          <cell r="E499">
            <v>1.6906781757155671</v>
          </cell>
        </row>
        <row r="500">
          <cell r="B500" t="str">
            <v>Universiti Sains Malaysia</v>
          </cell>
          <cell r="C500">
            <v>25</v>
          </cell>
          <cell r="D500" t="str">
            <v>AHU</v>
          </cell>
          <cell r="E500">
            <v>1.68154173598303</v>
          </cell>
        </row>
        <row r="501">
          <cell r="B501" t="str">
            <v>Universidad de Castilla-La Mancha</v>
          </cell>
          <cell r="C501">
            <v>17</v>
          </cell>
          <cell r="D501" t="str">
            <v>CAP</v>
          </cell>
          <cell r="E501">
            <v>1.6748235126543769</v>
          </cell>
        </row>
        <row r="502">
          <cell r="B502" t="str">
            <v>Universidade da Beira Interior</v>
          </cell>
          <cell r="C502">
            <v>24</v>
          </cell>
          <cell r="D502" t="str">
            <v>DCE</v>
          </cell>
          <cell r="E502">
            <v>1.6737849565435301</v>
          </cell>
        </row>
        <row r="503">
          <cell r="B503" t="str">
            <v>Korea University</v>
          </cell>
          <cell r="C503">
            <v>23</v>
          </cell>
          <cell r="D503" t="str">
            <v>BBZ</v>
          </cell>
          <cell r="E503">
            <v>1.6663128217419041</v>
          </cell>
        </row>
        <row r="504">
          <cell r="B504" t="str">
            <v>Jinan University</v>
          </cell>
          <cell r="C504">
            <v>21</v>
          </cell>
          <cell r="D504" t="str">
            <v>CBU</v>
          </cell>
          <cell r="E504">
            <v>1.660504048963596</v>
          </cell>
        </row>
        <row r="505">
          <cell r="B505" t="str">
            <v>IPAG Business School</v>
          </cell>
          <cell r="C505">
            <v>17</v>
          </cell>
          <cell r="D505" t="str">
            <v>BBR</v>
          </cell>
          <cell r="E505">
            <v>1.6549193612825099</v>
          </cell>
        </row>
        <row r="506">
          <cell r="B506" t="str">
            <v>National Sun Yat Sen University</v>
          </cell>
          <cell r="C506">
            <v>19</v>
          </cell>
          <cell r="D506" t="str">
            <v>CHD</v>
          </cell>
          <cell r="E506">
            <v>1.6518312788701139</v>
          </cell>
        </row>
        <row r="507">
          <cell r="B507" t="str">
            <v>University of Kiel</v>
          </cell>
          <cell r="C507">
            <v>8</v>
          </cell>
          <cell r="D507" t="str">
            <v>CBI</v>
          </cell>
          <cell r="E507">
            <v>1.6277456221635731</v>
          </cell>
        </row>
        <row r="508">
          <cell r="B508" t="str">
            <v>University of Tehran</v>
          </cell>
          <cell r="C508">
            <v>23</v>
          </cell>
          <cell r="D508" t="str">
            <v>DED</v>
          </cell>
          <cell r="E508">
            <v>1.612956433399122</v>
          </cell>
        </row>
        <row r="509">
          <cell r="B509" t="str">
            <v>Technical University of Berlin</v>
          </cell>
          <cell r="C509">
            <v>17</v>
          </cell>
          <cell r="D509" t="str">
            <v>BFV</v>
          </cell>
          <cell r="E509">
            <v>1.599741844768233</v>
          </cell>
        </row>
        <row r="510">
          <cell r="B510" t="str">
            <v>University of Adelaide</v>
          </cell>
          <cell r="C510">
            <v>35</v>
          </cell>
          <cell r="D510" t="str">
            <v>BDZ</v>
          </cell>
          <cell r="E510">
            <v>1.5991397425450991</v>
          </cell>
        </row>
        <row r="511">
          <cell r="B511" t="str">
            <v>Beihang University</v>
          </cell>
          <cell r="C511">
            <v>14</v>
          </cell>
          <cell r="D511" t="str">
            <v>CAG</v>
          </cell>
          <cell r="E511">
            <v>1.591648355002286</v>
          </cell>
        </row>
        <row r="512">
          <cell r="B512" t="str">
            <v>Zentrum fur Europaische Wirtschaftsforschung (ZEW)</v>
          </cell>
          <cell r="C512">
            <v>8</v>
          </cell>
          <cell r="D512" t="str">
            <v>CHC</v>
          </cell>
          <cell r="E512">
            <v>1.5895362152644139</v>
          </cell>
        </row>
        <row r="513">
          <cell r="B513" t="str">
            <v>Dalian University of Technology</v>
          </cell>
          <cell r="C513">
            <v>31</v>
          </cell>
          <cell r="D513" t="str">
            <v>CGO</v>
          </cell>
          <cell r="E513">
            <v>1.57770353566855</v>
          </cell>
        </row>
        <row r="514">
          <cell r="B514" t="str">
            <v>Hanyang University</v>
          </cell>
          <cell r="C514">
            <v>19</v>
          </cell>
          <cell r="D514" t="str">
            <v>CGJ</v>
          </cell>
          <cell r="E514">
            <v>1.5738545376069419</v>
          </cell>
        </row>
        <row r="515">
          <cell r="B515" t="str">
            <v>Nanjing University of Finance &amp; Economics</v>
          </cell>
          <cell r="C515">
            <v>19</v>
          </cell>
          <cell r="D515" t="str">
            <v>CAO</v>
          </cell>
          <cell r="E515">
            <v>1.570725639560405</v>
          </cell>
        </row>
        <row r="516">
          <cell r="B516" t="str">
            <v>Kyung Hee University</v>
          </cell>
          <cell r="C516">
            <v>20</v>
          </cell>
          <cell r="D516" t="str">
            <v>CGX</v>
          </cell>
          <cell r="E516">
            <v>1.5662768719932281</v>
          </cell>
        </row>
        <row r="517">
          <cell r="B517" t="str">
            <v>Universidad de Malaga</v>
          </cell>
          <cell r="C517">
            <v>15</v>
          </cell>
          <cell r="D517" t="str">
            <v>CHN</v>
          </cell>
          <cell r="E517">
            <v>1.5558045660228159</v>
          </cell>
        </row>
        <row r="518">
          <cell r="B518" t="str">
            <v>South China University of Technology</v>
          </cell>
          <cell r="C518">
            <v>28</v>
          </cell>
          <cell r="D518" t="str">
            <v>CCG</v>
          </cell>
          <cell r="E518">
            <v>1.5555255513338919</v>
          </cell>
        </row>
        <row r="519">
          <cell r="B519" t="str">
            <v>Universidade de Lisboa</v>
          </cell>
          <cell r="C519">
            <v>31</v>
          </cell>
          <cell r="D519" t="str">
            <v>CAW</v>
          </cell>
          <cell r="E519">
            <v>1.552953474545298</v>
          </cell>
        </row>
        <row r="520">
          <cell r="B520" t="str">
            <v>Jilin University</v>
          </cell>
          <cell r="C520">
            <v>28</v>
          </cell>
          <cell r="D520" t="str">
            <v>BHE</v>
          </cell>
          <cell r="E520">
            <v>1.55286431418782</v>
          </cell>
        </row>
        <row r="521">
          <cell r="B521" t="str">
            <v>Universitat Jaume I</v>
          </cell>
          <cell r="C521">
            <v>27</v>
          </cell>
          <cell r="D521" t="str">
            <v>CAU</v>
          </cell>
          <cell r="E521">
            <v>1.5528094388741469</v>
          </cell>
        </row>
        <row r="522">
          <cell r="B522" t="str">
            <v>American University of Sharjah</v>
          </cell>
          <cell r="C522">
            <v>21</v>
          </cell>
          <cell r="D522" t="str">
            <v>CAV</v>
          </cell>
          <cell r="E522">
            <v>1.552566101052123</v>
          </cell>
        </row>
        <row r="523">
          <cell r="B523" t="str">
            <v>University of Witwatersrand</v>
          </cell>
          <cell r="C523">
            <v>17</v>
          </cell>
          <cell r="D523" t="str">
            <v>DBP</v>
          </cell>
          <cell r="E523">
            <v>1.544911763984727</v>
          </cell>
        </row>
        <row r="524">
          <cell r="B524" t="str">
            <v>University of Murcia</v>
          </cell>
          <cell r="C524">
            <v>20</v>
          </cell>
          <cell r="D524" t="str">
            <v>CAZ</v>
          </cell>
          <cell r="E524">
            <v>1.5440357211276361</v>
          </cell>
        </row>
        <row r="525">
          <cell r="B525" t="str">
            <v>University of Luxembourg</v>
          </cell>
          <cell r="C525">
            <v>13</v>
          </cell>
          <cell r="D525" t="str">
            <v>CAX</v>
          </cell>
          <cell r="E525">
            <v>1.5437672332513399</v>
          </cell>
        </row>
        <row r="526">
          <cell r="B526" t="str">
            <v>Zhejiang Gongshang University</v>
          </cell>
          <cell r="C526">
            <v>15</v>
          </cell>
          <cell r="D526" t="str">
            <v>BGH</v>
          </cell>
          <cell r="E526">
            <v>1.535934914575642</v>
          </cell>
        </row>
        <row r="527">
          <cell r="B527" t="str">
            <v>Nanchang University</v>
          </cell>
          <cell r="C527">
            <v>7</v>
          </cell>
          <cell r="D527" t="str">
            <v>BCJ</v>
          </cell>
          <cell r="E527">
            <v>1.5324642472275261</v>
          </cell>
        </row>
        <row r="528">
          <cell r="B528" t="str">
            <v>University of Pretoria</v>
          </cell>
          <cell r="C528">
            <v>24</v>
          </cell>
          <cell r="D528" t="str">
            <v>AGX</v>
          </cell>
          <cell r="E528">
            <v>1.5304580436874089</v>
          </cell>
        </row>
        <row r="529">
          <cell r="B529" t="str">
            <v>Universidade Federal do Rio Grande do Sul</v>
          </cell>
          <cell r="C529">
            <v>15</v>
          </cell>
          <cell r="D529" t="str">
            <v>AHN</v>
          </cell>
          <cell r="E529">
            <v>1.529426373722419</v>
          </cell>
        </row>
        <row r="530">
          <cell r="B530" t="str">
            <v>Nanjing University of Science &amp; Technology</v>
          </cell>
          <cell r="C530">
            <v>20</v>
          </cell>
          <cell r="D530" t="str">
            <v>DDW</v>
          </cell>
          <cell r="E530">
            <v>1.5294156383622759</v>
          </cell>
        </row>
        <row r="531">
          <cell r="B531" t="str">
            <v>Corvinus University Budapest</v>
          </cell>
          <cell r="C531">
            <v>14</v>
          </cell>
          <cell r="D531" t="str">
            <v>DEJ</v>
          </cell>
          <cell r="E531">
            <v>1.511386299440902</v>
          </cell>
        </row>
        <row r="532">
          <cell r="B532" t="str">
            <v>University of Quebec Montreal</v>
          </cell>
          <cell r="C532">
            <v>27</v>
          </cell>
          <cell r="D532" t="str">
            <v>BCB</v>
          </cell>
          <cell r="E532">
            <v>1.5050386939193701</v>
          </cell>
        </row>
        <row r="533">
          <cell r="B533" t="str">
            <v>Universiti Putra Malaysia</v>
          </cell>
          <cell r="C533">
            <v>18</v>
          </cell>
          <cell r="D533" t="str">
            <v>DBW</v>
          </cell>
          <cell r="E533">
            <v>1.5019098022275079</v>
          </cell>
        </row>
        <row r="534">
          <cell r="B534" t="str">
            <v>Guangdong University of Finance &amp; Economics</v>
          </cell>
          <cell r="C534">
            <v>22</v>
          </cell>
          <cell r="D534" t="str">
            <v>DCA</v>
          </cell>
          <cell r="E534">
            <v>1.4940607131029391</v>
          </cell>
        </row>
        <row r="535">
          <cell r="B535" t="str">
            <v>Universidad Rey Juan Carlos</v>
          </cell>
          <cell r="C535">
            <v>19</v>
          </cell>
          <cell r="D535" t="str">
            <v>DCD</v>
          </cell>
          <cell r="E535">
            <v>1.4858935834056051</v>
          </cell>
        </row>
        <row r="536">
          <cell r="B536" t="str">
            <v>Hefei University of Technology</v>
          </cell>
          <cell r="C536">
            <v>24</v>
          </cell>
          <cell r="D536" t="str">
            <v>DAN</v>
          </cell>
          <cell r="E536">
            <v>1.483690444807175</v>
          </cell>
        </row>
        <row r="537">
          <cell r="B537" t="str">
            <v>National Yang Ming Chiao Tung University</v>
          </cell>
          <cell r="C537">
            <v>16</v>
          </cell>
          <cell r="D537" t="str">
            <v>DDM</v>
          </cell>
          <cell r="E537">
            <v>1.4821803392962909</v>
          </cell>
        </row>
        <row r="538">
          <cell r="B538" t="str">
            <v>Jiangxi University of Finance &amp; Economics</v>
          </cell>
          <cell r="C538">
            <v>11</v>
          </cell>
          <cell r="D538" t="str">
            <v>CGW</v>
          </cell>
          <cell r="E538">
            <v>1.481955659963859</v>
          </cell>
        </row>
        <row r="539">
          <cell r="B539" t="str">
            <v>Universitat d'Alacant</v>
          </cell>
          <cell r="C539">
            <v>14</v>
          </cell>
          <cell r="D539" t="str">
            <v>CBX</v>
          </cell>
          <cell r="E539">
            <v>1.4818279194250179</v>
          </cell>
        </row>
        <row r="540">
          <cell r="B540" t="str">
            <v>Southeast University - China</v>
          </cell>
          <cell r="C540">
            <v>25</v>
          </cell>
          <cell r="D540" t="str">
            <v>BEJ</v>
          </cell>
          <cell r="E540">
            <v>1.480301307385965</v>
          </cell>
        </row>
        <row r="541">
          <cell r="B541" t="str">
            <v>Islamic Azad University</v>
          </cell>
          <cell r="C541">
            <v>35</v>
          </cell>
          <cell r="D541" t="str">
            <v>DEY</v>
          </cell>
          <cell r="E541">
            <v>1.4755486877232611</v>
          </cell>
        </row>
        <row r="542">
          <cell r="B542" t="str">
            <v>Kiel Institute for the World Economy</v>
          </cell>
          <cell r="C542">
            <v>9</v>
          </cell>
          <cell r="D542" t="str">
            <v>DAH</v>
          </cell>
          <cell r="E542">
            <v>1.4704998293151861</v>
          </cell>
        </row>
        <row r="543">
          <cell r="B543" t="str">
            <v>Ton Duc Thang University</v>
          </cell>
          <cell r="C543">
            <v>7</v>
          </cell>
          <cell r="D543" t="str">
            <v>DDA</v>
          </cell>
          <cell r="E543">
            <v>1.467051264507603</v>
          </cell>
        </row>
        <row r="544">
          <cell r="B544" t="str">
            <v>Ben Gurion University</v>
          </cell>
          <cell r="C544">
            <v>10</v>
          </cell>
          <cell r="D544" t="str">
            <v>DBU</v>
          </cell>
          <cell r="E544">
            <v>1.4645173443528281</v>
          </cell>
        </row>
        <row r="545">
          <cell r="B545" t="str">
            <v>National Kaohsiung University of Science &amp; Technology</v>
          </cell>
          <cell r="C545">
            <v>23</v>
          </cell>
          <cell r="D545" t="str">
            <v>DCB</v>
          </cell>
          <cell r="E545">
            <v>1.454038414234758</v>
          </cell>
        </row>
        <row r="546">
          <cell r="B546" t="str">
            <v>University of Tokyo</v>
          </cell>
          <cell r="C546">
            <v>9</v>
          </cell>
          <cell r="D546" t="str">
            <v>CBT</v>
          </cell>
          <cell r="E546">
            <v>1.450815015611485</v>
          </cell>
        </row>
        <row r="547">
          <cell r="B547" t="str">
            <v>Ming Chuan University</v>
          </cell>
          <cell r="C547">
            <v>24</v>
          </cell>
          <cell r="D547" t="str">
            <v>DEK</v>
          </cell>
          <cell r="E547">
            <v>1.4499995626084381</v>
          </cell>
        </row>
        <row r="548">
          <cell r="B548" t="str">
            <v>INRAE</v>
          </cell>
          <cell r="C548">
            <v>13</v>
          </cell>
          <cell r="D548" t="str">
            <v>BBO</v>
          </cell>
          <cell r="E548">
            <v>1.432407747600188</v>
          </cell>
        </row>
        <row r="549">
          <cell r="B549" t="str">
            <v>Chung Ang University</v>
          </cell>
          <cell r="C549">
            <v>14</v>
          </cell>
          <cell r="D549" t="str">
            <v>DAR</v>
          </cell>
          <cell r="E549">
            <v>1.4264803432298001</v>
          </cell>
        </row>
        <row r="550">
          <cell r="B550" t="str">
            <v>University of Warsaw</v>
          </cell>
          <cell r="C550">
            <v>8</v>
          </cell>
          <cell r="D550" t="str">
            <v>BHR</v>
          </cell>
          <cell r="E550">
            <v>1.389197094616506</v>
          </cell>
        </row>
        <row r="551">
          <cell r="B551" t="str">
            <v>Universidade do Minho</v>
          </cell>
          <cell r="C551">
            <v>29</v>
          </cell>
          <cell r="D551" t="str">
            <v>CAY</v>
          </cell>
          <cell r="E551">
            <v>1.387963302506414</v>
          </cell>
        </row>
        <row r="552">
          <cell r="B552" t="str">
            <v>University of Bielefeld</v>
          </cell>
          <cell r="C552">
            <v>8</v>
          </cell>
          <cell r="D552" t="str">
            <v>DBX</v>
          </cell>
          <cell r="E552">
            <v>1.3860500746208011</v>
          </cell>
        </row>
        <row r="553">
          <cell r="B553" t="str">
            <v>Autonomous University of Madrid</v>
          </cell>
          <cell r="C553">
            <v>11</v>
          </cell>
          <cell r="D553" t="str">
            <v>CAJ</v>
          </cell>
          <cell r="E553">
            <v>1.375277250239453</v>
          </cell>
        </row>
        <row r="554">
          <cell r="B554" t="str">
            <v>University of Belgrade</v>
          </cell>
          <cell r="C554">
            <v>15</v>
          </cell>
          <cell r="D554" t="str">
            <v>DDE</v>
          </cell>
          <cell r="E554">
            <v>1.363152776403338</v>
          </cell>
        </row>
        <row r="555">
          <cell r="B555" t="str">
            <v>Korea Advanced Institute of Science &amp; Technology (KAIST)</v>
          </cell>
          <cell r="C555">
            <v>14</v>
          </cell>
          <cell r="D555" t="str">
            <v>CHM</v>
          </cell>
          <cell r="E555">
            <v>1.3577357928691109</v>
          </cell>
        </row>
        <row r="556">
          <cell r="B556" t="str">
            <v>HSE University (National Research University Higher School of Economics)</v>
          </cell>
          <cell r="C556">
            <v>36</v>
          </cell>
          <cell r="D556" t="str">
            <v>CBQ</v>
          </cell>
          <cell r="E556">
            <v>1.346039295161648</v>
          </cell>
        </row>
        <row r="557">
          <cell r="B557" t="str">
            <v>National Central University</v>
          </cell>
          <cell r="C557">
            <v>12</v>
          </cell>
          <cell r="D557" t="str">
            <v>CGT</v>
          </cell>
          <cell r="E557">
            <v>1.3293449525118199</v>
          </cell>
        </row>
        <row r="558">
          <cell r="B558" t="str">
            <v>University of Cape Town</v>
          </cell>
          <cell r="C558">
            <v>15</v>
          </cell>
          <cell r="D558" t="str">
            <v>AGR</v>
          </cell>
          <cell r="E558">
            <v>1.328435458090623</v>
          </cell>
        </row>
        <row r="559">
          <cell r="B559" t="str">
            <v>Universite de Sfax</v>
          </cell>
          <cell r="C559">
            <v>11</v>
          </cell>
          <cell r="D559" t="str">
            <v>BAF</v>
          </cell>
          <cell r="E559">
            <v>1.3176349270647341</v>
          </cell>
        </row>
        <row r="560">
          <cell r="B560" t="str">
            <v>Pusan National University</v>
          </cell>
          <cell r="C560">
            <v>10</v>
          </cell>
          <cell r="D560" t="str">
            <v>DEP</v>
          </cell>
          <cell r="E560">
            <v>1.3051585129005321</v>
          </cell>
        </row>
        <row r="561">
          <cell r="B561" t="str">
            <v>Pompeu Fabra University</v>
          </cell>
          <cell r="C561">
            <v>15</v>
          </cell>
          <cell r="D561" t="str">
            <v>AGW</v>
          </cell>
          <cell r="E561">
            <v>1.300557176086967</v>
          </cell>
        </row>
        <row r="562">
          <cell r="B562" t="str">
            <v>Tamkang University</v>
          </cell>
          <cell r="C562">
            <v>10</v>
          </cell>
          <cell r="D562" t="str">
            <v>DCZ</v>
          </cell>
          <cell r="E562">
            <v>1.299328431364644</v>
          </cell>
        </row>
        <row r="563">
          <cell r="B563" t="str">
            <v>Universidad de los Andes (Colombia)</v>
          </cell>
          <cell r="C563">
            <v>11</v>
          </cell>
          <cell r="D563" t="str">
            <v>DDB</v>
          </cell>
          <cell r="E563">
            <v>1.2887858112098629</v>
          </cell>
        </row>
        <row r="564">
          <cell r="B564" t="str">
            <v>Keio University</v>
          </cell>
          <cell r="C564">
            <v>6</v>
          </cell>
          <cell r="D564" t="str">
            <v>BEZ</v>
          </cell>
          <cell r="E564">
            <v>1.255149681389105</v>
          </cell>
        </row>
        <row r="565">
          <cell r="B565" t="str">
            <v>Prague University of Economics &amp; Business</v>
          </cell>
          <cell r="C565">
            <v>17</v>
          </cell>
          <cell r="D565" t="str">
            <v>BHV</v>
          </cell>
          <cell r="E565">
            <v>1.2516210558985761</v>
          </cell>
        </row>
        <row r="566">
          <cell r="B566" t="str">
            <v>Organisation for Economic Co-operation &amp; Development (OECD)</v>
          </cell>
          <cell r="C566">
            <v>7</v>
          </cell>
          <cell r="D566" t="str">
            <v>AFG</v>
          </cell>
          <cell r="E566">
            <v>1.251370073887307</v>
          </cell>
        </row>
        <row r="567">
          <cell r="B567" t="str">
            <v>Feng Chia University</v>
          </cell>
          <cell r="C567">
            <v>8</v>
          </cell>
          <cell r="D567" t="str">
            <v>DDU</v>
          </cell>
          <cell r="E567">
            <v>1.2507484745885049</v>
          </cell>
        </row>
        <row r="568">
          <cell r="B568" t="str">
            <v>Poznan University of Economics &amp; Business</v>
          </cell>
          <cell r="C568">
            <v>8</v>
          </cell>
          <cell r="D568" t="str">
            <v>DBB</v>
          </cell>
          <cell r="E568">
            <v>1.242769196526281</v>
          </cell>
        </row>
        <row r="569">
          <cell r="B569" t="str">
            <v>Kobe University</v>
          </cell>
          <cell r="C569">
            <v>9</v>
          </cell>
          <cell r="D569" t="str">
            <v>ACJ</v>
          </cell>
          <cell r="E569">
            <v>1.2248142134627831</v>
          </cell>
        </row>
        <row r="570">
          <cell r="B570" t="str">
            <v>University of Piraeus</v>
          </cell>
          <cell r="C570">
            <v>7</v>
          </cell>
          <cell r="D570" t="str">
            <v>BGC</v>
          </cell>
          <cell r="E570">
            <v>1.222262201260657</v>
          </cell>
        </row>
        <row r="571">
          <cell r="B571" t="str">
            <v>Charles University Prague</v>
          </cell>
          <cell r="C571">
            <v>5</v>
          </cell>
          <cell r="D571" t="str">
            <v>BGF</v>
          </cell>
          <cell r="E571">
            <v>1.2160738735927801</v>
          </cell>
        </row>
        <row r="572">
          <cell r="B572" t="str">
            <v>Tallinn University of Technology</v>
          </cell>
          <cell r="C572">
            <v>5</v>
          </cell>
          <cell r="D572" t="str">
            <v>DEV</v>
          </cell>
          <cell r="E572">
            <v>1.20594275419341</v>
          </cell>
        </row>
        <row r="573">
          <cell r="B573" t="str">
            <v>Vilnius Gediminas Technical University</v>
          </cell>
          <cell r="C573">
            <v>15</v>
          </cell>
          <cell r="D573" t="str">
            <v>BGX</v>
          </cell>
          <cell r="E573">
            <v>1.0992934299080119</v>
          </cell>
        </row>
        <row r="574">
          <cell r="B574" t="str">
            <v>Stellenbosch University</v>
          </cell>
          <cell r="C574">
            <v>16</v>
          </cell>
          <cell r="D574" t="str">
            <v>BBY</v>
          </cell>
          <cell r="E574">
            <v>1.081073987260958</v>
          </cell>
        </row>
        <row r="575">
          <cell r="B575" t="str">
            <v>Bucharest University of Economic Studies</v>
          </cell>
          <cell r="C575">
            <v>38</v>
          </cell>
          <cell r="D575" t="str">
            <v>CBO</v>
          </cell>
          <cell r="E575">
            <v>1.0709292442177181</v>
          </cell>
        </row>
        <row r="576">
          <cell r="B576" t="str">
            <v>University of Novi Sad</v>
          </cell>
          <cell r="C576">
            <v>12</v>
          </cell>
          <cell r="D576" t="str">
            <v>DEB</v>
          </cell>
          <cell r="E576">
            <v>1.050960226659061</v>
          </cell>
        </row>
        <row r="577">
          <cell r="B577" t="str">
            <v>University of Economics Bratislava</v>
          </cell>
          <cell r="C577">
            <v>6</v>
          </cell>
          <cell r="D577" t="str">
            <v>AFV</v>
          </cell>
          <cell r="E577">
            <v>1</v>
          </cell>
        </row>
      </sheetData>
      <sheetData sheetId="2">
        <row r="1">
          <cell r="B1" t="str">
            <v>journal</v>
          </cell>
          <cell r="C1" t="str">
            <v>acr</v>
          </cell>
          <cell r="D1" t="str">
            <v>pub</v>
          </cell>
          <cell r="E1" t="str">
            <v>journal_score</v>
          </cell>
        </row>
        <row r="2">
          <cell r="B2" t="str">
            <v>QUARTERLY JOURNAL OF ECONOMICS</v>
          </cell>
          <cell r="C2" t="str">
            <v>BCK</v>
          </cell>
          <cell r="D2">
            <v>40</v>
          </cell>
          <cell r="E2">
            <v>10</v>
          </cell>
        </row>
        <row r="3">
          <cell r="B3" t="str">
            <v>AMERICAN ECONOMIC REVIEW</v>
          </cell>
          <cell r="C3" t="str">
            <v>ACE</v>
          </cell>
          <cell r="D3">
            <v>116</v>
          </cell>
          <cell r="E3">
            <v>6.5100014562508344</v>
          </cell>
        </row>
        <row r="4">
          <cell r="B4" t="str">
            <v>ACADEMY OF MANAGEMENT ANNALS</v>
          </cell>
          <cell r="C4" t="str">
            <v>HPA</v>
          </cell>
          <cell r="D4">
            <v>31</v>
          </cell>
          <cell r="E4">
            <v>4.7138740643748998</v>
          </cell>
        </row>
        <row r="5">
          <cell r="B5" t="str">
            <v>JOURNAL OF POLITICAL ECONOMY</v>
          </cell>
          <cell r="C5" t="str">
            <v>ACO</v>
          </cell>
          <cell r="D5">
            <v>110</v>
          </cell>
          <cell r="E5">
            <v>4.6456365416196119</v>
          </cell>
        </row>
        <row r="6">
          <cell r="B6" t="str">
            <v>ECONOMETRICA</v>
          </cell>
          <cell r="C6" t="str">
            <v>AEU</v>
          </cell>
          <cell r="D6">
            <v>76</v>
          </cell>
          <cell r="E6">
            <v>4.5349713845063491</v>
          </cell>
        </row>
        <row r="7">
          <cell r="B7" t="str">
            <v>REVIEW OF ECONOMIC STUDIES</v>
          </cell>
          <cell r="C7" t="str">
            <v>AEM</v>
          </cell>
          <cell r="D7">
            <v>80</v>
          </cell>
          <cell r="E7">
            <v>4.3155972993369049</v>
          </cell>
        </row>
        <row r="8">
          <cell r="B8" t="str">
            <v>NBER MACROECONOMICS ANNUAL</v>
          </cell>
          <cell r="C8" t="str">
            <v>CGO</v>
          </cell>
          <cell r="D8">
            <v>7</v>
          </cell>
          <cell r="E8">
            <v>4.2504453966370033</v>
          </cell>
        </row>
        <row r="9">
          <cell r="B9" t="str">
            <v>JOURNAL OF ECONOMIC LITERATURE</v>
          </cell>
          <cell r="C9" t="str">
            <v>CBD</v>
          </cell>
          <cell r="D9">
            <v>16</v>
          </cell>
          <cell r="E9">
            <v>4.1444499526863749</v>
          </cell>
        </row>
        <row r="10">
          <cell r="B10" t="str">
            <v>JOURNAL OF FINANCE</v>
          </cell>
          <cell r="C10" t="str">
            <v>ADN</v>
          </cell>
          <cell r="D10">
            <v>73</v>
          </cell>
          <cell r="E10">
            <v>3.83664836447335</v>
          </cell>
        </row>
        <row r="11">
          <cell r="B11" t="str">
            <v>AMERICAN ECONOMIC REVIEW-INSIGHTS</v>
          </cell>
          <cell r="C11" t="str">
            <v>BFA</v>
          </cell>
          <cell r="D11">
            <v>32</v>
          </cell>
          <cell r="E11">
            <v>3.724027005940187</v>
          </cell>
        </row>
        <row r="12">
          <cell r="B12" t="str">
            <v>ADMINISTRATIVE SCIENCE QUARTERLY</v>
          </cell>
          <cell r="C12" t="str">
            <v>DHW</v>
          </cell>
          <cell r="D12">
            <v>39</v>
          </cell>
          <cell r="E12">
            <v>3.660259303196598</v>
          </cell>
        </row>
        <row r="13">
          <cell r="B13" t="str">
            <v>BROOKINGS PAPERS ON ECONOMIC ACTIVITY</v>
          </cell>
          <cell r="C13" t="str">
            <v>CAB</v>
          </cell>
          <cell r="D13">
            <v>24</v>
          </cell>
          <cell r="E13">
            <v>3.6332224699553879</v>
          </cell>
        </row>
        <row r="14">
          <cell r="B14" t="str">
            <v>REVIEW OF FINANCIAL STUDIES</v>
          </cell>
          <cell r="C14" t="str">
            <v>ABS</v>
          </cell>
          <cell r="D14">
            <v>141</v>
          </cell>
          <cell r="E14">
            <v>3.16308932350681</v>
          </cell>
        </row>
        <row r="15">
          <cell r="B15" t="str">
            <v>AMERICAN ECONOMIC JOURNAL-APPLIED ECONOMICS</v>
          </cell>
          <cell r="C15" t="str">
            <v>BBU</v>
          </cell>
          <cell r="D15">
            <v>43</v>
          </cell>
          <cell r="E15">
            <v>3.114521482230026</v>
          </cell>
        </row>
        <row r="16">
          <cell r="B16" t="str">
            <v>JOURNAL OF LABOR ECONOMICS</v>
          </cell>
          <cell r="C16" t="str">
            <v>BFC</v>
          </cell>
          <cell r="D16">
            <v>32</v>
          </cell>
          <cell r="E16">
            <v>2.9569859490783732</v>
          </cell>
        </row>
        <row r="17">
          <cell r="B17" t="str">
            <v>JOURNAL OF ECONOMIC PERSPECTIVES</v>
          </cell>
          <cell r="C17" t="str">
            <v>BCD</v>
          </cell>
          <cell r="D17">
            <v>41</v>
          </cell>
          <cell r="E17">
            <v>2.8083727949343218</v>
          </cell>
        </row>
        <row r="18">
          <cell r="B18" t="str">
            <v>AMERICAN ECONOMIC JOURNAL-MACROECONOMICS</v>
          </cell>
          <cell r="C18" t="str">
            <v>BDC</v>
          </cell>
          <cell r="D18">
            <v>38</v>
          </cell>
          <cell r="E18">
            <v>2.803942928745351</v>
          </cell>
        </row>
        <row r="19">
          <cell r="B19" t="str">
            <v>JOURNAL OF MARKETING</v>
          </cell>
          <cell r="C19" t="str">
            <v>DAW</v>
          </cell>
          <cell r="D19">
            <v>65</v>
          </cell>
          <cell r="E19">
            <v>2.720731033331107</v>
          </cell>
        </row>
        <row r="20">
          <cell r="B20" t="str">
            <v>REVIEW OF ECONOMICS AND STATISTICS</v>
          </cell>
          <cell r="C20" t="str">
            <v>AGB</v>
          </cell>
          <cell r="D20">
            <v>65</v>
          </cell>
          <cell r="E20">
            <v>2.6755286608101798</v>
          </cell>
        </row>
        <row r="21">
          <cell r="B21" t="str">
            <v>JOURNAL OF FINANCIAL ECONOMICS</v>
          </cell>
          <cell r="C21" t="str">
            <v>ABL</v>
          </cell>
          <cell r="D21">
            <v>152</v>
          </cell>
          <cell r="E21">
            <v>2.6521421706200541</v>
          </cell>
        </row>
        <row r="22">
          <cell r="B22" t="str">
            <v>AMERICAN ECONOMIC JOURNAL-ECONOMIC POLICY</v>
          </cell>
          <cell r="C22" t="str">
            <v>BAG</v>
          </cell>
          <cell r="D22">
            <v>51</v>
          </cell>
          <cell r="E22">
            <v>2.5990296413775482</v>
          </cell>
        </row>
        <row r="23">
          <cell r="B23" t="str">
            <v>ACADEMY OF MANAGEMENT JOURNAL</v>
          </cell>
          <cell r="C23" t="str">
            <v>DGW</v>
          </cell>
          <cell r="D23">
            <v>71</v>
          </cell>
          <cell r="E23">
            <v>2.4850138016395089</v>
          </cell>
        </row>
        <row r="24">
          <cell r="B24" t="str">
            <v>ANNUAL REVIEW OF ECONOMICS</v>
          </cell>
          <cell r="C24" t="str">
            <v>BFJ</v>
          </cell>
          <cell r="D24">
            <v>31</v>
          </cell>
          <cell r="E24">
            <v>2.4802645964635519</v>
          </cell>
        </row>
        <row r="25">
          <cell r="B25" t="str">
            <v>JOURNAL OF ACCOUNTING &amp; ECONOMICS</v>
          </cell>
          <cell r="C25" t="str">
            <v>BDJ</v>
          </cell>
          <cell r="D25">
            <v>35</v>
          </cell>
          <cell r="E25">
            <v>2.394428727560908</v>
          </cell>
        </row>
        <row r="26">
          <cell r="B26" t="str">
            <v>JOURNAL OF PUBLIC ECONOMICS</v>
          </cell>
          <cell r="C26" t="str">
            <v>ABW</v>
          </cell>
          <cell r="D26">
            <v>133</v>
          </cell>
          <cell r="E26">
            <v>2.162958825908436</v>
          </cell>
        </row>
        <row r="27">
          <cell r="B27" t="str">
            <v>JOURNAL OF ACCOUNTING RESEARCH</v>
          </cell>
          <cell r="C27" t="str">
            <v>DDL</v>
          </cell>
          <cell r="D27">
            <v>34</v>
          </cell>
          <cell r="E27">
            <v>2.1566155293003839</v>
          </cell>
        </row>
        <row r="28">
          <cell r="B28" t="str">
            <v>ACADEMY OF MANAGEMENT REVIEW</v>
          </cell>
          <cell r="C28" t="str">
            <v>DHV</v>
          </cell>
          <cell r="D28">
            <v>40</v>
          </cell>
          <cell r="E28">
            <v>2.1029567882570679</v>
          </cell>
        </row>
        <row r="29">
          <cell r="B29" t="str">
            <v>STRATEGIC MANAGEMENT JOURNAL</v>
          </cell>
          <cell r="C29" t="str">
            <v>DGG</v>
          </cell>
          <cell r="D29">
            <v>121</v>
          </cell>
          <cell r="E29">
            <v>2.0268195197697931</v>
          </cell>
        </row>
        <row r="30">
          <cell r="B30" t="str">
            <v>JOURNAL OF MANAGEMENT</v>
          </cell>
          <cell r="C30" t="str">
            <v>HAX</v>
          </cell>
          <cell r="D30">
            <v>88</v>
          </cell>
          <cell r="E30">
            <v>1.9235275157905629</v>
          </cell>
        </row>
        <row r="31">
          <cell r="B31" t="str">
            <v>JOURNAL OF THE ACADEMY OF MARKETING SCIENCE</v>
          </cell>
          <cell r="C31" t="str">
            <v>DDP</v>
          </cell>
          <cell r="D31">
            <v>71</v>
          </cell>
          <cell r="E31">
            <v>1.8908659265094829</v>
          </cell>
        </row>
        <row r="32">
          <cell r="B32" t="str">
            <v>ACADEMY OF MANAGEMENT PERSPECTIVES</v>
          </cell>
          <cell r="C32" t="str">
            <v>HAI</v>
          </cell>
          <cell r="D32">
            <v>30</v>
          </cell>
          <cell r="E32">
            <v>1.7571101041607431</v>
          </cell>
        </row>
        <row r="33">
          <cell r="B33" t="str">
            <v>REVIEW OF ACCOUNTING STUDIES</v>
          </cell>
          <cell r="C33" t="str">
            <v>DCZ</v>
          </cell>
          <cell r="D33">
            <v>51</v>
          </cell>
          <cell r="E33">
            <v>1.7321142840051891</v>
          </cell>
        </row>
        <row r="34">
          <cell r="B34" t="str">
            <v>JOURNAL OF FINANCIAL INTERMEDIATION</v>
          </cell>
          <cell r="C34" t="str">
            <v>DEB</v>
          </cell>
          <cell r="D34">
            <v>26</v>
          </cell>
          <cell r="E34">
            <v>1.7073986840647759</v>
          </cell>
        </row>
        <row r="35">
          <cell r="B35" t="str">
            <v>PROCEEDINGS OF THE NATIONAL ACADEMY OF SCIENCES OF THE UNITED STATES OF AMERICA</v>
          </cell>
          <cell r="C35" t="str">
            <v>HGQ</v>
          </cell>
          <cell r="D35">
            <v>44</v>
          </cell>
          <cell r="E35">
            <v>1.68539365866864</v>
          </cell>
        </row>
        <row r="36">
          <cell r="B36" t="str">
            <v>REVIEW OF FINANCE</v>
          </cell>
          <cell r="C36" t="str">
            <v>BDY</v>
          </cell>
          <cell r="D36">
            <v>17</v>
          </cell>
          <cell r="E36">
            <v>1.6595845369830811</v>
          </cell>
        </row>
        <row r="37">
          <cell r="B37" t="str">
            <v>JOURNAL OF THE EUROPEAN ECONOMIC ASSOCIATION</v>
          </cell>
          <cell r="C37" t="str">
            <v>AEC</v>
          </cell>
          <cell r="D37">
            <v>84</v>
          </cell>
          <cell r="E37">
            <v>1.64422402725885</v>
          </cell>
        </row>
        <row r="38">
          <cell r="B38" t="str">
            <v>JOURNAL OF MANAGEMENT STUDIES</v>
          </cell>
          <cell r="C38" t="str">
            <v>DGM</v>
          </cell>
          <cell r="D38">
            <v>93</v>
          </cell>
          <cell r="E38">
            <v>1.628014253326646</v>
          </cell>
        </row>
        <row r="39">
          <cell r="B39" t="str">
            <v>MARKETING SCIENCE</v>
          </cell>
          <cell r="C39" t="str">
            <v>DBB</v>
          </cell>
          <cell r="D39">
            <v>57</v>
          </cell>
          <cell r="E39">
            <v>1.614249767652199</v>
          </cell>
        </row>
        <row r="40">
          <cell r="B40" t="str">
            <v>ORGANIZATION SCIENCE</v>
          </cell>
          <cell r="C40" t="str">
            <v>HHL</v>
          </cell>
          <cell r="D40">
            <v>74</v>
          </cell>
          <cell r="E40">
            <v>1.583401444872433</v>
          </cell>
        </row>
        <row r="41">
          <cell r="B41" t="str">
            <v>JOURNAL OF MONETARY ECONOMICS</v>
          </cell>
          <cell r="C41" t="str">
            <v>ACY</v>
          </cell>
          <cell r="D41">
            <v>102</v>
          </cell>
          <cell r="E41">
            <v>1.5750426852607919</v>
          </cell>
        </row>
        <row r="42">
          <cell r="B42" t="str">
            <v>MANAGEMENT SCIENCE</v>
          </cell>
          <cell r="C42" t="str">
            <v>HFK</v>
          </cell>
          <cell r="D42">
            <v>294</v>
          </cell>
          <cell r="E42">
            <v>1.5497417149519139</v>
          </cell>
        </row>
        <row r="43">
          <cell r="B43" t="str">
            <v>ACADEMY OF MANAGEMENT DISCOVERIES</v>
          </cell>
          <cell r="C43" t="str">
            <v>HEU</v>
          </cell>
          <cell r="D43">
            <v>32</v>
          </cell>
          <cell r="E43">
            <v>1.5488104581452611</v>
          </cell>
        </row>
        <row r="44">
          <cell r="B44" t="str">
            <v>JOURNAL OF PRODUCT INNOVATION MANAGEMENT</v>
          </cell>
          <cell r="C44" t="str">
            <v>DFU</v>
          </cell>
          <cell r="D44">
            <v>25</v>
          </cell>
          <cell r="E44">
            <v>1.497388914904296</v>
          </cell>
        </row>
        <row r="45">
          <cell r="B45" t="str">
            <v>ACCOUNTING REVIEW</v>
          </cell>
          <cell r="C45" t="str">
            <v>DCO</v>
          </cell>
          <cell r="D45">
            <v>92</v>
          </cell>
          <cell r="E45">
            <v>1.4899237403114061</v>
          </cell>
        </row>
        <row r="46">
          <cell r="B46" t="str">
            <v>JOURNAL OF MARKETING RESEARCH</v>
          </cell>
          <cell r="C46" t="str">
            <v>DDR</v>
          </cell>
          <cell r="D46">
            <v>71</v>
          </cell>
          <cell r="E46">
            <v>1.452763624501124</v>
          </cell>
        </row>
        <row r="47">
          <cell r="B47" t="str">
            <v>JOURNAL OF BUSINESS VENTURING</v>
          </cell>
          <cell r="C47" t="str">
            <v>DZA</v>
          </cell>
          <cell r="D47">
            <v>60</v>
          </cell>
          <cell r="E47">
            <v>1.433672174167326</v>
          </cell>
        </row>
        <row r="48">
          <cell r="B48" t="str">
            <v>IMF ECONOMIC REVIEW</v>
          </cell>
          <cell r="C48" t="str">
            <v>CAM</v>
          </cell>
          <cell r="D48">
            <v>21</v>
          </cell>
          <cell r="E48">
            <v>1.419925206347135</v>
          </cell>
        </row>
        <row r="49">
          <cell r="B49" t="str">
            <v>ENTREPRENEURSHIP THEORY AND PRACTICE</v>
          </cell>
          <cell r="C49" t="str">
            <v>DAI</v>
          </cell>
          <cell r="D49">
            <v>91</v>
          </cell>
          <cell r="E49">
            <v>1.417214392638086</v>
          </cell>
        </row>
        <row r="50">
          <cell r="B50" t="str">
            <v>JOURNAL OF SERVICE RESEARCH</v>
          </cell>
          <cell r="C50" t="str">
            <v>DBL</v>
          </cell>
          <cell r="D50">
            <v>42</v>
          </cell>
          <cell r="E50">
            <v>1.403768454654456</v>
          </cell>
        </row>
        <row r="51">
          <cell r="B51" t="str">
            <v>JOURNAL OF SUPPLY CHAIN MANAGEMENT</v>
          </cell>
          <cell r="C51" t="str">
            <v>HEX</v>
          </cell>
          <cell r="D51">
            <v>25</v>
          </cell>
          <cell r="E51">
            <v>1.3790626399029231</v>
          </cell>
        </row>
        <row r="52">
          <cell r="B52" t="str">
            <v>JOURNAL OF INTERNATIONAL BUSINESS STUDIES</v>
          </cell>
          <cell r="C52" t="str">
            <v>DGN</v>
          </cell>
          <cell r="D52">
            <v>92</v>
          </cell>
          <cell r="E52">
            <v>1.37580288675592</v>
          </cell>
        </row>
        <row r="53">
          <cell r="B53" t="str">
            <v>STRATEGIC ENTREPRENEURSHIP JOURNAL</v>
          </cell>
          <cell r="C53" t="str">
            <v>DHP</v>
          </cell>
          <cell r="D53">
            <v>45</v>
          </cell>
          <cell r="E53">
            <v>1.3715386918498551</v>
          </cell>
        </row>
        <row r="54">
          <cell r="B54" t="str">
            <v>INTERNATIONAL JOURNAL OF MANAGEMENT REVIEWS</v>
          </cell>
          <cell r="C54" t="str">
            <v>HAR</v>
          </cell>
          <cell r="D54">
            <v>21</v>
          </cell>
          <cell r="E54">
            <v>1.3086320540928249</v>
          </cell>
        </row>
        <row r="55">
          <cell r="B55" t="str">
            <v>QUANTITATIVE ECONOMICS</v>
          </cell>
          <cell r="C55" t="str">
            <v>BCP</v>
          </cell>
          <cell r="D55">
            <v>40</v>
          </cell>
          <cell r="E55">
            <v>1.294597833164896</v>
          </cell>
        </row>
        <row r="56">
          <cell r="B56" t="str">
            <v>CALIFORNIA MANAGEMENT REVIEW</v>
          </cell>
          <cell r="C56" t="str">
            <v>HAF</v>
          </cell>
          <cell r="D56">
            <v>31</v>
          </cell>
          <cell r="E56">
            <v>1.268669189718163</v>
          </cell>
        </row>
        <row r="57">
          <cell r="B57" t="str">
            <v>ORGANIZATIONAL RESEARCH METHODS</v>
          </cell>
          <cell r="C57" t="str">
            <v>HFT</v>
          </cell>
          <cell r="D57">
            <v>58</v>
          </cell>
          <cell r="E57">
            <v>1.2657852542614449</v>
          </cell>
        </row>
        <row r="58">
          <cell r="B58" t="str">
            <v>JOURNAL OF INTERNATIONAL ECONOMICS</v>
          </cell>
          <cell r="C58" t="str">
            <v>ADP</v>
          </cell>
          <cell r="D58">
            <v>92</v>
          </cell>
          <cell r="E58">
            <v>1.2426312299807001</v>
          </cell>
        </row>
        <row r="59">
          <cell r="B59" t="str">
            <v>JOURNAL OF CONSUMER RESEARCH</v>
          </cell>
          <cell r="C59" t="str">
            <v>DBJ</v>
          </cell>
          <cell r="D59">
            <v>48</v>
          </cell>
          <cell r="E59">
            <v>1.2197454730988999</v>
          </cell>
        </row>
        <row r="60">
          <cell r="B60" t="str">
            <v>JOURNAL OF INTERACTIVE MARKETING</v>
          </cell>
          <cell r="C60" t="str">
            <v>DBS</v>
          </cell>
          <cell r="D60">
            <v>32</v>
          </cell>
          <cell r="E60">
            <v>1.2081208001561861</v>
          </cell>
        </row>
        <row r="61">
          <cell r="B61" t="str">
            <v>JOURNAL OF URBAN ECONOMICS</v>
          </cell>
          <cell r="C61" t="str">
            <v>BCX</v>
          </cell>
          <cell r="D61">
            <v>39</v>
          </cell>
          <cell r="E61">
            <v>1.201346699198603</v>
          </cell>
        </row>
        <row r="62">
          <cell r="B62" t="str">
            <v>JOURNAL OF HUMAN RESOURCES</v>
          </cell>
          <cell r="C62" t="str">
            <v>BCM</v>
          </cell>
          <cell r="D62">
            <v>39</v>
          </cell>
          <cell r="E62">
            <v>1.1880552570365339</v>
          </cell>
        </row>
        <row r="63">
          <cell r="B63" t="str">
            <v>ORGANIZATION STUDIES</v>
          </cell>
          <cell r="C63" t="str">
            <v>HQE</v>
          </cell>
          <cell r="D63">
            <v>90</v>
          </cell>
          <cell r="E63">
            <v>1.173493729592358</v>
          </cell>
        </row>
        <row r="64">
          <cell r="B64" t="str">
            <v>JOURNAL OF THE ASSOCIATION OF ENVIRONMENTAL AND RESOURCE ECONOMISTS</v>
          </cell>
          <cell r="C64" t="str">
            <v>BDM</v>
          </cell>
          <cell r="D64">
            <v>36</v>
          </cell>
          <cell r="E64">
            <v>1.154491298387829</v>
          </cell>
        </row>
        <row r="65">
          <cell r="B65" t="str">
            <v>REVIEW OF ENVIRONMENTAL ECONOMICS AND POLICY</v>
          </cell>
          <cell r="C65" t="str">
            <v>CBE</v>
          </cell>
          <cell r="D65">
            <v>19</v>
          </cell>
          <cell r="E65">
            <v>1.1532670480895939</v>
          </cell>
        </row>
        <row r="66">
          <cell r="B66" t="str">
            <v>JOURNAL OF RETAILING</v>
          </cell>
          <cell r="C66" t="str">
            <v>DBO</v>
          </cell>
          <cell r="D66">
            <v>38</v>
          </cell>
          <cell r="E66">
            <v>1.121451802352103</v>
          </cell>
        </row>
        <row r="67">
          <cell r="B67" t="str">
            <v>RAND JOURNAL OF ECONOMICS</v>
          </cell>
          <cell r="C67" t="str">
            <v>BBA</v>
          </cell>
          <cell r="D67">
            <v>46</v>
          </cell>
          <cell r="E67">
            <v>1.1055831663707449</v>
          </cell>
        </row>
        <row r="68">
          <cell r="B68" t="str">
            <v>JOURNAL OF FINANCIAL AND QUANTITATIVE ANALYSIS</v>
          </cell>
          <cell r="C68" t="str">
            <v>AEI</v>
          </cell>
          <cell r="D68">
            <v>82</v>
          </cell>
          <cell r="E68">
            <v>1.0908444611148711</v>
          </cell>
        </row>
        <row r="69">
          <cell r="B69" t="str">
            <v>ANNUAL REVIEW OF FINANCIAL ECONOMICS</v>
          </cell>
          <cell r="C69" t="str">
            <v>HCB</v>
          </cell>
          <cell r="D69">
            <v>15</v>
          </cell>
          <cell r="E69">
            <v>1.0858128212439639</v>
          </cell>
        </row>
        <row r="70">
          <cell r="B70" t="str">
            <v>GLOBAL STRATEGY JOURNAL</v>
          </cell>
          <cell r="C70" t="str">
            <v>HAA</v>
          </cell>
          <cell r="D70">
            <v>33</v>
          </cell>
          <cell r="E70">
            <v>1.083416871148313</v>
          </cell>
        </row>
        <row r="71">
          <cell r="B71" t="str">
            <v>JOURNAL OF OPERATIONS MANAGEMENT</v>
          </cell>
          <cell r="C71" t="str">
            <v>HFQ</v>
          </cell>
          <cell r="D71">
            <v>44</v>
          </cell>
          <cell r="E71">
            <v>1.078649485007338</v>
          </cell>
        </row>
        <row r="72">
          <cell r="B72" t="str">
            <v>M&amp;SOM-MANUFACTURING &amp; SERVICE OPERATIONS MANAGEMENT</v>
          </cell>
          <cell r="C72" t="str">
            <v>HFP</v>
          </cell>
          <cell r="D72">
            <v>112</v>
          </cell>
          <cell r="E72">
            <v>1.022071507058564</v>
          </cell>
        </row>
        <row r="73">
          <cell r="B73" t="str">
            <v>ECONOMIC JOURNAL</v>
          </cell>
          <cell r="C73" t="str">
            <v>ADJ</v>
          </cell>
          <cell r="D73">
            <v>95</v>
          </cell>
          <cell r="E73">
            <v>0.98685234952005629</v>
          </cell>
        </row>
        <row r="74">
          <cell r="B74" t="str">
            <v>THEORETICAL ECONOMICS</v>
          </cell>
          <cell r="C74" t="str">
            <v>BBI</v>
          </cell>
          <cell r="D74">
            <v>45</v>
          </cell>
          <cell r="E74">
            <v>0.98683937227663465</v>
          </cell>
        </row>
        <row r="75">
          <cell r="B75" t="str">
            <v>JOURNAL OF WORLD BUSINESS</v>
          </cell>
          <cell r="C75" t="str">
            <v>DAX</v>
          </cell>
          <cell r="D75">
            <v>62</v>
          </cell>
          <cell r="E75">
            <v>0.98086996153754158</v>
          </cell>
        </row>
        <row r="76">
          <cell r="B76" t="str">
            <v>LONG RANGE PLANNING</v>
          </cell>
          <cell r="C76" t="str">
            <v>HBM</v>
          </cell>
          <cell r="D76">
            <v>56</v>
          </cell>
          <cell r="E76">
            <v>0.97960803241157401</v>
          </cell>
        </row>
        <row r="77">
          <cell r="B77" t="str">
            <v>INTERNATIONAL JOURNAL OF RESEARCH IN MARKETING</v>
          </cell>
          <cell r="C77" t="str">
            <v>DBH</v>
          </cell>
          <cell r="D77">
            <v>47</v>
          </cell>
          <cell r="E77">
            <v>0.9651069552673287</v>
          </cell>
        </row>
        <row r="78">
          <cell r="B78" t="str">
            <v>JOURNAL OF ECONOMIC GROWTH</v>
          </cell>
          <cell r="C78" t="str">
            <v>CFF</v>
          </cell>
          <cell r="D78">
            <v>11</v>
          </cell>
          <cell r="E78">
            <v>0.9543011485659032</v>
          </cell>
        </row>
        <row r="79">
          <cell r="B79" t="str">
            <v>ACCOUNTING ORGANIZATIONS AND SOCIETY</v>
          </cell>
          <cell r="C79" t="str">
            <v>DAF</v>
          </cell>
          <cell r="D79">
            <v>42</v>
          </cell>
          <cell r="E79">
            <v>0.94700741678366684</v>
          </cell>
        </row>
        <row r="80">
          <cell r="B80" t="str">
            <v>CONTEMPORARY ACCOUNTING RESEARCH</v>
          </cell>
          <cell r="C80" t="str">
            <v>DCL</v>
          </cell>
          <cell r="D80">
            <v>113</v>
          </cell>
          <cell r="E80">
            <v>0.93678177979293376</v>
          </cell>
        </row>
        <row r="81">
          <cell r="B81" t="str">
            <v>AMERICAN ECONOMIC JOURNAL-MICROECONOMICS</v>
          </cell>
          <cell r="C81" t="str">
            <v>BEK</v>
          </cell>
          <cell r="D81">
            <v>34</v>
          </cell>
          <cell r="E81">
            <v>0.93322051483603785</v>
          </cell>
        </row>
        <row r="82">
          <cell r="B82" t="str">
            <v>INTERNATIONAL BUSINESS REVIEW</v>
          </cell>
          <cell r="C82" t="str">
            <v>DDM</v>
          </cell>
          <cell r="D82">
            <v>83</v>
          </cell>
          <cell r="E82">
            <v>0.91027442637660239</v>
          </cell>
        </row>
        <row r="83">
          <cell r="B83" t="str">
            <v>ACADEMY OF MANAGEMENT LEARNING &amp; EDUCATION</v>
          </cell>
          <cell r="C83" t="str">
            <v>HCE</v>
          </cell>
          <cell r="D83">
            <v>22</v>
          </cell>
          <cell r="E83">
            <v>0.91005128771172039</v>
          </cell>
        </row>
        <row r="84">
          <cell r="B84" t="str">
            <v>OXFORD REVIEW OF ECONOMIC POLICY</v>
          </cell>
          <cell r="C84" t="str">
            <v>AGQ</v>
          </cell>
          <cell r="D84">
            <v>62</v>
          </cell>
          <cell r="E84">
            <v>0.89508043560585326</v>
          </cell>
        </row>
        <row r="85">
          <cell r="B85" t="str">
            <v>ANNUAL REVIEW OF RESOURCE ECONOMICS</v>
          </cell>
          <cell r="C85" t="str">
            <v>BHY</v>
          </cell>
          <cell r="D85">
            <v>23</v>
          </cell>
          <cell r="E85">
            <v>0.87664839647949255</v>
          </cell>
        </row>
        <row r="86">
          <cell r="B86" t="str">
            <v>JOURNAL OF CORPORATE FINANCE</v>
          </cell>
          <cell r="C86" t="str">
            <v>DCF</v>
          </cell>
          <cell r="D86">
            <v>234</v>
          </cell>
          <cell r="E86">
            <v>0.85194201839276196</v>
          </cell>
        </row>
        <row r="87">
          <cell r="B87" t="str">
            <v>JOURNAL OF RISK AND UNCERTAINTY</v>
          </cell>
          <cell r="C87" t="str">
            <v>BGY</v>
          </cell>
          <cell r="D87">
            <v>24</v>
          </cell>
          <cell r="E87">
            <v>0.84706366059424865</v>
          </cell>
        </row>
        <row r="88">
          <cell r="B88" t="str">
            <v>STRATEGIC ORGANIZATION</v>
          </cell>
          <cell r="C88" t="str">
            <v>DHE</v>
          </cell>
          <cell r="D88">
            <v>53</v>
          </cell>
          <cell r="E88">
            <v>0.84216624807339446</v>
          </cell>
        </row>
        <row r="89">
          <cell r="B89" t="str">
            <v>EUROPEAN ECONOMIC REVIEW</v>
          </cell>
          <cell r="C89" t="str">
            <v>AAV</v>
          </cell>
          <cell r="D89">
            <v>192</v>
          </cell>
          <cell r="E89">
            <v>0.83795128641321903</v>
          </cell>
        </row>
        <row r="90">
          <cell r="B90" t="str">
            <v>BRITISH JOURNAL OF MANAGEMENT</v>
          </cell>
          <cell r="C90" t="str">
            <v>DGV</v>
          </cell>
          <cell r="D90">
            <v>76</v>
          </cell>
          <cell r="E90">
            <v>0.83503487647801167</v>
          </cell>
        </row>
        <row r="91">
          <cell r="B91" t="str">
            <v>BUSINESS &amp; SOCIETY</v>
          </cell>
          <cell r="C91" t="str">
            <v>DDG</v>
          </cell>
          <cell r="D91">
            <v>100</v>
          </cell>
          <cell r="E91">
            <v>0.83220607589090689</v>
          </cell>
        </row>
        <row r="92">
          <cell r="B92" t="str">
            <v>JOURNAL OF FINANCIAL ECONOMETRICS</v>
          </cell>
          <cell r="C92" t="str">
            <v>CBI</v>
          </cell>
          <cell r="D92">
            <v>21</v>
          </cell>
          <cell r="E92">
            <v>0.82692948266083899</v>
          </cell>
        </row>
        <row r="93">
          <cell r="B93" t="str">
            <v>JOURNAL OF LAW &amp; ECONOMICS</v>
          </cell>
          <cell r="C93" t="str">
            <v>BHH</v>
          </cell>
          <cell r="D93">
            <v>26</v>
          </cell>
          <cell r="E93">
            <v>0.79944051269836336</v>
          </cell>
        </row>
        <row r="94">
          <cell r="B94" t="str">
            <v>JOURNAL OF DEVELOPMENT ECONOMICS</v>
          </cell>
          <cell r="C94" t="str">
            <v>ABX</v>
          </cell>
          <cell r="D94">
            <v>132</v>
          </cell>
          <cell r="E94">
            <v>0.79494414205761899</v>
          </cell>
        </row>
        <row r="95">
          <cell r="B95" t="str">
            <v>INFORMATION AND ORGANIZATION</v>
          </cell>
          <cell r="C95" t="str">
            <v>HCY</v>
          </cell>
          <cell r="D95">
            <v>15</v>
          </cell>
          <cell r="E95">
            <v>0.78870374607353044</v>
          </cell>
        </row>
        <row r="96">
          <cell r="B96" t="str">
            <v>AMERICAN JOURNAL OF HEALTH ECONOMICS</v>
          </cell>
          <cell r="C96" t="str">
            <v>CDH</v>
          </cell>
          <cell r="D96">
            <v>17</v>
          </cell>
          <cell r="E96">
            <v>0.77406790233754852</v>
          </cell>
        </row>
        <row r="97">
          <cell r="B97" t="str">
            <v>JOURNAL OF ENVIRONMENTAL ECONOMICS AND MANAGEMENT</v>
          </cell>
          <cell r="C97" t="str">
            <v>AFQ</v>
          </cell>
          <cell r="D97">
            <v>68</v>
          </cell>
          <cell r="E97">
            <v>0.76139709899998143</v>
          </cell>
        </row>
        <row r="98">
          <cell r="B98" t="str">
            <v>HUMAN RESOURCE MANAGEMENT REVIEW</v>
          </cell>
          <cell r="C98" t="str">
            <v>HEQ</v>
          </cell>
          <cell r="D98">
            <v>35</v>
          </cell>
          <cell r="E98">
            <v>0.75649683011048285</v>
          </cell>
        </row>
        <row r="99">
          <cell r="B99" t="str">
            <v>JOURNAL OF BUSINESS LOGISTICS</v>
          </cell>
          <cell r="C99" t="str">
            <v>HEW</v>
          </cell>
          <cell r="D99">
            <v>26</v>
          </cell>
          <cell r="E99">
            <v>0.75056822358227693</v>
          </cell>
        </row>
        <row r="100">
          <cell r="B100" t="str">
            <v>JOURNAL OF HEALTH ECONOMICS</v>
          </cell>
          <cell r="C100" t="str">
            <v>ADZ</v>
          </cell>
          <cell r="D100">
            <v>85</v>
          </cell>
          <cell r="E100">
            <v>0.74229135419103587</v>
          </cell>
        </row>
        <row r="101">
          <cell r="B101" t="str">
            <v>QME-QUANTITATIVE MARKETING AND ECONOMICS</v>
          </cell>
          <cell r="C101" t="str">
            <v>CER</v>
          </cell>
          <cell r="D101">
            <v>14</v>
          </cell>
          <cell r="E101">
            <v>0.74001306588732119</v>
          </cell>
        </row>
        <row r="102">
          <cell r="B102" t="str">
            <v>BUSINESS ETHICS QUARTERLY</v>
          </cell>
          <cell r="C102" t="str">
            <v>HBT</v>
          </cell>
          <cell r="D102">
            <v>18</v>
          </cell>
          <cell r="E102">
            <v>0.7377305088443592</v>
          </cell>
        </row>
        <row r="103">
          <cell r="B103" t="str">
            <v>JOURNAL OF ECONOMIC HISTORY</v>
          </cell>
          <cell r="C103" t="str">
            <v>BFK</v>
          </cell>
          <cell r="D103">
            <v>31</v>
          </cell>
          <cell r="E103">
            <v>0.7363281998908443</v>
          </cell>
        </row>
        <row r="104">
          <cell r="B104" t="str">
            <v>MANAGEMENT ACCOUNTING RESEARCH</v>
          </cell>
          <cell r="C104" t="str">
            <v>DFF</v>
          </cell>
          <cell r="D104">
            <v>16</v>
          </cell>
          <cell r="E104">
            <v>0.73430234151165652</v>
          </cell>
        </row>
        <row r="105">
          <cell r="B105" t="str">
            <v>EXPERIMENTAL ECONOMICS</v>
          </cell>
          <cell r="C105" t="str">
            <v>AEF</v>
          </cell>
          <cell r="D105">
            <v>70</v>
          </cell>
          <cell r="E105">
            <v>0.73256182160555605</v>
          </cell>
        </row>
        <row r="106">
          <cell r="B106" t="str">
            <v>JOURNAL OF ADVERTISING</v>
          </cell>
          <cell r="C106" t="str">
            <v>HPH</v>
          </cell>
          <cell r="D106">
            <v>42</v>
          </cell>
          <cell r="E106">
            <v>0.73205338005634957</v>
          </cell>
        </row>
        <row r="107">
          <cell r="B107" t="str">
            <v>LEADERSHIP QUARTERLY</v>
          </cell>
          <cell r="C107" t="str">
            <v>HFU</v>
          </cell>
          <cell r="D107">
            <v>51</v>
          </cell>
          <cell r="E107">
            <v>0.72820850414926086</v>
          </cell>
        </row>
        <row r="108">
          <cell r="B108" t="str">
            <v>ORGANIZATIONAL BEHAVIOR AND HUMAN DECISION PROCESSES</v>
          </cell>
          <cell r="C108" t="str">
            <v>HGH</v>
          </cell>
          <cell r="D108">
            <v>77</v>
          </cell>
          <cell r="E108">
            <v>0.727312248401081</v>
          </cell>
        </row>
        <row r="109">
          <cell r="B109" t="str">
            <v>INTERNATIONAL JOURNAL OF OPERATIONS &amp; PRODUCTION MANAGEMENT</v>
          </cell>
          <cell r="C109" t="str">
            <v>HHN</v>
          </cell>
          <cell r="D109">
            <v>70</v>
          </cell>
          <cell r="E109">
            <v>0.72454430174689033</v>
          </cell>
        </row>
        <row r="110">
          <cell r="B110" t="str">
            <v>JOURNAL OF ECONOMIC SURVEYS</v>
          </cell>
          <cell r="C110" t="str">
            <v>AGH</v>
          </cell>
          <cell r="D110">
            <v>40</v>
          </cell>
          <cell r="E110">
            <v>0.72358582544915706</v>
          </cell>
        </row>
        <row r="111">
          <cell r="B111" t="str">
            <v>JOURNAL OF PUBLIC POLICY &amp; MARKETING</v>
          </cell>
          <cell r="C111" t="str">
            <v>DBN</v>
          </cell>
          <cell r="D111">
            <v>40</v>
          </cell>
          <cell r="E111">
            <v>0.71971433869587231</v>
          </cell>
        </row>
        <row r="112">
          <cell r="B112" t="str">
            <v>FISCAL STUDIES</v>
          </cell>
          <cell r="C112" t="str">
            <v>BDZ</v>
          </cell>
          <cell r="D112">
            <v>34</v>
          </cell>
          <cell r="E112">
            <v>0.70720522645416151</v>
          </cell>
        </row>
        <row r="113">
          <cell r="B113" t="str">
            <v>INTERNATIONAL JOURNAL OF CENTRAL BANKING</v>
          </cell>
          <cell r="C113" t="str">
            <v>DDD</v>
          </cell>
          <cell r="D113">
            <v>44</v>
          </cell>
          <cell r="E113">
            <v>0.7051309929924181</v>
          </cell>
        </row>
        <row r="114">
          <cell r="B114" t="str">
            <v>JOURNAL OF ECONOMETRICS</v>
          </cell>
          <cell r="C114" t="str">
            <v>ABN</v>
          </cell>
          <cell r="D114">
            <v>148</v>
          </cell>
          <cell r="E114">
            <v>0.69356620343876585</v>
          </cell>
        </row>
        <row r="115">
          <cell r="B115" t="str">
            <v>EXPLORATIONS IN ECONOMIC HISTORY</v>
          </cell>
          <cell r="C115" t="str">
            <v>CAC</v>
          </cell>
          <cell r="D115">
            <v>23</v>
          </cell>
          <cell r="E115">
            <v>0.69296683208581933</v>
          </cell>
        </row>
        <row r="116">
          <cell r="B116" t="str">
            <v>FAMILY BUSINESS REVIEW</v>
          </cell>
          <cell r="C116" t="str">
            <v>DBV</v>
          </cell>
          <cell r="D116">
            <v>25</v>
          </cell>
          <cell r="E116">
            <v>0.69216528735318694</v>
          </cell>
        </row>
        <row r="117">
          <cell r="B117" t="str">
            <v>INTERNATIONAL ECONOMIC REVIEW</v>
          </cell>
          <cell r="C117" t="str">
            <v>AEW</v>
          </cell>
          <cell r="D117">
            <v>75</v>
          </cell>
          <cell r="E117">
            <v>0.69095573771082341</v>
          </cell>
        </row>
        <row r="118">
          <cell r="B118" t="str">
            <v>REVIEW OF ECONOMIC DYNAMICS</v>
          </cell>
          <cell r="C118" t="str">
            <v>AFU</v>
          </cell>
          <cell r="D118">
            <v>67</v>
          </cell>
          <cell r="E118">
            <v>0.68489192499169205</v>
          </cell>
        </row>
        <row r="119">
          <cell r="B119" t="str">
            <v>HUMAN RESOURCE DEVELOPMENT REVIEW</v>
          </cell>
          <cell r="C119" t="str">
            <v>HFG</v>
          </cell>
          <cell r="D119">
            <v>15</v>
          </cell>
          <cell r="E119">
            <v>0.67733856183886909</v>
          </cell>
        </row>
        <row r="120">
          <cell r="B120" t="str">
            <v>JOURNAL OF INTERNATIONAL MARKETING</v>
          </cell>
          <cell r="C120" t="str">
            <v>DBZ</v>
          </cell>
          <cell r="D120">
            <v>21</v>
          </cell>
          <cell r="E120">
            <v>0.67512290949747966</v>
          </cell>
        </row>
        <row r="121">
          <cell r="B121" t="str">
            <v>GENEVA RISK AND INSURANCE REVIEW</v>
          </cell>
          <cell r="C121" t="str">
            <v>CEK</v>
          </cell>
          <cell r="D121">
            <v>14</v>
          </cell>
          <cell r="E121">
            <v>0.67258151977044889</v>
          </cell>
        </row>
        <row r="122">
          <cell r="B122" t="str">
            <v>HUMAN RESOURCE MANAGEMENT</v>
          </cell>
          <cell r="C122" t="str">
            <v>HFV</v>
          </cell>
          <cell r="D122">
            <v>50</v>
          </cell>
          <cell r="E122">
            <v>0.67183831065658106</v>
          </cell>
        </row>
        <row r="123">
          <cell r="B123" t="str">
            <v>JOURNAL OF ECONOMIC THEORY</v>
          </cell>
          <cell r="C123" t="str">
            <v>ACI</v>
          </cell>
          <cell r="D123">
            <v>114</v>
          </cell>
          <cell r="E123">
            <v>0.66973882702542131</v>
          </cell>
        </row>
        <row r="124">
          <cell r="B124" t="str">
            <v>HUMAN RELATIONS</v>
          </cell>
          <cell r="C124" t="str">
            <v>HGK</v>
          </cell>
          <cell r="D124">
            <v>111</v>
          </cell>
          <cell r="E124">
            <v>0.65295374926998673</v>
          </cell>
        </row>
        <row r="125">
          <cell r="B125" t="str">
            <v>JOURNAL OF MONEY CREDIT AND BANKING</v>
          </cell>
          <cell r="C125" t="str">
            <v>ADL</v>
          </cell>
          <cell r="D125">
            <v>73</v>
          </cell>
          <cell r="E125">
            <v>0.65234476015800991</v>
          </cell>
        </row>
        <row r="126">
          <cell r="B126" t="str">
            <v>JOURNAL OF SERVICE MANAGEMENT</v>
          </cell>
          <cell r="C126" t="str">
            <v>HHJ</v>
          </cell>
          <cell r="D126">
            <v>77</v>
          </cell>
          <cell r="E126">
            <v>0.64598548098831454</v>
          </cell>
        </row>
        <row r="127">
          <cell r="B127" t="str">
            <v>ECONOMIC POLICY</v>
          </cell>
          <cell r="C127" t="str">
            <v>CDR</v>
          </cell>
          <cell r="D127">
            <v>16</v>
          </cell>
          <cell r="E127">
            <v>0.64458653157472956</v>
          </cell>
        </row>
        <row r="128">
          <cell r="B128" t="str">
            <v>BUSINESS HORIZONS</v>
          </cell>
          <cell r="C128" t="str">
            <v>DDU</v>
          </cell>
          <cell r="D128">
            <v>67</v>
          </cell>
          <cell r="E128">
            <v>0.64176215154182958</v>
          </cell>
        </row>
        <row r="129">
          <cell r="B129" t="str">
            <v>ECONOMETRICS JOURNAL</v>
          </cell>
          <cell r="C129" t="str">
            <v>CAA</v>
          </cell>
          <cell r="D129">
            <v>24</v>
          </cell>
          <cell r="E129">
            <v>0.64103006061870105</v>
          </cell>
        </row>
        <row r="130">
          <cell r="B130" t="str">
            <v>INTERNATIONAL SMALL BUSINESS JOURNAL-RESEARCHING ENTREPRENEURSHIP</v>
          </cell>
          <cell r="C130" t="str">
            <v>DHF</v>
          </cell>
          <cell r="D130">
            <v>52</v>
          </cell>
          <cell r="E130">
            <v>0.63669852654510684</v>
          </cell>
        </row>
        <row r="131">
          <cell r="B131" t="str">
            <v>JOURNAL OF POPULATION ECONOMICS</v>
          </cell>
          <cell r="C131" t="str">
            <v>AFP</v>
          </cell>
          <cell r="D131">
            <v>66</v>
          </cell>
          <cell r="E131">
            <v>0.63247592328844604</v>
          </cell>
        </row>
        <row r="132">
          <cell r="B132" t="str">
            <v>NATIONAL TAX JOURNAL</v>
          </cell>
          <cell r="C132" t="str">
            <v>BBP</v>
          </cell>
          <cell r="D132">
            <v>44</v>
          </cell>
          <cell r="E132">
            <v>0.62646505590894419</v>
          </cell>
        </row>
        <row r="133">
          <cell r="B133" t="str">
            <v>ENTREPRENEURSHIP AND REGIONAL DEVELOPMENT</v>
          </cell>
          <cell r="C133" t="str">
            <v>HBN</v>
          </cell>
          <cell r="D133">
            <v>29</v>
          </cell>
          <cell r="E133">
            <v>0.62170651552369516</v>
          </cell>
        </row>
        <row r="134">
          <cell r="B134" t="str">
            <v>JOURNAL OF BUSINESS RESEARCH</v>
          </cell>
          <cell r="C134" t="str">
            <v>DAA</v>
          </cell>
          <cell r="D134">
            <v>772</v>
          </cell>
          <cell r="E134">
            <v>0.60745911971472466</v>
          </cell>
        </row>
        <row r="135">
          <cell r="B135" t="str">
            <v>JOURNAL OF BUSINESS ETHICS</v>
          </cell>
          <cell r="C135" t="str">
            <v>HBU</v>
          </cell>
          <cell r="D135">
            <v>503</v>
          </cell>
          <cell r="E135">
            <v>0.60513113542626285</v>
          </cell>
        </row>
        <row r="136">
          <cell r="B136" t="str">
            <v>JOURNAL OF INTERNATIONAL MANAGEMENT</v>
          </cell>
          <cell r="C136" t="str">
            <v>HEH</v>
          </cell>
          <cell r="D136">
            <v>44</v>
          </cell>
          <cell r="E136">
            <v>0.59727809870388637</v>
          </cell>
        </row>
        <row r="137">
          <cell r="B137" t="str">
            <v>JOURNAL OF BUSINESS &amp; ECONOMIC STATISTICS</v>
          </cell>
          <cell r="C137" t="str">
            <v>ABU</v>
          </cell>
          <cell r="D137">
            <v>114</v>
          </cell>
          <cell r="E137">
            <v>0.59469815573391627</v>
          </cell>
        </row>
        <row r="138">
          <cell r="B138" t="str">
            <v>FINANCIAL MANAGEMENT</v>
          </cell>
          <cell r="C138" t="str">
            <v>DDZ</v>
          </cell>
          <cell r="D138">
            <v>48</v>
          </cell>
          <cell r="E138">
            <v>0.58996251641443676</v>
          </cell>
        </row>
        <row r="139">
          <cell r="B139" t="str">
            <v>INTERNATIONAL REVIEW OF FINANCIAL ANALYSIS</v>
          </cell>
          <cell r="C139" t="str">
            <v>DCJ</v>
          </cell>
          <cell r="D139">
            <v>164</v>
          </cell>
          <cell r="E139">
            <v>0.57453145965321506</v>
          </cell>
        </row>
        <row r="140">
          <cell r="B140" t="str">
            <v>INTERNATIONAL JOURNAL OF PHYSICAL DISTRIBUTION &amp; LOGISTICS MANAGEMENT</v>
          </cell>
          <cell r="C140" t="str">
            <v>HEK</v>
          </cell>
          <cell r="D140">
            <v>39</v>
          </cell>
          <cell r="E140">
            <v>0.56908146907865775</v>
          </cell>
        </row>
        <row r="141">
          <cell r="B141" t="str">
            <v>CORPORATE GOVERNANCE-AN INTERNATIONAL REVIEW</v>
          </cell>
          <cell r="C141" t="str">
            <v>DFM</v>
          </cell>
          <cell r="D141">
            <v>26</v>
          </cell>
          <cell r="E141">
            <v>0.56713710167264431</v>
          </cell>
        </row>
        <row r="142">
          <cell r="B142" t="str">
            <v>JOURNAL OF FAMILY BUSINESS STRATEGY</v>
          </cell>
          <cell r="C142" t="str">
            <v>HAV</v>
          </cell>
          <cell r="D142">
            <v>20</v>
          </cell>
          <cell r="E142">
            <v>0.56458588103760043</v>
          </cell>
        </row>
        <row r="143">
          <cell r="B143" t="str">
            <v>CRITICAL PERSPECTIVES ON ACCOUNTING</v>
          </cell>
          <cell r="C143" t="str">
            <v>DDS</v>
          </cell>
          <cell r="D143">
            <v>31</v>
          </cell>
          <cell r="E143">
            <v>0.5634812983719083</v>
          </cell>
        </row>
        <row r="144">
          <cell r="B144" t="str">
            <v>MARKETING LETTERS</v>
          </cell>
          <cell r="C144" t="str">
            <v>DBM</v>
          </cell>
          <cell r="D144">
            <v>41</v>
          </cell>
          <cell r="E144">
            <v>0.55696317792515959</v>
          </cell>
        </row>
        <row r="145">
          <cell r="B145" t="str">
            <v>JOURNAL OF FINANCIAL MARKETS</v>
          </cell>
          <cell r="C145" t="str">
            <v>DDO</v>
          </cell>
          <cell r="D145">
            <v>33</v>
          </cell>
          <cell r="E145">
            <v>0.55564680695699653</v>
          </cell>
        </row>
        <row r="146">
          <cell r="B146" t="str">
            <v>INDUSTRIAL MARKETING MANAGEMENT</v>
          </cell>
          <cell r="C146" t="str">
            <v>DGD</v>
          </cell>
          <cell r="D146">
            <v>284</v>
          </cell>
          <cell r="E146">
            <v>0.55030492945384746</v>
          </cell>
        </row>
        <row r="147">
          <cell r="B147" t="str">
            <v>FINANCIAL ANALYSTS JOURNAL</v>
          </cell>
          <cell r="C147" t="str">
            <v>DDT</v>
          </cell>
          <cell r="D147">
            <v>28</v>
          </cell>
          <cell r="E147">
            <v>0.54539672391484817</v>
          </cell>
        </row>
        <row r="148">
          <cell r="B148" t="str">
            <v>MATHEMATICAL FINANCE</v>
          </cell>
          <cell r="C148" t="str">
            <v>AGL</v>
          </cell>
          <cell r="D148">
            <v>43</v>
          </cell>
          <cell r="E148">
            <v>0.53791058922710699</v>
          </cell>
        </row>
        <row r="149">
          <cell r="B149" t="str">
            <v>SMALL BUSINESS ECONOMICS</v>
          </cell>
          <cell r="C149" t="str">
            <v>AAP</v>
          </cell>
          <cell r="D149">
            <v>231</v>
          </cell>
          <cell r="E149">
            <v>0.53574761604675702</v>
          </cell>
        </row>
        <row r="150">
          <cell r="B150" t="str">
            <v>MARKETING THEORY</v>
          </cell>
          <cell r="C150" t="str">
            <v>DBU</v>
          </cell>
          <cell r="D150">
            <v>26</v>
          </cell>
          <cell r="E150">
            <v>0.53535375496301241</v>
          </cell>
        </row>
        <row r="151">
          <cell r="B151" t="str">
            <v>AMERICAN JOURNAL OF AGRICULTURAL ECONOMICS</v>
          </cell>
          <cell r="C151" t="str">
            <v>ACL</v>
          </cell>
          <cell r="D151">
            <v>112</v>
          </cell>
          <cell r="E151">
            <v>0.53399532958135543</v>
          </cell>
        </row>
        <row r="152">
          <cell r="B152" t="str">
            <v>WORLD BANK ECONOMIC REVIEW</v>
          </cell>
          <cell r="C152" t="str">
            <v>AHY</v>
          </cell>
          <cell r="D152">
            <v>54</v>
          </cell>
          <cell r="E152">
            <v>0.53246126549216433</v>
          </cell>
        </row>
        <row r="153">
          <cell r="B153" t="str">
            <v>JOURNAL OF APPLIED ECONOMETRICS</v>
          </cell>
          <cell r="C153" t="str">
            <v>AGP</v>
          </cell>
          <cell r="D153">
            <v>52</v>
          </cell>
          <cell r="E153">
            <v>0.52975624687061884</v>
          </cell>
        </row>
        <row r="154">
          <cell r="B154" t="str">
            <v>JOURNAL OF RESEARCH IN INTERACTIVE MARKETING</v>
          </cell>
          <cell r="C154" t="str">
            <v>DBY</v>
          </cell>
          <cell r="D154">
            <v>22</v>
          </cell>
          <cell r="E154">
            <v>0.52894535919991947</v>
          </cell>
        </row>
        <row r="155">
          <cell r="B155" t="str">
            <v>EUROPEAN ACCOUNTING REVIEW</v>
          </cell>
          <cell r="C155" t="str">
            <v>DCX</v>
          </cell>
          <cell r="D155">
            <v>57</v>
          </cell>
          <cell r="E155">
            <v>0.52869143346212488</v>
          </cell>
        </row>
        <row r="156">
          <cell r="B156" t="str">
            <v>SUPPLY CHAIN MANAGEMENT-AN INTERNATIONAL JOURNAL</v>
          </cell>
          <cell r="C156" t="str">
            <v>DGY</v>
          </cell>
          <cell r="D156">
            <v>70</v>
          </cell>
          <cell r="E156">
            <v>0.52517244543450614</v>
          </cell>
        </row>
        <row r="157">
          <cell r="B157" t="str">
            <v>JOURNAL OF BANKING &amp; FINANCE</v>
          </cell>
          <cell r="C157" t="str">
            <v>AAR</v>
          </cell>
          <cell r="D157">
            <v>220</v>
          </cell>
          <cell r="E157">
            <v>0.52054908876118455</v>
          </cell>
        </row>
        <row r="158">
          <cell r="B158" t="str">
            <v>ASIA PACIFIC JOURNAL OF MANAGEMENT</v>
          </cell>
          <cell r="C158" t="str">
            <v>HHI</v>
          </cell>
          <cell r="D158">
            <v>81</v>
          </cell>
          <cell r="E158">
            <v>0.50768278913101217</v>
          </cell>
        </row>
        <row r="159">
          <cell r="B159" t="str">
            <v>JOURNAL OF SMALL BUSINESS MANAGEMENT</v>
          </cell>
          <cell r="C159" t="str">
            <v>HHW</v>
          </cell>
          <cell r="D159">
            <v>54</v>
          </cell>
          <cell r="E159">
            <v>0.50168941974788472</v>
          </cell>
        </row>
        <row r="160">
          <cell r="B160" t="str">
            <v>JOURNAL OF ECONOMICS &amp; MANAGEMENT STRATEGY</v>
          </cell>
          <cell r="C160" t="str">
            <v>AHZ</v>
          </cell>
          <cell r="D160">
            <v>43</v>
          </cell>
          <cell r="E160">
            <v>0.49644789474814072</v>
          </cell>
        </row>
        <row r="161">
          <cell r="B161" t="str">
            <v>HUMAN RESOURCE MANAGEMENT JOURNAL</v>
          </cell>
          <cell r="C161" t="str">
            <v>HCP</v>
          </cell>
          <cell r="D161">
            <v>62</v>
          </cell>
          <cell r="E161">
            <v>0.49559877757051379</v>
          </cell>
        </row>
        <row r="162">
          <cell r="B162" t="str">
            <v>LABOUR ECONOMICS</v>
          </cell>
          <cell r="C162" t="str">
            <v>ACF</v>
          </cell>
          <cell r="D162">
            <v>116</v>
          </cell>
          <cell r="E162">
            <v>0.49514213097847221</v>
          </cell>
        </row>
        <row r="163">
          <cell r="B163" t="str">
            <v>EUROPEAN JOURNAL OF MARKETING</v>
          </cell>
          <cell r="C163" t="str">
            <v>DAD</v>
          </cell>
          <cell r="D163">
            <v>157</v>
          </cell>
          <cell r="E163">
            <v>0.49155428655346861</v>
          </cell>
        </row>
        <row r="164">
          <cell r="B164" t="str">
            <v>MANAGEMENT INTERNATIONAL REVIEW</v>
          </cell>
          <cell r="C164" t="str">
            <v>HEZ</v>
          </cell>
          <cell r="D164">
            <v>23</v>
          </cell>
          <cell r="E164">
            <v>0.48759400430596622</v>
          </cell>
        </row>
        <row r="165">
          <cell r="B165" t="str">
            <v>AUDITING-A JOURNAL OF PRACTICE &amp; THEORY</v>
          </cell>
          <cell r="C165" t="str">
            <v>DDH</v>
          </cell>
          <cell r="D165">
            <v>39</v>
          </cell>
          <cell r="E165">
            <v>0.48738319265165431</v>
          </cell>
        </row>
        <row r="166">
          <cell r="B166" t="str">
            <v>HARVARD BUSINESS REVIEW</v>
          </cell>
          <cell r="C166" t="str">
            <v>DHD</v>
          </cell>
          <cell r="D166">
            <v>61</v>
          </cell>
          <cell r="E166">
            <v>0.48708226875538368</v>
          </cell>
        </row>
        <row r="167">
          <cell r="B167" t="str">
            <v>JOURNAL OF COMPARATIVE ECONOMICS</v>
          </cell>
          <cell r="C167" t="str">
            <v>BAP</v>
          </cell>
          <cell r="D167">
            <v>49</v>
          </cell>
          <cell r="E167">
            <v>0.48500420796439669</v>
          </cell>
        </row>
        <row r="168">
          <cell r="B168" t="str">
            <v>BRITISH ACCOUNTING REVIEW</v>
          </cell>
          <cell r="C168" t="str">
            <v>DDJ</v>
          </cell>
          <cell r="D168">
            <v>36</v>
          </cell>
          <cell r="E168">
            <v>0.48497831687413528</v>
          </cell>
        </row>
        <row r="169">
          <cell r="B169" t="str">
            <v>NEW TECHNOLOGY WORK AND EMPLOYMENT</v>
          </cell>
          <cell r="C169" t="str">
            <v>HCI</v>
          </cell>
          <cell r="D169">
            <v>19</v>
          </cell>
          <cell r="E169">
            <v>0.48406319563261763</v>
          </cell>
        </row>
        <row r="170">
          <cell r="B170" t="str">
            <v>JOURNAL OF BENEFIT-COST ANALYSIS</v>
          </cell>
          <cell r="C170" t="str">
            <v>CCX</v>
          </cell>
          <cell r="D170">
            <v>17</v>
          </cell>
          <cell r="E170">
            <v>0.47912188283083079</v>
          </cell>
        </row>
        <row r="171">
          <cell r="B171" t="str">
            <v>ORGANIZATION</v>
          </cell>
          <cell r="C171" t="str">
            <v>HHH</v>
          </cell>
          <cell r="D171">
            <v>91</v>
          </cell>
          <cell r="E171">
            <v>0.47897674127660522</v>
          </cell>
        </row>
        <row r="172">
          <cell r="B172" t="str">
            <v>BUSINESS STRATEGY AND THE ENVIRONMENT</v>
          </cell>
          <cell r="C172" t="str">
            <v>DFW</v>
          </cell>
          <cell r="D172">
            <v>278</v>
          </cell>
          <cell r="E172">
            <v>0.47888682896668139</v>
          </cell>
        </row>
        <row r="173">
          <cell r="B173" t="str">
            <v>GROUP &amp; ORGANIZATION MANAGEMENT</v>
          </cell>
          <cell r="C173" t="str">
            <v>HFX</v>
          </cell>
          <cell r="D173">
            <v>27</v>
          </cell>
          <cell r="E173">
            <v>0.47769400597314482</v>
          </cell>
        </row>
        <row r="174">
          <cell r="B174" t="str">
            <v>REVIEW OF ECONOMICS OF THE HOUSEHOLD</v>
          </cell>
          <cell r="C174" t="str">
            <v>AEY</v>
          </cell>
          <cell r="D174">
            <v>65</v>
          </cell>
          <cell r="E174">
            <v>0.4766509847780277</v>
          </cell>
        </row>
        <row r="175">
          <cell r="B175" t="str">
            <v>JOURNAL OF MANAGEMENT INQUIRY</v>
          </cell>
          <cell r="C175" t="str">
            <v>HHX</v>
          </cell>
          <cell r="D175">
            <v>51</v>
          </cell>
          <cell r="E175">
            <v>0.46650454984919199</v>
          </cell>
        </row>
        <row r="176">
          <cell r="B176" t="str">
            <v>R &amp; D MANAGEMENT</v>
          </cell>
          <cell r="C176" t="str">
            <v>DHH</v>
          </cell>
          <cell r="D176">
            <v>50</v>
          </cell>
          <cell r="E176">
            <v>0.46637798354501669</v>
          </cell>
        </row>
        <row r="177">
          <cell r="B177" t="str">
            <v>RESEARCH IN ORGANIZATIONAL BEHAVIOR</v>
          </cell>
          <cell r="C177" t="str">
            <v>HGG</v>
          </cell>
          <cell r="D177">
            <v>3</v>
          </cell>
          <cell r="E177">
            <v>0.46345643101587441</v>
          </cell>
        </row>
        <row r="178">
          <cell r="B178" t="str">
            <v>JOURNAL OF ECONOMIC DYNAMICS &amp; CONTROL</v>
          </cell>
          <cell r="C178" t="str">
            <v>ACD</v>
          </cell>
          <cell r="D178">
            <v>120</v>
          </cell>
          <cell r="E178">
            <v>0.46221368143007691</v>
          </cell>
        </row>
        <row r="179">
          <cell r="B179" t="str">
            <v>JOURNAL OF SERVICE THEORY AND PRACTICE</v>
          </cell>
          <cell r="C179" t="str">
            <v>HAC</v>
          </cell>
          <cell r="D179">
            <v>32</v>
          </cell>
          <cell r="E179">
            <v>0.46182922914185948</v>
          </cell>
        </row>
        <row r="180">
          <cell r="B180" t="str">
            <v>JOURNAL OF BUSINESS FINANCE &amp; ACCOUNTING</v>
          </cell>
          <cell r="C180" t="str">
            <v>DCW</v>
          </cell>
          <cell r="D180">
            <v>66</v>
          </cell>
          <cell r="E180">
            <v>0.45803526520039067</v>
          </cell>
        </row>
        <row r="181">
          <cell r="B181" t="str">
            <v>ECONOMIC INQUIRY</v>
          </cell>
          <cell r="C181" t="str">
            <v>ABP</v>
          </cell>
          <cell r="D181">
            <v>95</v>
          </cell>
          <cell r="E181">
            <v>0.45786224139345832</v>
          </cell>
        </row>
        <row r="182">
          <cell r="B182" t="str">
            <v>SYSTEM DYNAMICS REVIEW</v>
          </cell>
          <cell r="C182" t="str">
            <v>HGO</v>
          </cell>
          <cell r="D182">
            <v>15</v>
          </cell>
          <cell r="E182">
            <v>0.45470573796756453</v>
          </cell>
        </row>
        <row r="183">
          <cell r="B183" t="str">
            <v>INTERNATIONAL JOURNAL OF PROJECT MANAGEMENT</v>
          </cell>
          <cell r="C183" t="str">
            <v>HEJ</v>
          </cell>
          <cell r="D183">
            <v>42</v>
          </cell>
          <cell r="E183">
            <v>0.45233293408915182</v>
          </cell>
        </row>
        <row r="184">
          <cell r="B184" t="str">
            <v>JOURNAL OF FINANCIAL STABILITY</v>
          </cell>
          <cell r="C184" t="str">
            <v>BBD</v>
          </cell>
          <cell r="D184">
            <v>45</v>
          </cell>
          <cell r="E184">
            <v>0.44876479497074911</v>
          </cell>
        </row>
        <row r="185">
          <cell r="B185" t="str">
            <v>JOURNAL OF ADVERTISING RESEARCH</v>
          </cell>
          <cell r="C185" t="str">
            <v>HBJ</v>
          </cell>
          <cell r="D185">
            <v>33</v>
          </cell>
          <cell r="E185">
            <v>0.44624151477527102</v>
          </cell>
        </row>
        <row r="186">
          <cell r="B186" t="str">
            <v>DECISION SCIENCES</v>
          </cell>
          <cell r="C186" t="str">
            <v>HPG</v>
          </cell>
          <cell r="D186">
            <v>88</v>
          </cell>
          <cell r="E186">
            <v>0.4452520708209084</v>
          </cell>
        </row>
        <row r="187">
          <cell r="B187" t="str">
            <v>FINANCE AND STOCHASTICS</v>
          </cell>
          <cell r="C187" t="str">
            <v>DFJ</v>
          </cell>
          <cell r="D187">
            <v>27</v>
          </cell>
          <cell r="E187">
            <v>0.43891092192494779</v>
          </cell>
        </row>
        <row r="188">
          <cell r="B188" t="str">
            <v>GAMES AND ECONOMIC BEHAVIOR</v>
          </cell>
          <cell r="C188" t="str">
            <v>ABJ</v>
          </cell>
          <cell r="D188">
            <v>156</v>
          </cell>
          <cell r="E188">
            <v>0.43554125723519937</v>
          </cell>
        </row>
        <row r="189">
          <cell r="B189" t="str">
            <v>APPLIED ECONOMIC PERSPECTIVES AND POLICY</v>
          </cell>
          <cell r="C189" t="str">
            <v>ACN</v>
          </cell>
          <cell r="D189">
            <v>111</v>
          </cell>
          <cell r="E189">
            <v>0.43457835124474042</v>
          </cell>
        </row>
        <row r="190">
          <cell r="B190" t="str">
            <v>EUROPEAN MANAGEMENT JOURNAL</v>
          </cell>
          <cell r="C190" t="str">
            <v>DGT</v>
          </cell>
          <cell r="D190">
            <v>78</v>
          </cell>
          <cell r="E190">
            <v>0.43378382193633552</v>
          </cell>
        </row>
        <row r="191">
          <cell r="B191" t="str">
            <v>EUROPEAN REVIEW OF ECONOMIC HISTORY</v>
          </cell>
          <cell r="C191" t="str">
            <v>BFO</v>
          </cell>
          <cell r="D191">
            <v>31</v>
          </cell>
          <cell r="E191">
            <v>0.42229589028981862</v>
          </cell>
        </row>
        <row r="192">
          <cell r="B192" t="str">
            <v>JOURNAL OF RETAILING AND CONSUMER SERVICES</v>
          </cell>
          <cell r="C192" t="str">
            <v>DDA</v>
          </cell>
          <cell r="D192">
            <v>331</v>
          </cell>
          <cell r="E192">
            <v>0.42006537016909429</v>
          </cell>
        </row>
        <row r="193">
          <cell r="B193" t="str">
            <v>JOURNAL OF BEHAVIORAL AND EXPERIMENTAL FINANCE</v>
          </cell>
          <cell r="C193" t="str">
            <v>AEH</v>
          </cell>
          <cell r="D193">
            <v>80</v>
          </cell>
          <cell r="E193">
            <v>0.42000878579702589</v>
          </cell>
        </row>
        <row r="194">
          <cell r="B194" t="str">
            <v>ENERGY JOURNAL</v>
          </cell>
          <cell r="C194" t="str">
            <v>AEV</v>
          </cell>
          <cell r="D194">
            <v>76</v>
          </cell>
          <cell r="E194">
            <v>0.41996387975359439</v>
          </cell>
        </row>
        <row r="195">
          <cell r="B195" t="str">
            <v>JOURNAL OF LAW ECONOMICS &amp; ORGANIZATION</v>
          </cell>
          <cell r="C195" t="str">
            <v>CCZ</v>
          </cell>
          <cell r="D195">
            <v>17</v>
          </cell>
          <cell r="E195">
            <v>0.41578933867781009</v>
          </cell>
        </row>
        <row r="196">
          <cell r="B196" t="str">
            <v>REAL ESTATE ECONOMICS</v>
          </cell>
          <cell r="C196" t="str">
            <v>AGK</v>
          </cell>
          <cell r="D196">
            <v>63</v>
          </cell>
          <cell r="E196">
            <v>0.41487377474259529</v>
          </cell>
        </row>
        <row r="197">
          <cell r="B197" t="str">
            <v>JOURNAL OF INNOVATION &amp; KNOWLEDGE</v>
          </cell>
          <cell r="C197" t="str">
            <v>HAJ</v>
          </cell>
          <cell r="D197">
            <v>30</v>
          </cell>
          <cell r="E197">
            <v>0.41092134531750568</v>
          </cell>
        </row>
        <row r="198">
          <cell r="B198" t="str">
            <v>JOURNAL OF MARKETING MANAGEMENT</v>
          </cell>
          <cell r="C198" t="str">
            <v>DGQ</v>
          </cell>
          <cell r="D198">
            <v>81</v>
          </cell>
          <cell r="E198">
            <v>0.40609205934627662</v>
          </cell>
        </row>
        <row r="199">
          <cell r="B199" t="str">
            <v>INTERNATIONAL JOURNAL OF ADVERTISING</v>
          </cell>
          <cell r="C199" t="str">
            <v>HBG</v>
          </cell>
          <cell r="D199">
            <v>79</v>
          </cell>
          <cell r="E199">
            <v>0.40489631396575859</v>
          </cell>
        </row>
        <row r="200">
          <cell r="B200" t="str">
            <v>INTERNATIONAL JOURNAL OF ENTREPRENEURIAL BEHAVIOR &amp; RESEARCH</v>
          </cell>
          <cell r="C200" t="str">
            <v>DGO</v>
          </cell>
          <cell r="D200">
            <v>91</v>
          </cell>
          <cell r="E200">
            <v>0.40393079980082658</v>
          </cell>
        </row>
        <row r="201">
          <cell r="B201" t="str">
            <v>FINANCE RESEARCH LETTERS</v>
          </cell>
          <cell r="C201" t="str">
            <v>DCE</v>
          </cell>
          <cell r="D201">
            <v>299</v>
          </cell>
          <cell r="E201">
            <v>0.40280008698442737</v>
          </cell>
        </row>
        <row r="202">
          <cell r="B202" t="str">
            <v>EUROPEAN FINANCIAL MANAGEMENT</v>
          </cell>
          <cell r="C202" t="str">
            <v>DCY</v>
          </cell>
          <cell r="D202">
            <v>54</v>
          </cell>
          <cell r="E202">
            <v>0.40252557765197677</v>
          </cell>
        </row>
        <row r="203">
          <cell r="B203" t="str">
            <v>JOURNAL OF PURCHASING AND SUPPLY MANAGEMENT</v>
          </cell>
          <cell r="C203" t="str">
            <v>HET</v>
          </cell>
          <cell r="D203">
            <v>32</v>
          </cell>
          <cell r="E203">
            <v>0.4016350565752651</v>
          </cell>
        </row>
        <row r="204">
          <cell r="B204" t="str">
            <v>SIAM JOURNAL ON FINANCIAL MATHEMATICS</v>
          </cell>
          <cell r="C204" t="str">
            <v>DFG</v>
          </cell>
          <cell r="D204">
            <v>41</v>
          </cell>
          <cell r="E204">
            <v>0.39487286846609332</v>
          </cell>
        </row>
        <row r="205">
          <cell r="B205" t="str">
            <v>MANAGEMENT LEARNING</v>
          </cell>
          <cell r="C205" t="str">
            <v>HEF</v>
          </cell>
          <cell r="D205">
            <v>44</v>
          </cell>
          <cell r="E205">
            <v>0.39290970278401471</v>
          </cell>
        </row>
        <row r="206">
          <cell r="B206" t="str">
            <v>INTERNATIONAL JOURNAL OF FORECASTING</v>
          </cell>
          <cell r="C206" t="str">
            <v>ADB</v>
          </cell>
          <cell r="D206">
            <v>98</v>
          </cell>
          <cell r="E206">
            <v>0.38906389180496642</v>
          </cell>
        </row>
        <row r="207">
          <cell r="B207" t="str">
            <v>MIS QUARTERLY EXECUTIVE</v>
          </cell>
          <cell r="C207" t="str">
            <v>HCX</v>
          </cell>
          <cell r="D207">
            <v>17</v>
          </cell>
          <cell r="E207">
            <v>0.38782562896905742</v>
          </cell>
        </row>
        <row r="208">
          <cell r="B208" t="str">
            <v>OPERATIONS MANAGEMENT RESEARCH</v>
          </cell>
          <cell r="C208" t="str">
            <v>HFF</v>
          </cell>
          <cell r="D208">
            <v>20</v>
          </cell>
          <cell r="E208">
            <v>0.38328605374007141</v>
          </cell>
        </row>
        <row r="209">
          <cell r="B209" t="str">
            <v>ACCOUNTING AUDITING &amp; ACCOUNTABILITY JOURNAL</v>
          </cell>
          <cell r="C209" t="str">
            <v>DCN</v>
          </cell>
          <cell r="D209">
            <v>96</v>
          </cell>
          <cell r="E209">
            <v>0.38008848799967859</v>
          </cell>
        </row>
        <row r="210">
          <cell r="B210" t="str">
            <v>CANADIAN JOURNAL OF AGRICULTURAL ECONOMICS-REVUE CANADIENNE D AGROECONOMIE</v>
          </cell>
          <cell r="C210" t="str">
            <v>BBG</v>
          </cell>
          <cell r="D210">
            <v>40</v>
          </cell>
          <cell r="E210">
            <v>0.37770582325379037</v>
          </cell>
        </row>
        <row r="211">
          <cell r="B211" t="str">
            <v>ECONOMIC HISTORY REVIEW</v>
          </cell>
          <cell r="C211" t="str">
            <v>AGM</v>
          </cell>
          <cell r="D211">
            <v>55</v>
          </cell>
          <cell r="E211">
            <v>0.37690950190627293</v>
          </cell>
        </row>
        <row r="212">
          <cell r="B212" t="str">
            <v>ACCOUNTING HORIZONS</v>
          </cell>
          <cell r="C212" t="str">
            <v>DDI</v>
          </cell>
          <cell r="D212">
            <v>36</v>
          </cell>
          <cell r="E212">
            <v>0.3760254884722477</v>
          </cell>
        </row>
        <row r="213">
          <cell r="B213" t="str">
            <v>CAMBRIDGE JOURNAL OF REGIONS ECONOMY AND SOCIETY</v>
          </cell>
          <cell r="C213" t="str">
            <v>BGD</v>
          </cell>
          <cell r="D213">
            <v>29</v>
          </cell>
          <cell r="E213">
            <v>0.37289151684914551</v>
          </cell>
        </row>
        <row r="214">
          <cell r="B214" t="str">
            <v>JOURNAL OF SERVICES MARKETING</v>
          </cell>
          <cell r="C214" t="str">
            <v>DAH</v>
          </cell>
          <cell r="D214">
            <v>100</v>
          </cell>
          <cell r="E214">
            <v>0.37090851104500838</v>
          </cell>
        </row>
        <row r="215">
          <cell r="B215" t="str">
            <v>LEADERSHIP</v>
          </cell>
          <cell r="C215" t="str">
            <v>HHZ</v>
          </cell>
          <cell r="D215">
            <v>50</v>
          </cell>
          <cell r="E215">
            <v>0.37000636040762941</v>
          </cell>
        </row>
        <row r="216">
          <cell r="B216" t="str">
            <v>JOURNAL OF INTERNATIONAL MONEY AND FINANCE</v>
          </cell>
          <cell r="C216" t="str">
            <v>DCM</v>
          </cell>
          <cell r="D216">
            <v>99</v>
          </cell>
          <cell r="E216">
            <v>0.36868949994576339</v>
          </cell>
        </row>
        <row r="217">
          <cell r="B217" t="str">
            <v>PROJECT MANAGEMENT JOURNAL</v>
          </cell>
          <cell r="C217" t="str">
            <v>HHE</v>
          </cell>
          <cell r="D217">
            <v>43</v>
          </cell>
          <cell r="E217">
            <v>0.36733680708683553</v>
          </cell>
        </row>
        <row r="218">
          <cell r="B218" t="str">
            <v>ENERGY ECONOMICS</v>
          </cell>
          <cell r="C218" t="str">
            <v>AAH</v>
          </cell>
          <cell r="D218">
            <v>369</v>
          </cell>
          <cell r="E218">
            <v>0.36694338130686999</v>
          </cell>
        </row>
        <row r="219">
          <cell r="B219" t="str">
            <v>INTERNATIONAL JOURNAL OF CONSUMER STUDIES</v>
          </cell>
          <cell r="C219" t="str">
            <v>DDN</v>
          </cell>
          <cell r="D219">
            <v>81</v>
          </cell>
          <cell r="E219">
            <v>0.36671150289779553</v>
          </cell>
        </row>
        <row r="220">
          <cell r="B220" t="str">
            <v>INTERNATIONAL JOURNAL OF LOGISTICS MANAGEMENT</v>
          </cell>
          <cell r="C220" t="str">
            <v>HHO</v>
          </cell>
          <cell r="D220">
            <v>63</v>
          </cell>
          <cell r="E220">
            <v>0.36380349698889758</v>
          </cell>
        </row>
        <row r="221">
          <cell r="B221" t="str">
            <v>VENTURE CAPITAL</v>
          </cell>
          <cell r="C221" t="str">
            <v>DEN</v>
          </cell>
          <cell r="D221">
            <v>17</v>
          </cell>
          <cell r="E221">
            <v>0.36266171086556492</v>
          </cell>
        </row>
        <row r="222">
          <cell r="B222" t="str">
            <v>INTERNATIONAL MARKETING REVIEW</v>
          </cell>
          <cell r="C222" t="str">
            <v>DBD</v>
          </cell>
          <cell r="D222">
            <v>59</v>
          </cell>
          <cell r="E222">
            <v>0.36108367709129191</v>
          </cell>
        </row>
        <row r="223">
          <cell r="B223" t="str">
            <v>INTERNATIONAL JOURNAL OF ELECTRONIC COMMERCE</v>
          </cell>
          <cell r="C223" t="str">
            <v>HBL</v>
          </cell>
          <cell r="D223">
            <v>20</v>
          </cell>
          <cell r="E223">
            <v>0.35795575292386961</v>
          </cell>
        </row>
        <row r="224">
          <cell r="B224" t="str">
            <v>INTERNATIONAL JOURNAL OF INDUSTRIAL ORGANIZATION</v>
          </cell>
          <cell r="C224" t="str">
            <v>AFK</v>
          </cell>
          <cell r="D224">
            <v>72</v>
          </cell>
          <cell r="E224">
            <v>0.35756145065467682</v>
          </cell>
        </row>
        <row r="225">
          <cell r="B225" t="str">
            <v>JOURNAL OF ECONOMIC BEHAVIOR &amp; ORGANIZATION</v>
          </cell>
          <cell r="C225" t="str">
            <v>AAE</v>
          </cell>
          <cell r="D225">
            <v>396</v>
          </cell>
          <cell r="E225">
            <v>0.35628909235120709</v>
          </cell>
        </row>
        <row r="226">
          <cell r="B226" t="str">
            <v>ENVIRONMENTAL &amp; RESOURCE ECONOMICS</v>
          </cell>
          <cell r="C226" t="str">
            <v>ABY</v>
          </cell>
          <cell r="D226">
            <v>124</v>
          </cell>
          <cell r="E226">
            <v>0.35125939605431528</v>
          </cell>
        </row>
        <row r="227">
          <cell r="B227" t="str">
            <v>JOURNAL OF RISK AND INSURANCE</v>
          </cell>
          <cell r="C227" t="str">
            <v>AHD</v>
          </cell>
          <cell r="D227">
            <v>53</v>
          </cell>
          <cell r="E227">
            <v>0.34375990788960392</v>
          </cell>
        </row>
        <row r="228">
          <cell r="B228" t="str">
            <v>ECONOMIC THEORY</v>
          </cell>
          <cell r="C228" t="str">
            <v>ABM</v>
          </cell>
          <cell r="D228">
            <v>143</v>
          </cell>
          <cell r="E228">
            <v>0.34225510850551222</v>
          </cell>
        </row>
        <row r="229">
          <cell r="B229" t="str">
            <v>CORPORATE SOCIAL RESPONSIBILITY AND ENVIRONMENTAL MANAGEMENT</v>
          </cell>
          <cell r="C229" t="str">
            <v>DFX</v>
          </cell>
          <cell r="D229">
            <v>239</v>
          </cell>
          <cell r="E229">
            <v>0.33541036100865412</v>
          </cell>
        </row>
        <row r="230">
          <cell r="B230" t="str">
            <v>ECONOMICS AND PHILOSOPHY</v>
          </cell>
          <cell r="C230" t="str">
            <v>CDJ</v>
          </cell>
          <cell r="D230">
            <v>17</v>
          </cell>
          <cell r="E230">
            <v>0.33533816419431961</v>
          </cell>
        </row>
        <row r="231">
          <cell r="B231" t="str">
            <v>COMPETITION &amp; CHANGE</v>
          </cell>
          <cell r="C231" t="str">
            <v>BBF</v>
          </cell>
          <cell r="D231">
            <v>36</v>
          </cell>
          <cell r="E231">
            <v>0.33285007709645131</v>
          </cell>
        </row>
        <row r="232">
          <cell r="B232" t="str">
            <v>SERVICE INDUSTRIES JOURNAL</v>
          </cell>
          <cell r="C232" t="str">
            <v>HHU</v>
          </cell>
          <cell r="D232">
            <v>57</v>
          </cell>
          <cell r="E232">
            <v>0.3321117759688833</v>
          </cell>
        </row>
        <row r="233">
          <cell r="B233" t="str">
            <v>INTERNATIONAL ENTREPRENEURSHIP AND MANAGEMENT JOURNAL</v>
          </cell>
          <cell r="C233" t="str">
            <v>DGH</v>
          </cell>
          <cell r="D233">
            <v>110</v>
          </cell>
          <cell r="E233">
            <v>0.33004575357601612</v>
          </cell>
        </row>
        <row r="234">
          <cell r="B234" t="str">
            <v>REVIEW OF INCOME AND WEALTH</v>
          </cell>
          <cell r="C234" t="str">
            <v>AFT</v>
          </cell>
          <cell r="D234">
            <v>53</v>
          </cell>
          <cell r="E234">
            <v>0.32520010747619699</v>
          </cell>
        </row>
        <row r="235">
          <cell r="B235" t="str">
            <v>ELECTRONIC MARKETS</v>
          </cell>
          <cell r="C235" t="str">
            <v>DGZ</v>
          </cell>
          <cell r="D235">
            <v>66</v>
          </cell>
          <cell r="E235">
            <v>0.32408812663385911</v>
          </cell>
        </row>
        <row r="236">
          <cell r="B236" t="str">
            <v>RESEARCH IN INTERNATIONAL BUSINESS AND FINANCE</v>
          </cell>
          <cell r="C236" t="str">
            <v>DCH</v>
          </cell>
          <cell r="D236">
            <v>204</v>
          </cell>
          <cell r="E236">
            <v>0.32390703205509452</v>
          </cell>
        </row>
        <row r="237">
          <cell r="B237" t="str">
            <v>MULTINATIONAL BUSINESS REVIEW</v>
          </cell>
          <cell r="C237" t="str">
            <v>DBP</v>
          </cell>
          <cell r="D237">
            <v>32</v>
          </cell>
          <cell r="E237">
            <v>0.32373156936919928</v>
          </cell>
        </row>
        <row r="238">
          <cell r="B238" t="str">
            <v>ECONOMICA</v>
          </cell>
          <cell r="C238" t="str">
            <v>AHT</v>
          </cell>
          <cell r="D238">
            <v>45</v>
          </cell>
          <cell r="E238">
            <v>0.32343094796646787</v>
          </cell>
        </row>
        <row r="239">
          <cell r="B239" t="str">
            <v>JOURNAL OF FINANCIAL SERVICES RESEARCH</v>
          </cell>
          <cell r="C239" t="str">
            <v>DAR</v>
          </cell>
          <cell r="D239">
            <v>34</v>
          </cell>
          <cell r="E239">
            <v>0.31819768484829281</v>
          </cell>
        </row>
        <row r="240">
          <cell r="B240" t="str">
            <v>JOURNAL OF PRODUCT AND BRAND MANAGEMENT</v>
          </cell>
          <cell r="C240" t="str">
            <v>DGK</v>
          </cell>
          <cell r="D240">
            <v>99</v>
          </cell>
          <cell r="E240">
            <v>0.3175664485929991</v>
          </cell>
        </row>
        <row r="241">
          <cell r="B241" t="str">
            <v>CREATIVITY AND INNOVATION MANAGEMENT</v>
          </cell>
          <cell r="C241" t="str">
            <v>HHP</v>
          </cell>
          <cell r="D241">
            <v>62</v>
          </cell>
          <cell r="E241">
            <v>0.31551401001053347</v>
          </cell>
        </row>
        <row r="242">
          <cell r="B242" t="str">
            <v>JOURNAL OF HOUSING ECONOMICS</v>
          </cell>
          <cell r="C242" t="str">
            <v>BEM</v>
          </cell>
          <cell r="D242">
            <v>34</v>
          </cell>
          <cell r="E242">
            <v>0.31267831724431427</v>
          </cell>
        </row>
        <row r="243">
          <cell r="B243" t="str">
            <v>JOURNAL OF TECHNOLOGY TRANSFER</v>
          </cell>
          <cell r="C243" t="str">
            <v>HHC</v>
          </cell>
          <cell r="D243">
            <v>117</v>
          </cell>
          <cell r="E243">
            <v>0.31112006035449608</v>
          </cell>
        </row>
        <row r="244">
          <cell r="B244" t="str">
            <v>JOURNAL OF INDUSTRIAL ECONOMICS</v>
          </cell>
          <cell r="C244" t="str">
            <v>BHK</v>
          </cell>
          <cell r="D244">
            <v>26</v>
          </cell>
          <cell r="E244">
            <v>0.30835956992400421</v>
          </cell>
        </row>
        <row r="245">
          <cell r="B245" t="str">
            <v>INTERNATIONAL JOURNAL OF HUMAN RESOURCE MANAGEMENT</v>
          </cell>
          <cell r="C245" t="str">
            <v>HHA</v>
          </cell>
          <cell r="D245">
            <v>191</v>
          </cell>
          <cell r="E245">
            <v>0.30721132103724502</v>
          </cell>
        </row>
        <row r="246">
          <cell r="B246" t="str">
            <v>REVIEW OF MANAGERIAL SCIENCE</v>
          </cell>
          <cell r="C246" t="str">
            <v>HHF</v>
          </cell>
          <cell r="D246">
            <v>89</v>
          </cell>
          <cell r="E246">
            <v>0.30297043706330662</v>
          </cell>
        </row>
        <row r="247">
          <cell r="B247" t="str">
            <v>JOURNAL OF COMMODITY MARKETS</v>
          </cell>
          <cell r="C247" t="str">
            <v>CBF</v>
          </cell>
          <cell r="D247">
            <v>21</v>
          </cell>
          <cell r="E247">
            <v>0.30291447840213082</v>
          </cell>
        </row>
        <row r="248">
          <cell r="B248" t="str">
            <v>FEMINIST ECONOMICS</v>
          </cell>
          <cell r="C248" t="str">
            <v>BBE</v>
          </cell>
          <cell r="D248">
            <v>32</v>
          </cell>
          <cell r="E248">
            <v>0.30212185140253311</v>
          </cell>
        </row>
        <row r="249">
          <cell r="B249" t="str">
            <v>JOURNAL OF BRAND MANAGEMENT</v>
          </cell>
          <cell r="C249" t="str">
            <v>DHO</v>
          </cell>
          <cell r="D249">
            <v>46</v>
          </cell>
          <cell r="E249">
            <v>0.30047643374697169</v>
          </cell>
        </row>
        <row r="250">
          <cell r="B250" t="str">
            <v>SCANDINAVIAN JOURNAL OF ECONOMICS</v>
          </cell>
          <cell r="C250" t="str">
            <v>AFE</v>
          </cell>
          <cell r="D250">
            <v>62</v>
          </cell>
          <cell r="E250">
            <v>0.30001897463774069</v>
          </cell>
        </row>
        <row r="251">
          <cell r="B251" t="str">
            <v>JOURNAL OF HOSPITALITY MARKETING &amp; MANAGEMENT</v>
          </cell>
          <cell r="C251" t="str">
            <v>DFY</v>
          </cell>
          <cell r="D251">
            <v>38</v>
          </cell>
          <cell r="E251">
            <v>0.29971067289255632</v>
          </cell>
        </row>
        <row r="252">
          <cell r="B252" t="str">
            <v>JOURNAL OF MACROMARKETING</v>
          </cell>
          <cell r="C252" t="str">
            <v>DDV</v>
          </cell>
          <cell r="D252">
            <v>66</v>
          </cell>
          <cell r="E252">
            <v>0.29702442081463082</v>
          </cell>
        </row>
        <row r="253">
          <cell r="B253" t="str">
            <v>JOURNAL OF EMPIRICAL FINANCE</v>
          </cell>
          <cell r="C253" t="str">
            <v>AGT</v>
          </cell>
          <cell r="D253">
            <v>61</v>
          </cell>
          <cell r="E253">
            <v>0.29664279120718062</v>
          </cell>
        </row>
        <row r="254">
          <cell r="B254" t="str">
            <v>JOURNAL OF COMPETITION LAW &amp; ECONOMICS</v>
          </cell>
          <cell r="C254" t="str">
            <v>CDI</v>
          </cell>
          <cell r="D254">
            <v>17</v>
          </cell>
          <cell r="E254">
            <v>0.29532648921061072</v>
          </cell>
        </row>
        <row r="255">
          <cell r="B255" t="str">
            <v>JOURNAL OF INTERNATIONAL FINANCIAL MARKETS INSTITUTIONS &amp; MONEY</v>
          </cell>
          <cell r="C255" t="str">
            <v>AGN</v>
          </cell>
          <cell r="D255">
            <v>62</v>
          </cell>
          <cell r="E255">
            <v>0.29378819905163861</v>
          </cell>
        </row>
        <row r="256">
          <cell r="B256" t="str">
            <v>EUROPEAN REVIEW OF AGRICULTURAL ECONOMICS</v>
          </cell>
          <cell r="C256" t="str">
            <v>AFV</v>
          </cell>
          <cell r="D256">
            <v>63</v>
          </cell>
          <cell r="E256">
            <v>0.29338955235172021</v>
          </cell>
        </row>
        <row r="257">
          <cell r="B257" t="str">
            <v>CHINA ECONOMIC REVIEW</v>
          </cell>
          <cell r="C257" t="str">
            <v>ABB</v>
          </cell>
          <cell r="D257">
            <v>179</v>
          </cell>
          <cell r="E257">
            <v>0.29278789559595408</v>
          </cell>
        </row>
        <row r="258">
          <cell r="B258" t="str">
            <v>JOURNAL OF ELECTRONIC COMMERCE RESEARCH</v>
          </cell>
          <cell r="C258" t="str">
            <v>DCB</v>
          </cell>
          <cell r="D258">
            <v>16</v>
          </cell>
          <cell r="E258">
            <v>0.2923824664086857</v>
          </cell>
        </row>
        <row r="259">
          <cell r="B259" t="str">
            <v>CANADIAN JOURNAL OF ECONOMICS-REVUE CANADIENNE D ECONOMIQUE</v>
          </cell>
          <cell r="C259" t="str">
            <v>AHW</v>
          </cell>
          <cell r="D259">
            <v>55</v>
          </cell>
          <cell r="E259">
            <v>0.29109847522629928</v>
          </cell>
        </row>
        <row r="260">
          <cell r="B260" t="str">
            <v>INTERNATIONAL JOURNAL OF ACCOUNTING INFORMATION SYSTEMS</v>
          </cell>
          <cell r="C260" t="str">
            <v>DFP</v>
          </cell>
          <cell r="D260">
            <v>20</v>
          </cell>
          <cell r="E260">
            <v>0.29096594634372042</v>
          </cell>
        </row>
        <row r="261">
          <cell r="B261" t="str">
            <v>ECONOMETRIC REVIEWS</v>
          </cell>
          <cell r="C261" t="str">
            <v>AFA</v>
          </cell>
          <cell r="D261">
            <v>46</v>
          </cell>
          <cell r="E261">
            <v>0.28912681570134668</v>
          </cell>
        </row>
        <row r="262">
          <cell r="B262" t="str">
            <v>ECONOMETRIC THEORY</v>
          </cell>
          <cell r="C262" t="str">
            <v>BEP</v>
          </cell>
          <cell r="D262">
            <v>34</v>
          </cell>
          <cell r="E262">
            <v>0.28819225917549518</v>
          </cell>
        </row>
        <row r="263">
          <cell r="B263" t="str">
            <v>INDUSTRIAL AND CORPORATE CHANGE</v>
          </cell>
          <cell r="C263" t="str">
            <v>AFG</v>
          </cell>
          <cell r="D263">
            <v>70</v>
          </cell>
          <cell r="E263">
            <v>0.28725558097644083</v>
          </cell>
        </row>
        <row r="264">
          <cell r="B264" t="str">
            <v>HEALTH ECONOMICS</v>
          </cell>
          <cell r="C264" t="str">
            <v>ABD</v>
          </cell>
          <cell r="D264">
            <v>157</v>
          </cell>
          <cell r="E264">
            <v>0.28702113890899428</v>
          </cell>
        </row>
        <row r="265">
          <cell r="B265" t="str">
            <v>FOOD POLICY</v>
          </cell>
          <cell r="C265" t="str">
            <v>ACX</v>
          </cell>
          <cell r="D265">
            <v>102</v>
          </cell>
          <cell r="E265">
            <v>0.28433101716757198</v>
          </cell>
        </row>
        <row r="266">
          <cell r="B266" t="str">
            <v>PUBLIC MANAGEMENT REVIEW</v>
          </cell>
          <cell r="C266" t="str">
            <v>HHG</v>
          </cell>
          <cell r="D266">
            <v>105</v>
          </cell>
          <cell r="E266">
            <v>0.28315948642648908</v>
          </cell>
        </row>
        <row r="267">
          <cell r="B267" t="str">
            <v>MANAGEMENT AND ORGANIZATION REVIEW</v>
          </cell>
          <cell r="C267" t="str">
            <v>HEI</v>
          </cell>
          <cell r="D267">
            <v>43</v>
          </cell>
          <cell r="E267">
            <v>0.28208555011244102</v>
          </cell>
        </row>
        <row r="268">
          <cell r="B268" t="str">
            <v>MARINE RESOURCE ECONOMICS</v>
          </cell>
          <cell r="C268" t="str">
            <v>CBH</v>
          </cell>
          <cell r="D268">
            <v>21</v>
          </cell>
          <cell r="E268">
            <v>0.27783472084963368</v>
          </cell>
        </row>
        <row r="269">
          <cell r="B269" t="str">
            <v>JOURNAL OF FINANCIAL RESEARCH</v>
          </cell>
          <cell r="C269" t="str">
            <v>DEG</v>
          </cell>
          <cell r="D269">
            <v>24</v>
          </cell>
          <cell r="E269">
            <v>0.27783232894830412</v>
          </cell>
        </row>
        <row r="270">
          <cell r="B270" t="str">
            <v>OXFORD BULLETIN OF ECONOMICS AND STATISTICS</v>
          </cell>
          <cell r="C270" t="str">
            <v>ADT</v>
          </cell>
          <cell r="D270">
            <v>60</v>
          </cell>
          <cell r="E270">
            <v>0.27688955180300129</v>
          </cell>
        </row>
        <row r="271">
          <cell r="B271" t="str">
            <v>INDUSTRY AND INNOVATION</v>
          </cell>
          <cell r="C271" t="str">
            <v>AEN</v>
          </cell>
          <cell r="D271">
            <v>59</v>
          </cell>
          <cell r="E271">
            <v>0.27533148697995258</v>
          </cell>
        </row>
        <row r="272">
          <cell r="B272" t="str">
            <v>SCANDINAVIAN JOURNAL OF MANAGEMENT</v>
          </cell>
          <cell r="C272" t="str">
            <v>HFE</v>
          </cell>
          <cell r="D272">
            <v>20</v>
          </cell>
          <cell r="E272">
            <v>0.27441091869096368</v>
          </cell>
        </row>
        <row r="273">
          <cell r="B273" t="str">
            <v>ACCOUNTING AND BUSINESS RESEARCH</v>
          </cell>
          <cell r="C273" t="str">
            <v>DDC</v>
          </cell>
          <cell r="D273">
            <v>46</v>
          </cell>
          <cell r="E273">
            <v>0.27348536802195722</v>
          </cell>
        </row>
        <row r="274">
          <cell r="B274" t="str">
            <v>JOURNAL OF PUBLIC ECONOMIC THEORY</v>
          </cell>
          <cell r="C274" t="str">
            <v>ADD</v>
          </cell>
          <cell r="D274">
            <v>73</v>
          </cell>
          <cell r="E274">
            <v>0.27058723516428029</v>
          </cell>
        </row>
        <row r="275">
          <cell r="B275" t="str">
            <v>JOURNAL OF PENSION ECONOMICS &amp; FINANCE</v>
          </cell>
          <cell r="C275" t="str">
            <v>BHB</v>
          </cell>
          <cell r="D275">
            <v>27</v>
          </cell>
          <cell r="E275">
            <v>0.26952454317062258</v>
          </cell>
        </row>
        <row r="276">
          <cell r="B276" t="str">
            <v>ABACUS-A JOURNAL OF ACCOUNTING FINANCE AND BUSINESS STUDIES</v>
          </cell>
          <cell r="C276" t="str">
            <v>DED</v>
          </cell>
          <cell r="D276">
            <v>24</v>
          </cell>
          <cell r="E276">
            <v>0.26916672574241518</v>
          </cell>
        </row>
        <row r="277">
          <cell r="B277" t="str">
            <v>EUROPEAN JOURNAL OF FINANCE</v>
          </cell>
          <cell r="C277" t="str">
            <v>DCK</v>
          </cell>
          <cell r="D277">
            <v>114</v>
          </cell>
          <cell r="E277">
            <v>0.26804588090556802</v>
          </cell>
        </row>
        <row r="278">
          <cell r="B278" t="str">
            <v>JOURNAL OF PORTFOLIO MANAGEMENT</v>
          </cell>
          <cell r="C278" t="str">
            <v>DCV</v>
          </cell>
          <cell r="D278">
            <v>75</v>
          </cell>
          <cell r="E278">
            <v>0.26720616476087672</v>
          </cell>
        </row>
        <row r="279">
          <cell r="B279" t="str">
            <v>ASTIN BULLETIN-THE JOURNAL OF THE INTERNATIONAL ACTUARIAL ASSOCIATION</v>
          </cell>
          <cell r="C279" t="str">
            <v>CGL</v>
          </cell>
          <cell r="D279">
            <v>8</v>
          </cell>
          <cell r="E279">
            <v>0.26674467421407427</v>
          </cell>
        </row>
        <row r="280">
          <cell r="B280" t="str">
            <v>INTERNATIONAL JOURNAL OF LOGISTICS-RESEARCH AND APPLICATIONS</v>
          </cell>
          <cell r="C280" t="str">
            <v>HHM</v>
          </cell>
          <cell r="D280">
            <v>70</v>
          </cell>
          <cell r="E280">
            <v>0.2650905438581021</v>
          </cell>
        </row>
        <row r="281">
          <cell r="B281" t="str">
            <v>BUSINESS ETHICS-A EUROPEAN REVIEW</v>
          </cell>
          <cell r="C281" t="str">
            <v>HBP</v>
          </cell>
          <cell r="D281">
            <v>39</v>
          </cell>
          <cell r="E281">
            <v>0.26363212876916381</v>
          </cell>
        </row>
        <row r="282">
          <cell r="B282" t="str">
            <v>REVIEW OF INTERNATIONAL POLITICAL ECONOMY</v>
          </cell>
          <cell r="C282" t="str">
            <v>ABK</v>
          </cell>
          <cell r="D282">
            <v>109</v>
          </cell>
          <cell r="E282">
            <v>0.26271040103759508</v>
          </cell>
        </row>
        <row r="283">
          <cell r="B283" t="str">
            <v>EMERGING MARKETS REVIEW</v>
          </cell>
          <cell r="C283" t="str">
            <v>AHK</v>
          </cell>
          <cell r="D283">
            <v>57</v>
          </cell>
          <cell r="E283">
            <v>0.26190335436683249</v>
          </cell>
        </row>
        <row r="284">
          <cell r="B284" t="str">
            <v>ECONOMIC MODELLING</v>
          </cell>
          <cell r="C284" t="str">
            <v>AAG</v>
          </cell>
          <cell r="D284">
            <v>375</v>
          </cell>
          <cell r="E284">
            <v>0.26189961797418088</v>
          </cell>
        </row>
        <row r="285">
          <cell r="B285" t="str">
            <v>WORLD BANK RESEARCH OBSERVER</v>
          </cell>
          <cell r="C285" t="str">
            <v>CGK</v>
          </cell>
          <cell r="D285">
            <v>6</v>
          </cell>
          <cell r="E285">
            <v>0.26155305086854458</v>
          </cell>
        </row>
        <row r="286">
          <cell r="B286" t="str">
            <v>JOURNAL OF MULTINATIONAL FINANCIAL MANAGEMENT</v>
          </cell>
          <cell r="C286" t="str">
            <v>DDW</v>
          </cell>
          <cell r="D286">
            <v>28</v>
          </cell>
          <cell r="E286">
            <v>0.26138623214195073</v>
          </cell>
        </row>
        <row r="287">
          <cell r="B287" t="str">
            <v>ACCOUNTING FORUM</v>
          </cell>
          <cell r="C287" t="str">
            <v>DEJ</v>
          </cell>
          <cell r="D287">
            <v>20</v>
          </cell>
          <cell r="E287">
            <v>0.26079495226057919</v>
          </cell>
        </row>
        <row r="288">
          <cell r="B288" t="str">
            <v>ECOLOGICAL ECONOMICS</v>
          </cell>
          <cell r="C288" t="str">
            <v>AAN</v>
          </cell>
          <cell r="D288">
            <v>255</v>
          </cell>
          <cell r="E288">
            <v>0.26077740374971992</v>
          </cell>
        </row>
        <row r="289">
          <cell r="B289" t="str">
            <v>CESIFO ECONOMIC STUDIES</v>
          </cell>
          <cell r="C289" t="str">
            <v>CDM</v>
          </cell>
          <cell r="D289">
            <v>15</v>
          </cell>
          <cell r="E289">
            <v>0.26049944079111997</v>
          </cell>
        </row>
        <row r="290">
          <cell r="B290" t="str">
            <v>JOURNAL OF INSTITUTIONAL ECONOMICS</v>
          </cell>
          <cell r="C290" t="str">
            <v>BAI</v>
          </cell>
          <cell r="D290">
            <v>51</v>
          </cell>
          <cell r="E290">
            <v>0.25904225473857428</v>
          </cell>
        </row>
        <row r="291">
          <cell r="B291" t="str">
            <v>AGRICULTURAL ECONOMICS</v>
          </cell>
          <cell r="C291" t="str">
            <v>AGY</v>
          </cell>
          <cell r="D291">
            <v>49</v>
          </cell>
          <cell r="E291">
            <v>0.25800847437698232</v>
          </cell>
        </row>
        <row r="292">
          <cell r="B292" t="str">
            <v>WORK AGING AND RETIREMENT</v>
          </cell>
          <cell r="C292" t="str">
            <v>HCV</v>
          </cell>
          <cell r="D292">
            <v>26</v>
          </cell>
          <cell r="E292">
            <v>0.25579969218699922</v>
          </cell>
        </row>
        <row r="293">
          <cell r="B293" t="str">
            <v>JOURNAL OF CONSUMER BEHAVIOUR</v>
          </cell>
          <cell r="C293" t="str">
            <v>DDF</v>
          </cell>
          <cell r="D293">
            <v>109</v>
          </cell>
          <cell r="E293">
            <v>0.2556844132093069</v>
          </cell>
        </row>
        <row r="294">
          <cell r="B294" t="str">
            <v>IEEE TRANSACTIONS ON ENGINEERING MANAGEMENT</v>
          </cell>
          <cell r="C294" t="str">
            <v>DFR</v>
          </cell>
          <cell r="D294">
            <v>107</v>
          </cell>
          <cell r="E294">
            <v>0.25383136047946431</v>
          </cell>
        </row>
        <row r="295">
          <cell r="B295" t="str">
            <v>INTERNATIONAL JOURNAL OF RETAIL &amp; DISTRIBUTION MANAGEMENT</v>
          </cell>
          <cell r="C295" t="str">
            <v>DGP</v>
          </cell>
          <cell r="D295">
            <v>89</v>
          </cell>
          <cell r="E295">
            <v>0.25327998289777542</v>
          </cell>
        </row>
        <row r="296">
          <cell r="B296" t="str">
            <v>INTERNATIONAL JOURNAL OF AUDITING</v>
          </cell>
          <cell r="C296" t="str">
            <v>DAZ</v>
          </cell>
          <cell r="D296">
            <v>31</v>
          </cell>
          <cell r="E296">
            <v>0.25313632693107352</v>
          </cell>
        </row>
        <row r="297">
          <cell r="B297" t="str">
            <v>SERVICE BUSINESS</v>
          </cell>
          <cell r="C297" t="str">
            <v>HAP</v>
          </cell>
          <cell r="D297">
            <v>22</v>
          </cell>
          <cell r="E297">
            <v>0.25168935175218871</v>
          </cell>
        </row>
        <row r="298">
          <cell r="B298" t="str">
            <v>AMERICAN LAW AND ECONOMICS REVIEW</v>
          </cell>
          <cell r="C298" t="str">
            <v>CFK</v>
          </cell>
          <cell r="D298">
            <v>10</v>
          </cell>
          <cell r="E298">
            <v>0.25163568849855977</v>
          </cell>
        </row>
        <row r="299">
          <cell r="B299" t="str">
            <v>JOURNAL OF COMPUTATIONAL FINANCE</v>
          </cell>
          <cell r="C299" t="str">
            <v>DEP</v>
          </cell>
          <cell r="D299">
            <v>16</v>
          </cell>
          <cell r="E299">
            <v>0.25100054468672273</v>
          </cell>
        </row>
        <row r="300">
          <cell r="B300" t="str">
            <v>NONPROFIT MANAGEMENT &amp; LEADERSHIP</v>
          </cell>
          <cell r="C300" t="str">
            <v>HGJ</v>
          </cell>
          <cell r="D300">
            <v>43</v>
          </cell>
          <cell r="E300">
            <v>0.24947423076192071</v>
          </cell>
        </row>
        <row r="301">
          <cell r="B301" t="str">
            <v>ECONOMICS &amp; HUMAN BIOLOGY</v>
          </cell>
          <cell r="C301" t="str">
            <v>ADC</v>
          </cell>
          <cell r="D301">
            <v>97</v>
          </cell>
          <cell r="E301">
            <v>0.2494637091892023</v>
          </cell>
        </row>
        <row r="302">
          <cell r="B302" t="str">
            <v>REVIEW OF INDUSTRIAL ORGANIZATION</v>
          </cell>
          <cell r="C302" t="str">
            <v>ADX</v>
          </cell>
          <cell r="D302">
            <v>76</v>
          </cell>
          <cell r="E302">
            <v>0.24904902249830391</v>
          </cell>
        </row>
        <row r="303">
          <cell r="B303" t="str">
            <v>SUSTAINABILITY ACCOUNTING MANAGEMENT AND POLICY JOURNAL</v>
          </cell>
          <cell r="C303" t="str">
            <v>DEY</v>
          </cell>
          <cell r="D303">
            <v>74</v>
          </cell>
          <cell r="E303">
            <v>0.24762242841804191</v>
          </cell>
        </row>
        <row r="304">
          <cell r="B304" t="str">
            <v>JOURNAL OF MACROECONOMICS</v>
          </cell>
          <cell r="C304" t="str">
            <v>AGG</v>
          </cell>
          <cell r="D304">
            <v>64</v>
          </cell>
          <cell r="E304">
            <v>0.2434239713079383</v>
          </cell>
        </row>
        <row r="305">
          <cell r="B305" t="str">
            <v>PACIFIC-BASIN FINANCE JOURNAL</v>
          </cell>
          <cell r="C305" t="str">
            <v>DCI</v>
          </cell>
          <cell r="D305">
            <v>166</v>
          </cell>
          <cell r="E305">
            <v>0.24214316514121509</v>
          </cell>
        </row>
        <row r="306">
          <cell r="B306" t="str">
            <v>RESEARCH-TECHNOLOGY MANAGEMENT</v>
          </cell>
          <cell r="C306" t="str">
            <v>DFT</v>
          </cell>
          <cell r="D306">
            <v>32</v>
          </cell>
          <cell r="E306">
            <v>0.24191494382280121</v>
          </cell>
        </row>
        <row r="307">
          <cell r="B307" t="str">
            <v>QUANTITATIVE FINANCE</v>
          </cell>
          <cell r="C307" t="str">
            <v>ABG</v>
          </cell>
          <cell r="D307">
            <v>132</v>
          </cell>
          <cell r="E307">
            <v>0.2400439375040257</v>
          </cell>
        </row>
        <row r="308">
          <cell r="B308" t="str">
            <v>JOURNAL OF REAL ESTATE FINANCE AND ECONOMICS</v>
          </cell>
          <cell r="C308" t="str">
            <v>ACW</v>
          </cell>
          <cell r="D308">
            <v>98</v>
          </cell>
          <cell r="E308">
            <v>0.23790403001606031</v>
          </cell>
        </row>
        <row r="309">
          <cell r="B309" t="str">
            <v>JOURNAL OF LEADERSHIP &amp; ORGANIZATIONAL STUDIES</v>
          </cell>
          <cell r="C309" t="str">
            <v>HEN</v>
          </cell>
          <cell r="D309">
            <v>36</v>
          </cell>
          <cell r="E309">
            <v>0.23668100387750521</v>
          </cell>
        </row>
        <row r="310">
          <cell r="B310" t="str">
            <v>JOURNAL OF THE ECONOMICS OF AGEING</v>
          </cell>
          <cell r="C310" t="str">
            <v>AGZ</v>
          </cell>
          <cell r="D310">
            <v>59</v>
          </cell>
          <cell r="E310">
            <v>0.23619751915351681</v>
          </cell>
        </row>
        <row r="311">
          <cell r="B311" t="str">
            <v>MANAGEMENT COMMUNICATION QUARTERLY</v>
          </cell>
          <cell r="C311" t="str">
            <v>HCH</v>
          </cell>
          <cell r="D311">
            <v>25</v>
          </cell>
          <cell r="E311">
            <v>0.2336794557168351</v>
          </cell>
        </row>
        <row r="312">
          <cell r="B312" t="str">
            <v>RESOURCE AND ENERGY ECONOMICS</v>
          </cell>
          <cell r="C312" t="str">
            <v>BAR</v>
          </cell>
          <cell r="D312">
            <v>48</v>
          </cell>
          <cell r="E312">
            <v>0.23324522262343089</v>
          </cell>
        </row>
        <row r="313">
          <cell r="B313" t="str">
            <v>AUSTRALIAN JOURNAL OF MANAGEMENT</v>
          </cell>
          <cell r="C313" t="str">
            <v>DHK</v>
          </cell>
          <cell r="D313">
            <v>47</v>
          </cell>
          <cell r="E313">
            <v>0.23272025608620819</v>
          </cell>
        </row>
        <row r="314">
          <cell r="B314" t="str">
            <v>CONTEMPORARY ECONOMIC POLICY</v>
          </cell>
          <cell r="C314" t="str">
            <v>AET</v>
          </cell>
          <cell r="D314">
            <v>60</v>
          </cell>
          <cell r="E314">
            <v>0.23087317091816839</v>
          </cell>
        </row>
        <row r="315">
          <cell r="B315" t="str">
            <v>JOURNAL OF INTERNATIONAL FINANCIAL MANAGEMENT &amp; ACCOUNTING</v>
          </cell>
          <cell r="C315" t="str">
            <v>DEU</v>
          </cell>
          <cell r="D315">
            <v>11</v>
          </cell>
          <cell r="E315">
            <v>0.22830372230030169</v>
          </cell>
        </row>
        <row r="316">
          <cell r="B316" t="str">
            <v>ASIAN ECONOMIC POLICY REVIEW</v>
          </cell>
          <cell r="C316" t="str">
            <v>CDG</v>
          </cell>
          <cell r="D316">
            <v>11</v>
          </cell>
          <cell r="E316">
            <v>0.22821103409127669</v>
          </cell>
        </row>
        <row r="317">
          <cell r="B317" t="str">
            <v>JOURNAL OF FUTURES MARKETS</v>
          </cell>
          <cell r="C317" t="str">
            <v>DCU</v>
          </cell>
          <cell r="D317">
            <v>80</v>
          </cell>
          <cell r="E317">
            <v>0.22801492213089719</v>
          </cell>
        </row>
        <row r="318">
          <cell r="B318" t="str">
            <v>ASIA-PACIFIC JOURNAL OF FINANCIAL STUDIES</v>
          </cell>
          <cell r="C318" t="str">
            <v>DAV</v>
          </cell>
          <cell r="D318">
            <v>29</v>
          </cell>
          <cell r="E318">
            <v>0.22708362088893819</v>
          </cell>
        </row>
        <row r="319">
          <cell r="B319" t="str">
            <v>JOURNAL OF BEHAVIORAL AND EXPERIMENTAL ECONOMICS</v>
          </cell>
          <cell r="C319" t="str">
            <v>AEB</v>
          </cell>
          <cell r="D319">
            <v>84</v>
          </cell>
          <cell r="E319">
            <v>0.225508280739214</v>
          </cell>
        </row>
        <row r="320">
          <cell r="B320" t="str">
            <v>INTERNATIONAL REVIEW OF ECONOMICS &amp; FINANCE</v>
          </cell>
          <cell r="C320" t="str">
            <v>AAZ</v>
          </cell>
          <cell r="D320">
            <v>178</v>
          </cell>
          <cell r="E320">
            <v>0.22415886281736161</v>
          </cell>
        </row>
        <row r="321">
          <cell r="B321" t="str">
            <v>REVIEW OF WORLD ECONOMICS</v>
          </cell>
          <cell r="C321" t="str">
            <v>BBQ</v>
          </cell>
          <cell r="D321">
            <v>41</v>
          </cell>
          <cell r="E321">
            <v>0.2236128528704277</v>
          </cell>
        </row>
        <row r="322">
          <cell r="B322" t="str">
            <v>OMEGA-INTERNATIONAL JOURNAL OF MANAGEMENT SCIENCE</v>
          </cell>
          <cell r="C322" t="str">
            <v>HFM</v>
          </cell>
          <cell r="D322">
            <v>144</v>
          </cell>
          <cell r="E322">
            <v>0.22254919019636549</v>
          </cell>
        </row>
        <row r="323">
          <cell r="B323" t="str">
            <v>PHARMACOECONOMICS</v>
          </cell>
          <cell r="C323" t="str">
            <v>ACK</v>
          </cell>
          <cell r="D323">
            <v>61</v>
          </cell>
          <cell r="E323">
            <v>0.21979141451296519</v>
          </cell>
        </row>
        <row r="324">
          <cell r="B324" t="str">
            <v>JOURNAL OF ECONOMIC METHODOLOGY</v>
          </cell>
          <cell r="C324" t="str">
            <v>CCJ</v>
          </cell>
          <cell r="D324">
            <v>9</v>
          </cell>
          <cell r="E324">
            <v>0.21935476989474209</v>
          </cell>
        </row>
        <row r="325">
          <cell r="B325" t="str">
            <v>EMERGING MARKETS FINANCE AND TRADE</v>
          </cell>
          <cell r="C325" t="str">
            <v>AAK</v>
          </cell>
          <cell r="D325">
            <v>202</v>
          </cell>
          <cell r="E325">
            <v>0.2178260420898743</v>
          </cell>
        </row>
        <row r="326">
          <cell r="B326" t="str">
            <v>ENTERPRISE &amp; SOCIETY</v>
          </cell>
          <cell r="C326" t="str">
            <v>HBW</v>
          </cell>
          <cell r="D326">
            <v>29</v>
          </cell>
          <cell r="E326">
            <v>0.2167520164996696</v>
          </cell>
        </row>
        <row r="327">
          <cell r="B327" t="str">
            <v>EUROPEAN JOURNAL OF POLITICAL ECONOMY</v>
          </cell>
          <cell r="C327" t="str">
            <v>ADR</v>
          </cell>
          <cell r="D327">
            <v>90</v>
          </cell>
          <cell r="E327">
            <v>0.2165286325579184</v>
          </cell>
        </row>
        <row r="328">
          <cell r="B328" t="str">
            <v>CONSUMPTION MARKETS &amp; CULTURE</v>
          </cell>
          <cell r="C328" t="str">
            <v>DBK</v>
          </cell>
          <cell r="D328">
            <v>42</v>
          </cell>
          <cell r="E328">
            <v>0.21645200415543001</v>
          </cell>
        </row>
        <row r="329">
          <cell r="B329" t="str">
            <v>JOURNAL OF INFORMATION SYSTEMS</v>
          </cell>
          <cell r="C329" t="str">
            <v>DAN</v>
          </cell>
          <cell r="D329">
            <v>33</v>
          </cell>
          <cell r="E329">
            <v>0.21615543468229101</v>
          </cell>
        </row>
        <row r="330">
          <cell r="B330" t="str">
            <v>NEW POLITICAL ECONOMY</v>
          </cell>
          <cell r="C330" t="str">
            <v>ACB</v>
          </cell>
          <cell r="D330">
            <v>90</v>
          </cell>
          <cell r="E330">
            <v>0.216032104669514</v>
          </cell>
        </row>
        <row r="331">
          <cell r="B331" t="str">
            <v>SOUTHERN ECONOMIC JOURNAL</v>
          </cell>
          <cell r="C331" t="str">
            <v>AFY</v>
          </cell>
          <cell r="D331">
            <v>51</v>
          </cell>
          <cell r="E331">
            <v>0.21587369804675219</v>
          </cell>
        </row>
        <row r="332">
          <cell r="B332" t="str">
            <v>MANAGEMENT DECISION</v>
          </cell>
          <cell r="C332" t="str">
            <v>DGB</v>
          </cell>
          <cell r="D332">
            <v>210</v>
          </cell>
          <cell r="E332">
            <v>0.21362877747013451</v>
          </cell>
        </row>
        <row r="333">
          <cell r="B333" t="str">
            <v>MIT SLOAN MANAGEMENT REVIEW</v>
          </cell>
          <cell r="C333" t="str">
            <v>DHQ</v>
          </cell>
          <cell r="D333">
            <v>44</v>
          </cell>
          <cell r="E333">
            <v>0.21213209554128731</v>
          </cell>
        </row>
        <row r="334">
          <cell r="B334" t="str">
            <v>JOURNAL OF POLICY MODELING</v>
          </cell>
          <cell r="C334" t="str">
            <v>AEJ</v>
          </cell>
          <cell r="D334">
            <v>81</v>
          </cell>
          <cell r="E334">
            <v>0.21153016830922131</v>
          </cell>
        </row>
        <row r="335">
          <cell r="B335" t="str">
            <v>GLOBAL FINANCE JOURNAL</v>
          </cell>
          <cell r="C335" t="str">
            <v>DAP</v>
          </cell>
          <cell r="D335">
            <v>32</v>
          </cell>
          <cell r="E335">
            <v>0.20938907568904999</v>
          </cell>
        </row>
        <row r="336">
          <cell r="B336" t="str">
            <v>MACROECONOMIC DYNAMICS</v>
          </cell>
          <cell r="C336" t="str">
            <v>AFF</v>
          </cell>
          <cell r="D336">
            <v>74</v>
          </cell>
          <cell r="E336">
            <v>0.20725916962762339</v>
          </cell>
        </row>
        <row r="337">
          <cell r="B337" t="str">
            <v>ECONOMICS LETTERS</v>
          </cell>
          <cell r="C337" t="str">
            <v>AAD</v>
          </cell>
          <cell r="D337">
            <v>438</v>
          </cell>
          <cell r="E337">
            <v>0.20465365808397901</v>
          </cell>
        </row>
        <row r="338">
          <cell r="B338" t="str">
            <v>JOURNAL OF BUSINESS &amp; INDUSTRIAL MARKETING</v>
          </cell>
          <cell r="C338" t="str">
            <v>DAC</v>
          </cell>
          <cell r="D338">
            <v>232</v>
          </cell>
          <cell r="E338">
            <v>0.20330743785689381</v>
          </cell>
        </row>
        <row r="339">
          <cell r="B339" t="str">
            <v>ACCOUNTING AND FINANCE</v>
          </cell>
          <cell r="C339" t="str">
            <v>DCG</v>
          </cell>
          <cell r="D339">
            <v>229</v>
          </cell>
          <cell r="E339">
            <v>0.20276403006784019</v>
          </cell>
        </row>
        <row r="340">
          <cell r="B340" t="str">
            <v>JOURNAL OF CONSUMER AFFAIRS</v>
          </cell>
          <cell r="C340" t="str">
            <v>AFW</v>
          </cell>
          <cell r="D340">
            <v>49</v>
          </cell>
          <cell r="E340">
            <v>0.202060636755444</v>
          </cell>
        </row>
        <row r="341">
          <cell r="B341" t="str">
            <v>OXFORD ECONOMIC PAPERS-NEW SERIES</v>
          </cell>
          <cell r="C341" t="str">
            <v>BAJ</v>
          </cell>
          <cell r="D341">
            <v>51</v>
          </cell>
          <cell r="E341">
            <v>0.20196699409235769</v>
          </cell>
        </row>
        <row r="342">
          <cell r="B342" t="str">
            <v>HUMAN RESOURCE DEVELOPMENT QUARTERLY</v>
          </cell>
          <cell r="C342" t="str">
            <v>HCW</v>
          </cell>
          <cell r="D342">
            <v>25</v>
          </cell>
          <cell r="E342">
            <v>0.20120843579489131</v>
          </cell>
        </row>
        <row r="343">
          <cell r="B343" t="str">
            <v>INTERNATIONAL JOURNAL OF BANK MARKETING</v>
          </cell>
          <cell r="C343" t="str">
            <v>DDK</v>
          </cell>
          <cell r="D343">
            <v>90</v>
          </cell>
          <cell r="E343">
            <v>0.20082214729249881</v>
          </cell>
        </row>
        <row r="344">
          <cell r="B344" t="str">
            <v>CAREER DEVELOPMENT INTERNATIONAL</v>
          </cell>
          <cell r="C344" t="str">
            <v>HFW</v>
          </cell>
          <cell r="D344">
            <v>42</v>
          </cell>
          <cell r="E344">
            <v>0.20058816687904679</v>
          </cell>
        </row>
        <row r="345">
          <cell r="B345" t="str">
            <v>INNOVATION-ORGANIZATION &amp; MANAGEMENT</v>
          </cell>
          <cell r="C345" t="str">
            <v>HEY</v>
          </cell>
          <cell r="D345">
            <v>24</v>
          </cell>
          <cell r="E345">
            <v>0.19989356265784231</v>
          </cell>
        </row>
        <row r="346">
          <cell r="B346" t="str">
            <v>DECISION ANALYSIS</v>
          </cell>
          <cell r="C346" t="str">
            <v>HFH</v>
          </cell>
          <cell r="D346">
            <v>20</v>
          </cell>
          <cell r="E346">
            <v>0.19951442890761009</v>
          </cell>
        </row>
        <row r="347">
          <cell r="B347" t="str">
            <v>STRUCTURAL CHANGE AND ECONOMIC DYNAMICS</v>
          </cell>
          <cell r="C347" t="str">
            <v>ACJ</v>
          </cell>
          <cell r="D347">
            <v>113</v>
          </cell>
          <cell r="E347">
            <v>0.1972740562390824</v>
          </cell>
        </row>
        <row r="348">
          <cell r="B348" t="str">
            <v>EUROPEAN JOURNAL OF INNOVATION MANAGEMENT</v>
          </cell>
          <cell r="C348" t="str">
            <v>DGC</v>
          </cell>
          <cell r="D348">
            <v>127</v>
          </cell>
          <cell r="E348">
            <v>0.19670510382654599</v>
          </cell>
        </row>
        <row r="349">
          <cell r="B349" t="str">
            <v>WORLD ECONOMY</v>
          </cell>
          <cell r="C349" t="str">
            <v>AAU</v>
          </cell>
          <cell r="D349">
            <v>159</v>
          </cell>
          <cell r="E349">
            <v>0.1956378886541254</v>
          </cell>
        </row>
        <row r="350">
          <cell r="B350" t="str">
            <v>CORNELL HOSPITALITY QUARTERLY</v>
          </cell>
          <cell r="C350" t="str">
            <v>HCL</v>
          </cell>
          <cell r="D350">
            <v>48</v>
          </cell>
          <cell r="E350">
            <v>0.1922622953803208</v>
          </cell>
        </row>
        <row r="351">
          <cell r="B351" t="str">
            <v>JOURNAL OF ASIAN ECONOMICS</v>
          </cell>
          <cell r="C351" t="str">
            <v>BDN</v>
          </cell>
          <cell r="D351">
            <v>36</v>
          </cell>
          <cell r="E351">
            <v>0.1914878393589283</v>
          </cell>
        </row>
        <row r="352">
          <cell r="B352" t="str">
            <v>SERVICE SCIENCE</v>
          </cell>
          <cell r="C352" t="str">
            <v>HAW</v>
          </cell>
          <cell r="D352">
            <v>10</v>
          </cell>
          <cell r="E352">
            <v>0.1911952713190824</v>
          </cell>
        </row>
        <row r="353">
          <cell r="B353" t="str">
            <v>INFORMATION ECONOMICS AND POLICY</v>
          </cell>
          <cell r="C353" t="str">
            <v>CBT</v>
          </cell>
          <cell r="D353">
            <v>19</v>
          </cell>
          <cell r="E353">
            <v>0.1891610686166921</v>
          </cell>
        </row>
        <row r="354">
          <cell r="B354" t="str">
            <v>QUARTERLY REVIEW OF ECONOMICS AND FINANCE</v>
          </cell>
          <cell r="C354" t="str">
            <v>ACA</v>
          </cell>
          <cell r="D354">
            <v>119</v>
          </cell>
          <cell r="E354">
            <v>0.18766154792268019</v>
          </cell>
        </row>
        <row r="355">
          <cell r="B355" t="str">
            <v>JOURNAL OF MANAGEMENT &amp; ORGANIZATION</v>
          </cell>
          <cell r="C355" t="str">
            <v>HHV</v>
          </cell>
          <cell r="D355">
            <v>56</v>
          </cell>
          <cell r="E355">
            <v>0.1853454236864614</v>
          </cell>
        </row>
        <row r="356">
          <cell r="B356" t="str">
            <v>JOURNAL OF HOSPITALITY AND TOURISM MANAGEMENT</v>
          </cell>
          <cell r="C356" t="str">
            <v>HCK</v>
          </cell>
          <cell r="D356">
            <v>151</v>
          </cell>
          <cell r="E356">
            <v>0.18524223203350271</v>
          </cell>
        </row>
        <row r="357">
          <cell r="B357" t="str">
            <v>JOURNAL OF PRODUCTIVITY ANALYSIS</v>
          </cell>
          <cell r="C357" t="str">
            <v>BFL</v>
          </cell>
          <cell r="D357">
            <v>23</v>
          </cell>
          <cell r="E357">
            <v>0.18502395829831531</v>
          </cell>
        </row>
        <row r="358">
          <cell r="B358" t="str">
            <v>MATHEMATICS AND FINANCIAL ECONOMICS</v>
          </cell>
          <cell r="C358" t="str">
            <v>BCQ</v>
          </cell>
          <cell r="D358">
            <v>38</v>
          </cell>
          <cell r="E358">
            <v>0.1839993754429293</v>
          </cell>
        </row>
        <row r="359">
          <cell r="B359" t="str">
            <v>ECONOMIST-NETHERLANDS</v>
          </cell>
          <cell r="C359" t="str">
            <v>BGV</v>
          </cell>
          <cell r="D359">
            <v>26</v>
          </cell>
          <cell r="E359">
            <v>0.18238028393200839</v>
          </cell>
        </row>
        <row r="360">
          <cell r="B360" t="str">
            <v>CROSS CULTURAL &amp; STRATEGIC MANAGEMENT</v>
          </cell>
          <cell r="C360" t="str">
            <v>HEC</v>
          </cell>
          <cell r="D360">
            <v>44</v>
          </cell>
          <cell r="E360">
            <v>0.1818884167771633</v>
          </cell>
        </row>
        <row r="361">
          <cell r="B361" t="str">
            <v>MARKETING INTELLIGENCE &amp; PLANNING</v>
          </cell>
          <cell r="C361" t="str">
            <v>DAJ</v>
          </cell>
          <cell r="D361">
            <v>100</v>
          </cell>
          <cell r="E361">
            <v>0.18092418078760489</v>
          </cell>
        </row>
        <row r="362">
          <cell r="B362" t="str">
            <v>JOURNAL OF FASHION MARKETING AND MANAGEMENT</v>
          </cell>
          <cell r="C362" t="str">
            <v>DHC</v>
          </cell>
          <cell r="D362">
            <v>65</v>
          </cell>
          <cell r="E362">
            <v>0.18077930944104689</v>
          </cell>
        </row>
        <row r="363">
          <cell r="B363" t="str">
            <v>ECONOMIC ANALYSIS AND POLICY</v>
          </cell>
          <cell r="C363" t="str">
            <v>ADH</v>
          </cell>
          <cell r="D363">
            <v>95</v>
          </cell>
          <cell r="E363">
            <v>0.18040845992913909</v>
          </cell>
        </row>
        <row r="364">
          <cell r="B364" t="str">
            <v>MANAGERIAL AUDITING JOURNAL</v>
          </cell>
          <cell r="C364" t="str">
            <v>DFD</v>
          </cell>
          <cell r="D364">
            <v>49</v>
          </cell>
          <cell r="E364">
            <v>0.18009403376163841</v>
          </cell>
        </row>
        <row r="365">
          <cell r="B365" t="str">
            <v>JOURNAL OF ECONOMIC EDUCATION</v>
          </cell>
          <cell r="C365" t="str">
            <v>BGX</v>
          </cell>
          <cell r="D365">
            <v>25</v>
          </cell>
          <cell r="E365">
            <v>0.17967316691934429</v>
          </cell>
        </row>
        <row r="366">
          <cell r="B366" t="str">
            <v>JOURNAL OF DEMOGRAPHIC ECONOMICS</v>
          </cell>
          <cell r="C366" t="str">
            <v>CDU</v>
          </cell>
          <cell r="D366">
            <v>16</v>
          </cell>
          <cell r="E366">
            <v>0.17792019125650349</v>
          </cell>
        </row>
        <row r="367">
          <cell r="B367" t="str">
            <v>INTERNATIONAL JOURNAL OF MARKET RESEARCH</v>
          </cell>
          <cell r="C367" t="str">
            <v>DBG</v>
          </cell>
          <cell r="D367">
            <v>52</v>
          </cell>
          <cell r="E367">
            <v>0.17665408965817531</v>
          </cell>
        </row>
        <row r="368">
          <cell r="B368" t="str">
            <v>ELECTRONIC COMMERCE RESEARCH AND APPLICATIONS</v>
          </cell>
          <cell r="C368" t="str">
            <v>HBK</v>
          </cell>
          <cell r="D368">
            <v>103</v>
          </cell>
          <cell r="E368">
            <v>0.17623844413345299</v>
          </cell>
        </row>
        <row r="369">
          <cell r="B369" t="str">
            <v>ASIAN BUSINESS &amp; MANAGEMENT</v>
          </cell>
          <cell r="C369" t="str">
            <v>DHG</v>
          </cell>
          <cell r="D369">
            <v>52</v>
          </cell>
          <cell r="E369">
            <v>0.17617725452290189</v>
          </cell>
        </row>
        <row r="370">
          <cell r="B370" t="str">
            <v>CAMBRIDGE JOURNAL OF ECONOMICS</v>
          </cell>
          <cell r="C370" t="str">
            <v>AGJ</v>
          </cell>
          <cell r="D370">
            <v>62</v>
          </cell>
          <cell r="E370">
            <v>0.17528180965297829</v>
          </cell>
        </row>
        <row r="371">
          <cell r="B371" t="str">
            <v>ECONOMIC SYSTEMS</v>
          </cell>
          <cell r="C371" t="str">
            <v>BAB</v>
          </cell>
          <cell r="D371">
            <v>53</v>
          </cell>
          <cell r="E371">
            <v>0.1747997498988193</v>
          </cell>
        </row>
        <row r="372">
          <cell r="B372" t="str">
            <v>JOURNAL OF AGRICULTURAL ECONOMICS</v>
          </cell>
          <cell r="C372" t="str">
            <v>AFR</v>
          </cell>
          <cell r="D372">
            <v>53</v>
          </cell>
          <cell r="E372">
            <v>0.17441297800535169</v>
          </cell>
        </row>
        <row r="373">
          <cell r="B373" t="str">
            <v>JOURNAL OF CREDIT RISK</v>
          </cell>
          <cell r="C373" t="str">
            <v>DET</v>
          </cell>
          <cell r="D373">
            <v>13</v>
          </cell>
          <cell r="E373">
            <v>0.17371705401844689</v>
          </cell>
        </row>
        <row r="374">
          <cell r="B374" t="str">
            <v>QUALITATIVE RESEARCH IN ACCOUNTING AND MANAGEMENT</v>
          </cell>
          <cell r="C374" t="str">
            <v>DFE</v>
          </cell>
          <cell r="D374">
            <v>29</v>
          </cell>
          <cell r="E374">
            <v>0.17321834289962479</v>
          </cell>
        </row>
        <row r="375">
          <cell r="B375" t="str">
            <v>ECONOMICS OF INNOVATION AND NEW TECHNOLOGY</v>
          </cell>
          <cell r="C375" t="str">
            <v>ADI</v>
          </cell>
          <cell r="D375">
            <v>79</v>
          </cell>
          <cell r="E375">
            <v>0.17316988412115961</v>
          </cell>
        </row>
        <row r="376">
          <cell r="B376" t="str">
            <v>JOURNAL OF CULTURAL ECONOMICS</v>
          </cell>
          <cell r="C376" t="str">
            <v>BDS</v>
          </cell>
          <cell r="D376">
            <v>34</v>
          </cell>
          <cell r="E376">
            <v>0.17282812775838249</v>
          </cell>
        </row>
        <row r="377">
          <cell r="B377" t="str">
            <v>JOURNAL OF FAMILY AND ECONOMIC ISSUES</v>
          </cell>
          <cell r="C377" t="str">
            <v>ADO</v>
          </cell>
          <cell r="D377">
            <v>74</v>
          </cell>
          <cell r="E377">
            <v>0.1711506807512729</v>
          </cell>
        </row>
        <row r="378">
          <cell r="B378" t="str">
            <v>CHINA AGRICULTURAL ECONOMIC REVIEW</v>
          </cell>
          <cell r="C378" t="str">
            <v>AHC</v>
          </cell>
          <cell r="D378">
            <v>57</v>
          </cell>
          <cell r="E378">
            <v>0.17076235804499759</v>
          </cell>
        </row>
        <row r="379">
          <cell r="B379" t="str">
            <v>JOURNAL OF CONTEMPORARY ACCOUNTING &amp; ECONOMICS</v>
          </cell>
          <cell r="C379" t="str">
            <v>BFS</v>
          </cell>
          <cell r="D379">
            <v>30</v>
          </cell>
          <cell r="E379">
            <v>0.16961403137136261</v>
          </cell>
        </row>
        <row r="380">
          <cell r="B380" t="str">
            <v>ASIA PACIFIC JOURNAL OF HUMAN RESOURCES</v>
          </cell>
          <cell r="C380" t="str">
            <v>HCU</v>
          </cell>
          <cell r="D380">
            <v>41</v>
          </cell>
          <cell r="E380">
            <v>0.1690041255246835</v>
          </cell>
        </row>
        <row r="381">
          <cell r="B381" t="str">
            <v>GERMAN JOURNAL OF HUMAN RESOURCE MANAGEMENT-ZEITSCHRIFT FUR PERSONALFORSCHUNG</v>
          </cell>
          <cell r="C381" t="str">
            <v>HGC</v>
          </cell>
          <cell r="D381">
            <v>16</v>
          </cell>
          <cell r="E381">
            <v>0.16852924160748611</v>
          </cell>
        </row>
        <row r="382">
          <cell r="B382" t="str">
            <v>SCOTTISH JOURNAL OF POLITICAL ECONOMY</v>
          </cell>
          <cell r="C382" t="str">
            <v>BCR</v>
          </cell>
          <cell r="D382">
            <v>26</v>
          </cell>
          <cell r="E382">
            <v>0.16851228056961151</v>
          </cell>
        </row>
        <row r="383">
          <cell r="B383" t="str">
            <v>FEDERAL RESERVE BANK OF ST LOUIS REVIEW</v>
          </cell>
          <cell r="C383" t="str">
            <v>CCW</v>
          </cell>
          <cell r="D383">
            <v>17</v>
          </cell>
          <cell r="E383">
            <v>0.1667765793464136</v>
          </cell>
        </row>
        <row r="384">
          <cell r="B384" t="str">
            <v>JOURNAL OF MATHEMATICAL ECONOMICS</v>
          </cell>
          <cell r="C384" t="str">
            <v>AEQ</v>
          </cell>
          <cell r="D384">
            <v>78</v>
          </cell>
          <cell r="E384">
            <v>0.16569453484676769</v>
          </cell>
        </row>
        <row r="385">
          <cell r="B385" t="str">
            <v>BRQ-BUSINESS RESEARCH QUARTERLY</v>
          </cell>
          <cell r="C385" t="str">
            <v>DHZ</v>
          </cell>
          <cell r="D385">
            <v>34</v>
          </cell>
          <cell r="E385">
            <v>0.16415157493779961</v>
          </cell>
        </row>
        <row r="386">
          <cell r="B386" t="str">
            <v>JOURNAL OF INTELLECTUAL CAPITAL</v>
          </cell>
          <cell r="C386" t="str">
            <v>DGL</v>
          </cell>
          <cell r="D386">
            <v>97</v>
          </cell>
          <cell r="E386">
            <v>0.16350952283591469</v>
          </cell>
        </row>
        <row r="387">
          <cell r="B387" t="str">
            <v>JOURNAL OF FORECASTING</v>
          </cell>
          <cell r="C387" t="str">
            <v>ABZ</v>
          </cell>
          <cell r="D387">
            <v>103</v>
          </cell>
          <cell r="E387">
            <v>0.16342343247764671</v>
          </cell>
        </row>
        <row r="388">
          <cell r="B388" t="str">
            <v>ECONOMICS &amp; POLITICS</v>
          </cell>
          <cell r="C388" t="str">
            <v>BGN</v>
          </cell>
          <cell r="D388">
            <v>20</v>
          </cell>
          <cell r="E388">
            <v>0.16282555732508949</v>
          </cell>
        </row>
        <row r="389">
          <cell r="B389" t="str">
            <v>OPEN ECONOMIES REVIEW</v>
          </cell>
          <cell r="C389" t="str">
            <v>AHF</v>
          </cell>
          <cell r="D389">
            <v>52</v>
          </cell>
          <cell r="E389">
            <v>0.16239385315373331</v>
          </cell>
        </row>
        <row r="390">
          <cell r="B390" t="str">
            <v>JOURNAL OF ECONOMIC INEQUALITY</v>
          </cell>
          <cell r="C390" t="str">
            <v>BDL</v>
          </cell>
          <cell r="D390">
            <v>35</v>
          </cell>
          <cell r="E390">
            <v>0.16197869312942309</v>
          </cell>
        </row>
        <row r="391">
          <cell r="B391" t="str">
            <v>GERMAN ECONOMIC REVIEW</v>
          </cell>
          <cell r="C391" t="str">
            <v>CDV</v>
          </cell>
          <cell r="D391">
            <v>16</v>
          </cell>
          <cell r="E391">
            <v>0.16058436405633891</v>
          </cell>
        </row>
        <row r="392">
          <cell r="B392" t="str">
            <v>INSURANCE MATHEMATICS &amp; ECONOMICS</v>
          </cell>
          <cell r="C392" t="str">
            <v>ACU</v>
          </cell>
          <cell r="D392">
            <v>103</v>
          </cell>
          <cell r="E392">
            <v>0.16011500400548001</v>
          </cell>
        </row>
        <row r="393">
          <cell r="B393" t="str">
            <v>SERIES-JOURNAL OF THE SPANISH ECONOMIC ASSOCIATION</v>
          </cell>
          <cell r="C393" t="str">
            <v>CAT</v>
          </cell>
          <cell r="D393">
            <v>20</v>
          </cell>
          <cell r="E393">
            <v>0.15993646025496561</v>
          </cell>
        </row>
        <row r="394">
          <cell r="B394" t="str">
            <v>BUSINESS HISTORY REVIEW</v>
          </cell>
          <cell r="C394" t="str">
            <v>HBX</v>
          </cell>
          <cell r="D394">
            <v>17</v>
          </cell>
          <cell r="E394">
            <v>0.15922807332943939</v>
          </cell>
        </row>
        <row r="395">
          <cell r="B395" t="str">
            <v>JOURNAL OF AFRICAN ECONOMIES</v>
          </cell>
          <cell r="C395" t="str">
            <v>CBZ</v>
          </cell>
          <cell r="D395">
            <v>20</v>
          </cell>
          <cell r="E395">
            <v>0.15872509706121321</v>
          </cell>
        </row>
        <row r="396">
          <cell r="B396" t="str">
            <v>INTERNATIONAL REVIEW OF LAW AND ECONOMICS</v>
          </cell>
          <cell r="C396" t="str">
            <v>BAM</v>
          </cell>
          <cell r="D396">
            <v>50</v>
          </cell>
          <cell r="E396">
            <v>0.15870869240821611</v>
          </cell>
        </row>
        <row r="397">
          <cell r="B397" t="str">
            <v>AUSTRALIAN ACCOUNTING REVIEW</v>
          </cell>
          <cell r="C397" t="str">
            <v>DDX</v>
          </cell>
          <cell r="D397">
            <v>27</v>
          </cell>
          <cell r="E397">
            <v>0.15865626835818211</v>
          </cell>
        </row>
        <row r="398">
          <cell r="B398" t="str">
            <v>REVISTA DE HISTORIA ECONOMICA</v>
          </cell>
          <cell r="C398" t="str">
            <v>CDD</v>
          </cell>
          <cell r="D398">
            <v>18</v>
          </cell>
          <cell r="E398">
            <v>0.15682133401339449</v>
          </cell>
        </row>
        <row r="399">
          <cell r="B399" t="str">
            <v>JOURNAL OF EVOLUTIONARY ECONOMICS</v>
          </cell>
          <cell r="C399" t="str">
            <v>AEP</v>
          </cell>
          <cell r="D399">
            <v>69</v>
          </cell>
          <cell r="E399">
            <v>0.1566449011919952</v>
          </cell>
        </row>
        <row r="400">
          <cell r="B400" t="str">
            <v>EUROPEAN JOURNAL OF LAW AND ECONOMICS</v>
          </cell>
          <cell r="C400" t="str">
            <v>BBS</v>
          </cell>
          <cell r="D400">
            <v>41</v>
          </cell>
          <cell r="E400">
            <v>0.15642027295163591</v>
          </cell>
        </row>
        <row r="401">
          <cell r="B401" t="str">
            <v>INTERNATIONAL TAX AND PUBLIC FINANCE</v>
          </cell>
          <cell r="C401" t="str">
            <v>AEG</v>
          </cell>
          <cell r="D401">
            <v>74</v>
          </cell>
          <cell r="E401">
            <v>0.1531160409317682</v>
          </cell>
        </row>
        <row r="402">
          <cell r="B402" t="str">
            <v>INTERNATIONAL JOURNAL OF MANPOWER</v>
          </cell>
          <cell r="C402" t="str">
            <v>HCO</v>
          </cell>
          <cell r="D402">
            <v>101</v>
          </cell>
          <cell r="E402">
            <v>0.15271926483625431</v>
          </cell>
        </row>
        <row r="403">
          <cell r="B403" t="str">
            <v>LEADERSHIP &amp; ORGANIZATION DEVELOPMENT JOURNAL</v>
          </cell>
          <cell r="C403" t="str">
            <v>HHK</v>
          </cell>
          <cell r="D403">
            <v>76</v>
          </cell>
          <cell r="E403">
            <v>0.1525638180863024</v>
          </cell>
        </row>
        <row r="404">
          <cell r="B404" t="str">
            <v>GENDER IN MANAGEMENT</v>
          </cell>
          <cell r="C404" t="str">
            <v>HBH</v>
          </cell>
          <cell r="D404">
            <v>58</v>
          </cell>
          <cell r="E404">
            <v>0.15127376979499879</v>
          </cell>
        </row>
        <row r="405">
          <cell r="B405" t="str">
            <v>JOURNAL OF THE JAPANESE AND INTERNATIONAL ECONOMIES</v>
          </cell>
          <cell r="C405" t="str">
            <v>BGT</v>
          </cell>
          <cell r="D405">
            <v>27</v>
          </cell>
          <cell r="E405">
            <v>0.1512103867779219</v>
          </cell>
        </row>
        <row r="406">
          <cell r="B406" t="str">
            <v>BUSINESS ETHICS THE ENVIRONMENT &amp; RESPONSIBILITY</v>
          </cell>
          <cell r="C406" t="str">
            <v>HBS</v>
          </cell>
          <cell r="D406">
            <v>18</v>
          </cell>
          <cell r="E406">
            <v>0.15075935757440831</v>
          </cell>
        </row>
        <row r="407">
          <cell r="B407" t="str">
            <v>JOURNAL OF MANAGEMENT ANALYTICS</v>
          </cell>
          <cell r="C407" t="str">
            <v>HBB</v>
          </cell>
          <cell r="D407">
            <v>34</v>
          </cell>
          <cell r="E407">
            <v>0.15056769281960361</v>
          </cell>
        </row>
        <row r="408">
          <cell r="B408" t="str">
            <v>KYKLOS</v>
          </cell>
          <cell r="C408" t="str">
            <v>BFM</v>
          </cell>
          <cell r="D408">
            <v>27</v>
          </cell>
          <cell r="E408">
            <v>0.15008723437567731</v>
          </cell>
        </row>
        <row r="409">
          <cell r="B409" t="str">
            <v>MANCHESTER SCHOOL</v>
          </cell>
          <cell r="C409" t="str">
            <v>AHJ</v>
          </cell>
          <cell r="D409">
            <v>48</v>
          </cell>
          <cell r="E409">
            <v>0.14957272443923261</v>
          </cell>
        </row>
        <row r="410">
          <cell r="B410" t="str">
            <v>NORTH AMERICAN JOURNAL OF ECONOMICS AND FINANCE</v>
          </cell>
          <cell r="C410" t="str">
            <v>AAM</v>
          </cell>
          <cell r="D410">
            <v>267</v>
          </cell>
          <cell r="E410">
            <v>0.14956018924743281</v>
          </cell>
        </row>
        <row r="411">
          <cell r="B411" t="str">
            <v>REVIEW OF INTERNATIONAL ECONOMICS</v>
          </cell>
          <cell r="C411" t="str">
            <v>AEZ</v>
          </cell>
          <cell r="D411">
            <v>55</v>
          </cell>
          <cell r="E411">
            <v>0.14758656969553499</v>
          </cell>
        </row>
        <row r="412">
          <cell r="B412" t="str">
            <v>JOURNAL OF ECONOMICS</v>
          </cell>
          <cell r="C412" t="str">
            <v>BBH</v>
          </cell>
          <cell r="D412">
            <v>43</v>
          </cell>
          <cell r="E412">
            <v>0.14676452818426169</v>
          </cell>
        </row>
        <row r="413">
          <cell r="B413" t="str">
            <v>JOURNAL OF DERIVATIVES</v>
          </cell>
          <cell r="C413" t="str">
            <v>DEC</v>
          </cell>
          <cell r="D413">
            <v>25</v>
          </cell>
          <cell r="E413">
            <v>0.14604768131269219</v>
          </cell>
        </row>
        <row r="414">
          <cell r="B414" t="str">
            <v>FINANCIAL INNOVATION</v>
          </cell>
          <cell r="C414" t="str">
            <v>DFL</v>
          </cell>
          <cell r="D414">
            <v>45</v>
          </cell>
          <cell r="E414">
            <v>0.14496340887036169</v>
          </cell>
        </row>
        <row r="415">
          <cell r="B415" t="str">
            <v>JOURNAL OF CHOICE MODELLING</v>
          </cell>
          <cell r="C415" t="str">
            <v>BHG</v>
          </cell>
          <cell r="D415">
            <v>26</v>
          </cell>
          <cell r="E415">
            <v>0.14425033638010781</v>
          </cell>
        </row>
        <row r="416">
          <cell r="B416" t="str">
            <v>ASIA PACIFIC BUSINESS REVIEW</v>
          </cell>
          <cell r="C416" t="str">
            <v>DHS</v>
          </cell>
          <cell r="D416">
            <v>43</v>
          </cell>
          <cell r="E416">
            <v>0.1436435412336709</v>
          </cell>
        </row>
        <row r="417">
          <cell r="B417" t="str">
            <v>EMPIRICAL ECONOMICS</v>
          </cell>
          <cell r="C417" t="str">
            <v>AAF</v>
          </cell>
          <cell r="D417">
            <v>380</v>
          </cell>
          <cell r="E417">
            <v>0.14308899228949801</v>
          </cell>
        </row>
        <row r="418">
          <cell r="B418" t="str">
            <v>INFORMS JOURNAL ON APPLIED ANALYTICS</v>
          </cell>
          <cell r="C418" t="str">
            <v>HFR</v>
          </cell>
          <cell r="D418">
            <v>26</v>
          </cell>
          <cell r="E418">
            <v>0.14243861929457829</v>
          </cell>
        </row>
        <row r="419">
          <cell r="B419" t="str">
            <v>JOURNAL OF INSTITUTIONAL AND THEORETICAL ECONOMICS-ZEITSCHRIFT FUR DIE GESAMTE STAATSWISSENSCHAFT</v>
          </cell>
          <cell r="C419" t="str">
            <v>BHQ</v>
          </cell>
          <cell r="D419">
            <v>26</v>
          </cell>
          <cell r="E419">
            <v>0.14146658085239461</v>
          </cell>
        </row>
        <row r="420">
          <cell r="B420" t="str">
            <v>CHINA &amp; WORLD ECONOMY</v>
          </cell>
          <cell r="C420" t="str">
            <v>BDO</v>
          </cell>
          <cell r="D420">
            <v>34</v>
          </cell>
          <cell r="E420">
            <v>0.14098306787887219</v>
          </cell>
        </row>
        <row r="421">
          <cell r="B421" t="str">
            <v>TECHNOLOGY ANALYSIS &amp; STRATEGIC MANAGEMENT</v>
          </cell>
          <cell r="C421" t="str">
            <v>HFJ</v>
          </cell>
          <cell r="D421">
            <v>118</v>
          </cell>
          <cell r="E421">
            <v>0.1404142270035306</v>
          </cell>
        </row>
        <row r="422">
          <cell r="B422" t="str">
            <v>BALTIC JOURNAL OF MANAGEMENT</v>
          </cell>
          <cell r="C422" t="str">
            <v>HEB</v>
          </cell>
          <cell r="D422">
            <v>46</v>
          </cell>
          <cell r="E422">
            <v>0.140078051391169</v>
          </cell>
        </row>
        <row r="423">
          <cell r="B423" t="str">
            <v>EURASIAN BUSINESS REVIEW</v>
          </cell>
          <cell r="C423" t="str">
            <v>BBN</v>
          </cell>
          <cell r="D423">
            <v>36</v>
          </cell>
          <cell r="E423">
            <v>0.13907457115223221</v>
          </cell>
        </row>
        <row r="424">
          <cell r="B424" t="str">
            <v>ECONOMIC AND LABOUR RELATIONS REVIEW</v>
          </cell>
          <cell r="C424" t="str">
            <v>BEC</v>
          </cell>
          <cell r="D424">
            <v>32</v>
          </cell>
          <cell r="E424">
            <v>0.13900029132651889</v>
          </cell>
        </row>
        <row r="425">
          <cell r="B425" t="str">
            <v>BORSA ISTANBUL REVIEW</v>
          </cell>
          <cell r="C425" t="str">
            <v>BCL</v>
          </cell>
          <cell r="D425">
            <v>39</v>
          </cell>
          <cell r="E425">
            <v>0.13854147211274781</v>
          </cell>
        </row>
        <row r="426">
          <cell r="B426" t="str">
            <v>JOURNAL OF REAL ESTATE RESEARCH</v>
          </cell>
          <cell r="C426" t="str">
            <v>CCA</v>
          </cell>
          <cell r="D426">
            <v>20</v>
          </cell>
          <cell r="E426">
            <v>0.13818902503316649</v>
          </cell>
        </row>
        <row r="427">
          <cell r="B427" t="str">
            <v>JOURNAL OF SPORTS ECONOMICS</v>
          </cell>
          <cell r="C427" t="str">
            <v>AHQ</v>
          </cell>
          <cell r="D427">
            <v>43</v>
          </cell>
          <cell r="E427">
            <v>0.13816920787196299</v>
          </cell>
        </row>
        <row r="428">
          <cell r="B428" t="str">
            <v>ASIA PACIFIC JOURNAL OF MARKETING AND LOGISTICS</v>
          </cell>
          <cell r="C428" t="str">
            <v>DDE</v>
          </cell>
          <cell r="D428">
            <v>144</v>
          </cell>
          <cell r="E428">
            <v>0.1380425037241455</v>
          </cell>
        </row>
        <row r="429">
          <cell r="B429" t="str">
            <v>SPATIAL ECONOMIC ANALYSIS</v>
          </cell>
          <cell r="C429" t="str">
            <v>AAB</v>
          </cell>
          <cell r="D429">
            <v>34</v>
          </cell>
          <cell r="E429">
            <v>0.1376806888749417</v>
          </cell>
        </row>
        <row r="430">
          <cell r="B430" t="str">
            <v>THEORY AND DECISION</v>
          </cell>
          <cell r="C430" t="str">
            <v>AFL</v>
          </cell>
          <cell r="D430">
            <v>60</v>
          </cell>
          <cell r="E430">
            <v>0.1374810057056689</v>
          </cell>
        </row>
        <row r="431">
          <cell r="B431" t="str">
            <v>JAHRBUCHER FUR NATIONALOKONOMIE UND STATISTIK</v>
          </cell>
          <cell r="C431" t="str">
            <v>BEX</v>
          </cell>
          <cell r="D431">
            <v>33</v>
          </cell>
          <cell r="E431">
            <v>0.13738209262021461</v>
          </cell>
        </row>
        <row r="432">
          <cell r="B432" t="str">
            <v>STUDIES IN NONLINEAR DYNAMICS AND ECONOMETRICS</v>
          </cell>
          <cell r="C432" t="str">
            <v>BFQ</v>
          </cell>
          <cell r="D432">
            <v>31</v>
          </cell>
          <cell r="E432">
            <v>0.13714291168787979</v>
          </cell>
        </row>
        <row r="433">
          <cell r="B433" t="str">
            <v>BUSINESS PROCESS MANAGEMENT JOURNAL</v>
          </cell>
          <cell r="C433" t="str">
            <v>DGJ</v>
          </cell>
          <cell r="D433">
            <v>102</v>
          </cell>
          <cell r="E433">
            <v>0.13673592143842081</v>
          </cell>
        </row>
        <row r="434">
          <cell r="B434" t="str">
            <v>JOURNAL OF CONTINGENCIES AND CRISIS MANAGEMENT</v>
          </cell>
          <cell r="C434" t="str">
            <v>HHR</v>
          </cell>
          <cell r="D434">
            <v>60</v>
          </cell>
          <cell r="E434">
            <v>0.13499121596071911</v>
          </cell>
        </row>
        <row r="435">
          <cell r="B435" t="str">
            <v>AUSTRALIAN JOURNAL OF AGRICULTURAL AND RESOURCE ECONOMICS</v>
          </cell>
          <cell r="C435" t="str">
            <v>AGC</v>
          </cell>
          <cell r="D435">
            <v>47</v>
          </cell>
          <cell r="E435">
            <v>0.13470240417697649</v>
          </cell>
        </row>
        <row r="436">
          <cell r="B436" t="str">
            <v>ECONOMIC DEVELOPMENT QUARTERLY</v>
          </cell>
          <cell r="C436" t="str">
            <v>BGG</v>
          </cell>
          <cell r="D436">
            <v>24</v>
          </cell>
          <cell r="E436">
            <v>0.1345293025705355</v>
          </cell>
        </row>
        <row r="437">
          <cell r="B437" t="str">
            <v>INTERNATIONAL REVIEW OF FINANCE</v>
          </cell>
          <cell r="C437" t="str">
            <v>DCP</v>
          </cell>
          <cell r="D437">
            <v>86</v>
          </cell>
          <cell r="E437">
            <v>0.13372924463958</v>
          </cell>
        </row>
        <row r="438">
          <cell r="B438" t="str">
            <v>DEFENCE AND PEACE ECONOMICS</v>
          </cell>
          <cell r="C438" t="str">
            <v>ACZ</v>
          </cell>
          <cell r="D438">
            <v>85</v>
          </cell>
          <cell r="E438">
            <v>0.13082747283236049</v>
          </cell>
        </row>
        <row r="439">
          <cell r="B439" t="str">
            <v>REVIEW OF ECONOMIC DESIGN</v>
          </cell>
          <cell r="C439" t="str">
            <v>CFC</v>
          </cell>
          <cell r="D439">
            <v>12</v>
          </cell>
          <cell r="E439">
            <v>0.13077760760213991</v>
          </cell>
        </row>
        <row r="440">
          <cell r="B440" t="str">
            <v>JOURNAL OF BEHAVIORAL FINANCE</v>
          </cell>
          <cell r="C440" t="str">
            <v>ADV</v>
          </cell>
          <cell r="D440">
            <v>58</v>
          </cell>
          <cell r="E440">
            <v>0.1304487379330328</v>
          </cell>
        </row>
        <row r="441">
          <cell r="B441" t="str">
            <v>SPORT MARKETING QUARTERLY</v>
          </cell>
          <cell r="C441" t="str">
            <v>HBZ</v>
          </cell>
          <cell r="D441">
            <v>22</v>
          </cell>
          <cell r="E441">
            <v>0.1297034116308155</v>
          </cell>
        </row>
        <row r="442">
          <cell r="B442" t="str">
            <v>INTERNATIONAL JOURNAL OF MANAGING PROJECTS IN BUSINESS</v>
          </cell>
          <cell r="C442" t="str">
            <v>DGR</v>
          </cell>
          <cell r="D442">
            <v>78</v>
          </cell>
          <cell r="E442">
            <v>0.12814578675656249</v>
          </cell>
        </row>
        <row r="443">
          <cell r="B443" t="str">
            <v>JOURNAL OF SOCIAL MARKETING</v>
          </cell>
          <cell r="C443" t="str">
            <v>DBT</v>
          </cell>
          <cell r="D443">
            <v>28</v>
          </cell>
          <cell r="E443">
            <v>0.12670703889298521</v>
          </cell>
        </row>
        <row r="444">
          <cell r="B444" t="str">
            <v>CLIMATE CHANGE ECONOMICS</v>
          </cell>
          <cell r="C444" t="str">
            <v>AAJ</v>
          </cell>
          <cell r="D444">
            <v>27</v>
          </cell>
          <cell r="E444">
            <v>0.12585124322630301</v>
          </cell>
        </row>
        <row r="445">
          <cell r="B445" t="str">
            <v>EMPLOYEE RELATIONS</v>
          </cell>
          <cell r="C445" t="str">
            <v>HCN</v>
          </cell>
          <cell r="D445">
            <v>122</v>
          </cell>
          <cell r="E445">
            <v>0.1256809626449478</v>
          </cell>
        </row>
        <row r="446">
          <cell r="B446" t="str">
            <v>JOURNAL OF REGULATORY ECONOMICS</v>
          </cell>
          <cell r="C446" t="str">
            <v>CAH</v>
          </cell>
          <cell r="D446">
            <v>23</v>
          </cell>
          <cell r="E446">
            <v>0.1241055686195075</v>
          </cell>
        </row>
        <row r="447">
          <cell r="B447" t="str">
            <v>CULTURE AND ORGANIZATION</v>
          </cell>
          <cell r="C447" t="str">
            <v>HEP</v>
          </cell>
          <cell r="D447">
            <v>36</v>
          </cell>
          <cell r="E447">
            <v>0.1240656736465086</v>
          </cell>
        </row>
        <row r="448">
          <cell r="B448" t="str">
            <v>EUROPEAN JOURNAL OF HEALTH ECONOMICS</v>
          </cell>
          <cell r="C448" t="str">
            <v>ACM</v>
          </cell>
          <cell r="D448">
            <v>95</v>
          </cell>
          <cell r="E448">
            <v>0.1232006145783056</v>
          </cell>
        </row>
        <row r="449">
          <cell r="B449" t="str">
            <v>AUSTRALIAN ECONOMIC REVIEW</v>
          </cell>
          <cell r="C449" t="str">
            <v>BCH</v>
          </cell>
          <cell r="D449">
            <v>33</v>
          </cell>
          <cell r="E449">
            <v>0.1229073118884739</v>
          </cell>
        </row>
        <row r="450">
          <cell r="B450" t="str">
            <v>JOURNAL OF ECONOMIC POLICY REFORM</v>
          </cell>
          <cell r="C450" t="str">
            <v>BAX</v>
          </cell>
          <cell r="D450">
            <v>41</v>
          </cell>
          <cell r="E450">
            <v>0.1228135455369322</v>
          </cell>
        </row>
        <row r="451">
          <cell r="B451" t="str">
            <v>SOCIO-ECONOMIC PLANNING SCIENCES</v>
          </cell>
          <cell r="C451" t="str">
            <v>ABT</v>
          </cell>
          <cell r="D451">
            <v>138</v>
          </cell>
          <cell r="E451">
            <v>0.1215667568373857</v>
          </cell>
        </row>
        <row r="452">
          <cell r="B452" t="str">
            <v>ECONOMIC RECORD</v>
          </cell>
          <cell r="C452" t="str">
            <v>BFE</v>
          </cell>
          <cell r="D452">
            <v>30</v>
          </cell>
          <cell r="E452">
            <v>0.1214700738563856</v>
          </cell>
        </row>
        <row r="453">
          <cell r="B453" t="str">
            <v>FUTURES</v>
          </cell>
          <cell r="C453" t="str">
            <v>ADS</v>
          </cell>
          <cell r="D453">
            <v>88</v>
          </cell>
          <cell r="E453">
            <v>0.1195918065164089</v>
          </cell>
        </row>
        <row r="454">
          <cell r="B454" t="str">
            <v>JCMS-JOURNAL OF COMMON MARKET STUDIES</v>
          </cell>
          <cell r="C454" t="str">
            <v>ABV</v>
          </cell>
          <cell r="D454">
            <v>108</v>
          </cell>
          <cell r="E454">
            <v>0.11935225991616739</v>
          </cell>
        </row>
        <row r="455">
          <cell r="B455" t="str">
            <v>INTERNATIONAL JOURNAL OF LEAN SIX SIGMA</v>
          </cell>
          <cell r="C455" t="str">
            <v>HCG</v>
          </cell>
          <cell r="D455">
            <v>49</v>
          </cell>
          <cell r="E455">
            <v>0.1184227804806451</v>
          </cell>
        </row>
        <row r="456">
          <cell r="B456" t="str">
            <v>APPLIED ECONOMICS</v>
          </cell>
          <cell r="C456" t="str">
            <v>AAC</v>
          </cell>
          <cell r="D456">
            <v>374</v>
          </cell>
          <cell r="E456">
            <v>0.1170678958092843</v>
          </cell>
        </row>
        <row r="457">
          <cell r="B457" t="str">
            <v>JOURNAL OF MARKETING FOR HIGHER EDUCATION</v>
          </cell>
          <cell r="C457" t="str">
            <v>HBO</v>
          </cell>
          <cell r="D457">
            <v>33</v>
          </cell>
          <cell r="E457">
            <v>0.1170306639663467</v>
          </cell>
        </row>
        <row r="458">
          <cell r="B458" t="str">
            <v>INFORMATION SYSTEMS AND E-BUSINESS MANAGEMENT</v>
          </cell>
          <cell r="C458" t="str">
            <v>DHY</v>
          </cell>
          <cell r="D458">
            <v>34</v>
          </cell>
          <cell r="E458">
            <v>0.116223885151888</v>
          </cell>
        </row>
        <row r="459">
          <cell r="B459" t="str">
            <v>INTERNATIONAL JOURNAL OF FINANCE &amp; ECONOMICS</v>
          </cell>
          <cell r="C459" t="str">
            <v>DCD</v>
          </cell>
          <cell r="D459">
            <v>602</v>
          </cell>
          <cell r="E459">
            <v>0.11140785911170489</v>
          </cell>
        </row>
        <row r="460">
          <cell r="B460" t="str">
            <v>GENEVA PAPERS ON RISK AND INSURANCE-ISSUES AND PRACTICE</v>
          </cell>
          <cell r="C460" t="str">
            <v>DDB</v>
          </cell>
          <cell r="D460">
            <v>47</v>
          </cell>
          <cell r="E460">
            <v>0.1094639599429183</v>
          </cell>
        </row>
        <row r="461">
          <cell r="B461" t="str">
            <v>BUSINESS HISTORY</v>
          </cell>
          <cell r="C461" t="str">
            <v>HBV</v>
          </cell>
          <cell r="D461">
            <v>148</v>
          </cell>
          <cell r="E461">
            <v>0.10939281869564541</v>
          </cell>
        </row>
        <row r="462">
          <cell r="B462" t="str">
            <v>JOURNAL OF AGRICULTURAL AND RESOURCE ECONOMICS</v>
          </cell>
          <cell r="C462" t="str">
            <v>BEN</v>
          </cell>
          <cell r="D462">
            <v>34</v>
          </cell>
          <cell r="E462">
            <v>0.1079088225688076</v>
          </cell>
        </row>
        <row r="463">
          <cell r="B463" t="str">
            <v>ENTREPRENEURSHIP RESEARCH JOURNAL</v>
          </cell>
          <cell r="C463" t="str">
            <v>DBX</v>
          </cell>
          <cell r="D463">
            <v>22</v>
          </cell>
          <cell r="E463">
            <v>0.1071720224853908</v>
          </cell>
        </row>
        <row r="464">
          <cell r="B464" t="str">
            <v>INTERNATIONAL JOURNAL OF EMERGING MARKETS</v>
          </cell>
          <cell r="C464" t="str">
            <v>ABH</v>
          </cell>
          <cell r="D464">
            <v>149</v>
          </cell>
          <cell r="E464">
            <v>0.107080310042818</v>
          </cell>
        </row>
        <row r="465">
          <cell r="B465" t="str">
            <v>ECONOMIC AND SOCIAL REVIEW</v>
          </cell>
          <cell r="C465" t="str">
            <v>CCO</v>
          </cell>
          <cell r="D465">
            <v>19</v>
          </cell>
          <cell r="E465">
            <v>0.1057533512646565</v>
          </cell>
        </row>
        <row r="466">
          <cell r="B466" t="str">
            <v>REVIEW OF KEYNESIAN ECONOMICS</v>
          </cell>
          <cell r="C466" t="str">
            <v>BFV</v>
          </cell>
          <cell r="D466">
            <v>30</v>
          </cell>
          <cell r="E466">
            <v>0.1042884598322351</v>
          </cell>
        </row>
        <row r="467">
          <cell r="B467" t="str">
            <v>JAPANESE ECONOMIC REVIEW</v>
          </cell>
          <cell r="C467" t="str">
            <v>BAS</v>
          </cell>
          <cell r="D467">
            <v>37</v>
          </cell>
          <cell r="E467">
            <v>0.1035399901495599</v>
          </cell>
        </row>
        <row r="468">
          <cell r="B468" t="str">
            <v>JOURNAL OF HUMAN CAPITAL</v>
          </cell>
          <cell r="C468" t="str">
            <v>CDT</v>
          </cell>
          <cell r="D468">
            <v>15</v>
          </cell>
          <cell r="E468">
            <v>0.10323634262002759</v>
          </cell>
        </row>
        <row r="469">
          <cell r="B469" t="str">
            <v>ENVIRONMENT AND DEVELOPMENT ECONOMICS</v>
          </cell>
          <cell r="C469" t="str">
            <v>BFU</v>
          </cell>
          <cell r="D469">
            <v>30</v>
          </cell>
          <cell r="E469">
            <v>0.1029872329988195</v>
          </cell>
        </row>
        <row r="470">
          <cell r="B470" t="str">
            <v>JOURNAL OF BUSINESS-TO-BUSINESS MARKETING</v>
          </cell>
          <cell r="C470" t="str">
            <v>DBW</v>
          </cell>
          <cell r="D470">
            <v>24</v>
          </cell>
          <cell r="E470">
            <v>0.1018462755524084</v>
          </cell>
        </row>
        <row r="471">
          <cell r="B471" t="str">
            <v>JOURNAL OF ORGANIZATIONAL CHANGE MANAGEMENT</v>
          </cell>
          <cell r="C471" t="str">
            <v>HQH</v>
          </cell>
          <cell r="D471">
            <v>87</v>
          </cell>
          <cell r="E471">
            <v>0.101835674859002</v>
          </cell>
        </row>
        <row r="472">
          <cell r="B472" t="str">
            <v>JOURNAL OF ORGANIZATIONAL BEHAVIOR MANAGEMENT</v>
          </cell>
          <cell r="C472" t="str">
            <v>HFY</v>
          </cell>
          <cell r="D472">
            <v>26</v>
          </cell>
          <cell r="E472">
            <v>0.10100414297803539</v>
          </cell>
        </row>
        <row r="473">
          <cell r="B473" t="str">
            <v>EUROPEAN JOURNAL OF INTERNATIONAL MANAGEMENT</v>
          </cell>
          <cell r="C473" t="str">
            <v>HEG</v>
          </cell>
          <cell r="D473">
            <v>44</v>
          </cell>
          <cell r="E473">
            <v>0.100825541388276</v>
          </cell>
        </row>
        <row r="474">
          <cell r="B474" t="str">
            <v>ELECTRONIC COMMERCE RESEARCH</v>
          </cell>
          <cell r="C474" t="str">
            <v>DGU</v>
          </cell>
          <cell r="D474">
            <v>78</v>
          </cell>
          <cell r="E474">
            <v>0.10052354535735961</v>
          </cell>
        </row>
        <row r="475">
          <cell r="B475" t="str">
            <v>WATER ECONOMICS AND POLICY</v>
          </cell>
          <cell r="C475" t="str">
            <v>CBK</v>
          </cell>
          <cell r="D475">
            <v>21</v>
          </cell>
          <cell r="E475">
            <v>9.9292763837433545E-2</v>
          </cell>
        </row>
        <row r="476">
          <cell r="B476" t="str">
            <v>COMPTABILITE CONTROLE AUDIT</v>
          </cell>
          <cell r="C476" t="str">
            <v>DEV</v>
          </cell>
          <cell r="D476">
            <v>10</v>
          </cell>
          <cell r="E476">
            <v>9.9085122246258511E-2</v>
          </cell>
        </row>
        <row r="477">
          <cell r="B477" t="str">
            <v>ENGINEERING CONSTRUCTION AND ARCHITECTURAL MANAGEMENT</v>
          </cell>
          <cell r="C477" t="str">
            <v>HCF</v>
          </cell>
          <cell r="D477">
            <v>245</v>
          </cell>
          <cell r="E477">
            <v>9.9082602939772779E-2</v>
          </cell>
        </row>
        <row r="478">
          <cell r="B478" t="str">
            <v>INTERNATIONAL FINANCE</v>
          </cell>
          <cell r="C478" t="str">
            <v>BFN</v>
          </cell>
          <cell r="D478">
            <v>20</v>
          </cell>
          <cell r="E478">
            <v>9.8650016062495058E-2</v>
          </cell>
        </row>
        <row r="479">
          <cell r="B479" t="str">
            <v>CANADIAN JOURNAL OF ADMINISTRATIVE SCIENCES-REVUE CANADIENNE DES SCIENCES DE L ADMINISTRATION</v>
          </cell>
          <cell r="C479" t="str">
            <v>DHT</v>
          </cell>
          <cell r="D479">
            <v>41</v>
          </cell>
          <cell r="E479">
            <v>9.77849269758648E-2</v>
          </cell>
        </row>
        <row r="480">
          <cell r="B480" t="str">
            <v>MANAGEMENT &amp; ORGANIZATIONAL HISTORY</v>
          </cell>
          <cell r="C480" t="str">
            <v>HCJ</v>
          </cell>
          <cell r="D480">
            <v>20</v>
          </cell>
          <cell r="E480">
            <v>9.7579324492656452E-2</v>
          </cell>
        </row>
        <row r="481">
          <cell r="B481" t="str">
            <v>BALTIC JOURNAL OF ECONOMICS</v>
          </cell>
          <cell r="C481" t="str">
            <v>CFU</v>
          </cell>
          <cell r="D481">
            <v>10</v>
          </cell>
          <cell r="E481">
            <v>9.7332343098685992E-2</v>
          </cell>
        </row>
        <row r="482">
          <cell r="B482" t="str">
            <v>ASIAN JOURNAL OF TECHNOLOGY INNOVATION</v>
          </cell>
          <cell r="C482" t="str">
            <v>AGR</v>
          </cell>
          <cell r="D482">
            <v>57</v>
          </cell>
          <cell r="E482">
            <v>9.6479293068118394E-2</v>
          </cell>
        </row>
        <row r="483">
          <cell r="B483" t="str">
            <v>INTERNATIONAL LABOUR REVIEW</v>
          </cell>
          <cell r="C483" t="str">
            <v>BDD</v>
          </cell>
          <cell r="D483">
            <v>38</v>
          </cell>
          <cell r="E483">
            <v>9.5807028669342362E-2</v>
          </cell>
        </row>
        <row r="484">
          <cell r="B484" t="str">
            <v>JOURNAL OF THE KNOWLEDGE ECONOMY</v>
          </cell>
          <cell r="C484" t="str">
            <v>ABO</v>
          </cell>
          <cell r="D484">
            <v>140</v>
          </cell>
          <cell r="E484">
            <v>9.502613230348339E-2</v>
          </cell>
        </row>
        <row r="485">
          <cell r="B485" t="str">
            <v>JOURNAL OF ACCOUNTING AND PUBLIC POLICY</v>
          </cell>
          <cell r="C485" t="str">
            <v>DFK</v>
          </cell>
          <cell r="D485">
            <v>40</v>
          </cell>
          <cell r="E485">
            <v>9.4605995011902325E-2</v>
          </cell>
        </row>
        <row r="486">
          <cell r="B486" t="str">
            <v>SPANISH JOURNAL OF FINANCE AND ACCOUNTING-REVISTA ESPANOLA DE FINANCIACION Y CONTABILIDAD</v>
          </cell>
          <cell r="C486" t="str">
            <v>DEW</v>
          </cell>
          <cell r="D486">
            <v>7</v>
          </cell>
          <cell r="E486">
            <v>9.4464749758447306E-2</v>
          </cell>
        </row>
        <row r="487">
          <cell r="B487" t="str">
            <v>ORGANIZATIONAL DYNAMICS</v>
          </cell>
          <cell r="C487" t="str">
            <v>HAZ</v>
          </cell>
          <cell r="D487">
            <v>49</v>
          </cell>
          <cell r="E487">
            <v>9.4077030967024397E-2</v>
          </cell>
        </row>
        <row r="488">
          <cell r="B488" t="str">
            <v>JOURNAL OF AGRARIAN CHANGE</v>
          </cell>
          <cell r="C488" t="str">
            <v>BAT</v>
          </cell>
          <cell r="D488">
            <v>29</v>
          </cell>
          <cell r="E488">
            <v>9.3780879116665161E-2</v>
          </cell>
        </row>
        <row r="489">
          <cell r="B489" t="str">
            <v>ECONOMICS OF TRANSITION AND INSTITUTIONAL CHANGE</v>
          </cell>
          <cell r="C489" t="str">
            <v>BDF</v>
          </cell>
          <cell r="D489">
            <v>37</v>
          </cell>
          <cell r="E489">
            <v>9.3277909675291815E-2</v>
          </cell>
        </row>
        <row r="490">
          <cell r="B490" t="str">
            <v>EUROPEAN RESEARCH ON MANAGEMENT AND BUSINESS ECONOMICS</v>
          </cell>
          <cell r="C490" t="str">
            <v>CAS</v>
          </cell>
          <cell r="D490">
            <v>22</v>
          </cell>
          <cell r="E490">
            <v>9.1266739710010814E-2</v>
          </cell>
        </row>
        <row r="491">
          <cell r="B491" t="str">
            <v>MANAGERIAL AND DECISION ECONOMICS</v>
          </cell>
          <cell r="C491" t="str">
            <v>AAX</v>
          </cell>
          <cell r="D491">
            <v>161</v>
          </cell>
          <cell r="E491">
            <v>9.0840468847332059E-2</v>
          </cell>
        </row>
        <row r="492">
          <cell r="B492" t="str">
            <v>JOURNAL OF COMPETITIVENESS</v>
          </cell>
          <cell r="C492" t="str">
            <v>BCN</v>
          </cell>
          <cell r="D492">
            <v>40</v>
          </cell>
          <cell r="E492">
            <v>8.9844953054695267E-2</v>
          </cell>
        </row>
        <row r="493">
          <cell r="B493" t="str">
            <v>CHINESE MANAGEMENT STUDIES</v>
          </cell>
          <cell r="C493" t="str">
            <v>HHT</v>
          </cell>
          <cell r="D493">
            <v>57</v>
          </cell>
          <cell r="E493">
            <v>8.9113264443976339E-2</v>
          </cell>
        </row>
        <row r="494">
          <cell r="B494" t="str">
            <v>INTERNATIONAL TRANSACTIONS IN OPERATIONAL RESEARCH</v>
          </cell>
          <cell r="C494" t="str">
            <v>HFL</v>
          </cell>
          <cell r="D494">
            <v>209</v>
          </cell>
          <cell r="E494">
            <v>8.9095781184667752E-2</v>
          </cell>
        </row>
        <row r="495">
          <cell r="B495" t="str">
            <v>TOTAL QUALITY MANAGEMENT &amp; BUSINESS EXCELLENCE</v>
          </cell>
          <cell r="C495" t="str">
            <v>HHB</v>
          </cell>
          <cell r="D495">
            <v>157</v>
          </cell>
          <cell r="E495">
            <v>8.8936450957565041E-2</v>
          </cell>
        </row>
        <row r="496">
          <cell r="B496" t="str">
            <v>NEGOTIATION JOURNAL</v>
          </cell>
          <cell r="C496" t="str">
            <v>HGN</v>
          </cell>
          <cell r="D496">
            <v>32</v>
          </cell>
          <cell r="E496">
            <v>8.8816906050320082E-2</v>
          </cell>
        </row>
        <row r="497">
          <cell r="B497" t="str">
            <v>AUSTRALIAN ECONOMIC PAPERS</v>
          </cell>
          <cell r="C497" t="str">
            <v>BAQ</v>
          </cell>
          <cell r="D497">
            <v>46</v>
          </cell>
          <cell r="E497">
            <v>8.7995261992483614E-2</v>
          </cell>
        </row>
        <row r="498">
          <cell r="B498" t="str">
            <v>COMPUTATIONAL ECONOMICS</v>
          </cell>
          <cell r="C498" t="str">
            <v>AAW</v>
          </cell>
          <cell r="D498">
            <v>163</v>
          </cell>
          <cell r="E498">
            <v>8.7851786493330405E-2</v>
          </cell>
        </row>
        <row r="499">
          <cell r="B499" t="str">
            <v>JOURNAL OF APPLIED ECONOMICS</v>
          </cell>
          <cell r="C499" t="str">
            <v>BCZ</v>
          </cell>
          <cell r="D499">
            <v>39</v>
          </cell>
          <cell r="E499">
            <v>8.7289244116804748E-2</v>
          </cell>
        </row>
        <row r="500">
          <cell r="B500" t="str">
            <v>APPLIED ECONOMICS LETTERS</v>
          </cell>
          <cell r="C500" t="str">
            <v>AAA</v>
          </cell>
          <cell r="D500">
            <v>435</v>
          </cell>
          <cell r="E500">
            <v>8.6797770102206961E-2</v>
          </cell>
        </row>
        <row r="501">
          <cell r="B501" t="str">
            <v>JOURNAL OF VACATION MARKETING</v>
          </cell>
          <cell r="C501" t="str">
            <v>HBY</v>
          </cell>
          <cell r="D501">
            <v>28</v>
          </cell>
          <cell r="E501">
            <v>8.6472503364117548E-2</v>
          </cell>
        </row>
        <row r="502">
          <cell r="B502" t="str">
            <v>ECONOMIC CHANGE AND RESTRUCTURING</v>
          </cell>
          <cell r="C502" t="str">
            <v>AFM</v>
          </cell>
          <cell r="D502">
            <v>65</v>
          </cell>
          <cell r="E502">
            <v>8.5593554022030463E-2</v>
          </cell>
        </row>
        <row r="503">
          <cell r="B503" t="str">
            <v>BULLETIN OF INDONESIAN ECONOMIC STUDIES</v>
          </cell>
          <cell r="C503" t="str">
            <v>CFG</v>
          </cell>
          <cell r="D503">
            <v>12</v>
          </cell>
          <cell r="E503">
            <v>8.4836494228826692E-2</v>
          </cell>
        </row>
        <row r="504">
          <cell r="B504" t="str">
            <v>ECONOMICS OF TRANSPORTATION</v>
          </cell>
          <cell r="C504" t="str">
            <v>CBG</v>
          </cell>
          <cell r="D504">
            <v>21</v>
          </cell>
          <cell r="E504">
            <v>8.4773451770106589E-2</v>
          </cell>
        </row>
        <row r="505">
          <cell r="B505" t="str">
            <v>JOURNAL OF THEORETICAL AND APPLIED ELECTRONIC COMMERCE RESEARCH</v>
          </cell>
          <cell r="C505" t="str">
            <v>DCA</v>
          </cell>
          <cell r="D505">
            <v>20</v>
          </cell>
          <cell r="E505">
            <v>8.4063414554524069E-2</v>
          </cell>
        </row>
        <row r="506">
          <cell r="B506" t="str">
            <v>JOURNAL OF INTERNATIONAL TRADE &amp; ECONOMIC DEVELOPMENT</v>
          </cell>
          <cell r="C506" t="str">
            <v>AFX</v>
          </cell>
          <cell r="D506">
            <v>42</v>
          </cell>
          <cell r="E506">
            <v>8.3485340983620759E-2</v>
          </cell>
        </row>
        <row r="507">
          <cell r="B507" t="str">
            <v>ECON JOURNAL WATCH</v>
          </cell>
          <cell r="C507" t="str">
            <v>CFY</v>
          </cell>
          <cell r="D507">
            <v>9</v>
          </cell>
          <cell r="E507">
            <v>8.2973977983087518E-2</v>
          </cell>
        </row>
        <row r="508">
          <cell r="B508" t="str">
            <v>JOURNAL OF ECONOMIC INTERACTION AND COORDINATION</v>
          </cell>
          <cell r="C508" t="str">
            <v>AHG</v>
          </cell>
          <cell r="D508">
            <v>54</v>
          </cell>
          <cell r="E508">
            <v>8.2966197969626357E-2</v>
          </cell>
        </row>
        <row r="509">
          <cell r="B509" t="str">
            <v>NEGOTIATION AND CONFLICT MANAGEMENT RESEARCH</v>
          </cell>
          <cell r="C509" t="str">
            <v>HGB</v>
          </cell>
          <cell r="D509">
            <v>19</v>
          </cell>
          <cell r="E509">
            <v>8.2904336573234927E-2</v>
          </cell>
        </row>
        <row r="510">
          <cell r="B510" t="str">
            <v>EMPIRICA</v>
          </cell>
          <cell r="C510" t="str">
            <v>AGU</v>
          </cell>
          <cell r="D510">
            <v>60</v>
          </cell>
          <cell r="E510">
            <v>8.2668961661106766E-2</v>
          </cell>
        </row>
        <row r="511">
          <cell r="B511" t="str">
            <v>PACIFIC ECONOMIC REVIEW</v>
          </cell>
          <cell r="C511" t="str">
            <v>BBJ</v>
          </cell>
          <cell r="D511">
            <v>43</v>
          </cell>
          <cell r="E511">
            <v>8.2603180891689013E-2</v>
          </cell>
        </row>
        <row r="512">
          <cell r="B512" t="str">
            <v>SYSTEMS RESEARCH AND BEHAVIORAL SCIENCE</v>
          </cell>
          <cell r="C512" t="str">
            <v>HGL</v>
          </cell>
          <cell r="D512">
            <v>100</v>
          </cell>
          <cell r="E512">
            <v>8.1811762570809812E-2</v>
          </cell>
        </row>
        <row r="513">
          <cell r="B513" t="str">
            <v>INTERNATIONAL JOURNAL OF ECONOMIC THEORY</v>
          </cell>
          <cell r="C513" t="str">
            <v>BBT</v>
          </cell>
          <cell r="D513">
            <v>36</v>
          </cell>
          <cell r="E513">
            <v>8.0431768881780899E-2</v>
          </cell>
        </row>
        <row r="514">
          <cell r="B514" t="str">
            <v>INTERNATIONAL JOURNAL OF ARTS MANAGEMENT</v>
          </cell>
          <cell r="C514" t="str">
            <v>HCM</v>
          </cell>
          <cell r="D514">
            <v>19</v>
          </cell>
          <cell r="E514">
            <v>7.8670796730797535E-2</v>
          </cell>
        </row>
        <row r="515">
          <cell r="B515" t="str">
            <v>REVIEW OF DEVELOPMENT ECONOMICS</v>
          </cell>
          <cell r="C515" t="str">
            <v>ACG</v>
          </cell>
          <cell r="D515">
            <v>99</v>
          </cell>
          <cell r="E515">
            <v>7.7327392340906298E-2</v>
          </cell>
        </row>
        <row r="516">
          <cell r="B516" t="str">
            <v>REVIEW OF RADICAL POLITICAL ECONOMICS</v>
          </cell>
          <cell r="C516" t="str">
            <v>AGV</v>
          </cell>
          <cell r="D516">
            <v>47</v>
          </cell>
          <cell r="E516">
            <v>7.6070442518524392E-2</v>
          </cell>
        </row>
        <row r="517">
          <cell r="B517" t="str">
            <v>INTERNATIONAL JOURNAL OF GAME THEORY</v>
          </cell>
          <cell r="C517" t="str">
            <v>AGW</v>
          </cell>
          <cell r="D517">
            <v>59</v>
          </cell>
          <cell r="E517">
            <v>7.603266705728956E-2</v>
          </cell>
        </row>
        <row r="518">
          <cell r="B518" t="str">
            <v>METROECONOMICA</v>
          </cell>
          <cell r="C518" t="str">
            <v>AHS</v>
          </cell>
          <cell r="D518">
            <v>45</v>
          </cell>
          <cell r="E518">
            <v>7.4385294496171456E-2</v>
          </cell>
        </row>
        <row r="519">
          <cell r="B519" t="str">
            <v>ECONOMIC SYSTEMS RESEARCH</v>
          </cell>
          <cell r="C519" t="str">
            <v>AHE</v>
          </cell>
          <cell r="D519">
            <v>42</v>
          </cell>
          <cell r="E519">
            <v>7.326728553062882E-2</v>
          </cell>
        </row>
        <row r="520">
          <cell r="B520" t="str">
            <v>TECHNOLOGICAL AND ECONOMIC DEVELOPMENT OF ECONOMY</v>
          </cell>
          <cell r="C520" t="str">
            <v>AGO</v>
          </cell>
          <cell r="D520">
            <v>62</v>
          </cell>
          <cell r="E520">
            <v>6.9390897268540599E-2</v>
          </cell>
        </row>
        <row r="521">
          <cell r="B521" t="str">
            <v>HISTORY OF POLITICAL ECONOMY</v>
          </cell>
          <cell r="C521" t="str">
            <v>BBY</v>
          </cell>
          <cell r="D521">
            <v>40</v>
          </cell>
          <cell r="E521">
            <v>6.8156175217344933E-2</v>
          </cell>
        </row>
        <row r="522">
          <cell r="B522" t="str">
            <v>ASIA-PACIFIC JOURNAL OF ACCOUNTING &amp; ECONOMICS</v>
          </cell>
          <cell r="C522" t="str">
            <v>ADA</v>
          </cell>
          <cell r="D522">
            <v>92</v>
          </cell>
          <cell r="E522">
            <v>6.7903929916971514E-2</v>
          </cell>
        </row>
        <row r="523">
          <cell r="B523" t="str">
            <v>ECONOMIA POLITICA</v>
          </cell>
          <cell r="C523" t="str">
            <v>AHP</v>
          </cell>
          <cell r="D523">
            <v>47</v>
          </cell>
          <cell r="E523">
            <v>6.767927786837892E-2</v>
          </cell>
        </row>
        <row r="524">
          <cell r="B524" t="str">
            <v>INTERNATIONAL JOURNAL OF ISLAMIC AND MIDDLE EASTERN FINANCE AND MANAGEMENT</v>
          </cell>
          <cell r="C524" t="str">
            <v>DEZ</v>
          </cell>
          <cell r="D524">
            <v>62</v>
          </cell>
          <cell r="E524">
            <v>6.7032886113257389E-2</v>
          </cell>
        </row>
        <row r="525">
          <cell r="B525" t="str">
            <v>JOURNAL OF ECONOMIC ISSUES</v>
          </cell>
          <cell r="C525" t="str">
            <v>AER</v>
          </cell>
          <cell r="D525">
            <v>77</v>
          </cell>
          <cell r="E525">
            <v>6.6822376012404733E-2</v>
          </cell>
        </row>
        <row r="526">
          <cell r="B526" t="str">
            <v>JOURNAL OF RISK MODEL VALIDATION</v>
          </cell>
          <cell r="C526" t="str">
            <v>DEQ</v>
          </cell>
          <cell r="D526">
            <v>16</v>
          </cell>
          <cell r="E526">
            <v>6.6674462820852251E-2</v>
          </cell>
        </row>
        <row r="527">
          <cell r="B527" t="str">
            <v>INTERNATIONAL JOURNAL OF STRATEGIC PROPERTY MANAGEMENT</v>
          </cell>
          <cell r="C527" t="str">
            <v>HER</v>
          </cell>
          <cell r="D527">
            <v>33</v>
          </cell>
          <cell r="E527">
            <v>6.6370108717964935E-2</v>
          </cell>
        </row>
        <row r="528">
          <cell r="B528" t="str">
            <v>AUSTRALIAN ECONOMIC HISTORY REVIEW</v>
          </cell>
          <cell r="C528" t="str">
            <v>CCM</v>
          </cell>
          <cell r="D528">
            <v>16</v>
          </cell>
          <cell r="E528">
            <v>6.6356682294252095E-2</v>
          </cell>
        </row>
        <row r="529">
          <cell r="B529" t="str">
            <v>OECONOMIA COPERNICANA</v>
          </cell>
          <cell r="C529" t="str">
            <v>BFB</v>
          </cell>
          <cell r="D529">
            <v>31</v>
          </cell>
          <cell r="E529">
            <v>6.5739773713578586E-2</v>
          </cell>
        </row>
        <row r="530">
          <cell r="B530" t="str">
            <v>B E JOURNAL OF MACROECONOMICS</v>
          </cell>
          <cell r="C530" t="str">
            <v>BEG</v>
          </cell>
          <cell r="D530">
            <v>35</v>
          </cell>
          <cell r="E530">
            <v>6.5429022999122996E-2</v>
          </cell>
        </row>
        <row r="531">
          <cell r="B531" t="str">
            <v>SOUTH AFRICAN JOURNAL OF ECONOMICS</v>
          </cell>
          <cell r="C531" t="str">
            <v>BEB</v>
          </cell>
          <cell r="D531">
            <v>30</v>
          </cell>
          <cell r="E531">
            <v>6.5162852315068256E-2</v>
          </cell>
        </row>
        <row r="532">
          <cell r="B532" t="str">
            <v>EASTERN EUROPEAN ECONOMICS</v>
          </cell>
          <cell r="C532" t="str">
            <v>BFX</v>
          </cell>
          <cell r="D532">
            <v>22</v>
          </cell>
          <cell r="E532">
            <v>6.3903130898759569E-2</v>
          </cell>
        </row>
        <row r="533">
          <cell r="B533" t="str">
            <v>POST-COMMUNIST ECONOMIES</v>
          </cell>
          <cell r="C533" t="str">
            <v>AEK</v>
          </cell>
          <cell r="D533">
            <v>52</v>
          </cell>
          <cell r="E533">
            <v>6.3407739735248769E-2</v>
          </cell>
        </row>
        <row r="534">
          <cell r="B534" t="str">
            <v>DEVELOPING ECONOMIES</v>
          </cell>
          <cell r="C534" t="str">
            <v>CFQ</v>
          </cell>
          <cell r="D534">
            <v>10</v>
          </cell>
          <cell r="E534">
            <v>6.3356284219206027E-2</v>
          </cell>
        </row>
        <row r="535">
          <cell r="B535" t="str">
            <v>ECONOMIC RESEARCH-EKONOMSKA ISTRAZIVANJA</v>
          </cell>
          <cell r="C535" t="str">
            <v>AAI</v>
          </cell>
          <cell r="D535">
            <v>281</v>
          </cell>
          <cell r="E535">
            <v>6.3338363247917598E-2</v>
          </cell>
        </row>
        <row r="536">
          <cell r="B536" t="str">
            <v>HEALTH ECONOMICS REVIEW</v>
          </cell>
          <cell r="C536" t="str">
            <v>BDE</v>
          </cell>
          <cell r="D536">
            <v>31</v>
          </cell>
          <cell r="E536">
            <v>6.30198780686545E-2</v>
          </cell>
        </row>
        <row r="537">
          <cell r="B537" t="str">
            <v>GROUP DECISION AND NEGOTIATION</v>
          </cell>
          <cell r="C537" t="str">
            <v>HGM</v>
          </cell>
          <cell r="D537">
            <v>62</v>
          </cell>
          <cell r="E537">
            <v>6.2951097522018579E-2</v>
          </cell>
        </row>
        <row r="538">
          <cell r="B538" t="str">
            <v>ASIAN ECONOMIC JOURNAL</v>
          </cell>
          <cell r="C538" t="str">
            <v>CDL</v>
          </cell>
          <cell r="D538">
            <v>17</v>
          </cell>
          <cell r="E538">
            <v>6.2092054681850882E-2</v>
          </cell>
        </row>
        <row r="539">
          <cell r="B539" t="str">
            <v>B E JOURNAL OF ECONOMIC ANALYSIS &amp; POLICY</v>
          </cell>
          <cell r="C539" t="str">
            <v>BAU</v>
          </cell>
          <cell r="D539">
            <v>46</v>
          </cell>
          <cell r="E539">
            <v>6.1649525964442883E-2</v>
          </cell>
        </row>
        <row r="540">
          <cell r="B540" t="str">
            <v>REVIEW OF DERIVATIVES RESEARCH</v>
          </cell>
          <cell r="C540" t="str">
            <v>CDC</v>
          </cell>
          <cell r="D540">
            <v>18</v>
          </cell>
          <cell r="E540">
            <v>6.1502185875312219E-2</v>
          </cell>
        </row>
        <row r="541">
          <cell r="B541" t="str">
            <v>EUROPEAN JOURNAL OF THE HISTORY OF ECONOMIC THOUGHT</v>
          </cell>
          <cell r="C541" t="str">
            <v>AGA</v>
          </cell>
          <cell r="D541">
            <v>59</v>
          </cell>
          <cell r="E541">
            <v>6.1377303571224569E-2</v>
          </cell>
        </row>
        <row r="542">
          <cell r="B542" t="str">
            <v>RESEARCH IN TRANSPORTATION ECONOMICS</v>
          </cell>
          <cell r="C542" t="str">
            <v>ACP</v>
          </cell>
          <cell r="D542">
            <v>107</v>
          </cell>
          <cell r="E542">
            <v>6.0166763861319861E-2</v>
          </cell>
        </row>
        <row r="543">
          <cell r="B543" t="str">
            <v>JOURNAL OF WORLD TRADE</v>
          </cell>
          <cell r="C543" t="str">
            <v>BBZ</v>
          </cell>
          <cell r="D543">
            <v>42</v>
          </cell>
          <cell r="E543">
            <v>5.9665544398374917E-2</v>
          </cell>
        </row>
        <row r="544">
          <cell r="B544" t="str">
            <v>INTERNATIONAL JOURNAL OF TECHNOLOGY MANAGEMENT</v>
          </cell>
          <cell r="C544" t="str">
            <v>HPP</v>
          </cell>
          <cell r="D544">
            <v>40</v>
          </cell>
          <cell r="E544">
            <v>5.8093435568673607E-2</v>
          </cell>
        </row>
        <row r="545">
          <cell r="B545" t="str">
            <v>REVISTA DE CONTABILIDAD-SPANISH ACCOUNTING REVIEW</v>
          </cell>
          <cell r="C545" t="str">
            <v>DEK</v>
          </cell>
          <cell r="D545">
            <v>19</v>
          </cell>
          <cell r="E545">
            <v>5.7974292956118043E-2</v>
          </cell>
        </row>
        <row r="546">
          <cell r="B546" t="str">
            <v>JAPAN AND THE WORLD ECONOMY</v>
          </cell>
          <cell r="C546" t="str">
            <v>BGZ</v>
          </cell>
          <cell r="D546">
            <v>27</v>
          </cell>
          <cell r="E546">
            <v>5.7131468494520873E-2</v>
          </cell>
        </row>
        <row r="547">
          <cell r="B547" t="str">
            <v>ANNALS OF PUBLIC AND COOPERATIVE ECONOMICS</v>
          </cell>
          <cell r="C547" t="str">
            <v>AHX</v>
          </cell>
          <cell r="D547">
            <v>47</v>
          </cell>
          <cell r="E547">
            <v>5.6700808039389129E-2</v>
          </cell>
        </row>
        <row r="548">
          <cell r="B548" t="str">
            <v>INTERNATIONAL JOURNAL OF HEALTH ECONOMICS AND MANAGEMENT</v>
          </cell>
          <cell r="C548" t="str">
            <v>CAF</v>
          </cell>
          <cell r="D548">
            <v>22</v>
          </cell>
          <cell r="E548">
            <v>5.6059664959957831E-2</v>
          </cell>
        </row>
        <row r="549">
          <cell r="B549" t="str">
            <v>FINANZARCHIV</v>
          </cell>
          <cell r="C549" t="str">
            <v>DEX</v>
          </cell>
          <cell r="D549">
            <v>12</v>
          </cell>
          <cell r="E549">
            <v>5.5866355190263943E-2</v>
          </cell>
        </row>
        <row r="550">
          <cell r="B550" t="str">
            <v>REVIEW OF NETWORK ECONOMICS</v>
          </cell>
          <cell r="C550" t="str">
            <v>CGS</v>
          </cell>
          <cell r="D550">
            <v>6</v>
          </cell>
          <cell r="E550">
            <v>5.5461960344864579E-2</v>
          </cell>
        </row>
        <row r="551">
          <cell r="B551" t="str">
            <v>INVESTMENT ANALYSTS JOURNAL</v>
          </cell>
          <cell r="C551" t="str">
            <v>DEI</v>
          </cell>
          <cell r="D551">
            <v>21</v>
          </cell>
          <cell r="E551">
            <v>5.4790998621509518E-2</v>
          </cell>
        </row>
        <row r="552">
          <cell r="B552" t="str">
            <v>JOURNAL OF BUSINESS ECONOMICS AND MANAGEMENT</v>
          </cell>
          <cell r="C552" t="str">
            <v>AED</v>
          </cell>
          <cell r="D552">
            <v>83</v>
          </cell>
          <cell r="E552">
            <v>5.4152002078446108E-2</v>
          </cell>
        </row>
        <row r="553">
          <cell r="B553" t="str">
            <v>JOURNAL OF RISK</v>
          </cell>
          <cell r="C553" t="str">
            <v>DEH</v>
          </cell>
          <cell r="D553">
            <v>23</v>
          </cell>
          <cell r="E553">
            <v>5.3733541409382669E-2</v>
          </cell>
        </row>
        <row r="554">
          <cell r="B554" t="str">
            <v>REVUE D ECONOMIE POLITIQUE</v>
          </cell>
          <cell r="C554" t="str">
            <v>BDW</v>
          </cell>
          <cell r="D554">
            <v>36</v>
          </cell>
          <cell r="E554">
            <v>5.2671109180390183E-2</v>
          </cell>
        </row>
        <row r="555">
          <cell r="B555" t="str">
            <v>JOURNAL OF TRANSPORT ECONOMICS AND POLICY</v>
          </cell>
          <cell r="C555" t="str">
            <v>CET</v>
          </cell>
          <cell r="D555">
            <v>13</v>
          </cell>
          <cell r="E555">
            <v>5.2548409569122587E-2</v>
          </cell>
        </row>
        <row r="556">
          <cell r="B556" t="str">
            <v>JOURNAL OF POST KEYNESIAN ECONOMICS</v>
          </cell>
          <cell r="C556" t="str">
            <v>BAV</v>
          </cell>
          <cell r="D556">
            <v>38</v>
          </cell>
          <cell r="E556">
            <v>5.1976494414972582E-2</v>
          </cell>
        </row>
        <row r="557">
          <cell r="B557" t="str">
            <v>ECONOMICS OF GOVERNANCE</v>
          </cell>
          <cell r="C557" t="str">
            <v>CDW</v>
          </cell>
          <cell r="D557">
            <v>13</v>
          </cell>
          <cell r="E557">
            <v>5.0737342691497787E-2</v>
          </cell>
        </row>
        <row r="558">
          <cell r="B558" t="str">
            <v>APPLIED ECONOMIC ANALYSIS</v>
          </cell>
          <cell r="C558" t="str">
            <v>CFE</v>
          </cell>
          <cell r="D558">
            <v>12</v>
          </cell>
          <cell r="E558">
            <v>4.9286978025443351E-2</v>
          </cell>
        </row>
        <row r="559">
          <cell r="B559" t="str">
            <v>BULLETIN OF ECONOMIC RESEARCH</v>
          </cell>
          <cell r="C559" t="str">
            <v>BAO</v>
          </cell>
          <cell r="D559">
            <v>38</v>
          </cell>
          <cell r="E559">
            <v>4.6697314758071838E-2</v>
          </cell>
        </row>
        <row r="560">
          <cell r="B560" t="str">
            <v>JOURNAL OF THE ASIA PACIFIC ECONOMY</v>
          </cell>
          <cell r="C560" t="str">
            <v>ADW</v>
          </cell>
          <cell r="D560">
            <v>56</v>
          </cell>
          <cell r="E560">
            <v>4.661705280314378E-2</v>
          </cell>
        </row>
        <row r="561">
          <cell r="B561" t="str">
            <v>SCIENCE TECHNOLOGY AND SOCIETY</v>
          </cell>
          <cell r="C561" t="str">
            <v>HEV</v>
          </cell>
          <cell r="D561">
            <v>32</v>
          </cell>
          <cell r="E561">
            <v>4.6451224916193433E-2</v>
          </cell>
        </row>
        <row r="562">
          <cell r="B562" t="str">
            <v>SINGAPORE ECONOMIC REVIEW</v>
          </cell>
          <cell r="C562" t="str">
            <v>ACH</v>
          </cell>
          <cell r="D562">
            <v>115</v>
          </cell>
          <cell r="E562">
            <v>4.5110347435932022E-2</v>
          </cell>
        </row>
        <row r="563">
          <cell r="B563" t="str">
            <v>PANOECONOMICUS</v>
          </cell>
          <cell r="C563" t="str">
            <v>BEZ</v>
          </cell>
          <cell r="D563">
            <v>39</v>
          </cell>
          <cell r="E563">
            <v>4.3345905094089802E-2</v>
          </cell>
        </row>
        <row r="564">
          <cell r="B564" t="str">
            <v>JOURNAL OF OPERATIONAL RISK</v>
          </cell>
          <cell r="C564" t="str">
            <v>DER</v>
          </cell>
          <cell r="D564">
            <v>15</v>
          </cell>
          <cell r="E564">
            <v>4.3291397783492058E-2</v>
          </cell>
        </row>
        <row r="565">
          <cell r="B565" t="str">
            <v>RBGN-REVISTA BRASILEIRA DE GESTAO DE NEGOCIOS</v>
          </cell>
          <cell r="C565" t="str">
            <v>DHJ</v>
          </cell>
          <cell r="D565">
            <v>48</v>
          </cell>
          <cell r="E565">
            <v>4.3066894302331557E-2</v>
          </cell>
        </row>
        <row r="566">
          <cell r="B566" t="str">
            <v>SYSTEMIC PRACTICE AND ACTION RESEARCH</v>
          </cell>
          <cell r="C566" t="str">
            <v>HHS</v>
          </cell>
          <cell r="D566">
            <v>58</v>
          </cell>
          <cell r="E566">
            <v>4.1257573937612327E-2</v>
          </cell>
        </row>
        <row r="567">
          <cell r="B567" t="str">
            <v>ASIAN ECONOMIC PAPERS</v>
          </cell>
          <cell r="C567" t="str">
            <v>CCU</v>
          </cell>
          <cell r="D567">
            <v>18</v>
          </cell>
          <cell r="E567">
            <v>4.1053648172444522E-2</v>
          </cell>
        </row>
        <row r="568">
          <cell r="B568" t="str">
            <v>ROMANIAN JOURNAL OF ECONOMIC FORECASTING</v>
          </cell>
          <cell r="C568" t="str">
            <v>BCU</v>
          </cell>
          <cell r="D568">
            <v>40</v>
          </cell>
          <cell r="E568">
            <v>3.9264928046683259E-2</v>
          </cell>
        </row>
        <row r="569">
          <cell r="B569" t="str">
            <v>GLOBAL ECONOMIC REVIEW</v>
          </cell>
          <cell r="C569" t="str">
            <v>BGF</v>
          </cell>
          <cell r="D569">
            <v>25</v>
          </cell>
          <cell r="E569">
            <v>3.8992989903602719E-2</v>
          </cell>
        </row>
        <row r="570">
          <cell r="B570" t="str">
            <v>JOURNAL OF AUSTRALIAN POLITICAL ECONOMY</v>
          </cell>
          <cell r="C570" t="str">
            <v>BCI</v>
          </cell>
          <cell r="D570">
            <v>41</v>
          </cell>
          <cell r="E570">
            <v>3.8597583971772223E-2</v>
          </cell>
        </row>
        <row r="571">
          <cell r="B571" t="str">
            <v>CEPAL REVIEW</v>
          </cell>
          <cell r="C571" t="str">
            <v>BEJ</v>
          </cell>
          <cell r="D571">
            <v>35</v>
          </cell>
          <cell r="E571">
            <v>3.6840545657188223E-2</v>
          </cell>
        </row>
        <row r="572">
          <cell r="B572" t="str">
            <v>TRIMESTRE ECONOMICO</v>
          </cell>
          <cell r="C572" t="str">
            <v>BDI</v>
          </cell>
          <cell r="D572">
            <v>37</v>
          </cell>
          <cell r="E572">
            <v>3.6649744999364013E-2</v>
          </cell>
        </row>
        <row r="573">
          <cell r="B573" t="str">
            <v>INZINERINE EKONOMIKA-ENGINEERING ECONOMICS</v>
          </cell>
          <cell r="C573" t="str">
            <v>BAL</v>
          </cell>
          <cell r="D573">
            <v>50</v>
          </cell>
          <cell r="E573">
            <v>3.637552859939043E-2</v>
          </cell>
        </row>
        <row r="574">
          <cell r="B574" t="str">
            <v>SOUTH AFRICAN JOURNAL OF BUSINESS MANAGEMENT</v>
          </cell>
          <cell r="C574" t="str">
            <v>HAN</v>
          </cell>
          <cell r="D574">
            <v>29</v>
          </cell>
          <cell r="E574">
            <v>3.6018702380977381E-2</v>
          </cell>
        </row>
        <row r="575">
          <cell r="B575" t="str">
            <v>ESTUDIOS DE ECONOMIA</v>
          </cell>
          <cell r="C575" t="str">
            <v>CFX</v>
          </cell>
          <cell r="D575">
            <v>10</v>
          </cell>
          <cell r="E575">
            <v>3.5447245482499487E-2</v>
          </cell>
        </row>
        <row r="576">
          <cell r="B576" t="str">
            <v>FINANCE A UVER-CZECH JOURNAL OF ECONOMICS AND FINANCE</v>
          </cell>
          <cell r="C576" t="str">
            <v>DEF</v>
          </cell>
          <cell r="D576">
            <v>24</v>
          </cell>
          <cell r="E576">
            <v>3.5009655483409861E-2</v>
          </cell>
        </row>
        <row r="577">
          <cell r="B577" t="str">
            <v>ASIAN-PACIFIC ECONOMIC LITERATURE</v>
          </cell>
          <cell r="C577" t="str">
            <v>CES</v>
          </cell>
          <cell r="D577">
            <v>13</v>
          </cell>
          <cell r="E577">
            <v>3.4532766376694272E-2</v>
          </cell>
        </row>
        <row r="578">
          <cell r="B578" t="str">
            <v>INDEPENDENT REVIEW</v>
          </cell>
          <cell r="C578" t="str">
            <v>BCV</v>
          </cell>
          <cell r="D578">
            <v>40</v>
          </cell>
          <cell r="E578">
            <v>3.3413486789792488E-2</v>
          </cell>
        </row>
        <row r="579">
          <cell r="B579" t="str">
            <v>ACADEMIA-REVISTA LATINOAMERICANA DE ADMINISTRACION</v>
          </cell>
          <cell r="C579" t="str">
            <v>DHX</v>
          </cell>
          <cell r="D579">
            <v>35</v>
          </cell>
          <cell r="E579">
            <v>3.3092850501759863E-2</v>
          </cell>
        </row>
        <row r="580">
          <cell r="B580" t="str">
            <v>PORTUGUESE ECONOMIC JOURNAL</v>
          </cell>
          <cell r="C580" t="str">
            <v>BFT</v>
          </cell>
          <cell r="D580">
            <v>29</v>
          </cell>
          <cell r="E580">
            <v>3.2713890123833973E-2</v>
          </cell>
        </row>
        <row r="581">
          <cell r="B581" t="str">
            <v>ENGINEERING ECONOMIST</v>
          </cell>
          <cell r="C581" t="str">
            <v>DFV</v>
          </cell>
          <cell r="D581">
            <v>18</v>
          </cell>
          <cell r="E581">
            <v>3.2587225068718653E-2</v>
          </cell>
        </row>
        <row r="582">
          <cell r="B582" t="str">
            <v>ANNALS OF ECONOMICS AND FINANCE</v>
          </cell>
          <cell r="C582" t="str">
            <v>CCP</v>
          </cell>
          <cell r="D582">
            <v>19</v>
          </cell>
          <cell r="E582">
            <v>3.0565468860029189E-2</v>
          </cell>
        </row>
        <row r="583">
          <cell r="B583" t="str">
            <v>RAE-REVISTA DE ADMINISTRACAO DE EMPRESAS</v>
          </cell>
          <cell r="C583" t="str">
            <v>HAH</v>
          </cell>
          <cell r="D583">
            <v>32</v>
          </cell>
          <cell r="E583">
            <v>3.0008696524763769E-2</v>
          </cell>
        </row>
        <row r="584">
          <cell r="B584" t="str">
            <v>SOUTH AFRICAN JOURNAL OF ECONOMIC AND MANAGEMENT SCIENCES</v>
          </cell>
          <cell r="C584" t="str">
            <v>BDV</v>
          </cell>
          <cell r="D584">
            <v>35</v>
          </cell>
          <cell r="E584">
            <v>2.8790452120994091E-2</v>
          </cell>
        </row>
        <row r="585">
          <cell r="B585" t="str">
            <v>INTERNATIONAL JOURNAL OF SHIPPING AND TRANSPORT LOGISTICS</v>
          </cell>
          <cell r="C585" t="str">
            <v>HGP</v>
          </cell>
          <cell r="D585">
            <v>28</v>
          </cell>
          <cell r="E585">
            <v>2.8213235721373141E-2</v>
          </cell>
        </row>
        <row r="586">
          <cell r="B586" t="str">
            <v>B E JOURNAL OF THEORETICAL ECONOMICS</v>
          </cell>
          <cell r="C586" t="str">
            <v>BCJ</v>
          </cell>
          <cell r="D586">
            <v>41</v>
          </cell>
          <cell r="E586">
            <v>2.784136377522213E-2</v>
          </cell>
        </row>
        <row r="587">
          <cell r="B587" t="str">
            <v>SPANISH JOURNAL OF FINANCE AND ACCOUNTING-REVISTA ESPANOLA DE FINANCIACION Y CONTABILIDA</v>
          </cell>
          <cell r="C587" t="str">
            <v>DEM</v>
          </cell>
          <cell r="D587">
            <v>18</v>
          </cell>
          <cell r="E587">
            <v>2.745784932956934E-2</v>
          </cell>
        </row>
        <row r="588">
          <cell r="B588" t="str">
            <v>AGRICULTURAL ECONOMICS-ZEMEDELSKA EKONOMIKA</v>
          </cell>
          <cell r="C588" t="str">
            <v>AHH</v>
          </cell>
          <cell r="D588">
            <v>56</v>
          </cell>
          <cell r="E588">
            <v>2.719244768703194E-2</v>
          </cell>
        </row>
        <row r="589">
          <cell r="B589" t="str">
            <v>KOREAN ECONOMIC REVIEW</v>
          </cell>
          <cell r="C589" t="str">
            <v>CEC</v>
          </cell>
          <cell r="D589">
            <v>15</v>
          </cell>
          <cell r="E589">
            <v>2.718448351837777E-2</v>
          </cell>
        </row>
        <row r="590">
          <cell r="B590" t="str">
            <v>ECONOMICS-THE OPEN ACCESS OPEN-ASSESSMENT E-JOURNAL</v>
          </cell>
          <cell r="C590" t="str">
            <v>BHO</v>
          </cell>
          <cell r="D590">
            <v>25</v>
          </cell>
          <cell r="E590">
            <v>2.7003056282040621E-2</v>
          </cell>
        </row>
        <row r="591">
          <cell r="B591" t="str">
            <v>HITOTSUBASHI JOURNAL OF ECONOMICS</v>
          </cell>
          <cell r="C591" t="str">
            <v>CGM</v>
          </cell>
          <cell r="D591">
            <v>8</v>
          </cell>
          <cell r="E591">
            <v>2.6882542061966091E-2</v>
          </cell>
        </row>
        <row r="592">
          <cell r="B592" t="str">
            <v>PRAGUE ECONOMIC PAPERS</v>
          </cell>
          <cell r="C592" t="str">
            <v>BEF</v>
          </cell>
          <cell r="D592">
            <v>35</v>
          </cell>
          <cell r="E592">
            <v>2.6469266766175739E-2</v>
          </cell>
        </row>
        <row r="593">
          <cell r="B593" t="str">
            <v>REVISTA DE ECONOMIA MUNDIAL</v>
          </cell>
          <cell r="C593" t="str">
            <v>CBB</v>
          </cell>
          <cell r="D593">
            <v>19</v>
          </cell>
          <cell r="E593">
            <v>2.570992509948582E-2</v>
          </cell>
        </row>
        <row r="594">
          <cell r="B594" t="str">
            <v>JOURNAL OF FOREST ECONOMICS</v>
          </cell>
          <cell r="C594" t="str">
            <v>CDX</v>
          </cell>
          <cell r="D594">
            <v>16</v>
          </cell>
          <cell r="E594">
            <v>2.3675948160880571E-2</v>
          </cell>
        </row>
        <row r="595">
          <cell r="B595" t="str">
            <v>INFORMATION TECHNOLOGY &amp; MANAGEMENT</v>
          </cell>
          <cell r="C595" t="str">
            <v>HCZ</v>
          </cell>
          <cell r="D595">
            <v>12</v>
          </cell>
          <cell r="E595">
            <v>2.2476803920152239E-2</v>
          </cell>
        </row>
        <row r="596">
          <cell r="B596" t="str">
            <v>JOURNAL OF WORLD ENERGY LAW &amp; BUSINESS</v>
          </cell>
          <cell r="C596" t="str">
            <v>HCA</v>
          </cell>
          <cell r="D596">
            <v>32</v>
          </cell>
          <cell r="E596">
            <v>2.2040113605175739E-2</v>
          </cell>
        </row>
        <row r="597">
          <cell r="B597" t="str">
            <v>E &amp; M EKONOMIE A MANAGEMENT</v>
          </cell>
          <cell r="C597" t="str">
            <v>AHV</v>
          </cell>
          <cell r="D597">
            <v>55</v>
          </cell>
          <cell r="E597">
            <v>2.1978054213688609E-2</v>
          </cell>
        </row>
        <row r="598">
          <cell r="B598" t="str">
            <v>JOURNAL OF EAST EUROPEAN MANAGEMENT STUDIES</v>
          </cell>
          <cell r="C598" t="str">
            <v>HEM</v>
          </cell>
          <cell r="D598">
            <v>37</v>
          </cell>
          <cell r="E598">
            <v>2.190179069617703E-2</v>
          </cell>
        </row>
        <row r="599">
          <cell r="B599" t="str">
            <v>LATIN AMERICAN ECONOMIC REVIEW</v>
          </cell>
          <cell r="C599" t="str">
            <v>CGE</v>
          </cell>
          <cell r="D599">
            <v>6</v>
          </cell>
          <cell r="E599">
            <v>2.0668483507941902E-2</v>
          </cell>
        </row>
        <row r="600">
          <cell r="B600" t="str">
            <v>ACTA OECONOMICA</v>
          </cell>
          <cell r="C600" t="str">
            <v>BDG</v>
          </cell>
          <cell r="D600">
            <v>37</v>
          </cell>
          <cell r="E600">
            <v>2.038796380047983E-2</v>
          </cell>
        </row>
        <row r="601">
          <cell r="B601" t="str">
            <v>JOURNAL OF KOREA TRADE</v>
          </cell>
          <cell r="C601" t="str">
            <v>AHO</v>
          </cell>
          <cell r="D601">
            <v>57</v>
          </cell>
          <cell r="E601">
            <v>2.0287741235676358E-2</v>
          </cell>
        </row>
        <row r="602">
          <cell r="B602" t="str">
            <v>EKONOMICKY CASOPIS</v>
          </cell>
          <cell r="C602" t="str">
            <v>BAD</v>
          </cell>
          <cell r="D602">
            <v>53</v>
          </cell>
          <cell r="E602">
            <v>1.88046905955816E-2</v>
          </cell>
        </row>
        <row r="603">
          <cell r="B603" t="str">
            <v>AMFITEATRU ECONOMIC</v>
          </cell>
          <cell r="C603" t="str">
            <v>AFJ</v>
          </cell>
          <cell r="D603">
            <v>72</v>
          </cell>
          <cell r="E603">
            <v>1.8352129235518041E-2</v>
          </cell>
        </row>
        <row r="604">
          <cell r="B604" t="str">
            <v>HACIENDA PUBLICA ESPANOLA-REVIEW OF PUBLIC ECONOMICS</v>
          </cell>
          <cell r="C604" t="str">
            <v>CAW</v>
          </cell>
          <cell r="D604">
            <v>22</v>
          </cell>
          <cell r="E604">
            <v>1.7716313809968749E-2</v>
          </cell>
        </row>
        <row r="605">
          <cell r="B605" t="str">
            <v>TRANSFORMATIONS IN BUSINESS &amp; ECONOMICS</v>
          </cell>
          <cell r="C605" t="str">
            <v>ADF</v>
          </cell>
          <cell r="D605">
            <v>97</v>
          </cell>
          <cell r="E605">
            <v>1.71302020698141E-2</v>
          </cell>
        </row>
        <row r="606">
          <cell r="B606" t="str">
            <v>ARGUMENTA OECONOMICA</v>
          </cell>
          <cell r="C606" t="str">
            <v>BHC</v>
          </cell>
          <cell r="D606">
            <v>27</v>
          </cell>
          <cell r="E606">
            <v>1.5625522486560021E-2</v>
          </cell>
        </row>
        <row r="607">
          <cell r="B607" t="str">
            <v>ECONOMIC COMPUTATION AND ECONOMIC CYBERNETICS STUDIES AND RESEARCH</v>
          </cell>
          <cell r="C607" t="str">
            <v>AEX</v>
          </cell>
          <cell r="D607">
            <v>76</v>
          </cell>
          <cell r="E607">
            <v>1.5371933331777341E-2</v>
          </cell>
        </row>
        <row r="608">
          <cell r="B608" t="str">
            <v>INVESTIGACION ECONOMICA</v>
          </cell>
          <cell r="C608" t="str">
            <v>CCE</v>
          </cell>
          <cell r="D608">
            <v>20</v>
          </cell>
          <cell r="E608">
            <v>1.3766701259760211E-2</v>
          </cell>
        </row>
        <row r="609">
          <cell r="B609" t="str">
            <v>CUSTOS E AGRONEGOCIO ON LINE</v>
          </cell>
          <cell r="C609" t="str">
            <v>ACV</v>
          </cell>
          <cell r="D609">
            <v>104</v>
          </cell>
          <cell r="E609">
            <v>1.336588583219352E-2</v>
          </cell>
        </row>
        <row r="610">
          <cell r="B610" t="str">
            <v>INTERNATIONAL JOURNAL OF TRANSPORT ECONOMICS</v>
          </cell>
          <cell r="C610" t="str">
            <v>CCG</v>
          </cell>
          <cell r="D610">
            <v>20</v>
          </cell>
          <cell r="E610">
            <v>1.231500048628739E-2</v>
          </cell>
        </row>
        <row r="611">
          <cell r="B611" t="str">
            <v>POLITICKA EKONOMIE</v>
          </cell>
          <cell r="C611" t="str">
            <v>BGL</v>
          </cell>
          <cell r="D611">
            <v>29</v>
          </cell>
          <cell r="E611">
            <v>1.0941516285526059E-2</v>
          </cell>
        </row>
        <row r="612">
          <cell r="B612" t="str">
            <v>REVUE D ETUDES COMPARATIVES EST-OUEST</v>
          </cell>
          <cell r="C612" t="str">
            <v>CCR</v>
          </cell>
          <cell r="D612">
            <v>19</v>
          </cell>
          <cell r="E612">
            <v>0.01</v>
          </cell>
        </row>
        <row r="613">
          <cell r="B613" t="str">
            <v>BETRIEBSWIRTSCHAFTLICHE FORSCHUNG UND PRAXIS</v>
          </cell>
          <cell r="C613" t="str">
            <v>DFQ</v>
          </cell>
          <cell r="D613">
            <v>26</v>
          </cell>
          <cell r="E613">
            <v>0.01</v>
          </cell>
        </row>
        <row r="614">
          <cell r="B614" t="str">
            <v>MILITARY OPERATIONS RESEARCH</v>
          </cell>
          <cell r="C614" t="str">
            <v>HGR</v>
          </cell>
          <cell r="D614">
            <v>17</v>
          </cell>
          <cell r="E614">
            <v>0.01</v>
          </cell>
        </row>
      </sheetData>
      <sheetData sheetId="3">
        <row r="1">
          <cell r="B1" t="str">
            <v>institution</v>
          </cell>
          <cell r="C1" t="str">
            <v>pub</v>
          </cell>
          <cell r="D1" t="str">
            <v>acr</v>
          </cell>
          <cell r="E1" t="str">
            <v>iscore</v>
          </cell>
        </row>
        <row r="2">
          <cell r="B2" t="str">
            <v>Center for Economic &amp; Policy Research (CEPR)</v>
          </cell>
          <cell r="C2">
            <v>158</v>
          </cell>
          <cell r="D2" t="str">
            <v>CBM</v>
          </cell>
          <cell r="E2">
            <v>8</v>
          </cell>
        </row>
        <row r="3">
          <cell r="B3" t="str">
            <v>University of Chicago</v>
          </cell>
          <cell r="C3">
            <v>203</v>
          </cell>
          <cell r="D3" t="str">
            <v>AAU</v>
          </cell>
          <cell r="E3">
            <v>7.9167939820521784</v>
          </cell>
        </row>
        <row r="4">
          <cell r="B4" t="str">
            <v>University of California Santa Barbara</v>
          </cell>
          <cell r="C4">
            <v>56</v>
          </cell>
          <cell r="D4" t="str">
            <v>ACZ</v>
          </cell>
          <cell r="E4">
            <v>7.8669057359282943</v>
          </cell>
        </row>
        <row r="5">
          <cell r="B5" t="str">
            <v>London Business School</v>
          </cell>
          <cell r="C5">
            <v>61</v>
          </cell>
          <cell r="D5" t="str">
            <v>ABF</v>
          </cell>
          <cell r="E5">
            <v>6.8992680164598612</v>
          </cell>
        </row>
        <row r="6">
          <cell r="B6" t="str">
            <v>Princeton University</v>
          </cell>
          <cell r="C6">
            <v>113</v>
          </cell>
          <cell r="D6" t="str">
            <v>AAN</v>
          </cell>
          <cell r="E6">
            <v>6.7455877651758529</v>
          </cell>
        </row>
        <row r="7">
          <cell r="B7" t="str">
            <v>Yale University</v>
          </cell>
          <cell r="C7">
            <v>165</v>
          </cell>
          <cell r="D7" t="str">
            <v>AAY</v>
          </cell>
          <cell r="E7">
            <v>6.0289883070787189</v>
          </cell>
        </row>
        <row r="8">
          <cell r="B8" t="str">
            <v>Stanford University</v>
          </cell>
          <cell r="C8">
            <v>273</v>
          </cell>
          <cell r="D8" t="str">
            <v>AAO</v>
          </cell>
          <cell r="E8">
            <v>5.9488520702807559</v>
          </cell>
        </row>
        <row r="9">
          <cell r="B9" t="str">
            <v>National Bureau of Economic Research</v>
          </cell>
          <cell r="C9">
            <v>724</v>
          </cell>
          <cell r="D9" t="str">
            <v>AAK</v>
          </cell>
          <cell r="E9">
            <v>5.8878174693094119</v>
          </cell>
        </row>
        <row r="10">
          <cell r="B10" t="str">
            <v>Massachusetts Institute of Technology (MIT)</v>
          </cell>
          <cell r="C10">
            <v>244</v>
          </cell>
          <cell r="D10" t="str">
            <v>AAI</v>
          </cell>
          <cell r="E10">
            <v>5.8630031809066976</v>
          </cell>
        </row>
        <row r="11">
          <cell r="B11" t="str">
            <v>University of California Berkeley</v>
          </cell>
          <cell r="C11">
            <v>207</v>
          </cell>
          <cell r="D11" t="str">
            <v>AAQ</v>
          </cell>
          <cell r="E11">
            <v>5.3261617446355363</v>
          </cell>
        </row>
        <row r="12">
          <cell r="B12" t="str">
            <v>Harvard University</v>
          </cell>
          <cell r="C12">
            <v>430</v>
          </cell>
          <cell r="D12" t="str">
            <v>AAF</v>
          </cell>
          <cell r="E12">
            <v>5.2647342061697051</v>
          </cell>
        </row>
        <row r="13">
          <cell r="B13" t="str">
            <v>Swiss Finance Institute (SFI)</v>
          </cell>
          <cell r="C13">
            <v>39</v>
          </cell>
          <cell r="D13" t="str">
            <v>DEU</v>
          </cell>
          <cell r="E13">
            <v>5.1989095576021986</v>
          </cell>
        </row>
        <row r="14">
          <cell r="B14" t="str">
            <v>Boston University</v>
          </cell>
          <cell r="C14">
            <v>126</v>
          </cell>
          <cell r="D14" t="str">
            <v>ABA</v>
          </cell>
          <cell r="E14">
            <v>5.1307579802757468</v>
          </cell>
        </row>
        <row r="15">
          <cell r="B15" t="str">
            <v>Pompeu Fabra University</v>
          </cell>
          <cell r="C15">
            <v>80</v>
          </cell>
          <cell r="D15" t="str">
            <v>AGW</v>
          </cell>
          <cell r="E15">
            <v>5.0134844647562611</v>
          </cell>
        </row>
        <row r="16">
          <cell r="B16" t="str">
            <v>Columbia University</v>
          </cell>
          <cell r="C16">
            <v>256</v>
          </cell>
          <cell r="D16" t="str">
            <v>AAB</v>
          </cell>
          <cell r="E16">
            <v>4.933784390681943</v>
          </cell>
        </row>
        <row r="17">
          <cell r="B17" t="str">
            <v>Northwestern University</v>
          </cell>
          <cell r="C17">
            <v>180</v>
          </cell>
          <cell r="D17" t="str">
            <v>AAL</v>
          </cell>
          <cell r="E17">
            <v>4.93065683597416</v>
          </cell>
        </row>
        <row r="18">
          <cell r="B18" t="str">
            <v>Centre for Economic Policy Research - UK</v>
          </cell>
          <cell r="C18">
            <v>253</v>
          </cell>
          <cell r="D18" t="str">
            <v>ACC</v>
          </cell>
          <cell r="E18">
            <v>4.8386890638372382</v>
          </cell>
        </row>
        <row r="19">
          <cell r="B19" t="str">
            <v>University of California Los Angeles</v>
          </cell>
          <cell r="C19">
            <v>149</v>
          </cell>
          <cell r="D19" t="str">
            <v>AAR</v>
          </cell>
          <cell r="E19">
            <v>4.7648017627089168</v>
          </cell>
        </row>
        <row r="20">
          <cell r="B20" t="str">
            <v>Institut Polytechnique de Paris</v>
          </cell>
          <cell r="C20">
            <v>92</v>
          </cell>
          <cell r="D20" t="str">
            <v>BFW</v>
          </cell>
          <cell r="E20">
            <v>4.6584979871664327</v>
          </cell>
        </row>
        <row r="21">
          <cell r="B21" t="str">
            <v>Boston College</v>
          </cell>
          <cell r="C21">
            <v>109</v>
          </cell>
          <cell r="D21" t="str">
            <v>ACA</v>
          </cell>
          <cell r="E21">
            <v>4.6515633622217987</v>
          </cell>
        </row>
        <row r="22">
          <cell r="B22" t="str">
            <v>INSEAD Business School</v>
          </cell>
          <cell r="C22">
            <v>89</v>
          </cell>
          <cell r="D22" t="str">
            <v>CAA</v>
          </cell>
          <cell r="E22">
            <v>4.6105493956553811</v>
          </cell>
        </row>
        <row r="23">
          <cell r="B23" t="str">
            <v>University of California San Diego</v>
          </cell>
          <cell r="C23">
            <v>101</v>
          </cell>
          <cell r="D23" t="str">
            <v>AAS</v>
          </cell>
          <cell r="E23">
            <v>4.5223509270697839</v>
          </cell>
        </row>
        <row r="24">
          <cell r="B24" t="str">
            <v>Washington University (WUSTL)</v>
          </cell>
          <cell r="C24">
            <v>83</v>
          </cell>
          <cell r="D24" t="str">
            <v>AAX</v>
          </cell>
          <cell r="E24">
            <v>4.4397853077330183</v>
          </cell>
        </row>
        <row r="25">
          <cell r="B25" t="str">
            <v>University of Zurich</v>
          </cell>
          <cell r="C25">
            <v>156</v>
          </cell>
          <cell r="D25" t="str">
            <v>ABV</v>
          </cell>
          <cell r="E25">
            <v>4.3875817922507432</v>
          </cell>
        </row>
        <row r="26">
          <cell r="B26" t="str">
            <v>Dartmouth College</v>
          </cell>
          <cell r="C26">
            <v>54</v>
          </cell>
          <cell r="D26" t="str">
            <v>AAD</v>
          </cell>
          <cell r="E26">
            <v>4.368763438275578</v>
          </cell>
        </row>
        <row r="27">
          <cell r="B27" t="str">
            <v>University of Pennsylvania</v>
          </cell>
          <cell r="C27">
            <v>253</v>
          </cell>
          <cell r="D27" t="str">
            <v>AAW</v>
          </cell>
          <cell r="E27">
            <v>4.2545541378051901</v>
          </cell>
        </row>
        <row r="28">
          <cell r="B28" t="str">
            <v>Bank of England</v>
          </cell>
          <cell r="C28">
            <v>48</v>
          </cell>
          <cell r="D28" t="str">
            <v>BHK</v>
          </cell>
          <cell r="E28">
            <v>4.2483417266747576</v>
          </cell>
        </row>
        <row r="29">
          <cell r="B29" t="str">
            <v>University of Texas Austin</v>
          </cell>
          <cell r="C29">
            <v>123</v>
          </cell>
          <cell r="D29" t="str">
            <v>ADQ</v>
          </cell>
          <cell r="E29">
            <v>4.135664710285349</v>
          </cell>
        </row>
        <row r="30">
          <cell r="B30" t="str">
            <v>Emory University</v>
          </cell>
          <cell r="C30">
            <v>64</v>
          </cell>
          <cell r="D30" t="str">
            <v>AEN</v>
          </cell>
          <cell r="E30">
            <v>4.0317361832241554</v>
          </cell>
        </row>
        <row r="31">
          <cell r="B31" t="str">
            <v>University of Michigan</v>
          </cell>
          <cell r="C31">
            <v>199</v>
          </cell>
          <cell r="D31" t="str">
            <v>AAV</v>
          </cell>
          <cell r="E31">
            <v>4.0107759303544439</v>
          </cell>
        </row>
        <row r="32">
          <cell r="B32" t="str">
            <v>Imperial College London</v>
          </cell>
          <cell r="C32">
            <v>106</v>
          </cell>
          <cell r="D32" t="str">
            <v>ABD</v>
          </cell>
          <cell r="E32">
            <v>3.9247857370530008</v>
          </cell>
        </row>
        <row r="33">
          <cell r="B33" t="str">
            <v>University of Maryland College Park</v>
          </cell>
          <cell r="C33">
            <v>128</v>
          </cell>
          <cell r="D33" t="str">
            <v>ABO</v>
          </cell>
          <cell r="E33">
            <v>3.9162727698952811</v>
          </cell>
        </row>
        <row r="34">
          <cell r="B34" t="str">
            <v>Hautes Etudes Commerciales (HEC) Paris</v>
          </cell>
          <cell r="C34">
            <v>58</v>
          </cell>
          <cell r="D34" t="str">
            <v>AEU</v>
          </cell>
          <cell r="E34">
            <v>3.87870824423482</v>
          </cell>
        </row>
        <row r="35">
          <cell r="B35" t="str">
            <v>University of California Davis</v>
          </cell>
          <cell r="C35">
            <v>82</v>
          </cell>
          <cell r="D35" t="str">
            <v>ACY</v>
          </cell>
          <cell r="E35">
            <v>3.7851461297977371</v>
          </cell>
        </row>
        <row r="36">
          <cell r="B36" t="str">
            <v>Rice University</v>
          </cell>
          <cell r="C36">
            <v>59</v>
          </cell>
          <cell r="D36" t="str">
            <v>AFL</v>
          </cell>
          <cell r="E36">
            <v>3.7755543343518032</v>
          </cell>
        </row>
        <row r="37">
          <cell r="B37" t="str">
            <v>University of Washington Seattle</v>
          </cell>
          <cell r="C37">
            <v>114</v>
          </cell>
          <cell r="D37" t="str">
            <v>ADU</v>
          </cell>
          <cell r="E37">
            <v>3.749471226099121</v>
          </cell>
        </row>
        <row r="38">
          <cell r="B38" t="str">
            <v>New York University</v>
          </cell>
          <cell r="C38">
            <v>259</v>
          </cell>
          <cell r="D38" t="str">
            <v>AAM</v>
          </cell>
          <cell r="E38">
            <v>3.7362329528986469</v>
          </cell>
        </row>
        <row r="39">
          <cell r="B39" t="str">
            <v>University of Cincinnati</v>
          </cell>
          <cell r="C39">
            <v>44</v>
          </cell>
          <cell r="D39" t="str">
            <v>DCL</v>
          </cell>
          <cell r="E39">
            <v>3.7166341500197149</v>
          </cell>
        </row>
        <row r="40">
          <cell r="B40" t="str">
            <v>University of Geneva</v>
          </cell>
          <cell r="C40">
            <v>50</v>
          </cell>
          <cell r="D40" t="str">
            <v>BEU</v>
          </cell>
          <cell r="E40">
            <v>3.685229122165389</v>
          </cell>
        </row>
        <row r="41">
          <cell r="B41" t="str">
            <v>Babson College</v>
          </cell>
          <cell r="C41">
            <v>55</v>
          </cell>
          <cell r="D41" t="str">
            <v>CHL</v>
          </cell>
          <cell r="E41">
            <v>3.67366154076164</v>
          </cell>
        </row>
        <row r="42">
          <cell r="B42" t="str">
            <v>London School Economics &amp; Political Science</v>
          </cell>
          <cell r="C42">
            <v>331</v>
          </cell>
          <cell r="D42" t="str">
            <v>AAH</v>
          </cell>
          <cell r="E42">
            <v>3.6660879363744638</v>
          </cell>
        </row>
        <row r="43">
          <cell r="B43" t="str">
            <v>University of Notre Dame</v>
          </cell>
          <cell r="C43">
            <v>92</v>
          </cell>
          <cell r="D43" t="str">
            <v>ADK</v>
          </cell>
          <cell r="E43">
            <v>3.6387343800049452</v>
          </cell>
        </row>
        <row r="44">
          <cell r="B44" t="str">
            <v>University of California Irvine</v>
          </cell>
          <cell r="C44">
            <v>84</v>
          </cell>
          <cell r="D44" t="str">
            <v>AGC</v>
          </cell>
          <cell r="E44">
            <v>3.6275800802676921</v>
          </cell>
        </row>
        <row r="45">
          <cell r="B45" t="str">
            <v>University of British Columbia</v>
          </cell>
          <cell r="C45">
            <v>127</v>
          </cell>
          <cell r="D45" t="str">
            <v>ACW</v>
          </cell>
          <cell r="E45">
            <v>3.603833418976691</v>
          </cell>
        </row>
        <row r="46">
          <cell r="B46" t="str">
            <v>Federal Reserve System - USA</v>
          </cell>
          <cell r="C46">
            <v>357</v>
          </cell>
          <cell r="D46" t="str">
            <v>CBN</v>
          </cell>
          <cell r="E46">
            <v>3.5680228141643529</v>
          </cell>
        </row>
        <row r="47">
          <cell r="B47" t="str">
            <v>University of North Carolina Chapel Hill</v>
          </cell>
          <cell r="C47">
            <v>125</v>
          </cell>
          <cell r="D47" t="str">
            <v>ADJ</v>
          </cell>
          <cell r="E47">
            <v>3.5423668290671291</v>
          </cell>
        </row>
        <row r="48">
          <cell r="B48" t="str">
            <v>University of Virginia</v>
          </cell>
          <cell r="C48">
            <v>90</v>
          </cell>
          <cell r="D48" t="str">
            <v>AHJ</v>
          </cell>
          <cell r="E48">
            <v>3.5326593279160159</v>
          </cell>
        </row>
        <row r="49">
          <cell r="B49" t="str">
            <v>University of Southern California</v>
          </cell>
          <cell r="C49">
            <v>194</v>
          </cell>
          <cell r="D49" t="str">
            <v>ABS</v>
          </cell>
          <cell r="E49">
            <v>3.5303544123904631</v>
          </cell>
        </row>
        <row r="50">
          <cell r="B50" t="str">
            <v>University of Utah</v>
          </cell>
          <cell r="C50">
            <v>63</v>
          </cell>
          <cell r="D50" t="str">
            <v>AHG</v>
          </cell>
          <cell r="E50">
            <v>3.5072354662891811</v>
          </cell>
        </row>
        <row r="51">
          <cell r="B51" t="str">
            <v>Duke University</v>
          </cell>
          <cell r="C51">
            <v>139</v>
          </cell>
          <cell r="D51" t="str">
            <v>ABC</v>
          </cell>
          <cell r="E51">
            <v>3.503159052296303</v>
          </cell>
        </row>
        <row r="52">
          <cell r="B52" t="str">
            <v>University of Bonn</v>
          </cell>
          <cell r="C52">
            <v>77</v>
          </cell>
          <cell r="D52" t="str">
            <v>ABL</v>
          </cell>
          <cell r="E52">
            <v>3.496584402029451</v>
          </cell>
        </row>
        <row r="53">
          <cell r="B53" t="str">
            <v>Hong Kong University of Science &amp; Technology</v>
          </cell>
          <cell r="C53">
            <v>85</v>
          </cell>
          <cell r="D53" t="str">
            <v>ACL</v>
          </cell>
          <cell r="E53">
            <v>3.4365673721824659</v>
          </cell>
        </row>
        <row r="54">
          <cell r="B54" t="str">
            <v>Bocconi University</v>
          </cell>
          <cell r="C54">
            <v>185</v>
          </cell>
          <cell r="D54" t="str">
            <v>AAZ</v>
          </cell>
          <cell r="E54">
            <v>3.4316488573931649</v>
          </cell>
        </row>
        <row r="55">
          <cell r="B55" t="str">
            <v>University of Pittsburgh</v>
          </cell>
          <cell r="C55">
            <v>66</v>
          </cell>
          <cell r="D55" t="str">
            <v>BGD</v>
          </cell>
          <cell r="E55">
            <v>3.4240477598587442</v>
          </cell>
        </row>
        <row r="56">
          <cell r="B56" t="str">
            <v>Carnegie Mellon University</v>
          </cell>
          <cell r="C56">
            <v>65</v>
          </cell>
          <cell r="D56" t="str">
            <v>ACB</v>
          </cell>
          <cell r="E56">
            <v>3.37926508736127</v>
          </cell>
        </row>
        <row r="57">
          <cell r="B57" t="str">
            <v>University of Colorado Boulder</v>
          </cell>
          <cell r="C57">
            <v>86</v>
          </cell>
          <cell r="D57" t="str">
            <v>AGE</v>
          </cell>
          <cell r="E57">
            <v>3.372313348405251</v>
          </cell>
        </row>
        <row r="58">
          <cell r="B58" t="str">
            <v>University of Wisconsin Madison</v>
          </cell>
          <cell r="C58">
            <v>144</v>
          </cell>
          <cell r="D58" t="str">
            <v>AHM</v>
          </cell>
          <cell r="E58">
            <v>3.3701818664025822</v>
          </cell>
        </row>
        <row r="59">
          <cell r="B59" t="str">
            <v>University of Toronto</v>
          </cell>
          <cell r="C59">
            <v>184</v>
          </cell>
          <cell r="D59" t="str">
            <v>ABT</v>
          </cell>
          <cell r="E59">
            <v>3.3030488226099139</v>
          </cell>
        </row>
        <row r="60">
          <cell r="B60" t="str">
            <v>Texas Christian University</v>
          </cell>
          <cell r="C60">
            <v>51</v>
          </cell>
          <cell r="D60" t="str">
            <v>DAX</v>
          </cell>
          <cell r="E60">
            <v>3.2427961748900209</v>
          </cell>
        </row>
        <row r="61">
          <cell r="B61" t="str">
            <v>University of Illinois Chicago</v>
          </cell>
          <cell r="C61">
            <v>86</v>
          </cell>
          <cell r="D61" t="str">
            <v>AGN</v>
          </cell>
          <cell r="E61">
            <v>3.242615849034491</v>
          </cell>
        </row>
        <row r="62">
          <cell r="B62" t="str">
            <v>BI Norwegian Business School</v>
          </cell>
          <cell r="C62">
            <v>103</v>
          </cell>
          <cell r="D62" t="str">
            <v>AEE</v>
          </cell>
          <cell r="E62">
            <v>3.2227919820268141</v>
          </cell>
        </row>
        <row r="63">
          <cell r="B63" t="str">
            <v>Georgia Institute of Technology</v>
          </cell>
          <cell r="C63">
            <v>66</v>
          </cell>
          <cell r="D63" t="str">
            <v>AER</v>
          </cell>
          <cell r="E63">
            <v>3.2184443454744791</v>
          </cell>
        </row>
        <row r="64">
          <cell r="B64" t="str">
            <v>Northeastern University</v>
          </cell>
          <cell r="C64">
            <v>79</v>
          </cell>
          <cell r="D64" t="str">
            <v>ACN</v>
          </cell>
          <cell r="E64">
            <v>3.2100304377135211</v>
          </cell>
        </row>
        <row r="65">
          <cell r="B65" t="str">
            <v>Johns Hopkins University</v>
          </cell>
          <cell r="C65">
            <v>110</v>
          </cell>
          <cell r="D65" t="str">
            <v>BBS</v>
          </cell>
          <cell r="E65">
            <v>3.1847210912335742</v>
          </cell>
        </row>
        <row r="66">
          <cell r="B66" t="str">
            <v>University of Minnesota Twin Cities</v>
          </cell>
          <cell r="C66">
            <v>156</v>
          </cell>
          <cell r="D66" t="str">
            <v>ABP</v>
          </cell>
          <cell r="E66">
            <v>3.180884103619539</v>
          </cell>
        </row>
        <row r="67">
          <cell r="B67" t="str">
            <v>University of Oregon</v>
          </cell>
          <cell r="C67">
            <v>73</v>
          </cell>
          <cell r="D67" t="str">
            <v>BFY</v>
          </cell>
          <cell r="E67">
            <v>3.1458972129984648</v>
          </cell>
        </row>
        <row r="68">
          <cell r="B68" t="str">
            <v>EDHEC Business School</v>
          </cell>
          <cell r="C68">
            <v>44</v>
          </cell>
          <cell r="D68" t="str">
            <v>DCV</v>
          </cell>
          <cell r="E68">
            <v>3.0969926392369298</v>
          </cell>
        </row>
        <row r="69">
          <cell r="B69" t="str">
            <v>University of Delaware</v>
          </cell>
          <cell r="C69">
            <v>59</v>
          </cell>
          <cell r="D69" t="str">
            <v>AGG</v>
          </cell>
          <cell r="E69">
            <v>3.0861419819276601</v>
          </cell>
        </row>
        <row r="70">
          <cell r="B70" t="str">
            <v>Baylor University</v>
          </cell>
          <cell r="C70">
            <v>45</v>
          </cell>
          <cell r="D70" t="str">
            <v>DBY</v>
          </cell>
          <cell r="E70">
            <v>3.0611129912237049</v>
          </cell>
        </row>
        <row r="71">
          <cell r="B71" t="str">
            <v>University of Miami</v>
          </cell>
          <cell r="C71">
            <v>54</v>
          </cell>
          <cell r="D71" t="str">
            <v>DAA</v>
          </cell>
          <cell r="E71">
            <v>3.0449673383727949</v>
          </cell>
        </row>
        <row r="72">
          <cell r="B72" t="str">
            <v>Rutgers University Newark</v>
          </cell>
          <cell r="C72">
            <v>50</v>
          </cell>
          <cell r="D72" t="str">
            <v>DBD</v>
          </cell>
          <cell r="E72">
            <v>3.034472695965555</v>
          </cell>
        </row>
        <row r="73">
          <cell r="B73" t="str">
            <v>University of Warwick</v>
          </cell>
          <cell r="C73">
            <v>194</v>
          </cell>
          <cell r="D73" t="str">
            <v>ADT</v>
          </cell>
          <cell r="E73">
            <v>3.0319347383605191</v>
          </cell>
        </row>
        <row r="74">
          <cell r="B74" t="str">
            <v>Cornell University</v>
          </cell>
          <cell r="C74">
            <v>220</v>
          </cell>
          <cell r="D74" t="str">
            <v>ABB</v>
          </cell>
          <cell r="E74">
            <v>3.0179409336065159</v>
          </cell>
        </row>
        <row r="75">
          <cell r="B75" t="str">
            <v>Queen Mary University London</v>
          </cell>
          <cell r="C75">
            <v>92</v>
          </cell>
          <cell r="D75" t="str">
            <v>BCY</v>
          </cell>
          <cell r="E75">
            <v>3.015449187732274</v>
          </cell>
        </row>
        <row r="76">
          <cell r="B76" t="str">
            <v>Georgetown University</v>
          </cell>
          <cell r="C76">
            <v>91</v>
          </cell>
          <cell r="D76" t="str">
            <v>AEQ</v>
          </cell>
          <cell r="E76">
            <v>3.0106775255108471</v>
          </cell>
        </row>
        <row r="77">
          <cell r="B77" t="str">
            <v>Indiana University Bloomington</v>
          </cell>
          <cell r="C77">
            <v>199</v>
          </cell>
          <cell r="D77" t="str">
            <v>AAG</v>
          </cell>
          <cell r="E77">
            <v>3.002472972391339</v>
          </cell>
        </row>
        <row r="78">
          <cell r="B78" t="str">
            <v>McGill University</v>
          </cell>
          <cell r="C78">
            <v>86</v>
          </cell>
          <cell r="D78" t="str">
            <v>QEQ</v>
          </cell>
          <cell r="E78">
            <v>2.9852358531841721</v>
          </cell>
        </row>
        <row r="79">
          <cell r="B79" t="str">
            <v>York University - Canada</v>
          </cell>
          <cell r="C79">
            <v>111</v>
          </cell>
          <cell r="D79" t="str">
            <v>ABX</v>
          </cell>
          <cell r="E79">
            <v>2.9846912610497309</v>
          </cell>
        </row>
        <row r="80">
          <cell r="B80" t="str">
            <v>Universite Catholique Louvain</v>
          </cell>
          <cell r="C80">
            <v>85</v>
          </cell>
          <cell r="D80" t="str">
            <v>AEG</v>
          </cell>
          <cell r="E80">
            <v>2.975987813741428</v>
          </cell>
        </row>
        <row r="81">
          <cell r="B81" t="str">
            <v>University of Texas Dallas</v>
          </cell>
          <cell r="C81">
            <v>85</v>
          </cell>
          <cell r="D81" t="str">
            <v>ADR</v>
          </cell>
          <cell r="E81">
            <v>2.975987813741428</v>
          </cell>
        </row>
        <row r="82">
          <cell r="B82" t="str">
            <v>Ohio State University</v>
          </cell>
          <cell r="C82">
            <v>164</v>
          </cell>
          <cell r="D82" t="str">
            <v>ACO</v>
          </cell>
          <cell r="E82">
            <v>2.9739109863554289</v>
          </cell>
        </row>
        <row r="83">
          <cell r="B83" t="str">
            <v>University of Colorado Denver</v>
          </cell>
          <cell r="C83">
            <v>40</v>
          </cell>
          <cell r="D83" t="str">
            <v>DEQ</v>
          </cell>
          <cell r="E83">
            <v>2.9699623675798432</v>
          </cell>
        </row>
        <row r="84">
          <cell r="B84" t="str">
            <v>Singapore Management University</v>
          </cell>
          <cell r="C84">
            <v>126</v>
          </cell>
          <cell r="D84" t="str">
            <v>ACQ</v>
          </cell>
          <cell r="E84">
            <v>2.969487870551752</v>
          </cell>
        </row>
        <row r="85">
          <cell r="B85" t="str">
            <v>University College London</v>
          </cell>
          <cell r="C85">
            <v>203</v>
          </cell>
          <cell r="D85" t="str">
            <v>ADA</v>
          </cell>
          <cell r="E85">
            <v>2.9377553217189298</v>
          </cell>
        </row>
        <row r="86">
          <cell r="B86" t="str">
            <v>Vanderbilt University</v>
          </cell>
          <cell r="C86">
            <v>74</v>
          </cell>
          <cell r="D86" t="str">
            <v>BGW</v>
          </cell>
          <cell r="E86">
            <v>2.9375336147165569</v>
          </cell>
        </row>
        <row r="87">
          <cell r="B87" t="str">
            <v>The Chinese University of Hong Kong, Shenzhen</v>
          </cell>
          <cell r="C87">
            <v>42</v>
          </cell>
          <cell r="D87" t="str">
            <v>DEF</v>
          </cell>
          <cell r="E87">
            <v>2.9352454720549161</v>
          </cell>
        </row>
        <row r="88">
          <cell r="B88" t="str">
            <v>Texas A&amp;M University College Station</v>
          </cell>
          <cell r="C88">
            <v>177</v>
          </cell>
          <cell r="D88" t="str">
            <v>AAP</v>
          </cell>
          <cell r="E88">
            <v>2.929655123426365</v>
          </cell>
        </row>
        <row r="89">
          <cell r="B89" t="str">
            <v>IZA Institute Labor Economics</v>
          </cell>
          <cell r="C89">
            <v>330</v>
          </cell>
          <cell r="D89" t="str">
            <v>ACM</v>
          </cell>
          <cell r="E89">
            <v>2.9170108120932552</v>
          </cell>
        </row>
        <row r="90">
          <cell r="B90" t="str">
            <v>University of Bergen</v>
          </cell>
          <cell r="C90">
            <v>40</v>
          </cell>
          <cell r="D90" t="str">
            <v>DEX</v>
          </cell>
          <cell r="E90">
            <v>2.884563198549051</v>
          </cell>
        </row>
        <row r="91">
          <cell r="B91" t="str">
            <v>Universite Toulouse 1 Capitole</v>
          </cell>
          <cell r="C91">
            <v>85</v>
          </cell>
          <cell r="D91" t="str">
            <v>ABU</v>
          </cell>
          <cell r="E91">
            <v>2.8470518230495809</v>
          </cell>
        </row>
        <row r="92">
          <cell r="B92" t="str">
            <v>Arizona State University-Tempe</v>
          </cell>
          <cell r="C92">
            <v>168</v>
          </cell>
          <cell r="D92" t="str">
            <v>AAA</v>
          </cell>
          <cell r="E92">
            <v>2.8359270292609211</v>
          </cell>
        </row>
        <row r="93">
          <cell r="B93" t="str">
            <v>Norwegian School of Economics (NHH)</v>
          </cell>
          <cell r="C93">
            <v>99</v>
          </cell>
          <cell r="D93" t="str">
            <v>BCQ</v>
          </cell>
          <cell r="E93">
            <v>2.8311412740122588</v>
          </cell>
        </row>
        <row r="94">
          <cell r="B94" t="str">
            <v>Leuphana University Luneburg</v>
          </cell>
          <cell r="C94">
            <v>42</v>
          </cell>
          <cell r="D94" t="str">
            <v>DDL</v>
          </cell>
          <cell r="E94">
            <v>2.8251260192017029</v>
          </cell>
        </row>
        <row r="95">
          <cell r="B95" t="str">
            <v>Drexel University</v>
          </cell>
          <cell r="C95">
            <v>71</v>
          </cell>
          <cell r="D95" t="str">
            <v>AEK</v>
          </cell>
          <cell r="E95">
            <v>2.8198339473874969</v>
          </cell>
        </row>
        <row r="96">
          <cell r="B96" t="str">
            <v>University of Illinois Urbana-Champaign</v>
          </cell>
          <cell r="C96">
            <v>179</v>
          </cell>
          <cell r="D96" t="str">
            <v>ADB</v>
          </cell>
          <cell r="E96">
            <v>2.7930345212638019</v>
          </cell>
        </row>
        <row r="97">
          <cell r="B97" t="str">
            <v>KU Leuven</v>
          </cell>
          <cell r="C97">
            <v>163</v>
          </cell>
          <cell r="D97" t="str">
            <v>AEX</v>
          </cell>
          <cell r="E97">
            <v>2.785584495322436</v>
          </cell>
        </row>
        <row r="98">
          <cell r="B98" t="str">
            <v>Bank of Canada</v>
          </cell>
          <cell r="C98">
            <v>50</v>
          </cell>
          <cell r="D98" t="str">
            <v>BHJ</v>
          </cell>
          <cell r="E98">
            <v>2.7470824522026001</v>
          </cell>
        </row>
        <row r="99">
          <cell r="B99" t="str">
            <v>Brigham Young University</v>
          </cell>
          <cell r="C99">
            <v>67</v>
          </cell>
          <cell r="D99" t="str">
            <v>AHZ</v>
          </cell>
          <cell r="E99">
            <v>2.7434762786997049</v>
          </cell>
        </row>
        <row r="100">
          <cell r="B100" t="str">
            <v>Western University (University of Western Ontario)</v>
          </cell>
          <cell r="C100">
            <v>105</v>
          </cell>
          <cell r="D100" t="str">
            <v>ABW</v>
          </cell>
          <cell r="E100">
            <v>2.7407807003251521</v>
          </cell>
        </row>
        <row r="101">
          <cell r="B101" t="str">
            <v>University of Lausanne</v>
          </cell>
          <cell r="C101">
            <v>65</v>
          </cell>
          <cell r="D101" t="str">
            <v>AGO</v>
          </cell>
          <cell r="E101">
            <v>2.740224179687889</v>
          </cell>
        </row>
        <row r="102">
          <cell r="B102" t="str">
            <v>University of Iowa</v>
          </cell>
          <cell r="C102">
            <v>65</v>
          </cell>
          <cell r="D102" t="str">
            <v>BFE</v>
          </cell>
          <cell r="E102">
            <v>2.7382001584601898</v>
          </cell>
        </row>
        <row r="103">
          <cell r="B103" t="str">
            <v>University of South Carolina Columbia</v>
          </cell>
          <cell r="C103">
            <v>109</v>
          </cell>
          <cell r="D103" t="str">
            <v>ABR</v>
          </cell>
          <cell r="E103">
            <v>2.7325367220096122</v>
          </cell>
        </row>
        <row r="104">
          <cell r="B104" t="str">
            <v>Lund University</v>
          </cell>
          <cell r="C104">
            <v>141</v>
          </cell>
          <cell r="D104" t="str">
            <v>AFB</v>
          </cell>
          <cell r="E104">
            <v>2.711637332666974</v>
          </cell>
        </row>
        <row r="105">
          <cell r="B105" t="str">
            <v>University of Copenhagen</v>
          </cell>
          <cell r="C105">
            <v>98</v>
          </cell>
          <cell r="D105" t="str">
            <v>AGF</v>
          </cell>
          <cell r="E105">
            <v>2.6719252025727052</v>
          </cell>
        </row>
        <row r="106">
          <cell r="B106" t="str">
            <v>Paris School of Economics</v>
          </cell>
          <cell r="C106">
            <v>77</v>
          </cell>
          <cell r="D106" t="str">
            <v>AHR</v>
          </cell>
          <cell r="E106">
            <v>2.6681994734205978</v>
          </cell>
        </row>
        <row r="107">
          <cell r="B107" t="str">
            <v>Copenhagen Business School</v>
          </cell>
          <cell r="C107">
            <v>242</v>
          </cell>
          <cell r="D107" t="str">
            <v>AAC</v>
          </cell>
          <cell r="E107">
            <v>2.665643807427251</v>
          </cell>
        </row>
        <row r="108">
          <cell r="B108" t="str">
            <v>Lappeenranta-Lahti University of Technology LUT</v>
          </cell>
          <cell r="C108">
            <v>63</v>
          </cell>
          <cell r="D108" t="str">
            <v>BCA</v>
          </cell>
          <cell r="E108">
            <v>2.6505831431292042</v>
          </cell>
        </row>
        <row r="109">
          <cell r="B109" t="str">
            <v>University of Rhode Island</v>
          </cell>
          <cell r="C109">
            <v>42</v>
          </cell>
          <cell r="D109" t="str">
            <v>DDR</v>
          </cell>
          <cell r="E109">
            <v>2.6400646158041989</v>
          </cell>
        </row>
        <row r="110">
          <cell r="B110" t="str">
            <v>University of Tennessee Knoxville</v>
          </cell>
          <cell r="C110">
            <v>97</v>
          </cell>
          <cell r="D110" t="str">
            <v>BGN</v>
          </cell>
          <cell r="E110">
            <v>2.6284919514777609</v>
          </cell>
        </row>
        <row r="111">
          <cell r="B111" t="str">
            <v>Southern Methodist University</v>
          </cell>
          <cell r="C111">
            <v>46</v>
          </cell>
          <cell r="D111" t="str">
            <v>BDN</v>
          </cell>
          <cell r="E111">
            <v>2.6229754304788551</v>
          </cell>
        </row>
        <row r="112">
          <cell r="B112" t="str">
            <v>University of Arizona</v>
          </cell>
          <cell r="C112">
            <v>83</v>
          </cell>
          <cell r="D112" t="str">
            <v>ACU</v>
          </cell>
          <cell r="E112">
            <v>2.6148852126142468</v>
          </cell>
        </row>
        <row r="113">
          <cell r="B113" t="str">
            <v>Stockholm University</v>
          </cell>
          <cell r="C113">
            <v>99</v>
          </cell>
          <cell r="D113" t="str">
            <v>AFS</v>
          </cell>
          <cell r="E113">
            <v>2.612726161611318</v>
          </cell>
        </row>
        <row r="114">
          <cell r="B114" t="str">
            <v>Chinese University of Hong Kong</v>
          </cell>
          <cell r="C114">
            <v>130</v>
          </cell>
          <cell r="D114" t="str">
            <v>ACD</v>
          </cell>
          <cell r="E114">
            <v>2.6095129891360269</v>
          </cell>
        </row>
        <row r="115">
          <cell r="B115" t="str">
            <v>Nanyang Technological University</v>
          </cell>
          <cell r="C115">
            <v>116</v>
          </cell>
          <cell r="D115" t="str">
            <v>AFE</v>
          </cell>
          <cell r="E115">
            <v>2.5883515623347</v>
          </cell>
        </row>
        <row r="116">
          <cell r="B116" t="str">
            <v>University of Navarra</v>
          </cell>
          <cell r="C116">
            <v>88</v>
          </cell>
          <cell r="D116" t="str">
            <v>ADH</v>
          </cell>
          <cell r="E116">
            <v>2.582325223859542</v>
          </cell>
        </row>
        <row r="117">
          <cell r="B117" t="str">
            <v>Free University of Bozen-Bolzano</v>
          </cell>
          <cell r="C117">
            <v>56</v>
          </cell>
          <cell r="D117" t="str">
            <v>AEP</v>
          </cell>
          <cell r="E117">
            <v>2.5801593858379488</v>
          </cell>
        </row>
        <row r="118">
          <cell r="B118" t="str">
            <v>University of Oxford</v>
          </cell>
          <cell r="C118">
            <v>271</v>
          </cell>
          <cell r="D118" t="str">
            <v>ABQ</v>
          </cell>
          <cell r="E118">
            <v>2.5771088000279851</v>
          </cell>
        </row>
        <row r="119">
          <cell r="B119" t="str">
            <v>Queens University - Canada</v>
          </cell>
          <cell r="C119">
            <v>58</v>
          </cell>
          <cell r="D119" t="str">
            <v>BDA</v>
          </cell>
          <cell r="E119">
            <v>2.5688025381386601</v>
          </cell>
        </row>
        <row r="120">
          <cell r="B120" t="str">
            <v>University of Nebraska Lincoln</v>
          </cell>
          <cell r="C120">
            <v>66</v>
          </cell>
          <cell r="D120" t="str">
            <v>BFU</v>
          </cell>
          <cell r="E120">
            <v>2.5657932508271402</v>
          </cell>
        </row>
        <row r="121">
          <cell r="B121" t="str">
            <v>University of St Gallen</v>
          </cell>
          <cell r="C121">
            <v>143</v>
          </cell>
          <cell r="D121" t="str">
            <v>ADO</v>
          </cell>
          <cell r="E121">
            <v>2.5645152984029229</v>
          </cell>
        </row>
        <row r="122">
          <cell r="B122" t="str">
            <v>Aalto University</v>
          </cell>
          <cell r="C122">
            <v>125</v>
          </cell>
          <cell r="D122" t="str">
            <v>AEA</v>
          </cell>
          <cell r="E122">
            <v>2.5598011508368099</v>
          </cell>
        </row>
        <row r="123">
          <cell r="B123" t="str">
            <v>George Washington University</v>
          </cell>
          <cell r="C123">
            <v>81</v>
          </cell>
          <cell r="D123" t="str">
            <v>ACG</v>
          </cell>
          <cell r="E123">
            <v>2.5587190197599101</v>
          </cell>
        </row>
        <row r="124">
          <cell r="B124" t="str">
            <v>Stockholm School of Economics</v>
          </cell>
          <cell r="C124">
            <v>117</v>
          </cell>
          <cell r="D124" t="str">
            <v>AFR</v>
          </cell>
          <cell r="E124">
            <v>2.5586892864761879</v>
          </cell>
        </row>
        <row r="125">
          <cell r="B125" t="str">
            <v>Tulane University</v>
          </cell>
          <cell r="C125">
            <v>38</v>
          </cell>
          <cell r="D125" t="str">
            <v>CHR</v>
          </cell>
          <cell r="E125">
            <v>2.5551240153082149</v>
          </cell>
        </row>
        <row r="126">
          <cell r="B126" t="str">
            <v>University of Munich</v>
          </cell>
          <cell r="C126">
            <v>108</v>
          </cell>
          <cell r="D126" t="str">
            <v>ADG</v>
          </cell>
          <cell r="E126">
            <v>2.5413849158729018</v>
          </cell>
        </row>
        <row r="127">
          <cell r="B127" t="str">
            <v>University of Victoria</v>
          </cell>
          <cell r="C127">
            <v>42</v>
          </cell>
          <cell r="D127" t="str">
            <v>BGQ</v>
          </cell>
          <cell r="E127">
            <v>2.54097276000424</v>
          </cell>
        </row>
        <row r="128">
          <cell r="B128" t="str">
            <v>Rutgers University New Brunswick</v>
          </cell>
          <cell r="C128">
            <v>141</v>
          </cell>
          <cell r="D128" t="str">
            <v>AFM</v>
          </cell>
          <cell r="E128">
            <v>2.5405536033329672</v>
          </cell>
        </row>
        <row r="129">
          <cell r="B129" t="str">
            <v>Michigan State University</v>
          </cell>
          <cell r="C129">
            <v>187</v>
          </cell>
          <cell r="D129" t="str">
            <v>ABH</v>
          </cell>
          <cell r="E129">
            <v>2.5355215693986719</v>
          </cell>
        </row>
        <row r="130">
          <cell r="B130" t="str">
            <v>University of Cambridge</v>
          </cell>
          <cell r="C130">
            <v>226</v>
          </cell>
          <cell r="D130" t="str">
            <v>AAT</v>
          </cell>
          <cell r="E130">
            <v>2.520873751712613</v>
          </cell>
        </row>
        <row r="131">
          <cell r="B131" t="str">
            <v>Pontificia Universidad Catolica de Chile</v>
          </cell>
          <cell r="C131">
            <v>50</v>
          </cell>
          <cell r="D131" t="str">
            <v>CAC</v>
          </cell>
          <cell r="E131">
            <v>2.5137447765712162</v>
          </cell>
        </row>
        <row r="132">
          <cell r="B132" t="str">
            <v>Clemson University</v>
          </cell>
          <cell r="C132">
            <v>52</v>
          </cell>
          <cell r="D132" t="str">
            <v>BAJ</v>
          </cell>
          <cell r="E132">
            <v>2.507233645583868</v>
          </cell>
        </row>
        <row r="133">
          <cell r="B133" t="str">
            <v>University of Georgia</v>
          </cell>
          <cell r="C133">
            <v>135</v>
          </cell>
          <cell r="D133" t="str">
            <v>AGL</v>
          </cell>
          <cell r="E133">
            <v>2.4900009761352808</v>
          </cell>
        </row>
        <row r="134">
          <cell r="B134" t="str">
            <v>Pennsylvania State University</v>
          </cell>
          <cell r="C134">
            <v>196</v>
          </cell>
          <cell r="D134" t="str">
            <v>ADZ</v>
          </cell>
          <cell r="E134">
            <v>2.4805706541176229</v>
          </cell>
        </row>
        <row r="135">
          <cell r="B135" t="str">
            <v>Tilburg University</v>
          </cell>
          <cell r="C135">
            <v>209</v>
          </cell>
          <cell r="D135" t="str">
            <v>ACR</v>
          </cell>
          <cell r="E135">
            <v>2.4764722132942789</v>
          </cell>
        </row>
        <row r="136">
          <cell r="B136" t="str">
            <v>City St Georges, University of London</v>
          </cell>
          <cell r="C136">
            <v>125</v>
          </cell>
          <cell r="D136" t="str">
            <v>BBL</v>
          </cell>
          <cell r="E136">
            <v>2.4742917082224092</v>
          </cell>
        </row>
        <row r="137">
          <cell r="B137" t="str">
            <v>Universidade Catolica Portuguesa</v>
          </cell>
          <cell r="C137">
            <v>59</v>
          </cell>
          <cell r="D137" t="str">
            <v>BEK</v>
          </cell>
          <cell r="E137">
            <v>2.4639710060858948</v>
          </cell>
        </row>
        <row r="138">
          <cell r="B138" t="str">
            <v>Lehigh University</v>
          </cell>
          <cell r="C138">
            <v>52</v>
          </cell>
          <cell r="D138" t="str">
            <v>BCC</v>
          </cell>
          <cell r="E138">
            <v>2.463074621059314</v>
          </cell>
        </row>
        <row r="139">
          <cell r="B139" t="str">
            <v>University of Florida</v>
          </cell>
          <cell r="C139">
            <v>139</v>
          </cell>
          <cell r="D139" t="str">
            <v>AGK</v>
          </cell>
          <cell r="E139">
            <v>2.443710644083537</v>
          </cell>
        </row>
        <row r="140">
          <cell r="B140" t="str">
            <v>McMaster University</v>
          </cell>
          <cell r="C140">
            <v>66</v>
          </cell>
          <cell r="D140" t="str">
            <v>BCI</v>
          </cell>
          <cell r="E140">
            <v>2.4374442577948159</v>
          </cell>
        </row>
        <row r="141">
          <cell r="B141" t="str">
            <v>University of Mannheim</v>
          </cell>
          <cell r="C141">
            <v>85</v>
          </cell>
          <cell r="D141" t="str">
            <v>AGS</v>
          </cell>
          <cell r="E141">
            <v>2.4329601012556692</v>
          </cell>
        </row>
        <row r="142">
          <cell r="B142" t="str">
            <v>heSam Universite</v>
          </cell>
          <cell r="C142">
            <v>98</v>
          </cell>
          <cell r="D142" t="str">
            <v>BBG</v>
          </cell>
          <cell r="E142">
            <v>2.4314954094207648</v>
          </cell>
        </row>
        <row r="143">
          <cell r="B143" t="str">
            <v>Tel Aviv University</v>
          </cell>
          <cell r="C143">
            <v>78</v>
          </cell>
          <cell r="D143" t="str">
            <v>BDT</v>
          </cell>
          <cell r="E143">
            <v>2.4251181173005052</v>
          </cell>
        </row>
        <row r="144">
          <cell r="B144" t="str">
            <v>University of Connecticut</v>
          </cell>
          <cell r="C144">
            <v>89</v>
          </cell>
          <cell r="D144" t="str">
            <v>BEO</v>
          </cell>
          <cell r="E144">
            <v>2.421319810328832</v>
          </cell>
        </row>
        <row r="145">
          <cell r="B145" t="str">
            <v>University of Calgary</v>
          </cell>
          <cell r="C145">
            <v>63</v>
          </cell>
          <cell r="D145" t="str">
            <v>ACX</v>
          </cell>
          <cell r="E145">
            <v>2.4114473690041711</v>
          </cell>
        </row>
        <row r="146">
          <cell r="B146" t="str">
            <v>University of Massachusetts Amherst</v>
          </cell>
          <cell r="C146">
            <v>79</v>
          </cell>
          <cell r="D146" t="str">
            <v>BFR</v>
          </cell>
          <cell r="E146">
            <v>2.4101038425747618</v>
          </cell>
        </row>
        <row r="147">
          <cell r="B147" t="str">
            <v>University of Oslo</v>
          </cell>
          <cell r="C147">
            <v>65</v>
          </cell>
          <cell r="D147" t="str">
            <v>CBV</v>
          </cell>
          <cell r="E147">
            <v>2.403501812233932</v>
          </cell>
        </row>
        <row r="148">
          <cell r="B148" t="str">
            <v>Claremont Colleges</v>
          </cell>
          <cell r="C148">
            <v>46</v>
          </cell>
          <cell r="D148" t="str">
            <v>DCH</v>
          </cell>
          <cell r="E148">
            <v>2.4023472989389689</v>
          </cell>
        </row>
        <row r="149">
          <cell r="B149" t="str">
            <v>University of Hong Kong</v>
          </cell>
          <cell r="C149">
            <v>101</v>
          </cell>
          <cell r="D149" t="str">
            <v>ABN</v>
          </cell>
          <cell r="E149">
            <v>2.400592447778092</v>
          </cell>
        </row>
        <row r="150">
          <cell r="B150" t="str">
            <v>WHU - Otto Beisheim School of Management</v>
          </cell>
          <cell r="C150">
            <v>76</v>
          </cell>
          <cell r="D150" t="str">
            <v>AHO</v>
          </cell>
          <cell r="E150">
            <v>2.3964371149962069</v>
          </cell>
        </row>
        <row r="151">
          <cell r="B151" t="str">
            <v>IE University</v>
          </cell>
          <cell r="C151">
            <v>56</v>
          </cell>
          <cell r="D151" t="str">
            <v>BBM</v>
          </cell>
          <cell r="E151">
            <v>2.3947587646106618</v>
          </cell>
        </row>
        <row r="152">
          <cell r="B152" t="str">
            <v>ESCP Business School</v>
          </cell>
          <cell r="C152">
            <v>82</v>
          </cell>
          <cell r="D152" t="str">
            <v>BHU</v>
          </cell>
          <cell r="E152">
            <v>2.3914403275584708</v>
          </cell>
        </row>
        <row r="153">
          <cell r="B153" t="str">
            <v>Universitat Ramon Llull</v>
          </cell>
          <cell r="C153">
            <v>76</v>
          </cell>
          <cell r="D153" t="str">
            <v>CAN</v>
          </cell>
          <cell r="E153">
            <v>2.390335691092742</v>
          </cell>
        </row>
        <row r="154">
          <cell r="B154" t="str">
            <v>Hanken School of Economics</v>
          </cell>
          <cell r="C154">
            <v>98</v>
          </cell>
          <cell r="D154" t="str">
            <v>CHE</v>
          </cell>
          <cell r="E154">
            <v>2.3885297338092868</v>
          </cell>
        </row>
        <row r="155">
          <cell r="B155" t="str">
            <v>University of Arkansas Fayetteville</v>
          </cell>
          <cell r="C155">
            <v>99</v>
          </cell>
          <cell r="D155" t="str">
            <v>BEE</v>
          </cell>
          <cell r="E155">
            <v>2.3867249031233069</v>
          </cell>
        </row>
        <row r="156">
          <cell r="B156" t="str">
            <v>University of Kentucky</v>
          </cell>
          <cell r="C156">
            <v>72</v>
          </cell>
          <cell r="D156" t="str">
            <v>AEH</v>
          </cell>
          <cell r="E156">
            <v>2.3847921851869849</v>
          </cell>
        </row>
        <row r="157">
          <cell r="B157" t="str">
            <v>University of Melbourne</v>
          </cell>
          <cell r="C157">
            <v>261</v>
          </cell>
          <cell r="D157" t="str">
            <v>ADD</v>
          </cell>
          <cell r="E157">
            <v>2.3799981385401221</v>
          </cell>
        </row>
        <row r="158">
          <cell r="B158" t="str">
            <v>University of Ottawa</v>
          </cell>
          <cell r="C158">
            <v>79</v>
          </cell>
          <cell r="D158" t="str">
            <v>BGA</v>
          </cell>
          <cell r="E158">
            <v>2.3645010983133581</v>
          </cell>
        </row>
        <row r="159">
          <cell r="B159" t="str">
            <v>International Monetary Fund</v>
          </cell>
          <cell r="C159">
            <v>159</v>
          </cell>
          <cell r="D159" t="str">
            <v>AEW</v>
          </cell>
          <cell r="E159">
            <v>2.355553865330906</v>
          </cell>
        </row>
        <row r="160">
          <cell r="B160" t="str">
            <v>University of Innsbruck</v>
          </cell>
          <cell r="C160">
            <v>62</v>
          </cell>
          <cell r="D160" t="str">
            <v>BFC</v>
          </cell>
          <cell r="E160">
            <v>2.3515702491114392</v>
          </cell>
        </row>
        <row r="161">
          <cell r="B161" t="str">
            <v>University of Bath</v>
          </cell>
          <cell r="C161">
            <v>138</v>
          </cell>
          <cell r="D161" t="str">
            <v>AFZ</v>
          </cell>
          <cell r="E161">
            <v>2.344969938970709</v>
          </cell>
        </row>
        <row r="162">
          <cell r="B162" t="str">
            <v>Iowa State University</v>
          </cell>
          <cell r="C162">
            <v>101</v>
          </cell>
          <cell r="D162" t="str">
            <v>BBQ</v>
          </cell>
          <cell r="E162">
            <v>2.3394497541576631</v>
          </cell>
        </row>
        <row r="163">
          <cell r="B163" t="str">
            <v>Macquarie University</v>
          </cell>
          <cell r="C163">
            <v>230</v>
          </cell>
          <cell r="D163" t="str">
            <v>BCE</v>
          </cell>
          <cell r="E163">
            <v>2.3391107641147348</v>
          </cell>
        </row>
        <row r="164">
          <cell r="B164" t="str">
            <v>National University of Singapore</v>
          </cell>
          <cell r="C164">
            <v>208</v>
          </cell>
          <cell r="D164" t="str">
            <v>AAJ</v>
          </cell>
          <cell r="E164">
            <v>2.3318240456508792</v>
          </cell>
        </row>
        <row r="165">
          <cell r="B165" t="str">
            <v>Universite de Montreal</v>
          </cell>
          <cell r="C165">
            <v>170</v>
          </cell>
          <cell r="D165" t="str">
            <v>ADF</v>
          </cell>
          <cell r="E165">
            <v>2.3297329681499921</v>
          </cell>
        </row>
        <row r="166">
          <cell r="B166" t="str">
            <v>Luiss Guido Carli University</v>
          </cell>
          <cell r="C166">
            <v>82</v>
          </cell>
          <cell r="D166" t="str">
            <v>AHY</v>
          </cell>
          <cell r="E166">
            <v>2.32162226805618</v>
          </cell>
        </row>
        <row r="167">
          <cell r="B167" t="str">
            <v>Bentley University</v>
          </cell>
          <cell r="C167">
            <v>51</v>
          </cell>
          <cell r="D167" t="str">
            <v>DAJ</v>
          </cell>
          <cell r="E167">
            <v>2.3204831403710982</v>
          </cell>
        </row>
        <row r="168">
          <cell r="B168" t="str">
            <v>IESEG School of Management</v>
          </cell>
          <cell r="C168">
            <v>80</v>
          </cell>
          <cell r="D168" t="str">
            <v>BBN</v>
          </cell>
          <cell r="E168">
            <v>2.310334413416915</v>
          </cell>
        </row>
        <row r="169">
          <cell r="B169" t="str">
            <v>Oregon State University</v>
          </cell>
          <cell r="C169">
            <v>49</v>
          </cell>
          <cell r="D169" t="str">
            <v>BCU</v>
          </cell>
          <cell r="E169">
            <v>2.3082859862319678</v>
          </cell>
        </row>
        <row r="170">
          <cell r="B170" t="str">
            <v>Tampere University</v>
          </cell>
          <cell r="C170">
            <v>49</v>
          </cell>
          <cell r="D170" t="str">
            <v>DBG</v>
          </cell>
          <cell r="E170">
            <v>2.3082859862319678</v>
          </cell>
        </row>
        <row r="171">
          <cell r="B171" t="str">
            <v>China Europe International Business School</v>
          </cell>
          <cell r="C171">
            <v>40</v>
          </cell>
          <cell r="D171" t="str">
            <v>DET</v>
          </cell>
          <cell r="E171">
            <v>2.3072440203417099</v>
          </cell>
        </row>
        <row r="172">
          <cell r="B172" t="str">
            <v>Erasmus University Rotterdam</v>
          </cell>
          <cell r="C172">
            <v>291</v>
          </cell>
          <cell r="D172" t="str">
            <v>AAE</v>
          </cell>
          <cell r="E172">
            <v>2.3042142859433059</v>
          </cell>
        </row>
        <row r="173">
          <cell r="B173" t="str">
            <v>San Diego State University</v>
          </cell>
          <cell r="C173">
            <v>45</v>
          </cell>
          <cell r="D173" t="str">
            <v>BHN</v>
          </cell>
          <cell r="E173">
            <v>2.2916478381390251</v>
          </cell>
        </row>
        <row r="174">
          <cell r="B174" t="str">
            <v>Chapman University</v>
          </cell>
          <cell r="C174">
            <v>40</v>
          </cell>
          <cell r="D174" t="str">
            <v>DEI</v>
          </cell>
          <cell r="E174">
            <v>2.2879391613052542</v>
          </cell>
        </row>
        <row r="175">
          <cell r="B175" t="str">
            <v>Temple University</v>
          </cell>
          <cell r="C175">
            <v>87</v>
          </cell>
          <cell r="D175" t="str">
            <v>AFU</v>
          </cell>
          <cell r="E175">
            <v>2.2720554781791118</v>
          </cell>
        </row>
        <row r="176">
          <cell r="B176" t="str">
            <v>Lancaster University</v>
          </cell>
          <cell r="C176">
            <v>160</v>
          </cell>
          <cell r="D176" t="str">
            <v>AEY</v>
          </cell>
          <cell r="E176">
            <v>2.2694552487700541</v>
          </cell>
        </row>
        <row r="177">
          <cell r="B177" t="str">
            <v>Georgia State University</v>
          </cell>
          <cell r="C177">
            <v>129</v>
          </cell>
          <cell r="D177" t="str">
            <v>ACH</v>
          </cell>
          <cell r="E177">
            <v>2.2690673078360679</v>
          </cell>
        </row>
        <row r="178">
          <cell r="B178" t="str">
            <v>European Central Bank</v>
          </cell>
          <cell r="C178">
            <v>240</v>
          </cell>
          <cell r="D178" t="str">
            <v>AEO</v>
          </cell>
          <cell r="E178">
            <v>2.2688212723287582</v>
          </cell>
        </row>
        <row r="179">
          <cell r="B179" t="str">
            <v>University of Alberta</v>
          </cell>
          <cell r="C179">
            <v>105</v>
          </cell>
          <cell r="D179" t="str">
            <v>ABK</v>
          </cell>
          <cell r="E179">
            <v>2.2663359334555442</v>
          </cell>
        </row>
        <row r="180">
          <cell r="B180" t="str">
            <v>Vrije Universiteit Amsterdam</v>
          </cell>
          <cell r="C180">
            <v>181</v>
          </cell>
          <cell r="D180" t="str">
            <v>ADV</v>
          </cell>
          <cell r="E180">
            <v>2.2614231831280351</v>
          </cell>
        </row>
        <row r="181">
          <cell r="B181" t="str">
            <v>University of Amsterdam</v>
          </cell>
          <cell r="C181">
            <v>192</v>
          </cell>
          <cell r="D181" t="str">
            <v>ACS</v>
          </cell>
          <cell r="E181">
            <v>2.2566239265488051</v>
          </cell>
        </row>
        <row r="182">
          <cell r="B182" t="str">
            <v>University of Liverpool</v>
          </cell>
          <cell r="C182">
            <v>131</v>
          </cell>
          <cell r="D182" t="str">
            <v>BFM</v>
          </cell>
          <cell r="E182">
            <v>2.254782141381412</v>
          </cell>
        </row>
        <row r="183">
          <cell r="B183" t="str">
            <v>Ifo Institut</v>
          </cell>
          <cell r="C183">
            <v>274</v>
          </cell>
          <cell r="D183" t="str">
            <v>AHT</v>
          </cell>
          <cell r="E183">
            <v>2.2546384126861461</v>
          </cell>
        </row>
        <row r="184">
          <cell r="B184" t="str">
            <v>ESSEC Business School</v>
          </cell>
          <cell r="C184">
            <v>56</v>
          </cell>
          <cell r="D184" t="str">
            <v>BAW</v>
          </cell>
          <cell r="E184">
            <v>2.2475238386802752</v>
          </cell>
        </row>
        <row r="185">
          <cell r="B185" t="str">
            <v>Baruch College (CUNY)</v>
          </cell>
          <cell r="C185">
            <v>57</v>
          </cell>
          <cell r="D185" t="str">
            <v>BFK</v>
          </cell>
          <cell r="E185">
            <v>2.2397989523540969</v>
          </cell>
        </row>
        <row r="186">
          <cell r="B186" t="str">
            <v>University of Verona</v>
          </cell>
          <cell r="C186">
            <v>57</v>
          </cell>
          <cell r="D186" t="str">
            <v>BAV</v>
          </cell>
          <cell r="E186">
            <v>2.2397989523540969</v>
          </cell>
        </row>
        <row r="187">
          <cell r="B187" t="str">
            <v>Polytechnic University of Milan</v>
          </cell>
          <cell r="C187">
            <v>97</v>
          </cell>
          <cell r="D187" t="str">
            <v>AFH</v>
          </cell>
          <cell r="E187">
            <v>2.2385188290496241</v>
          </cell>
        </row>
        <row r="188">
          <cell r="B188" t="str">
            <v>University of Turku</v>
          </cell>
          <cell r="C188">
            <v>55</v>
          </cell>
          <cell r="D188" t="str">
            <v>CGK</v>
          </cell>
          <cell r="E188">
            <v>2.237559039841956</v>
          </cell>
        </row>
        <row r="189">
          <cell r="B189" t="str">
            <v>Vienna University of Economics &amp; Business</v>
          </cell>
          <cell r="C189">
            <v>107</v>
          </cell>
          <cell r="D189" t="str">
            <v>AHP</v>
          </cell>
          <cell r="E189">
            <v>2.2369663764961509</v>
          </cell>
        </row>
        <row r="190">
          <cell r="B190" t="str">
            <v>Royal Holloway University London</v>
          </cell>
          <cell r="C190">
            <v>60</v>
          </cell>
          <cell r="D190" t="str">
            <v>BDE</v>
          </cell>
          <cell r="E190">
            <v>2.2369036670691349</v>
          </cell>
        </row>
        <row r="191">
          <cell r="B191" t="str">
            <v>emlyon business school</v>
          </cell>
          <cell r="C191">
            <v>49</v>
          </cell>
          <cell r="D191" t="str">
            <v>DBL</v>
          </cell>
          <cell r="E191">
            <v>2.2292927599935499</v>
          </cell>
        </row>
        <row r="192">
          <cell r="B192" t="str">
            <v>Ghent University</v>
          </cell>
          <cell r="C192">
            <v>124</v>
          </cell>
          <cell r="D192" t="str">
            <v>AES</v>
          </cell>
          <cell r="E192">
            <v>2.2247893556081109</v>
          </cell>
        </row>
        <row r="193">
          <cell r="B193" t="str">
            <v>Autonomous University of Barcelona</v>
          </cell>
          <cell r="C193">
            <v>74</v>
          </cell>
          <cell r="D193" t="str">
            <v>AFY</v>
          </cell>
          <cell r="E193">
            <v>2.2245021679048671</v>
          </cell>
        </row>
        <row r="194">
          <cell r="B194" t="str">
            <v>George Mason University</v>
          </cell>
          <cell r="C194">
            <v>99</v>
          </cell>
          <cell r="D194" t="str">
            <v>ACF</v>
          </cell>
          <cell r="E194">
            <v>2.2231634068128212</v>
          </cell>
        </row>
        <row r="195">
          <cell r="B195" t="str">
            <v>Hong Kong Baptist University</v>
          </cell>
          <cell r="C195">
            <v>67</v>
          </cell>
          <cell r="D195" t="str">
            <v>BBI</v>
          </cell>
          <cell r="E195">
            <v>2.2229277893186992</v>
          </cell>
        </row>
        <row r="196">
          <cell r="B196" t="str">
            <v>Jonkoping University</v>
          </cell>
          <cell r="C196">
            <v>54</v>
          </cell>
          <cell r="D196" t="str">
            <v>BBT</v>
          </cell>
          <cell r="E196">
            <v>2.2214683156287118</v>
          </cell>
        </row>
        <row r="197">
          <cell r="B197" t="str">
            <v>Florida State University</v>
          </cell>
          <cell r="C197">
            <v>108</v>
          </cell>
          <cell r="D197" t="str">
            <v>BBB</v>
          </cell>
          <cell r="E197">
            <v>2.2214263801564602</v>
          </cell>
        </row>
        <row r="198">
          <cell r="B198" t="str">
            <v>Virginia Polytechnic Institute &amp; State University</v>
          </cell>
          <cell r="C198">
            <v>105</v>
          </cell>
          <cell r="D198" t="str">
            <v>BGY</v>
          </cell>
          <cell r="E198">
            <v>2.2202546657518418</v>
          </cell>
        </row>
        <row r="199">
          <cell r="B199" t="str">
            <v>University of Sussex</v>
          </cell>
          <cell r="C199">
            <v>128</v>
          </cell>
          <cell r="D199" t="str">
            <v>AHD</v>
          </cell>
          <cell r="E199">
            <v>2.2137998586413752</v>
          </cell>
        </row>
        <row r="200">
          <cell r="B200" t="str">
            <v>NEOMA Business School</v>
          </cell>
          <cell r="C200">
            <v>42</v>
          </cell>
          <cell r="D200" t="str">
            <v>DDN</v>
          </cell>
          <cell r="E200">
            <v>2.2106398974341261</v>
          </cell>
        </row>
        <row r="201">
          <cell r="B201" t="str">
            <v>Solent University</v>
          </cell>
          <cell r="C201">
            <v>80</v>
          </cell>
          <cell r="D201" t="str">
            <v>CBZ</v>
          </cell>
          <cell r="E201">
            <v>2.2052413523215528</v>
          </cell>
        </row>
        <row r="202">
          <cell r="B202" t="str">
            <v>Syracuse University</v>
          </cell>
          <cell r="C202">
            <v>69</v>
          </cell>
          <cell r="D202" t="str">
            <v>BDQ</v>
          </cell>
          <cell r="E202">
            <v>2.1931929194568718</v>
          </cell>
        </row>
        <row r="203">
          <cell r="B203" t="str">
            <v>University of Bristol</v>
          </cell>
          <cell r="C203">
            <v>102</v>
          </cell>
          <cell r="D203" t="str">
            <v>BEH</v>
          </cell>
          <cell r="E203">
            <v>2.1927873532870761</v>
          </cell>
        </row>
        <row r="204">
          <cell r="B204" t="str">
            <v>Kiel Institute for the World Economy</v>
          </cell>
          <cell r="C204">
            <v>52</v>
          </cell>
          <cell r="D204" t="str">
            <v>DAH</v>
          </cell>
          <cell r="E204">
            <v>2.191039032150226</v>
          </cell>
        </row>
        <row r="205">
          <cell r="B205" t="str">
            <v>Ihsan Dogramaci Bilkent University</v>
          </cell>
          <cell r="C205">
            <v>44</v>
          </cell>
          <cell r="D205" t="str">
            <v>DCX</v>
          </cell>
          <cell r="E205">
            <v>2.1857221193789971</v>
          </cell>
        </row>
        <row r="206">
          <cell r="B206" t="str">
            <v>Hebrew University of Jerusalem</v>
          </cell>
          <cell r="C206">
            <v>55</v>
          </cell>
          <cell r="D206" t="str">
            <v>AET</v>
          </cell>
          <cell r="E206">
            <v>2.1778950654917519</v>
          </cell>
        </row>
        <row r="207">
          <cell r="B207" t="str">
            <v>City University of Hong Kong</v>
          </cell>
          <cell r="C207">
            <v>133</v>
          </cell>
          <cell r="D207" t="str">
            <v>AEI</v>
          </cell>
          <cell r="E207">
            <v>2.1682508453708</v>
          </cell>
        </row>
        <row r="208">
          <cell r="B208" t="str">
            <v>Purdue University</v>
          </cell>
          <cell r="C208">
            <v>136</v>
          </cell>
          <cell r="D208" t="str">
            <v>ACP</v>
          </cell>
          <cell r="E208">
            <v>2.1671786861896791</v>
          </cell>
        </row>
        <row r="209">
          <cell r="B209" t="str">
            <v>Tecnologico de Monterrey</v>
          </cell>
          <cell r="C209">
            <v>44</v>
          </cell>
          <cell r="D209" t="str">
            <v>CAH</v>
          </cell>
          <cell r="E209">
            <v>2.163464443272058</v>
          </cell>
        </row>
        <row r="210">
          <cell r="B210" t="str">
            <v>European University Institute</v>
          </cell>
          <cell r="C210">
            <v>57</v>
          </cell>
          <cell r="D210" t="str">
            <v>BAX</v>
          </cell>
          <cell r="E210">
            <v>2.162822046681101</v>
          </cell>
        </row>
        <row r="211">
          <cell r="B211" t="str">
            <v>University of St Andrews</v>
          </cell>
          <cell r="C211">
            <v>46</v>
          </cell>
          <cell r="D211" t="str">
            <v>BGL</v>
          </cell>
          <cell r="E211">
            <v>2.1616490635098509</v>
          </cell>
        </row>
        <row r="212">
          <cell r="B212" t="str">
            <v>University of Edinburgh</v>
          </cell>
          <cell r="C212">
            <v>138</v>
          </cell>
          <cell r="D212" t="str">
            <v>AGJ</v>
          </cell>
          <cell r="E212">
            <v>2.1612205404000879</v>
          </cell>
        </row>
        <row r="213">
          <cell r="B213" t="str">
            <v>University of Birmingham</v>
          </cell>
          <cell r="C213">
            <v>149</v>
          </cell>
          <cell r="D213" t="str">
            <v>AGB</v>
          </cell>
          <cell r="E213">
            <v>2.158084349887214</v>
          </cell>
        </row>
        <row r="214">
          <cell r="B214" t="str">
            <v>University of Surrey</v>
          </cell>
          <cell r="C214">
            <v>81</v>
          </cell>
          <cell r="D214" t="str">
            <v>AHC</v>
          </cell>
          <cell r="E214">
            <v>2.1557720738162489</v>
          </cell>
        </row>
        <row r="215">
          <cell r="B215" t="str">
            <v>Humboldt University of Berlin</v>
          </cell>
          <cell r="C215">
            <v>58</v>
          </cell>
          <cell r="D215" t="str">
            <v>BHY</v>
          </cell>
          <cell r="E215">
            <v>2.1496496750512799</v>
          </cell>
        </row>
        <row r="216">
          <cell r="B216" t="str">
            <v>University of North Carolina Greensboro</v>
          </cell>
          <cell r="C216">
            <v>55</v>
          </cell>
          <cell r="D216" t="str">
            <v>CAS</v>
          </cell>
          <cell r="E216">
            <v>2.1495590692161071</v>
          </cell>
        </row>
        <row r="217">
          <cell r="B217" t="str">
            <v>King's College London</v>
          </cell>
          <cell r="C217">
            <v>141</v>
          </cell>
          <cell r="D217" t="str">
            <v>BBX</v>
          </cell>
          <cell r="E217">
            <v>2.1489336791853209</v>
          </cell>
        </row>
        <row r="218">
          <cell r="B218" t="str">
            <v>Bank of Italy</v>
          </cell>
          <cell r="C218">
            <v>69</v>
          </cell>
          <cell r="D218" t="str">
            <v>CBL</v>
          </cell>
          <cell r="E218">
            <v>2.1432000880477671</v>
          </cell>
        </row>
        <row r="219">
          <cell r="B219" t="str">
            <v>University of Auckland</v>
          </cell>
          <cell r="C219">
            <v>140</v>
          </cell>
          <cell r="D219" t="str">
            <v>ACV</v>
          </cell>
          <cell r="E219">
            <v>2.1365444534931868</v>
          </cell>
        </row>
        <row r="220">
          <cell r="B220" t="str">
            <v>University of Manchester</v>
          </cell>
          <cell r="C220">
            <v>230</v>
          </cell>
          <cell r="D220" t="str">
            <v>ADC</v>
          </cell>
          <cell r="E220">
            <v>2.1296886529796302</v>
          </cell>
        </row>
        <row r="221">
          <cell r="B221" t="str">
            <v>Hitotsubashi University</v>
          </cell>
          <cell r="C221">
            <v>59</v>
          </cell>
          <cell r="D221" t="str">
            <v>ADX</v>
          </cell>
          <cell r="E221">
            <v>2.127981860170383</v>
          </cell>
        </row>
        <row r="222">
          <cell r="B222" t="str">
            <v>Florida Atlantic University</v>
          </cell>
          <cell r="C222">
            <v>90</v>
          </cell>
          <cell r="D222" t="str">
            <v>CBP</v>
          </cell>
          <cell r="E222">
            <v>2.1256247035397871</v>
          </cell>
        </row>
        <row r="223">
          <cell r="B223" t="str">
            <v>SKEMA Business School</v>
          </cell>
          <cell r="C223">
            <v>47</v>
          </cell>
          <cell r="D223" t="str">
            <v>DAV</v>
          </cell>
          <cell r="E223">
            <v>2.125122548297067</v>
          </cell>
        </row>
        <row r="224">
          <cell r="B224" t="str">
            <v>Chalmers University of Technology</v>
          </cell>
          <cell r="C224">
            <v>41</v>
          </cell>
          <cell r="D224" t="str">
            <v>DEH</v>
          </cell>
          <cell r="E224">
            <v>2.1247372611102171</v>
          </cell>
        </row>
        <row r="225">
          <cell r="B225" t="str">
            <v>Auburn University</v>
          </cell>
          <cell r="C225">
            <v>92</v>
          </cell>
          <cell r="D225" t="str">
            <v>AHF</v>
          </cell>
          <cell r="E225">
            <v>2.1214416619937508</v>
          </cell>
        </row>
        <row r="226">
          <cell r="B226" t="str">
            <v>University of Essex</v>
          </cell>
          <cell r="C226">
            <v>161</v>
          </cell>
          <cell r="D226" t="str">
            <v>BER</v>
          </cell>
          <cell r="E226">
            <v>2.1209247719952868</v>
          </cell>
        </row>
        <row r="227">
          <cell r="B227" t="str">
            <v>Monash University</v>
          </cell>
          <cell r="C227">
            <v>371</v>
          </cell>
          <cell r="D227" t="str">
            <v>ABI</v>
          </cell>
          <cell r="E227">
            <v>2.1134259443395429</v>
          </cell>
        </row>
        <row r="228">
          <cell r="B228" t="str">
            <v>University of Vaasa</v>
          </cell>
          <cell r="C228">
            <v>75</v>
          </cell>
          <cell r="D228" t="str">
            <v>CBS</v>
          </cell>
          <cell r="E228">
            <v>2.113226879077573</v>
          </cell>
        </row>
        <row r="229">
          <cell r="B229" t="str">
            <v>DIW Berlin - Deutsches Institut fur Wirtschaftsforschung</v>
          </cell>
          <cell r="C229">
            <v>49</v>
          </cell>
          <cell r="D229" t="str">
            <v>DBS</v>
          </cell>
          <cell r="E229">
            <v>2.1099352525772401</v>
          </cell>
        </row>
        <row r="230">
          <cell r="B230" t="str">
            <v>Universidad Carlos III de Madrid</v>
          </cell>
          <cell r="C230">
            <v>93</v>
          </cell>
          <cell r="D230" t="str">
            <v>BDX</v>
          </cell>
          <cell r="E230">
            <v>2.109889532815135</v>
          </cell>
        </row>
        <row r="231">
          <cell r="B231" t="str">
            <v>Villanova University</v>
          </cell>
          <cell r="C231">
            <v>61</v>
          </cell>
          <cell r="D231" t="str">
            <v>AGM</v>
          </cell>
          <cell r="E231">
            <v>2.10517743587683</v>
          </cell>
        </row>
        <row r="232">
          <cell r="B232" t="str">
            <v>Washington State University</v>
          </cell>
          <cell r="C232">
            <v>63</v>
          </cell>
          <cell r="D232" t="str">
            <v>CAD</v>
          </cell>
          <cell r="E232">
            <v>2.1038586731058242</v>
          </cell>
        </row>
        <row r="233">
          <cell r="B233" t="str">
            <v>Maastricht University</v>
          </cell>
          <cell r="C233">
            <v>139</v>
          </cell>
          <cell r="D233" t="str">
            <v>ABG</v>
          </cell>
          <cell r="E233">
            <v>2.103793151684576</v>
          </cell>
        </row>
        <row r="234">
          <cell r="B234" t="str">
            <v>University of North Carolina Charlotte</v>
          </cell>
          <cell r="C234">
            <v>60</v>
          </cell>
          <cell r="D234" t="str">
            <v>CHP</v>
          </cell>
          <cell r="E234">
            <v>2.1033190861657731</v>
          </cell>
        </row>
        <row r="235">
          <cell r="B235" t="str">
            <v>University College Dublin</v>
          </cell>
          <cell r="C235">
            <v>89</v>
          </cell>
          <cell r="D235" t="str">
            <v>AGD</v>
          </cell>
          <cell r="E235">
            <v>2.0949848842960539</v>
          </cell>
        </row>
        <row r="236">
          <cell r="B236" t="str">
            <v>Fudan University</v>
          </cell>
          <cell r="C236">
            <v>148</v>
          </cell>
          <cell r="D236" t="str">
            <v>BBD</v>
          </cell>
          <cell r="E236">
            <v>2.092564064952565</v>
          </cell>
        </row>
        <row r="237">
          <cell r="B237" t="str">
            <v>Free University of Berlin</v>
          </cell>
          <cell r="C237">
            <v>60</v>
          </cell>
          <cell r="D237" t="str">
            <v>BBC</v>
          </cell>
          <cell r="E237">
            <v>2.092050460763208</v>
          </cell>
        </row>
        <row r="238">
          <cell r="B238" t="str">
            <v>Dublin City University</v>
          </cell>
          <cell r="C238">
            <v>66</v>
          </cell>
          <cell r="D238" t="str">
            <v>AEL</v>
          </cell>
          <cell r="E238">
            <v>2.0910267795095052</v>
          </cell>
        </row>
        <row r="239">
          <cell r="B239" t="str">
            <v>North Carolina State University</v>
          </cell>
          <cell r="C239">
            <v>104</v>
          </cell>
          <cell r="D239" t="str">
            <v>BCL</v>
          </cell>
          <cell r="E239">
            <v>2.0847684995048481</v>
          </cell>
        </row>
        <row r="240">
          <cell r="B240" t="str">
            <v>University of Massachusetts Lowell</v>
          </cell>
          <cell r="C240">
            <v>43</v>
          </cell>
          <cell r="D240" t="str">
            <v>DDP</v>
          </cell>
          <cell r="E240">
            <v>2.0777776547578459</v>
          </cell>
        </row>
        <row r="241">
          <cell r="B241" t="str">
            <v>University of Cologne</v>
          </cell>
          <cell r="C241">
            <v>89</v>
          </cell>
          <cell r="D241" t="str">
            <v>BEN</v>
          </cell>
          <cell r="E241">
            <v>2.076997868722132</v>
          </cell>
        </row>
        <row r="242">
          <cell r="B242" t="str">
            <v>University of New South Wales Sydney</v>
          </cell>
          <cell r="C242">
            <v>203</v>
          </cell>
          <cell r="D242" t="str">
            <v>ADI</v>
          </cell>
          <cell r="E242">
            <v>2.0747336432745982</v>
          </cell>
        </row>
        <row r="243">
          <cell r="B243" t="str">
            <v>Audencia</v>
          </cell>
          <cell r="C243">
            <v>76</v>
          </cell>
          <cell r="D243" t="str">
            <v>BBW</v>
          </cell>
          <cell r="E243">
            <v>2.0727626040441112</v>
          </cell>
        </row>
        <row r="244">
          <cell r="B244" t="str">
            <v>Oklahoma State University - Stillwater</v>
          </cell>
          <cell r="C244">
            <v>67</v>
          </cell>
          <cell r="D244" t="str">
            <v>BCS</v>
          </cell>
          <cell r="E244">
            <v>2.0726324235496389</v>
          </cell>
        </row>
        <row r="245">
          <cell r="B245" t="str">
            <v>The World Bank</v>
          </cell>
          <cell r="C245">
            <v>165</v>
          </cell>
          <cell r="D245" t="str">
            <v>ADW</v>
          </cell>
          <cell r="E245">
            <v>2.070824924030064</v>
          </cell>
        </row>
        <row r="246">
          <cell r="B246" t="str">
            <v>Shanghai University of Finance &amp; Economics</v>
          </cell>
          <cell r="C246">
            <v>170</v>
          </cell>
          <cell r="D246" t="str">
            <v>BDK</v>
          </cell>
          <cell r="E246">
            <v>2.0604355028202299</v>
          </cell>
        </row>
        <row r="247">
          <cell r="B247" t="str">
            <v>Technical University of Munich</v>
          </cell>
          <cell r="C247">
            <v>87</v>
          </cell>
          <cell r="D247" t="str">
            <v>BDR</v>
          </cell>
          <cell r="E247">
            <v>2.057668117701398</v>
          </cell>
        </row>
        <row r="248">
          <cell r="B248" t="str">
            <v>University of Exeter</v>
          </cell>
          <cell r="C248">
            <v>97</v>
          </cell>
          <cell r="D248" t="str">
            <v>BES</v>
          </cell>
          <cell r="E248">
            <v>2.056717944085487</v>
          </cell>
        </row>
        <row r="249">
          <cell r="B249" t="str">
            <v>University of Aberdeen</v>
          </cell>
          <cell r="C249">
            <v>47</v>
          </cell>
          <cell r="D249" t="str">
            <v>BEM</v>
          </cell>
          <cell r="E249">
            <v>2.0558983140793869</v>
          </cell>
        </row>
        <row r="250">
          <cell r="B250" t="str">
            <v>University of Hamburg</v>
          </cell>
          <cell r="C250">
            <v>89</v>
          </cell>
          <cell r="D250" t="str">
            <v>ACI</v>
          </cell>
          <cell r="E250">
            <v>2.052004688900857</v>
          </cell>
        </row>
        <row r="251">
          <cell r="B251" t="str">
            <v>Durham University</v>
          </cell>
          <cell r="C251">
            <v>140</v>
          </cell>
          <cell r="D251" t="str">
            <v>BAR</v>
          </cell>
          <cell r="E251">
            <v>2.0418864349131032</v>
          </cell>
        </row>
        <row r="252">
          <cell r="B252" t="str">
            <v>University of Strathclyde</v>
          </cell>
          <cell r="C252">
            <v>69</v>
          </cell>
          <cell r="D252" t="str">
            <v>BGM</v>
          </cell>
          <cell r="E252">
            <v>2.036599160766595</v>
          </cell>
        </row>
        <row r="253">
          <cell r="B253" t="str">
            <v>American University</v>
          </cell>
          <cell r="C253">
            <v>75</v>
          </cell>
          <cell r="D253" t="str">
            <v>BEC</v>
          </cell>
          <cell r="E253">
            <v>2.0342691921724079</v>
          </cell>
        </row>
        <row r="254">
          <cell r="B254" t="str">
            <v>Montpellier Business School</v>
          </cell>
          <cell r="C254">
            <v>119</v>
          </cell>
          <cell r="D254" t="str">
            <v>ABJ</v>
          </cell>
          <cell r="E254">
            <v>2.025309461436497</v>
          </cell>
        </row>
        <row r="255">
          <cell r="B255" t="str">
            <v>Aston University</v>
          </cell>
          <cell r="C255">
            <v>77</v>
          </cell>
          <cell r="D255" t="str">
            <v>AEB</v>
          </cell>
          <cell r="E255">
            <v>2.0200029696771651</v>
          </cell>
        </row>
        <row r="256">
          <cell r="B256" t="str">
            <v>Technische Universitat Dresden</v>
          </cell>
          <cell r="C256">
            <v>38</v>
          </cell>
          <cell r="D256" t="str">
            <v>BCV</v>
          </cell>
          <cell r="E256">
            <v>2.0191629759558389</v>
          </cell>
        </row>
        <row r="257">
          <cell r="B257" t="str">
            <v>Tsinghua University</v>
          </cell>
          <cell r="C257">
            <v>212</v>
          </cell>
          <cell r="D257" t="str">
            <v>AFX</v>
          </cell>
          <cell r="E257">
            <v>2.0185886014040002</v>
          </cell>
        </row>
        <row r="258">
          <cell r="B258" t="str">
            <v>Lahore University of Management Sciences</v>
          </cell>
          <cell r="C258">
            <v>43</v>
          </cell>
          <cell r="D258" t="str">
            <v>DDK</v>
          </cell>
          <cell r="E258">
            <v>2.014896030639775</v>
          </cell>
        </row>
        <row r="259">
          <cell r="B259" t="str">
            <v>Concordia University - Canada</v>
          </cell>
          <cell r="C259">
            <v>86</v>
          </cell>
          <cell r="D259" t="str">
            <v>BAM</v>
          </cell>
          <cell r="E259">
            <v>2.010136061950254</v>
          </cell>
        </row>
        <row r="260">
          <cell r="B260" t="str">
            <v>University of Bern</v>
          </cell>
          <cell r="C260">
            <v>76</v>
          </cell>
          <cell r="D260" t="str">
            <v>BEF</v>
          </cell>
          <cell r="E260">
            <v>2.009562301201465</v>
          </cell>
        </row>
        <row r="261">
          <cell r="B261" t="str">
            <v>University of Nottingham</v>
          </cell>
          <cell r="C261">
            <v>183</v>
          </cell>
          <cell r="D261" t="str">
            <v>ADL</v>
          </cell>
          <cell r="E261">
            <v>2.006335083046745</v>
          </cell>
        </row>
        <row r="262">
          <cell r="B262" t="str">
            <v>University of Oklahoma - Norman</v>
          </cell>
          <cell r="C262">
            <v>75</v>
          </cell>
          <cell r="D262" t="str">
            <v>BFX</v>
          </cell>
          <cell r="E262">
            <v>2.0055304342932132</v>
          </cell>
        </row>
        <row r="263">
          <cell r="B263" t="str">
            <v>Carleton University</v>
          </cell>
          <cell r="C263">
            <v>61</v>
          </cell>
          <cell r="D263" t="str">
            <v>AHX</v>
          </cell>
          <cell r="E263">
            <v>2.0047909013521679</v>
          </cell>
        </row>
        <row r="264">
          <cell r="B264" t="str">
            <v>Goethe University Frankfurt</v>
          </cell>
          <cell r="C264">
            <v>73</v>
          </cell>
          <cell r="D264" t="str">
            <v>BET</v>
          </cell>
          <cell r="E264">
            <v>2.002486420287994</v>
          </cell>
        </row>
        <row r="265">
          <cell r="B265" t="str">
            <v>Uppsala University</v>
          </cell>
          <cell r="C265">
            <v>91</v>
          </cell>
          <cell r="D265" t="str">
            <v>BGV</v>
          </cell>
          <cell r="E265">
            <v>1.999796648644375</v>
          </cell>
        </row>
        <row r="266">
          <cell r="B266" t="str">
            <v>University of Leeds</v>
          </cell>
          <cell r="C266">
            <v>152</v>
          </cell>
          <cell r="D266" t="str">
            <v>AGQ</v>
          </cell>
          <cell r="E266">
            <v>1.99779350861252</v>
          </cell>
        </row>
        <row r="267">
          <cell r="B267" t="str">
            <v>University of Missouri Columbia</v>
          </cell>
          <cell r="C267">
            <v>96</v>
          </cell>
          <cell r="D267" t="str">
            <v>BFS</v>
          </cell>
          <cell r="E267">
            <v>1.997088711533932</v>
          </cell>
        </row>
        <row r="268">
          <cell r="B268" t="str">
            <v>Scuola Superiore Sant'Anna</v>
          </cell>
          <cell r="C268">
            <v>51</v>
          </cell>
          <cell r="D268" t="str">
            <v>BDI</v>
          </cell>
          <cell r="E268">
            <v>1.9962919270570589</v>
          </cell>
        </row>
        <row r="269">
          <cell r="B269" t="str">
            <v>Czech Academy of Sciences</v>
          </cell>
          <cell r="C269">
            <v>46</v>
          </cell>
          <cell r="D269" t="str">
            <v>BDF</v>
          </cell>
          <cell r="E269">
            <v>1.995435368258877</v>
          </cell>
        </row>
        <row r="270">
          <cell r="B270" t="str">
            <v>RWTH Aachen University</v>
          </cell>
          <cell r="C270">
            <v>43</v>
          </cell>
          <cell r="D270" t="str">
            <v>BDG</v>
          </cell>
          <cell r="E270">
            <v>1.994249748226993</v>
          </cell>
        </row>
        <row r="271">
          <cell r="B271" t="str">
            <v>University of Munster</v>
          </cell>
          <cell r="C271">
            <v>56</v>
          </cell>
          <cell r="D271" t="str">
            <v>DAC</v>
          </cell>
          <cell r="E271">
            <v>1.9921568683602791</v>
          </cell>
        </row>
        <row r="272">
          <cell r="B272" t="str">
            <v>University of Kent</v>
          </cell>
          <cell r="C272">
            <v>89</v>
          </cell>
          <cell r="D272" t="str">
            <v>BFH</v>
          </cell>
          <cell r="E272">
            <v>1.9844397521545301</v>
          </cell>
        </row>
        <row r="273">
          <cell r="B273" t="str">
            <v>Eindhoven University of Technology</v>
          </cell>
          <cell r="C273">
            <v>44</v>
          </cell>
          <cell r="D273" t="str">
            <v>BAU</v>
          </cell>
          <cell r="E273">
            <v>1.9825964663423961</v>
          </cell>
        </row>
        <row r="274">
          <cell r="B274" t="str">
            <v>University of Queensland</v>
          </cell>
          <cell r="C274">
            <v>227</v>
          </cell>
          <cell r="D274" t="str">
            <v>ADM</v>
          </cell>
          <cell r="E274">
            <v>1.9821213901259109</v>
          </cell>
        </row>
        <row r="275">
          <cell r="B275" t="str">
            <v>Miami University</v>
          </cell>
          <cell r="C275">
            <v>65</v>
          </cell>
          <cell r="D275" t="str">
            <v>BCO</v>
          </cell>
          <cell r="E275">
            <v>1.977412118927149</v>
          </cell>
        </row>
        <row r="276">
          <cell r="B276" t="str">
            <v>Deutsche Bundesbank</v>
          </cell>
          <cell r="C276">
            <v>46</v>
          </cell>
          <cell r="D276" t="str">
            <v>CHK</v>
          </cell>
          <cell r="E276">
            <v>1.971679414137971</v>
          </cell>
        </row>
        <row r="277">
          <cell r="B277" t="str">
            <v>Australian National University</v>
          </cell>
          <cell r="C277">
            <v>226</v>
          </cell>
          <cell r="D277" t="str">
            <v>AEC</v>
          </cell>
          <cell r="E277">
            <v>1.971354472982987</v>
          </cell>
        </row>
        <row r="278">
          <cell r="B278" t="str">
            <v>University of Memphis</v>
          </cell>
          <cell r="C278">
            <v>49</v>
          </cell>
          <cell r="D278" t="str">
            <v>DBO</v>
          </cell>
          <cell r="E278">
            <v>1.9690974184920109</v>
          </cell>
        </row>
        <row r="279">
          <cell r="B279" t="str">
            <v>Fordham University</v>
          </cell>
          <cell r="C279">
            <v>67</v>
          </cell>
          <cell r="D279" t="str">
            <v>CGQ</v>
          </cell>
          <cell r="E279">
            <v>1.9654451066163769</v>
          </cell>
        </row>
        <row r="280">
          <cell r="B280" t="str">
            <v>University of South Florida</v>
          </cell>
          <cell r="C280">
            <v>63</v>
          </cell>
          <cell r="D280" t="str">
            <v>CHB</v>
          </cell>
          <cell r="E280">
            <v>1.9643335839591449</v>
          </cell>
        </row>
        <row r="281">
          <cell r="B281" t="str">
            <v>Laval University</v>
          </cell>
          <cell r="C281">
            <v>72</v>
          </cell>
          <cell r="D281" t="str">
            <v>AGP</v>
          </cell>
          <cell r="E281">
            <v>1.960579194543278</v>
          </cell>
        </row>
        <row r="282">
          <cell r="B282" t="str">
            <v>Aarhus University</v>
          </cell>
          <cell r="C282">
            <v>164</v>
          </cell>
          <cell r="D282" t="str">
            <v>ABY</v>
          </cell>
          <cell r="E282">
            <v>1.9600699622169711</v>
          </cell>
        </row>
        <row r="283">
          <cell r="B283" t="str">
            <v>University of Central Florida</v>
          </cell>
          <cell r="C283">
            <v>89</v>
          </cell>
          <cell r="D283" t="str">
            <v>BEA</v>
          </cell>
          <cell r="E283">
            <v>1.9599504603163731</v>
          </cell>
        </row>
        <row r="284">
          <cell r="B284" t="str">
            <v>University of Southampton</v>
          </cell>
          <cell r="C284">
            <v>128</v>
          </cell>
          <cell r="D284" t="str">
            <v>AHB</v>
          </cell>
          <cell r="E284">
            <v>1.959686289131356</v>
          </cell>
        </row>
        <row r="285">
          <cell r="B285" t="str">
            <v>Charles University Prague</v>
          </cell>
          <cell r="C285">
            <v>86</v>
          </cell>
          <cell r="D285" t="str">
            <v>BGF</v>
          </cell>
          <cell r="E285">
            <v>1.958535605430485</v>
          </cell>
        </row>
        <row r="286">
          <cell r="B286" t="str">
            <v>University of Reading</v>
          </cell>
          <cell r="C286">
            <v>144</v>
          </cell>
          <cell r="D286" t="str">
            <v>AGY</v>
          </cell>
          <cell r="E286">
            <v>1.954267770527053</v>
          </cell>
        </row>
        <row r="287">
          <cell r="B287" t="str">
            <v>Tongji University</v>
          </cell>
          <cell r="C287">
            <v>95</v>
          </cell>
          <cell r="D287" t="str">
            <v>BDV</v>
          </cell>
          <cell r="E287">
            <v>1.9470760441325861</v>
          </cell>
        </row>
        <row r="288">
          <cell r="B288" t="str">
            <v>University of Alabama Tuscaloosa</v>
          </cell>
          <cell r="C288">
            <v>95</v>
          </cell>
          <cell r="D288" t="str">
            <v>BEB</v>
          </cell>
          <cell r="E288">
            <v>1.9464074310036319</v>
          </cell>
        </row>
        <row r="289">
          <cell r="B289" t="str">
            <v>Max Planck Society</v>
          </cell>
          <cell r="C289">
            <v>73</v>
          </cell>
          <cell r="D289" t="str">
            <v>BCH</v>
          </cell>
          <cell r="E289">
            <v>1.9462950658160589</v>
          </cell>
        </row>
        <row r="290">
          <cell r="B290" t="str">
            <v>University of Bergamo</v>
          </cell>
          <cell r="C290">
            <v>52</v>
          </cell>
          <cell r="D290" t="str">
            <v>AGA</v>
          </cell>
          <cell r="E290">
            <v>1.94434709306689</v>
          </cell>
        </row>
        <row r="291">
          <cell r="B291" t="str">
            <v>University of Houston</v>
          </cell>
          <cell r="C291">
            <v>103</v>
          </cell>
          <cell r="D291" t="str">
            <v>BFA</v>
          </cell>
          <cell r="E291">
            <v>1.9440642820006819</v>
          </cell>
        </row>
        <row r="292">
          <cell r="B292" t="str">
            <v>University of Sydney</v>
          </cell>
          <cell r="C292">
            <v>249</v>
          </cell>
          <cell r="D292" t="str">
            <v>ADP</v>
          </cell>
          <cell r="E292">
            <v>1.9421876632649271</v>
          </cell>
        </row>
        <row r="293">
          <cell r="B293" t="str">
            <v>Wilfrid Laurier University</v>
          </cell>
          <cell r="C293">
            <v>55</v>
          </cell>
          <cell r="D293" t="str">
            <v>BHA</v>
          </cell>
          <cell r="E293">
            <v>1.9378333925119891</v>
          </cell>
        </row>
        <row r="294">
          <cell r="B294" t="str">
            <v>Louisiana State University</v>
          </cell>
          <cell r="C294">
            <v>66</v>
          </cell>
          <cell r="D294" t="str">
            <v>CAK</v>
          </cell>
          <cell r="E294">
            <v>1.9365177716256201</v>
          </cell>
        </row>
        <row r="295">
          <cell r="B295" t="str">
            <v>Johannes Kepler University Linz</v>
          </cell>
          <cell r="C295">
            <v>57</v>
          </cell>
          <cell r="D295" t="str">
            <v>BFL</v>
          </cell>
          <cell r="E295">
            <v>1.935509659295291</v>
          </cell>
        </row>
        <row r="296">
          <cell r="B296" t="str">
            <v>University of Turin</v>
          </cell>
          <cell r="C296">
            <v>100</v>
          </cell>
          <cell r="D296" t="str">
            <v>CCB</v>
          </cell>
          <cell r="E296">
            <v>1.931724163551563</v>
          </cell>
        </row>
        <row r="297">
          <cell r="B297" t="str">
            <v>Florida International University</v>
          </cell>
          <cell r="C297">
            <v>95</v>
          </cell>
          <cell r="D297" t="str">
            <v>BBA</v>
          </cell>
          <cell r="E297">
            <v>1.9251078009094991</v>
          </cell>
        </row>
        <row r="298">
          <cell r="B298" t="str">
            <v>Colorado State University</v>
          </cell>
          <cell r="C298">
            <v>71</v>
          </cell>
          <cell r="D298" t="str">
            <v>BHX</v>
          </cell>
          <cell r="E298">
            <v>1.9241564338037529</v>
          </cell>
        </row>
        <row r="299">
          <cell r="B299" t="str">
            <v>Loughborough University</v>
          </cell>
          <cell r="C299">
            <v>139</v>
          </cell>
          <cell r="D299" t="str">
            <v>BFO</v>
          </cell>
          <cell r="E299">
            <v>1.920394580506809</v>
          </cell>
        </row>
        <row r="300">
          <cell r="B300" t="str">
            <v>University of Bologna</v>
          </cell>
          <cell r="C300">
            <v>153</v>
          </cell>
          <cell r="D300" t="str">
            <v>BEG</v>
          </cell>
          <cell r="E300">
            <v>1.9147422713200379</v>
          </cell>
        </row>
        <row r="301">
          <cell r="B301" t="str">
            <v>University of Texas at San Antonio (UTSA)</v>
          </cell>
          <cell r="C301">
            <v>65</v>
          </cell>
          <cell r="D301" t="str">
            <v>BDP</v>
          </cell>
          <cell r="E301">
            <v>1.9077474910394749</v>
          </cell>
        </row>
        <row r="302">
          <cell r="B302" t="str">
            <v>Karlsruhe Institute of Technology</v>
          </cell>
          <cell r="C302">
            <v>38</v>
          </cell>
          <cell r="D302" t="str">
            <v>AEM</v>
          </cell>
          <cell r="E302">
            <v>1.9024951138660799</v>
          </cell>
        </row>
        <row r="303">
          <cell r="B303" t="str">
            <v>Universidade Nova de Lisboa</v>
          </cell>
          <cell r="C303">
            <v>79</v>
          </cell>
          <cell r="D303" t="str">
            <v>AGU</v>
          </cell>
          <cell r="E303">
            <v>1.89704736910508</v>
          </cell>
        </row>
        <row r="304">
          <cell r="B304" t="str">
            <v>University of Texas Rio Grande Valley</v>
          </cell>
          <cell r="C304">
            <v>46</v>
          </cell>
          <cell r="D304" t="str">
            <v>DCG</v>
          </cell>
          <cell r="E304">
            <v>1.896223448672268</v>
          </cell>
        </row>
        <row r="305">
          <cell r="B305" t="str">
            <v>University of Bayreuth</v>
          </cell>
          <cell r="C305">
            <v>52</v>
          </cell>
          <cell r="D305" t="str">
            <v>DAI</v>
          </cell>
          <cell r="E305">
            <v>1.89251478932199</v>
          </cell>
        </row>
        <row r="306">
          <cell r="B306" t="str">
            <v>Simon Fraser University</v>
          </cell>
          <cell r="C306">
            <v>84</v>
          </cell>
          <cell r="D306" t="str">
            <v>AFO</v>
          </cell>
          <cell r="E306">
            <v>1.8850229919288319</v>
          </cell>
        </row>
        <row r="307">
          <cell r="B307" t="str">
            <v>Linkoping University</v>
          </cell>
          <cell r="C307">
            <v>69</v>
          </cell>
          <cell r="D307" t="str">
            <v>AEZ</v>
          </cell>
          <cell r="E307">
            <v>1.883325276558161</v>
          </cell>
        </row>
        <row r="308">
          <cell r="B308" t="str">
            <v>ETH Zurich</v>
          </cell>
          <cell r="C308">
            <v>150</v>
          </cell>
          <cell r="D308" t="str">
            <v>AFT</v>
          </cell>
          <cell r="E308">
            <v>1.8803774808718881</v>
          </cell>
        </row>
        <row r="309">
          <cell r="B309" t="str">
            <v>Open University - UK</v>
          </cell>
          <cell r="C309">
            <v>54</v>
          </cell>
          <cell r="D309" t="str">
            <v>BHP</v>
          </cell>
          <cell r="E309">
            <v>1.876540233155972</v>
          </cell>
        </row>
        <row r="310">
          <cell r="B310" t="str">
            <v>University of Kansas</v>
          </cell>
          <cell r="C310">
            <v>46</v>
          </cell>
          <cell r="D310" t="str">
            <v>BFF</v>
          </cell>
          <cell r="E310">
            <v>1.8738703019257099</v>
          </cell>
        </row>
        <row r="311">
          <cell r="B311" t="str">
            <v>University of Vienna</v>
          </cell>
          <cell r="C311">
            <v>78</v>
          </cell>
          <cell r="D311" t="str">
            <v>BGR</v>
          </cell>
          <cell r="E311">
            <v>1.8738323834579049</v>
          </cell>
        </row>
        <row r="312">
          <cell r="B312" t="str">
            <v>University of Duisburg Essen</v>
          </cell>
          <cell r="C312">
            <v>59</v>
          </cell>
          <cell r="D312" t="str">
            <v>BAY</v>
          </cell>
          <cell r="E312">
            <v>1.870672996386423</v>
          </cell>
        </row>
        <row r="313">
          <cell r="B313" t="str">
            <v>Nanjing University</v>
          </cell>
          <cell r="C313">
            <v>108</v>
          </cell>
          <cell r="D313" t="str">
            <v>BCM</v>
          </cell>
          <cell r="E313">
            <v>1.868409102873849</v>
          </cell>
        </row>
        <row r="314">
          <cell r="B314" t="str">
            <v>Norwegian University of Science &amp; Technology (NTNU)</v>
          </cell>
          <cell r="C314">
            <v>61</v>
          </cell>
          <cell r="D314" t="str">
            <v>BCR</v>
          </cell>
          <cell r="E314">
            <v>1.8649228940589531</v>
          </cell>
        </row>
        <row r="315">
          <cell r="B315" t="str">
            <v>Radboud University Nijmegen</v>
          </cell>
          <cell r="C315">
            <v>64</v>
          </cell>
          <cell r="D315" t="str">
            <v>BDB</v>
          </cell>
          <cell r="E315">
            <v>1.863691828342249</v>
          </cell>
        </row>
        <row r="316">
          <cell r="B316" t="str">
            <v>Hong Kong Polytechnic University</v>
          </cell>
          <cell r="C316">
            <v>160</v>
          </cell>
          <cell r="D316" t="str">
            <v>ACK</v>
          </cell>
          <cell r="E316">
            <v>1.8599972559514519</v>
          </cell>
        </row>
        <row r="317">
          <cell r="B317" t="str">
            <v>Swansea University</v>
          </cell>
          <cell r="C317">
            <v>55</v>
          </cell>
          <cell r="D317" t="str">
            <v>CHQ</v>
          </cell>
          <cell r="E317">
            <v>1.859746194706851</v>
          </cell>
        </row>
        <row r="318">
          <cell r="B318" t="str">
            <v>Cranfield University</v>
          </cell>
          <cell r="C318">
            <v>45</v>
          </cell>
          <cell r="D318" t="str">
            <v>DBZ</v>
          </cell>
          <cell r="E318">
            <v>1.856956497298031</v>
          </cell>
        </row>
        <row r="319">
          <cell r="B319" t="str">
            <v>Renmin University of China</v>
          </cell>
          <cell r="C319">
            <v>224</v>
          </cell>
          <cell r="D319" t="str">
            <v>AFK</v>
          </cell>
          <cell r="E319">
            <v>1.8567200104869981</v>
          </cell>
        </row>
        <row r="320">
          <cell r="B320" t="str">
            <v>Kedge Business School</v>
          </cell>
          <cell r="C320">
            <v>78</v>
          </cell>
          <cell r="D320" t="str">
            <v>BEP</v>
          </cell>
          <cell r="E320">
            <v>1.85652950035361</v>
          </cell>
        </row>
        <row r="321">
          <cell r="B321" t="str">
            <v>Universite Claude Bernard Lyon 1</v>
          </cell>
          <cell r="C321">
            <v>36</v>
          </cell>
          <cell r="D321" t="str">
            <v>DDD</v>
          </cell>
          <cell r="E321">
            <v>1.8542060362148369</v>
          </cell>
        </row>
        <row r="322">
          <cell r="B322" t="str">
            <v>University of Technology Sydney</v>
          </cell>
          <cell r="C322">
            <v>158</v>
          </cell>
          <cell r="D322" t="str">
            <v>AHE</v>
          </cell>
          <cell r="E322">
            <v>1.848047699107757</v>
          </cell>
        </row>
        <row r="323">
          <cell r="B323" t="str">
            <v>Peking University</v>
          </cell>
          <cell r="C323">
            <v>253</v>
          </cell>
          <cell r="D323" t="str">
            <v>AFF</v>
          </cell>
          <cell r="E323">
            <v>1.8462643934504259</v>
          </cell>
        </row>
        <row r="324">
          <cell r="B324" t="str">
            <v>Utah State University</v>
          </cell>
          <cell r="C324">
            <v>61</v>
          </cell>
          <cell r="D324" t="str">
            <v>AEF</v>
          </cell>
          <cell r="E324">
            <v>1.8458404685117871</v>
          </cell>
        </row>
        <row r="325">
          <cell r="B325" t="str">
            <v>Universite Cote d'Azur</v>
          </cell>
          <cell r="C325">
            <v>64</v>
          </cell>
          <cell r="D325" t="str">
            <v>CAR</v>
          </cell>
          <cell r="E325">
            <v>1.8391584728315269</v>
          </cell>
        </row>
        <row r="326">
          <cell r="B326" t="str">
            <v>University of Manitoba</v>
          </cell>
          <cell r="C326">
            <v>41</v>
          </cell>
          <cell r="D326" t="str">
            <v>DDZ</v>
          </cell>
          <cell r="E326">
            <v>1.8378232948160309</v>
          </cell>
        </row>
        <row r="327">
          <cell r="B327" t="str">
            <v>University of Waikato</v>
          </cell>
          <cell r="C327">
            <v>91</v>
          </cell>
          <cell r="D327" t="str">
            <v>AHK</v>
          </cell>
          <cell r="E327">
            <v>1.8349890678465519</v>
          </cell>
        </row>
        <row r="328">
          <cell r="B328" t="str">
            <v>Marquette University</v>
          </cell>
          <cell r="C328">
            <v>41</v>
          </cell>
          <cell r="D328" t="str">
            <v>DDV</v>
          </cell>
          <cell r="E328">
            <v>1.8337105962604721</v>
          </cell>
        </row>
        <row r="329">
          <cell r="B329" t="str">
            <v>Queens University Belfast</v>
          </cell>
          <cell r="C329">
            <v>51</v>
          </cell>
          <cell r="D329" t="str">
            <v>BCZ</v>
          </cell>
          <cell r="E329">
            <v>1.831307246692897</v>
          </cell>
        </row>
        <row r="330">
          <cell r="B330" t="str">
            <v>University Hohenheim</v>
          </cell>
          <cell r="C330">
            <v>54</v>
          </cell>
          <cell r="D330" t="str">
            <v>BEQ</v>
          </cell>
          <cell r="E330">
            <v>1.8279265846730759</v>
          </cell>
        </row>
        <row r="331">
          <cell r="B331" t="str">
            <v>National Taiwan University</v>
          </cell>
          <cell r="C331">
            <v>98</v>
          </cell>
          <cell r="D331" t="str">
            <v>BCN</v>
          </cell>
          <cell r="E331">
            <v>1.827826647904264</v>
          </cell>
        </row>
        <row r="332">
          <cell r="B332" t="str">
            <v>Royal Institute of Technology</v>
          </cell>
          <cell r="C332">
            <v>45</v>
          </cell>
          <cell r="D332" t="str">
            <v>DCK</v>
          </cell>
          <cell r="E332">
            <v>1.826639230857324</v>
          </cell>
        </row>
        <row r="333">
          <cell r="B333" t="str">
            <v>University of South Australia</v>
          </cell>
          <cell r="C333">
            <v>108</v>
          </cell>
          <cell r="D333" t="str">
            <v>BGJ</v>
          </cell>
          <cell r="E333">
            <v>1.824700716321779</v>
          </cell>
        </row>
        <row r="334">
          <cell r="B334" t="str">
            <v>University of Groningen</v>
          </cell>
          <cell r="C334">
            <v>163</v>
          </cell>
          <cell r="D334" t="str">
            <v>ABM</v>
          </cell>
          <cell r="E334">
            <v>1.823885083662393</v>
          </cell>
        </row>
        <row r="335">
          <cell r="B335" t="str">
            <v>Technical University of Berlin</v>
          </cell>
          <cell r="C335">
            <v>45</v>
          </cell>
          <cell r="D335" t="str">
            <v>BFV</v>
          </cell>
          <cell r="E335">
            <v>1.82110309850399</v>
          </cell>
        </row>
        <row r="336">
          <cell r="B336" t="str">
            <v>Trinity College Dublin</v>
          </cell>
          <cell r="C336">
            <v>98</v>
          </cell>
          <cell r="D336" t="str">
            <v>AFW</v>
          </cell>
          <cell r="E336">
            <v>1.82075346757759</v>
          </cell>
        </row>
        <row r="337">
          <cell r="B337" t="str">
            <v>University of Padua</v>
          </cell>
          <cell r="C337">
            <v>80</v>
          </cell>
          <cell r="D337" t="str">
            <v>BGB</v>
          </cell>
          <cell r="E337">
            <v>1.8201673721725971</v>
          </cell>
        </row>
        <row r="338">
          <cell r="B338" t="str">
            <v>University of Antwerp</v>
          </cell>
          <cell r="C338">
            <v>63</v>
          </cell>
          <cell r="D338" t="str">
            <v>BED</v>
          </cell>
          <cell r="E338">
            <v>1.819499254587021</v>
          </cell>
        </row>
        <row r="339">
          <cell r="B339" t="str">
            <v>Middlesex University</v>
          </cell>
          <cell r="C339">
            <v>64</v>
          </cell>
          <cell r="D339" t="str">
            <v>BFP</v>
          </cell>
          <cell r="E339">
            <v>1.815303802937952</v>
          </cell>
        </row>
        <row r="340">
          <cell r="B340" t="str">
            <v>University of Glasgow</v>
          </cell>
          <cell r="C340">
            <v>118</v>
          </cell>
          <cell r="D340" t="str">
            <v>BEV</v>
          </cell>
          <cell r="E340">
            <v>1.8148190775435371</v>
          </cell>
        </row>
        <row r="341">
          <cell r="B341" t="str">
            <v>G d'Annunzio University of Chieti-Pescara</v>
          </cell>
          <cell r="C341">
            <v>46</v>
          </cell>
          <cell r="D341" t="str">
            <v>DBV</v>
          </cell>
          <cell r="E341">
            <v>1.8117616153471969</v>
          </cell>
        </row>
        <row r="342">
          <cell r="B342" t="str">
            <v>University of Gothenburg</v>
          </cell>
          <cell r="C342">
            <v>96</v>
          </cell>
          <cell r="D342" t="str">
            <v>BEW</v>
          </cell>
          <cell r="E342">
            <v>1.8052381529496579</v>
          </cell>
        </row>
        <row r="343">
          <cell r="B343" t="str">
            <v>Mississippi State University</v>
          </cell>
          <cell r="C343">
            <v>50</v>
          </cell>
          <cell r="D343" t="str">
            <v>AFD</v>
          </cell>
          <cell r="E343">
            <v>1.8045570022209949</v>
          </cell>
        </row>
        <row r="344">
          <cell r="B344" t="str">
            <v>University of Mississippi</v>
          </cell>
          <cell r="C344">
            <v>50</v>
          </cell>
          <cell r="D344" t="str">
            <v>DCF</v>
          </cell>
          <cell r="E344">
            <v>1.8045570022209949</v>
          </cell>
        </row>
        <row r="345">
          <cell r="B345" t="str">
            <v>Queensland University of Technology (QUT)</v>
          </cell>
          <cell r="C345">
            <v>135</v>
          </cell>
          <cell r="D345" t="str">
            <v>AFJ</v>
          </cell>
          <cell r="E345">
            <v>1.804241833638947</v>
          </cell>
        </row>
        <row r="346">
          <cell r="B346" t="str">
            <v>Deakin University</v>
          </cell>
          <cell r="C346">
            <v>167</v>
          </cell>
          <cell r="D346" t="str">
            <v>ACE</v>
          </cell>
          <cell r="E346">
            <v>1.8037746577967599</v>
          </cell>
        </row>
        <row r="347">
          <cell r="B347" t="str">
            <v>University of Twente</v>
          </cell>
          <cell r="C347">
            <v>44</v>
          </cell>
          <cell r="D347" t="str">
            <v>ADS</v>
          </cell>
          <cell r="E347">
            <v>1.800525259322501</v>
          </cell>
        </row>
        <row r="348">
          <cell r="B348" t="str">
            <v>Nottingham Trent University</v>
          </cell>
          <cell r="C348">
            <v>76</v>
          </cell>
          <cell r="D348" t="str">
            <v>BDW</v>
          </cell>
          <cell r="E348">
            <v>1.7943036661656859</v>
          </cell>
        </row>
        <row r="349">
          <cell r="B349" t="str">
            <v>Texas State University San Marcos</v>
          </cell>
          <cell r="C349">
            <v>39</v>
          </cell>
          <cell r="D349" t="str">
            <v>DEW</v>
          </cell>
          <cell r="E349">
            <v>1.786882787226278</v>
          </cell>
        </row>
        <row r="350">
          <cell r="B350" t="str">
            <v>Victoria University Wellington</v>
          </cell>
          <cell r="C350">
            <v>78</v>
          </cell>
          <cell r="D350" t="str">
            <v>BHZ</v>
          </cell>
          <cell r="E350">
            <v>1.7779960681599909</v>
          </cell>
        </row>
        <row r="351">
          <cell r="B351" t="str">
            <v>University of Southern Denmark</v>
          </cell>
          <cell r="C351">
            <v>103</v>
          </cell>
          <cell r="D351" t="str">
            <v>BGK</v>
          </cell>
          <cell r="E351">
            <v>1.7708659395476249</v>
          </cell>
        </row>
        <row r="352">
          <cell r="B352" t="str">
            <v>University of Naples Federico II</v>
          </cell>
          <cell r="C352">
            <v>90</v>
          </cell>
          <cell r="D352" t="str">
            <v>CBA</v>
          </cell>
          <cell r="E352">
            <v>1.7669191718608239</v>
          </cell>
        </row>
        <row r="353">
          <cell r="B353" t="str">
            <v>Auckland University of Technology</v>
          </cell>
          <cell r="C353">
            <v>86</v>
          </cell>
          <cell r="D353" t="str">
            <v>AHW</v>
          </cell>
          <cell r="E353">
            <v>1.765584785975477</v>
          </cell>
        </row>
        <row r="354">
          <cell r="B354" t="str">
            <v>Griffith University</v>
          </cell>
          <cell r="C354">
            <v>146</v>
          </cell>
          <cell r="D354" t="str">
            <v>BBF</v>
          </cell>
          <cell r="E354">
            <v>1.76538928702591</v>
          </cell>
        </row>
        <row r="355">
          <cell r="B355" t="str">
            <v>University of Newcastle</v>
          </cell>
          <cell r="C355">
            <v>74</v>
          </cell>
          <cell r="D355" t="str">
            <v>AGT</v>
          </cell>
          <cell r="E355">
            <v>1.7640200738700269</v>
          </cell>
        </row>
        <row r="356">
          <cell r="B356" t="str">
            <v>University of Florence</v>
          </cell>
          <cell r="C356">
            <v>68</v>
          </cell>
          <cell r="D356" t="str">
            <v>BAK</v>
          </cell>
          <cell r="E356">
            <v>1.763808816357658</v>
          </cell>
        </row>
        <row r="357">
          <cell r="B357" t="str">
            <v>University of Salamanca</v>
          </cell>
          <cell r="C357">
            <v>41</v>
          </cell>
          <cell r="D357" t="str">
            <v>DDS</v>
          </cell>
          <cell r="E357">
            <v>1.759515084716895</v>
          </cell>
        </row>
        <row r="358">
          <cell r="B358" t="str">
            <v>Cardiff University</v>
          </cell>
          <cell r="C358">
            <v>116</v>
          </cell>
          <cell r="D358" t="str">
            <v>BAE</v>
          </cell>
          <cell r="E358">
            <v>1.7588000285854699</v>
          </cell>
        </row>
        <row r="359">
          <cell r="B359" t="str">
            <v>University of Wyoming</v>
          </cell>
          <cell r="C359">
            <v>40</v>
          </cell>
          <cell r="D359" t="str">
            <v>DEZ</v>
          </cell>
          <cell r="E359">
            <v>1.7556036771045569</v>
          </cell>
        </row>
        <row r="360">
          <cell r="B360" t="str">
            <v>Binghamton University, SUNY</v>
          </cell>
          <cell r="C360">
            <v>43</v>
          </cell>
          <cell r="D360" t="str">
            <v>DDI</v>
          </cell>
          <cell r="E360">
            <v>1.751738969285195</v>
          </cell>
        </row>
        <row r="361">
          <cell r="B361" t="str">
            <v>University of Graz</v>
          </cell>
          <cell r="C361">
            <v>40</v>
          </cell>
          <cell r="D361" t="str">
            <v>DER</v>
          </cell>
          <cell r="E361">
            <v>1.7380767275443061</v>
          </cell>
        </row>
        <row r="362">
          <cell r="B362" t="str">
            <v>University of Rome Tor Vergata</v>
          </cell>
          <cell r="C362">
            <v>65</v>
          </cell>
          <cell r="D362" t="str">
            <v>CBH</v>
          </cell>
          <cell r="E362">
            <v>1.7374170471302719</v>
          </cell>
        </row>
        <row r="363">
          <cell r="B363" t="str">
            <v>Royal Melbourne Institute of Technology (RMIT)</v>
          </cell>
          <cell r="C363">
            <v>195</v>
          </cell>
          <cell r="D363" t="str">
            <v>BDD</v>
          </cell>
          <cell r="E363">
            <v>1.735726150323444</v>
          </cell>
        </row>
        <row r="364">
          <cell r="B364" t="str">
            <v>Shanghai Jiao Tong University</v>
          </cell>
          <cell r="C364">
            <v>148</v>
          </cell>
          <cell r="D364" t="str">
            <v>AFN</v>
          </cell>
          <cell r="E364">
            <v>1.7355955114492909</v>
          </cell>
        </row>
        <row r="365">
          <cell r="B365" t="str">
            <v>California State University Fullerton</v>
          </cell>
          <cell r="C365">
            <v>47</v>
          </cell>
          <cell r="D365" t="str">
            <v>DAZ</v>
          </cell>
          <cell r="E365">
            <v>1.73492988262821</v>
          </cell>
        </row>
        <row r="366">
          <cell r="B366" t="str">
            <v>University of Canterbury</v>
          </cell>
          <cell r="C366">
            <v>50</v>
          </cell>
          <cell r="D366" t="str">
            <v>BEI</v>
          </cell>
          <cell r="E366">
            <v>1.734897946597451</v>
          </cell>
        </row>
        <row r="367">
          <cell r="B367" t="str">
            <v>University of Konstanz</v>
          </cell>
          <cell r="C367">
            <v>39</v>
          </cell>
          <cell r="D367" t="str">
            <v>BAS</v>
          </cell>
          <cell r="E367">
            <v>1.734587376012108</v>
          </cell>
        </row>
        <row r="368">
          <cell r="B368" t="str">
            <v>University of Basque Country</v>
          </cell>
          <cell r="C368">
            <v>75</v>
          </cell>
          <cell r="D368" t="str">
            <v>CBC</v>
          </cell>
          <cell r="E368">
            <v>1.733839951005695</v>
          </cell>
        </row>
        <row r="369">
          <cell r="B369" t="str">
            <v>De Montfort University</v>
          </cell>
          <cell r="C369">
            <v>71</v>
          </cell>
          <cell r="D369" t="str">
            <v>CCD</v>
          </cell>
          <cell r="E369">
            <v>1.7332510582063241</v>
          </cell>
        </row>
        <row r="370">
          <cell r="B370" t="str">
            <v>Utrecht University</v>
          </cell>
          <cell r="C370">
            <v>103</v>
          </cell>
          <cell r="D370" t="str">
            <v>BGO</v>
          </cell>
          <cell r="E370">
            <v>1.7288508467760419</v>
          </cell>
        </row>
        <row r="371">
          <cell r="B371" t="str">
            <v>Stellenbosch University</v>
          </cell>
          <cell r="C371">
            <v>51</v>
          </cell>
          <cell r="D371" t="str">
            <v>BBY</v>
          </cell>
          <cell r="E371">
            <v>1.7283800093368471</v>
          </cell>
        </row>
        <row r="372">
          <cell r="B372" t="str">
            <v>Parthenope University Naples</v>
          </cell>
          <cell r="C372">
            <v>67</v>
          </cell>
          <cell r="D372" t="str">
            <v>BCK</v>
          </cell>
          <cell r="E372">
            <v>1.723797367671521</v>
          </cell>
        </row>
        <row r="373">
          <cell r="B373" t="str">
            <v>Newcastle University - UK</v>
          </cell>
          <cell r="C373">
            <v>135</v>
          </cell>
          <cell r="D373" t="str">
            <v>BCP</v>
          </cell>
          <cell r="E373">
            <v>1.7220473953844</v>
          </cell>
        </row>
        <row r="374">
          <cell r="B374" t="str">
            <v>University of Derby</v>
          </cell>
          <cell r="C374">
            <v>43</v>
          </cell>
          <cell r="D374" t="str">
            <v>DDJ</v>
          </cell>
          <cell r="E374">
            <v>1.7213175835512871</v>
          </cell>
        </row>
        <row r="375">
          <cell r="B375" t="str">
            <v>South Ural State University</v>
          </cell>
          <cell r="C375">
            <v>49</v>
          </cell>
          <cell r="D375" t="str">
            <v>DAW</v>
          </cell>
          <cell r="E375">
            <v>1.718882111790438</v>
          </cell>
        </row>
        <row r="376">
          <cell r="B376" t="str">
            <v>Northwestern Polytechnical University</v>
          </cell>
          <cell r="C376">
            <v>52</v>
          </cell>
          <cell r="D376" t="str">
            <v>DAP</v>
          </cell>
          <cell r="E376">
            <v>1.715902833237513</v>
          </cell>
        </row>
        <row r="377">
          <cell r="B377" t="str">
            <v>Zentrum fur Europaische Wirtschaftsforschung (ZEW)</v>
          </cell>
          <cell r="C377">
            <v>48</v>
          </cell>
          <cell r="D377" t="str">
            <v>CHC</v>
          </cell>
          <cell r="E377">
            <v>1.7139039047521241</v>
          </cell>
        </row>
        <row r="378">
          <cell r="B378" t="str">
            <v>Swinburne University of Technology</v>
          </cell>
          <cell r="C378">
            <v>82</v>
          </cell>
          <cell r="D378" t="str">
            <v>BCD</v>
          </cell>
          <cell r="E378">
            <v>1.7136457092006949</v>
          </cell>
        </row>
        <row r="379">
          <cell r="B379" t="str">
            <v>University of Otago</v>
          </cell>
          <cell r="C379">
            <v>84</v>
          </cell>
          <cell r="D379" t="str">
            <v>BFZ</v>
          </cell>
          <cell r="E379">
            <v>1.7116103820970769</v>
          </cell>
        </row>
        <row r="380">
          <cell r="B380" t="str">
            <v>Tinbergen Institute</v>
          </cell>
          <cell r="C380">
            <v>82</v>
          </cell>
          <cell r="D380" t="str">
            <v>CAI</v>
          </cell>
          <cell r="E380">
            <v>1.707311563760916</v>
          </cell>
        </row>
        <row r="381">
          <cell r="B381" t="str">
            <v>Northumbria University</v>
          </cell>
          <cell r="C381">
            <v>71</v>
          </cell>
          <cell r="D381" t="str">
            <v>CAT</v>
          </cell>
          <cell r="E381">
            <v>1.7030492656637239</v>
          </cell>
        </row>
        <row r="382">
          <cell r="B382" t="str">
            <v>Central South University</v>
          </cell>
          <cell r="C382">
            <v>67</v>
          </cell>
          <cell r="D382" t="str">
            <v>BAG</v>
          </cell>
          <cell r="E382">
            <v>1.702029962555442</v>
          </cell>
        </row>
        <row r="383">
          <cell r="B383" t="str">
            <v>Nankai University</v>
          </cell>
          <cell r="C383">
            <v>89</v>
          </cell>
          <cell r="D383" t="str">
            <v>BEL</v>
          </cell>
          <cell r="E383">
            <v>1.6996792436857691</v>
          </cell>
        </row>
        <row r="384">
          <cell r="B384" t="str">
            <v>Ruprecht Karls University Heidelberg</v>
          </cell>
          <cell r="C384">
            <v>43</v>
          </cell>
          <cell r="D384" t="str">
            <v>BAC</v>
          </cell>
          <cell r="E384">
            <v>1.697122985412288</v>
          </cell>
        </row>
        <row r="385">
          <cell r="B385" t="str">
            <v>Jinan University</v>
          </cell>
          <cell r="C385">
            <v>127</v>
          </cell>
          <cell r="D385" t="str">
            <v>CBU</v>
          </cell>
          <cell r="E385">
            <v>1.696905259322282</v>
          </cell>
        </row>
        <row r="386">
          <cell r="B386" t="str">
            <v>University of York - UK</v>
          </cell>
          <cell r="C386">
            <v>119</v>
          </cell>
          <cell r="D386" t="str">
            <v>BGT</v>
          </cell>
          <cell r="E386">
            <v>1.696588710271117</v>
          </cell>
        </row>
        <row r="387">
          <cell r="B387" t="str">
            <v>Southern Illinois University</v>
          </cell>
          <cell r="C387">
            <v>49</v>
          </cell>
          <cell r="D387" t="str">
            <v>DBK</v>
          </cell>
          <cell r="E387">
            <v>1.6959457765479751</v>
          </cell>
        </row>
        <row r="388">
          <cell r="B388" t="str">
            <v>University of Wollongong</v>
          </cell>
          <cell r="C388">
            <v>90</v>
          </cell>
          <cell r="D388" t="str">
            <v>BFG</v>
          </cell>
          <cell r="E388">
            <v>1.695754306728039</v>
          </cell>
        </row>
        <row r="389">
          <cell r="B389" t="str">
            <v>Universitetet i Stavanger</v>
          </cell>
          <cell r="C389">
            <v>49</v>
          </cell>
          <cell r="D389" t="str">
            <v>DBN</v>
          </cell>
          <cell r="E389">
            <v>1.693289881876727</v>
          </cell>
        </row>
        <row r="390">
          <cell r="B390" t="str">
            <v>University of Gottingen</v>
          </cell>
          <cell r="C390">
            <v>123</v>
          </cell>
          <cell r="D390" t="str">
            <v>BEX</v>
          </cell>
          <cell r="E390">
            <v>1.687489408169736</v>
          </cell>
        </row>
        <row r="391">
          <cell r="B391" t="str">
            <v>University of Milan</v>
          </cell>
          <cell r="C391">
            <v>44</v>
          </cell>
          <cell r="D391" t="str">
            <v>BAD</v>
          </cell>
          <cell r="E391">
            <v>1.686789739844027</v>
          </cell>
        </row>
        <row r="392">
          <cell r="B392" t="str">
            <v>Capital University of Economics &amp; Business</v>
          </cell>
          <cell r="C392">
            <v>79</v>
          </cell>
          <cell r="D392" t="str">
            <v>BHQ</v>
          </cell>
          <cell r="E392">
            <v>1.68328321587601</v>
          </cell>
        </row>
        <row r="393">
          <cell r="B393" t="str">
            <v>Zayed University</v>
          </cell>
          <cell r="C393">
            <v>45</v>
          </cell>
          <cell r="D393" t="str">
            <v>DCU</v>
          </cell>
          <cell r="E393">
            <v>1.6767614882571349</v>
          </cell>
        </row>
        <row r="394">
          <cell r="B394" t="str">
            <v>University of Leicester</v>
          </cell>
          <cell r="C394">
            <v>70</v>
          </cell>
          <cell r="D394" t="str">
            <v>CHO</v>
          </cell>
          <cell r="E394">
            <v>1.6765404474251431</v>
          </cell>
        </row>
        <row r="395">
          <cell r="B395" t="str">
            <v>Universita Ca Foscari Venezia</v>
          </cell>
          <cell r="C395">
            <v>80</v>
          </cell>
          <cell r="D395" t="str">
            <v>BHM</v>
          </cell>
          <cell r="E395">
            <v>1.672534664930462</v>
          </cell>
        </row>
        <row r="396">
          <cell r="B396" t="str">
            <v>Virginia Commonwealth University</v>
          </cell>
          <cell r="C396">
            <v>40</v>
          </cell>
          <cell r="D396" t="str">
            <v>DFD</v>
          </cell>
          <cell r="E396">
            <v>1.6721226231175279</v>
          </cell>
        </row>
        <row r="397">
          <cell r="B397" t="str">
            <v>Zhejiang University</v>
          </cell>
          <cell r="C397">
            <v>207</v>
          </cell>
          <cell r="D397" t="str">
            <v>BHD</v>
          </cell>
          <cell r="E397">
            <v>1.67089191984841</v>
          </cell>
        </row>
        <row r="398">
          <cell r="B398" t="str">
            <v>University of Waterloo</v>
          </cell>
          <cell r="C398">
            <v>84</v>
          </cell>
          <cell r="D398" t="str">
            <v>BGS</v>
          </cell>
          <cell r="E398">
            <v>1.6698972819774709</v>
          </cell>
        </row>
        <row r="399">
          <cell r="B399" t="str">
            <v>University of Sheffield</v>
          </cell>
          <cell r="C399">
            <v>125</v>
          </cell>
          <cell r="D399" t="str">
            <v>AHA</v>
          </cell>
          <cell r="E399">
            <v>1.66653958135687</v>
          </cell>
        </row>
        <row r="400">
          <cell r="B400" t="str">
            <v>Ho Chi Minh City University Economics</v>
          </cell>
          <cell r="C400">
            <v>93</v>
          </cell>
          <cell r="D400" t="str">
            <v>BBH</v>
          </cell>
          <cell r="E400">
            <v>1.6661504712115249</v>
          </cell>
        </row>
        <row r="401">
          <cell r="B401" t="str">
            <v>West Virginia University</v>
          </cell>
          <cell r="C401">
            <v>61</v>
          </cell>
          <cell r="D401" t="str">
            <v>CGS</v>
          </cell>
          <cell r="E401">
            <v>1.6654944871351101</v>
          </cell>
        </row>
        <row r="402">
          <cell r="B402" t="str">
            <v>University of Granada</v>
          </cell>
          <cell r="C402">
            <v>83</v>
          </cell>
          <cell r="D402" t="str">
            <v>BEY</v>
          </cell>
          <cell r="E402">
            <v>1.6590258637513089</v>
          </cell>
        </row>
        <row r="403">
          <cell r="B403" t="str">
            <v>Xiamen University</v>
          </cell>
          <cell r="C403">
            <v>176</v>
          </cell>
          <cell r="D403" t="str">
            <v>AHQ</v>
          </cell>
          <cell r="E403">
            <v>1.653389324964589</v>
          </cell>
        </row>
        <row r="404">
          <cell r="B404" t="str">
            <v>Universidade do Porto</v>
          </cell>
          <cell r="C404">
            <v>81</v>
          </cell>
          <cell r="D404" t="str">
            <v>CBF</v>
          </cell>
          <cell r="E404">
            <v>1.6471481571007749</v>
          </cell>
        </row>
        <row r="405">
          <cell r="B405" t="str">
            <v>University of Erlangen Nuremberg</v>
          </cell>
          <cell r="C405">
            <v>67</v>
          </cell>
          <cell r="D405" t="str">
            <v>ABZ</v>
          </cell>
          <cell r="E405">
            <v>1.646648022028526</v>
          </cell>
        </row>
        <row r="406">
          <cell r="B406" t="str">
            <v>University of Nevada Las Vegas</v>
          </cell>
          <cell r="C406">
            <v>45</v>
          </cell>
          <cell r="D406" t="str">
            <v>DCM</v>
          </cell>
          <cell r="E406">
            <v>1.6461416941171649</v>
          </cell>
        </row>
        <row r="407">
          <cell r="B407" t="str">
            <v>Southwestern University of Finance &amp; Economics - China</v>
          </cell>
          <cell r="C407">
            <v>237</v>
          </cell>
          <cell r="D407" t="str">
            <v>AFQ</v>
          </cell>
          <cell r="E407">
            <v>1.6449599353134881</v>
          </cell>
        </row>
        <row r="408">
          <cell r="B408" t="str">
            <v>University of West England</v>
          </cell>
          <cell r="C408">
            <v>42</v>
          </cell>
          <cell r="D408" t="str">
            <v>DCP</v>
          </cell>
          <cell r="E408">
            <v>1.641071439792593</v>
          </cell>
        </row>
        <row r="409">
          <cell r="B409" t="str">
            <v>University of Palermo</v>
          </cell>
          <cell r="C409">
            <v>42</v>
          </cell>
          <cell r="D409" t="str">
            <v>DEC</v>
          </cell>
          <cell r="E409">
            <v>1.6372557693238301</v>
          </cell>
        </row>
        <row r="410">
          <cell r="B410" t="str">
            <v>Organisation for Economic Co-operation &amp; Development (OECD)</v>
          </cell>
          <cell r="C410">
            <v>46</v>
          </cell>
          <cell r="D410" t="str">
            <v>AFG</v>
          </cell>
          <cell r="E410">
            <v>1.636429224509983</v>
          </cell>
        </row>
        <row r="411">
          <cell r="B411" t="str">
            <v>Massey University</v>
          </cell>
          <cell r="C411">
            <v>110</v>
          </cell>
          <cell r="D411" t="str">
            <v>BCF</v>
          </cell>
          <cell r="E411">
            <v>1.6347872342059271</v>
          </cell>
        </row>
        <row r="412">
          <cell r="B412" t="str">
            <v>University of Adelaide</v>
          </cell>
          <cell r="C412">
            <v>110</v>
          </cell>
          <cell r="D412" t="str">
            <v>BDZ</v>
          </cell>
          <cell r="E412">
            <v>1.6316192043821101</v>
          </cell>
        </row>
        <row r="413">
          <cell r="B413" t="str">
            <v>Wageningen University &amp; Research</v>
          </cell>
          <cell r="C413">
            <v>76</v>
          </cell>
          <cell r="D413" t="str">
            <v>BGZ</v>
          </cell>
          <cell r="E413">
            <v>1.629195560410952</v>
          </cell>
        </row>
        <row r="414">
          <cell r="B414" t="str">
            <v>Yonsei University</v>
          </cell>
          <cell r="C414">
            <v>102</v>
          </cell>
          <cell r="D414" t="str">
            <v>BHC</v>
          </cell>
          <cell r="E414">
            <v>1.6281656429701981</v>
          </cell>
        </row>
        <row r="415">
          <cell r="B415" t="str">
            <v>University of Huddersfield</v>
          </cell>
          <cell r="C415">
            <v>60</v>
          </cell>
          <cell r="D415" t="str">
            <v>CGR</v>
          </cell>
          <cell r="E415">
            <v>1.622107968751392</v>
          </cell>
        </row>
        <row r="416">
          <cell r="B416" t="str">
            <v>University of Nottingham Ningbo China</v>
          </cell>
          <cell r="C416">
            <v>63</v>
          </cell>
          <cell r="D416" t="str">
            <v>BGU</v>
          </cell>
          <cell r="E416">
            <v>1.622105882819872</v>
          </cell>
        </row>
        <row r="417">
          <cell r="B417" t="str">
            <v>Texas Tech University</v>
          </cell>
          <cell r="C417">
            <v>84</v>
          </cell>
          <cell r="D417" t="str">
            <v>BDU</v>
          </cell>
          <cell r="E417">
            <v>1.615575497757455</v>
          </cell>
        </row>
        <row r="418">
          <cell r="B418" t="str">
            <v>Universite de Montpellier</v>
          </cell>
          <cell r="C418">
            <v>74</v>
          </cell>
          <cell r="D418" t="str">
            <v>BFT</v>
          </cell>
          <cell r="E418">
            <v>1.6147334099725901</v>
          </cell>
        </row>
        <row r="419">
          <cell r="B419" t="str">
            <v>Huazhong University of Science &amp; Technology</v>
          </cell>
          <cell r="C419">
            <v>110</v>
          </cell>
          <cell r="D419" t="str">
            <v>BBJ</v>
          </cell>
          <cell r="E419">
            <v>1.614326139819406</v>
          </cell>
        </row>
        <row r="420">
          <cell r="B420" t="str">
            <v>Kansas State University</v>
          </cell>
          <cell r="C420">
            <v>58</v>
          </cell>
          <cell r="D420" t="str">
            <v>CGU</v>
          </cell>
          <cell r="E420">
            <v>1.612564842884205</v>
          </cell>
        </row>
        <row r="421">
          <cell r="B421" t="str">
            <v>University of North Texas Denton</v>
          </cell>
          <cell r="C421">
            <v>60</v>
          </cell>
          <cell r="D421" t="str">
            <v>BAN</v>
          </cell>
          <cell r="E421">
            <v>1.6111711437060019</v>
          </cell>
        </row>
        <row r="422">
          <cell r="B422" t="str">
            <v>University of Western Australia</v>
          </cell>
          <cell r="C422">
            <v>125</v>
          </cell>
          <cell r="D422" t="str">
            <v>AHL</v>
          </cell>
          <cell r="E422">
            <v>1.610542129999752</v>
          </cell>
        </row>
        <row r="423">
          <cell r="B423" t="str">
            <v>Instituto Universitario de Lisboa</v>
          </cell>
          <cell r="C423">
            <v>61</v>
          </cell>
          <cell r="D423" t="str">
            <v>BBP</v>
          </cell>
          <cell r="E423">
            <v>1.6048552654301631</v>
          </cell>
        </row>
        <row r="424">
          <cell r="B424" t="str">
            <v>University of Zaragoza</v>
          </cell>
          <cell r="C424">
            <v>93</v>
          </cell>
          <cell r="D424" t="str">
            <v>BFB</v>
          </cell>
          <cell r="E424">
            <v>1.601524352276829</v>
          </cell>
        </row>
        <row r="425">
          <cell r="B425" t="str">
            <v>University of Stirling</v>
          </cell>
          <cell r="C425">
            <v>42</v>
          </cell>
          <cell r="D425" t="str">
            <v>DDF</v>
          </cell>
          <cell r="E425">
            <v>1.5997109244424881</v>
          </cell>
        </row>
        <row r="426">
          <cell r="B426" t="str">
            <v>Universidad de los Andes (Colombia)</v>
          </cell>
          <cell r="C426">
            <v>42</v>
          </cell>
          <cell r="D426" t="str">
            <v>DDB</v>
          </cell>
          <cell r="E426">
            <v>1.5991532070544281</v>
          </cell>
        </row>
        <row r="427">
          <cell r="B427" t="str">
            <v>Beijing Jiaotong University</v>
          </cell>
          <cell r="C427">
            <v>41</v>
          </cell>
          <cell r="D427" t="str">
            <v>ABE</v>
          </cell>
          <cell r="E427">
            <v>1.598867087232744</v>
          </cell>
        </row>
        <row r="428">
          <cell r="B428" t="str">
            <v>Shandong University</v>
          </cell>
          <cell r="C428">
            <v>75</v>
          </cell>
          <cell r="D428" t="str">
            <v>BFQ</v>
          </cell>
          <cell r="E428">
            <v>1.5966538589876831</v>
          </cell>
        </row>
        <row r="429">
          <cell r="B429" t="str">
            <v>University at Albany, SUNY</v>
          </cell>
          <cell r="C429">
            <v>44</v>
          </cell>
          <cell r="D429" t="str">
            <v>DDH</v>
          </cell>
          <cell r="E429">
            <v>1.590002720156946</v>
          </cell>
        </row>
        <row r="430">
          <cell r="B430" t="str">
            <v>Heriot Watt University</v>
          </cell>
          <cell r="C430">
            <v>53</v>
          </cell>
          <cell r="D430" t="str">
            <v>AFC</v>
          </cell>
          <cell r="E430">
            <v>1.5892822722816879</v>
          </cell>
        </row>
        <row r="431">
          <cell r="B431" t="str">
            <v>Wuhan University</v>
          </cell>
          <cell r="C431">
            <v>99</v>
          </cell>
          <cell r="D431" t="str">
            <v>BHS</v>
          </cell>
          <cell r="E431">
            <v>1.586040636642978</v>
          </cell>
        </row>
        <row r="432">
          <cell r="B432" t="str">
            <v>University of Kiel</v>
          </cell>
          <cell r="C432">
            <v>52</v>
          </cell>
          <cell r="D432" t="str">
            <v>CBI</v>
          </cell>
          <cell r="E432">
            <v>1.581978752022922</v>
          </cell>
        </row>
        <row r="433">
          <cell r="B433" t="str">
            <v>University of Portsmouth</v>
          </cell>
          <cell r="C433">
            <v>92</v>
          </cell>
          <cell r="D433" t="str">
            <v>BGE</v>
          </cell>
          <cell r="E433">
            <v>1.5805435324044279</v>
          </cell>
        </row>
        <row r="434">
          <cell r="B434" t="str">
            <v>Centre National de la Recherche Scientifique (CNRS)</v>
          </cell>
          <cell r="C434">
            <v>386</v>
          </cell>
          <cell r="D434" t="str">
            <v>AEJ</v>
          </cell>
          <cell r="E434">
            <v>1.580407771757937</v>
          </cell>
        </row>
        <row r="435">
          <cell r="B435" t="str">
            <v>Curtin University</v>
          </cell>
          <cell r="C435">
            <v>117</v>
          </cell>
          <cell r="D435" t="str">
            <v>BAP</v>
          </cell>
          <cell r="E435">
            <v>1.5755311331007289</v>
          </cell>
        </row>
        <row r="436">
          <cell r="B436" t="str">
            <v>Chinese Academy of Sciences</v>
          </cell>
          <cell r="C436">
            <v>189</v>
          </cell>
          <cell r="D436" t="str">
            <v>ADY</v>
          </cell>
          <cell r="E436">
            <v>1.5747887793202611</v>
          </cell>
        </row>
        <row r="437">
          <cell r="B437" t="str">
            <v>University of International Business &amp; Economics</v>
          </cell>
          <cell r="C437">
            <v>175</v>
          </cell>
          <cell r="D437" t="str">
            <v>BFD</v>
          </cell>
          <cell r="E437">
            <v>1.573497699545225</v>
          </cell>
        </row>
        <row r="438">
          <cell r="B438" t="str">
            <v>Toronto Metropolitan University</v>
          </cell>
          <cell r="C438">
            <v>62</v>
          </cell>
          <cell r="D438" t="str">
            <v>ADE</v>
          </cell>
          <cell r="E438">
            <v>1.5721661035172529</v>
          </cell>
        </row>
        <row r="439">
          <cell r="B439" t="str">
            <v>Dongbei University of Finance &amp; Economics</v>
          </cell>
          <cell r="C439">
            <v>66</v>
          </cell>
          <cell r="D439" t="str">
            <v>CGY</v>
          </cell>
          <cell r="E439">
            <v>1.570212628552627</v>
          </cell>
        </row>
        <row r="440">
          <cell r="B440" t="str">
            <v>Central University of Finance &amp; Economics</v>
          </cell>
          <cell r="C440">
            <v>166</v>
          </cell>
          <cell r="D440" t="str">
            <v>BAH</v>
          </cell>
          <cell r="E440">
            <v>1.5700340114512621</v>
          </cell>
        </row>
        <row r="441">
          <cell r="B441" t="str">
            <v>University of Valencia</v>
          </cell>
          <cell r="C441">
            <v>138</v>
          </cell>
          <cell r="D441" t="str">
            <v>BGP</v>
          </cell>
          <cell r="E441">
            <v>1.569263308093787</v>
          </cell>
        </row>
        <row r="442">
          <cell r="B442" t="str">
            <v>Brock University</v>
          </cell>
          <cell r="C442">
            <v>41</v>
          </cell>
          <cell r="D442" t="str">
            <v>DEG</v>
          </cell>
          <cell r="E442">
            <v>1.5686342256858981</v>
          </cell>
        </row>
        <row r="443">
          <cell r="B443" t="str">
            <v>Beijing Normal University</v>
          </cell>
          <cell r="C443">
            <v>84</v>
          </cell>
          <cell r="D443" t="str">
            <v>BBV</v>
          </cell>
          <cell r="E443">
            <v>1.566882533358865</v>
          </cell>
        </row>
        <row r="444">
          <cell r="B444" t="str">
            <v>King Abdulaziz University</v>
          </cell>
          <cell r="C444">
            <v>39</v>
          </cell>
          <cell r="D444" t="str">
            <v>DBJ</v>
          </cell>
          <cell r="E444">
            <v>1.565349406292768</v>
          </cell>
        </row>
        <row r="445">
          <cell r="B445" t="str">
            <v>Beijing Institute of Technology</v>
          </cell>
          <cell r="C445">
            <v>79</v>
          </cell>
          <cell r="D445" t="str">
            <v>AED</v>
          </cell>
          <cell r="E445">
            <v>1.5638540283050719</v>
          </cell>
        </row>
        <row r="446">
          <cell r="B446" t="str">
            <v>Manchester Metropolitan University</v>
          </cell>
          <cell r="C446">
            <v>47</v>
          </cell>
          <cell r="D446" t="str">
            <v>DBM</v>
          </cell>
          <cell r="E446">
            <v>1.5617674022302599</v>
          </cell>
        </row>
        <row r="447">
          <cell r="B447" t="str">
            <v>University of Wisconsin Milwaukee</v>
          </cell>
          <cell r="C447">
            <v>43</v>
          </cell>
          <cell r="D447" t="str">
            <v>DDG</v>
          </cell>
          <cell r="E447">
            <v>1.5615621036696901</v>
          </cell>
        </row>
        <row r="448">
          <cell r="B448" t="str">
            <v>University of Helsinki</v>
          </cell>
          <cell r="C448">
            <v>66</v>
          </cell>
          <cell r="D448" t="str">
            <v>AGV</v>
          </cell>
          <cell r="E448">
            <v>1.560588844015925</v>
          </cell>
        </row>
        <row r="449">
          <cell r="B449" t="str">
            <v>Aalborg University</v>
          </cell>
          <cell r="C449">
            <v>50</v>
          </cell>
          <cell r="D449" t="str">
            <v>BHF</v>
          </cell>
          <cell r="E449">
            <v>1.557608326805102</v>
          </cell>
        </row>
        <row r="450">
          <cell r="B450" t="str">
            <v>Illinois State University</v>
          </cell>
          <cell r="C450">
            <v>44</v>
          </cell>
          <cell r="D450" t="str">
            <v>DCJ</v>
          </cell>
          <cell r="E450">
            <v>1.5572591495535719</v>
          </cell>
        </row>
        <row r="451">
          <cell r="B451" t="str">
            <v>Southwest Jiaotong University</v>
          </cell>
          <cell r="C451">
            <v>79</v>
          </cell>
          <cell r="D451" t="str">
            <v>BCX</v>
          </cell>
          <cell r="E451">
            <v>1.556287601471571</v>
          </cell>
        </row>
        <row r="452">
          <cell r="B452" t="str">
            <v>Sun Yat Sen University</v>
          </cell>
          <cell r="C452">
            <v>141</v>
          </cell>
          <cell r="D452" t="str">
            <v>BDO</v>
          </cell>
          <cell r="E452">
            <v>1.5558371337765191</v>
          </cell>
        </row>
        <row r="453">
          <cell r="B453" t="str">
            <v>University of Salento</v>
          </cell>
          <cell r="C453">
            <v>49</v>
          </cell>
          <cell r="D453" t="str">
            <v>DBH</v>
          </cell>
          <cell r="E453">
            <v>1.5533343151789121</v>
          </cell>
        </row>
        <row r="454">
          <cell r="B454" t="str">
            <v>Osaka University</v>
          </cell>
          <cell r="C454">
            <v>60</v>
          </cell>
          <cell r="D454" t="str">
            <v>AFA</v>
          </cell>
          <cell r="E454">
            <v>1.553173375483536</v>
          </cell>
        </row>
        <row r="455">
          <cell r="B455" t="str">
            <v>Universite Libre de Bruxelles</v>
          </cell>
          <cell r="C455">
            <v>61</v>
          </cell>
          <cell r="D455" t="str">
            <v>BFJ</v>
          </cell>
          <cell r="E455">
            <v>1.5510234636737199</v>
          </cell>
        </row>
        <row r="456">
          <cell r="B456" t="str">
            <v>Universidad Pablo de Olavide</v>
          </cell>
          <cell r="C456">
            <v>47</v>
          </cell>
          <cell r="D456" t="str">
            <v>CBB</v>
          </cell>
          <cell r="E456">
            <v>1.550867554166335</v>
          </cell>
        </row>
        <row r="457">
          <cell r="B457" t="str">
            <v>La Trobe University</v>
          </cell>
          <cell r="C457">
            <v>80</v>
          </cell>
          <cell r="D457" t="str">
            <v>CCA</v>
          </cell>
          <cell r="E457">
            <v>1.5491930596081309</v>
          </cell>
        </row>
        <row r="458">
          <cell r="B458" t="str">
            <v>Brunel University</v>
          </cell>
          <cell r="C458">
            <v>101</v>
          </cell>
          <cell r="D458" t="str">
            <v>BAB</v>
          </cell>
          <cell r="E458">
            <v>1.54721962507046</v>
          </cell>
        </row>
        <row r="459">
          <cell r="B459" t="str">
            <v>Tallinn University of Technology</v>
          </cell>
          <cell r="C459">
            <v>40</v>
          </cell>
          <cell r="D459" t="str">
            <v>DEV</v>
          </cell>
          <cell r="E459">
            <v>1.5462861608589611</v>
          </cell>
        </row>
        <row r="460">
          <cell r="B460" t="str">
            <v>Edith Cowan University</v>
          </cell>
          <cell r="C460">
            <v>44</v>
          </cell>
          <cell r="D460" t="str">
            <v>DCI</v>
          </cell>
          <cell r="E460">
            <v>1.543308386874555</v>
          </cell>
        </row>
        <row r="461">
          <cell r="B461" t="str">
            <v>University of New Mexico</v>
          </cell>
          <cell r="C461">
            <v>43</v>
          </cell>
          <cell r="D461" t="str">
            <v>DCN</v>
          </cell>
          <cell r="E461">
            <v>1.542381688368855</v>
          </cell>
        </row>
        <row r="462">
          <cell r="B462" t="str">
            <v>Northeastern University - China</v>
          </cell>
          <cell r="C462">
            <v>39</v>
          </cell>
          <cell r="D462" t="str">
            <v>DEN</v>
          </cell>
          <cell r="E462">
            <v>1.540475999467817</v>
          </cell>
        </row>
        <row r="463">
          <cell r="B463" t="str">
            <v>Getulio Vargas Foundation</v>
          </cell>
          <cell r="C463">
            <v>86</v>
          </cell>
          <cell r="D463" t="str">
            <v>CBY</v>
          </cell>
          <cell r="E463">
            <v>1.5362316044330759</v>
          </cell>
        </row>
        <row r="464">
          <cell r="B464" t="str">
            <v>Nanjing University of Science &amp; Technology</v>
          </cell>
          <cell r="C464">
            <v>40</v>
          </cell>
          <cell r="D464" t="str">
            <v>DDW</v>
          </cell>
          <cell r="E464">
            <v>1.533393022462548</v>
          </cell>
        </row>
        <row r="465">
          <cell r="B465" t="str">
            <v>Nanjing Audit University</v>
          </cell>
          <cell r="C465">
            <v>98</v>
          </cell>
          <cell r="D465" t="str">
            <v>CBW</v>
          </cell>
          <cell r="E465">
            <v>1.5331296545297191</v>
          </cell>
        </row>
        <row r="466">
          <cell r="B466" t="str">
            <v>INRAE</v>
          </cell>
          <cell r="C466">
            <v>113</v>
          </cell>
          <cell r="D466" t="str">
            <v>BBO</v>
          </cell>
          <cell r="E466">
            <v>1.5308834545530161</v>
          </cell>
        </row>
        <row r="467">
          <cell r="B467" t="str">
            <v>Hunan University</v>
          </cell>
          <cell r="C467">
            <v>131</v>
          </cell>
          <cell r="D467" t="str">
            <v>BBK</v>
          </cell>
          <cell r="E467">
            <v>1.5302159221098079</v>
          </cell>
        </row>
        <row r="468">
          <cell r="B468" t="str">
            <v>Xi'an Jiaotong University</v>
          </cell>
          <cell r="C468">
            <v>168</v>
          </cell>
          <cell r="D468" t="str">
            <v>BHB</v>
          </cell>
          <cell r="E468">
            <v>1.523964905553655</v>
          </cell>
        </row>
        <row r="469">
          <cell r="B469" t="str">
            <v>Universite de Strasbourg</v>
          </cell>
          <cell r="C469">
            <v>53</v>
          </cell>
          <cell r="D469" t="str">
            <v>AHS</v>
          </cell>
          <cell r="E469">
            <v>1.5233515958173449</v>
          </cell>
        </row>
        <row r="470">
          <cell r="B470" t="str">
            <v>Aix-Marseille Universite</v>
          </cell>
          <cell r="C470">
            <v>80</v>
          </cell>
          <cell r="D470" t="str">
            <v>BHG</v>
          </cell>
          <cell r="E470">
            <v>1.521006772889028</v>
          </cell>
        </row>
        <row r="471">
          <cell r="B471" t="str">
            <v>Catholic University of the Sacred Heart</v>
          </cell>
          <cell r="C471">
            <v>88</v>
          </cell>
          <cell r="D471" t="str">
            <v>BAT</v>
          </cell>
          <cell r="E471">
            <v>1.520082451894462</v>
          </cell>
        </row>
        <row r="472">
          <cell r="B472" t="str">
            <v>Consejo Superior de Investigaciones Cientificas (CSIC)</v>
          </cell>
          <cell r="C472">
            <v>38</v>
          </cell>
          <cell r="D472" t="str">
            <v>AEV</v>
          </cell>
          <cell r="E472">
            <v>1.5099328120816711</v>
          </cell>
        </row>
        <row r="473">
          <cell r="B473" t="str">
            <v>Xi'an Jiaotong-Liverpool University</v>
          </cell>
          <cell r="C473">
            <v>47</v>
          </cell>
          <cell r="D473" t="str">
            <v>DBT</v>
          </cell>
          <cell r="E473">
            <v>1.509770779533387</v>
          </cell>
        </row>
        <row r="474">
          <cell r="B474" t="str">
            <v>Hanyang University</v>
          </cell>
          <cell r="C474">
            <v>57</v>
          </cell>
          <cell r="D474" t="str">
            <v>CGJ</v>
          </cell>
          <cell r="E474">
            <v>1.498136198005523</v>
          </cell>
        </row>
        <row r="475">
          <cell r="B475" t="str">
            <v>University of Barcelona</v>
          </cell>
          <cell r="C475">
            <v>82</v>
          </cell>
          <cell r="D475" t="str">
            <v>CAM</v>
          </cell>
          <cell r="E475">
            <v>1.4939658843519581</v>
          </cell>
        </row>
        <row r="476">
          <cell r="B476" t="str">
            <v>Qatar University</v>
          </cell>
          <cell r="C476">
            <v>59</v>
          </cell>
          <cell r="D476" t="str">
            <v>BGG</v>
          </cell>
          <cell r="E476">
            <v>1.4925011485262849</v>
          </cell>
        </row>
        <row r="477">
          <cell r="B477" t="str">
            <v>University of Zagreb</v>
          </cell>
          <cell r="C477">
            <v>40</v>
          </cell>
          <cell r="D477" t="str">
            <v>CBR</v>
          </cell>
          <cell r="E477">
            <v>1.490787636355311</v>
          </cell>
        </row>
        <row r="478">
          <cell r="B478" t="str">
            <v>IPAG Business School</v>
          </cell>
          <cell r="C478">
            <v>68</v>
          </cell>
          <cell r="D478" t="str">
            <v>BBR</v>
          </cell>
          <cell r="E478">
            <v>1.490762233995371</v>
          </cell>
        </row>
        <row r="479">
          <cell r="B479" t="str">
            <v>University of Cape Town</v>
          </cell>
          <cell r="C479">
            <v>62</v>
          </cell>
          <cell r="D479" t="str">
            <v>AGR</v>
          </cell>
          <cell r="E479">
            <v>1.4903049566424069</v>
          </cell>
        </row>
        <row r="480">
          <cell r="B480" t="str">
            <v>Shanghai University</v>
          </cell>
          <cell r="C480">
            <v>93</v>
          </cell>
          <cell r="D480" t="str">
            <v>BDM</v>
          </cell>
          <cell r="E480">
            <v>1.489281386960797</v>
          </cell>
        </row>
        <row r="481">
          <cell r="B481" t="str">
            <v>University of East Anglia</v>
          </cell>
          <cell r="C481">
            <v>80</v>
          </cell>
          <cell r="D481" t="str">
            <v>AGH</v>
          </cell>
          <cell r="E481">
            <v>1.4858274604865369</v>
          </cell>
        </row>
        <row r="482">
          <cell r="B482" t="str">
            <v>Kozminski University</v>
          </cell>
          <cell r="C482">
            <v>40</v>
          </cell>
          <cell r="D482" t="str">
            <v>DFE</v>
          </cell>
          <cell r="E482">
            <v>1.481648895765749</v>
          </cell>
        </row>
        <row r="483">
          <cell r="B483" t="str">
            <v>National Chengchi University</v>
          </cell>
          <cell r="C483">
            <v>91</v>
          </cell>
          <cell r="D483" t="str">
            <v>CAE</v>
          </cell>
          <cell r="E483">
            <v>1.4791540870808579</v>
          </cell>
        </row>
        <row r="484">
          <cell r="B484" t="str">
            <v>Beihang University</v>
          </cell>
          <cell r="C484">
            <v>62</v>
          </cell>
          <cell r="D484" t="str">
            <v>CAG</v>
          </cell>
          <cell r="E484">
            <v>1.478477319874276</v>
          </cell>
        </row>
        <row r="485">
          <cell r="B485" t="str">
            <v>Universite de Rennes</v>
          </cell>
          <cell r="C485">
            <v>79</v>
          </cell>
          <cell r="D485" t="str">
            <v>BBE</v>
          </cell>
          <cell r="E485">
            <v>1.474800797554104</v>
          </cell>
        </row>
        <row r="486">
          <cell r="B486" t="str">
            <v>Universita degli Studi di Bari Aldo Moro</v>
          </cell>
          <cell r="C486">
            <v>43</v>
          </cell>
          <cell r="D486" t="str">
            <v>CGN</v>
          </cell>
          <cell r="E486">
            <v>1.472975048794829</v>
          </cell>
        </row>
        <row r="487">
          <cell r="B487" t="str">
            <v>Universidade de Santiago de Compostela</v>
          </cell>
          <cell r="C487">
            <v>36</v>
          </cell>
          <cell r="D487" t="str">
            <v>BHW</v>
          </cell>
          <cell r="E487">
            <v>1.4724451233624769</v>
          </cell>
        </row>
        <row r="488">
          <cell r="B488" t="str">
            <v>South China University of Technology</v>
          </cell>
          <cell r="C488">
            <v>72</v>
          </cell>
          <cell r="D488" t="str">
            <v>CCG</v>
          </cell>
          <cell r="E488">
            <v>1.4723426365070851</v>
          </cell>
        </row>
        <row r="489">
          <cell r="B489" t="str">
            <v>Universite PSL</v>
          </cell>
          <cell r="C489">
            <v>71</v>
          </cell>
          <cell r="D489" t="str">
            <v>BCW</v>
          </cell>
          <cell r="E489">
            <v>1.4642183764169421</v>
          </cell>
        </row>
        <row r="490">
          <cell r="B490" t="str">
            <v>Old Dominion University</v>
          </cell>
          <cell r="C490">
            <v>59</v>
          </cell>
          <cell r="D490" t="str">
            <v>CHF</v>
          </cell>
          <cell r="E490">
            <v>1.4637965441320919</v>
          </cell>
        </row>
        <row r="491">
          <cell r="B491" t="str">
            <v>Guangdong University of Foreign Studies</v>
          </cell>
          <cell r="C491">
            <v>44</v>
          </cell>
          <cell r="D491" t="str">
            <v>DCW</v>
          </cell>
          <cell r="E491">
            <v>1.463134028553291</v>
          </cell>
        </row>
        <row r="492">
          <cell r="B492" t="str">
            <v>Shenzhen University</v>
          </cell>
          <cell r="C492">
            <v>75</v>
          </cell>
          <cell r="D492" t="str">
            <v>CGM</v>
          </cell>
          <cell r="E492">
            <v>1.4608035276600171</v>
          </cell>
        </row>
        <row r="493">
          <cell r="B493" t="str">
            <v>Coventry University</v>
          </cell>
          <cell r="C493">
            <v>87</v>
          </cell>
          <cell r="D493" t="str">
            <v>BDC</v>
          </cell>
          <cell r="E493">
            <v>1.4598564012905899</v>
          </cell>
        </row>
        <row r="494">
          <cell r="B494" t="str">
            <v>University of Tasmania</v>
          </cell>
          <cell r="C494">
            <v>53</v>
          </cell>
          <cell r="D494" t="str">
            <v>AFP</v>
          </cell>
          <cell r="E494">
            <v>1.4583094526678519</v>
          </cell>
        </row>
        <row r="495">
          <cell r="B495" t="str">
            <v>Seoul National University (SNU)</v>
          </cell>
          <cell r="C495">
            <v>131</v>
          </cell>
          <cell r="D495" t="str">
            <v>BDJ</v>
          </cell>
          <cell r="E495">
            <v>1.451947538970175</v>
          </cell>
        </row>
        <row r="496">
          <cell r="B496" t="str">
            <v>Marche Polytechnic University</v>
          </cell>
          <cell r="C496">
            <v>55</v>
          </cell>
          <cell r="D496" t="str">
            <v>BDH</v>
          </cell>
          <cell r="E496">
            <v>1.447030440370159</v>
          </cell>
        </row>
        <row r="497">
          <cell r="B497" t="str">
            <v>Zhongnan University of Economics &amp; Law</v>
          </cell>
          <cell r="C497">
            <v>144</v>
          </cell>
          <cell r="D497" t="str">
            <v>BHT</v>
          </cell>
          <cell r="E497">
            <v>1.4467934026631719</v>
          </cell>
        </row>
        <row r="498">
          <cell r="B498" t="str">
            <v>Sichuan University</v>
          </cell>
          <cell r="C498">
            <v>104</v>
          </cell>
          <cell r="D498" t="str">
            <v>BDL</v>
          </cell>
          <cell r="E498">
            <v>1.446264263407768</v>
          </cell>
        </row>
        <row r="499">
          <cell r="B499" t="str">
            <v>University of Pisa</v>
          </cell>
          <cell r="C499">
            <v>53</v>
          </cell>
          <cell r="D499" t="str">
            <v>CHA</v>
          </cell>
          <cell r="E499">
            <v>1.4428350569234389</v>
          </cell>
        </row>
        <row r="500">
          <cell r="B500" t="str">
            <v>Harbin Institute of Technology</v>
          </cell>
          <cell r="C500">
            <v>73</v>
          </cell>
          <cell r="D500" t="str">
            <v>CAF</v>
          </cell>
          <cell r="E500">
            <v>1.4409792446702581</v>
          </cell>
        </row>
        <row r="501">
          <cell r="B501" t="str">
            <v>Universite Paris Saclay</v>
          </cell>
          <cell r="C501">
            <v>77</v>
          </cell>
          <cell r="D501" t="str">
            <v>CBD</v>
          </cell>
          <cell r="E501">
            <v>1.4402518195645451</v>
          </cell>
        </row>
        <row r="502">
          <cell r="B502" t="str">
            <v>University of Johannesburg</v>
          </cell>
          <cell r="C502">
            <v>74</v>
          </cell>
          <cell r="D502" t="str">
            <v>CAB</v>
          </cell>
          <cell r="E502">
            <v>1.438481428490276</v>
          </cell>
        </row>
        <row r="503">
          <cell r="B503" t="str">
            <v>Leibniz University Hannover</v>
          </cell>
          <cell r="C503">
            <v>56</v>
          </cell>
          <cell r="D503" t="str">
            <v>BAA</v>
          </cell>
          <cell r="E503">
            <v>1.435908905388946</v>
          </cell>
        </row>
        <row r="504">
          <cell r="B504" t="str">
            <v>University of Siena</v>
          </cell>
          <cell r="C504">
            <v>45</v>
          </cell>
          <cell r="D504" t="str">
            <v>DCO</v>
          </cell>
          <cell r="E504">
            <v>1.4349280373186319</v>
          </cell>
        </row>
        <row r="505">
          <cell r="B505" t="str">
            <v>Sungkyunkwan University (SKKU)</v>
          </cell>
          <cell r="C505">
            <v>85</v>
          </cell>
          <cell r="D505" t="str">
            <v>BDS</v>
          </cell>
          <cell r="E505">
            <v>1.434553055603937</v>
          </cell>
        </row>
        <row r="506">
          <cell r="B506" t="str">
            <v>Hang Seng University of Hong Kong</v>
          </cell>
          <cell r="C506">
            <v>43</v>
          </cell>
          <cell r="D506" t="str">
            <v>DDT</v>
          </cell>
          <cell r="E506">
            <v>1.433683858146104</v>
          </cell>
        </row>
        <row r="507">
          <cell r="B507" t="str">
            <v>University of Sevilla</v>
          </cell>
          <cell r="C507">
            <v>70</v>
          </cell>
          <cell r="D507" t="str">
            <v>CBK</v>
          </cell>
          <cell r="E507">
            <v>1.431554449103434</v>
          </cell>
        </row>
        <row r="508">
          <cell r="B508" t="str">
            <v>Universite de Lille</v>
          </cell>
          <cell r="C508">
            <v>55</v>
          </cell>
          <cell r="D508" t="str">
            <v>BHL</v>
          </cell>
          <cell r="E508">
            <v>1.4303231993569041</v>
          </cell>
        </row>
        <row r="509">
          <cell r="B509" t="str">
            <v>American University of Sharjah</v>
          </cell>
          <cell r="C509">
            <v>59</v>
          </cell>
          <cell r="D509" t="str">
            <v>CAV</v>
          </cell>
          <cell r="E509">
            <v>1.430081627503615</v>
          </cell>
        </row>
        <row r="510">
          <cell r="B510" t="str">
            <v>University of Salerno</v>
          </cell>
          <cell r="C510">
            <v>53</v>
          </cell>
          <cell r="D510" t="str">
            <v>DAF</v>
          </cell>
          <cell r="E510">
            <v>1.429770521653043</v>
          </cell>
        </row>
        <row r="511">
          <cell r="B511" t="str">
            <v>Sapienza University Rome</v>
          </cell>
          <cell r="C511">
            <v>114</v>
          </cell>
          <cell r="D511" t="str">
            <v>CBG</v>
          </cell>
          <cell r="E511">
            <v>1.427675795473802</v>
          </cell>
        </row>
        <row r="512">
          <cell r="B512" t="str">
            <v>China Agricultural University</v>
          </cell>
          <cell r="C512">
            <v>41</v>
          </cell>
          <cell r="D512" t="str">
            <v>CCC</v>
          </cell>
          <cell r="E512">
            <v>1.427558596598177</v>
          </cell>
        </row>
        <row r="513">
          <cell r="B513" t="str">
            <v>Autonomous University of Madrid</v>
          </cell>
          <cell r="C513">
            <v>44</v>
          </cell>
          <cell r="D513" t="str">
            <v>CAJ</v>
          </cell>
          <cell r="E513">
            <v>1.427238877291741</v>
          </cell>
        </row>
        <row r="514">
          <cell r="B514" t="str">
            <v>Korea Advanced Institute of Science &amp; Technology (KAIST)</v>
          </cell>
          <cell r="C514">
            <v>68</v>
          </cell>
          <cell r="D514" t="str">
            <v>CHM</v>
          </cell>
          <cell r="E514">
            <v>1.4217821789412839</v>
          </cell>
        </row>
        <row r="515">
          <cell r="B515" t="str">
            <v>Roma Tre University</v>
          </cell>
          <cell r="C515">
            <v>66</v>
          </cell>
          <cell r="D515" t="str">
            <v>BAI</v>
          </cell>
          <cell r="E515">
            <v>1.4215794599535569</v>
          </cell>
        </row>
        <row r="516">
          <cell r="B516" t="str">
            <v>University of Trento</v>
          </cell>
          <cell r="C516">
            <v>44</v>
          </cell>
          <cell r="D516" t="str">
            <v>BBU</v>
          </cell>
          <cell r="E516">
            <v>1.419976343813905</v>
          </cell>
        </row>
        <row r="517">
          <cell r="B517" t="str">
            <v>Universidad de Chile</v>
          </cell>
          <cell r="C517">
            <v>48</v>
          </cell>
          <cell r="D517" t="str">
            <v>CAQ</v>
          </cell>
          <cell r="E517">
            <v>1.419602729307808</v>
          </cell>
        </row>
        <row r="518">
          <cell r="B518" t="str">
            <v>University of Milano-Bicocca</v>
          </cell>
          <cell r="C518">
            <v>54</v>
          </cell>
          <cell r="D518" t="str">
            <v>CHH</v>
          </cell>
          <cell r="E518">
            <v>1.418743802396929</v>
          </cell>
        </row>
        <row r="519">
          <cell r="B519" t="str">
            <v>Nanchang University</v>
          </cell>
          <cell r="C519">
            <v>61</v>
          </cell>
          <cell r="D519" t="str">
            <v>BCJ</v>
          </cell>
          <cell r="E519">
            <v>1.4179681388051839</v>
          </cell>
        </row>
        <row r="520">
          <cell r="B520" t="str">
            <v>University of Guelph</v>
          </cell>
          <cell r="C520">
            <v>62</v>
          </cell>
          <cell r="D520" t="str">
            <v>CGP</v>
          </cell>
          <cell r="E520">
            <v>1.4163426636034191</v>
          </cell>
        </row>
        <row r="521">
          <cell r="B521" t="str">
            <v>University of Bielefeld</v>
          </cell>
          <cell r="C521">
            <v>46</v>
          </cell>
          <cell r="D521" t="str">
            <v>DBX</v>
          </cell>
          <cell r="E521">
            <v>1.4151519564368611</v>
          </cell>
        </row>
        <row r="522">
          <cell r="B522" t="str">
            <v>Universitat Politecnica de Valencia</v>
          </cell>
          <cell r="C522">
            <v>50</v>
          </cell>
          <cell r="D522" t="str">
            <v>CBE</v>
          </cell>
          <cell r="E522">
            <v>1.411291814613715</v>
          </cell>
        </row>
        <row r="523">
          <cell r="B523" t="str">
            <v>University of Luxembourg</v>
          </cell>
          <cell r="C523">
            <v>46</v>
          </cell>
          <cell r="D523" t="str">
            <v>CAX</v>
          </cell>
          <cell r="E523">
            <v>1.4033217985718009</v>
          </cell>
        </row>
        <row r="524">
          <cell r="B524" t="str">
            <v>Chongqing University</v>
          </cell>
          <cell r="C524">
            <v>70</v>
          </cell>
          <cell r="D524" t="str">
            <v>BFN</v>
          </cell>
          <cell r="E524">
            <v>1.4027923287043429</v>
          </cell>
        </row>
        <row r="525">
          <cell r="B525" t="str">
            <v>Waseda University</v>
          </cell>
          <cell r="C525">
            <v>90</v>
          </cell>
          <cell r="D525" t="str">
            <v>BAZ</v>
          </cell>
          <cell r="E525">
            <v>1.40100966209932</v>
          </cell>
        </row>
        <row r="526">
          <cell r="B526" t="str">
            <v>HSE University (National Research University Higher School of Economics)</v>
          </cell>
          <cell r="C526">
            <v>124</v>
          </cell>
          <cell r="D526" t="str">
            <v>CBQ</v>
          </cell>
          <cell r="E526">
            <v>1.3999214407892919</v>
          </cell>
        </row>
        <row r="527">
          <cell r="B527" t="str">
            <v>University of Pretoria</v>
          </cell>
          <cell r="C527">
            <v>125</v>
          </cell>
          <cell r="D527" t="str">
            <v>AGX</v>
          </cell>
          <cell r="E527">
            <v>1.396064771642628</v>
          </cell>
        </row>
        <row r="528">
          <cell r="B528" t="str">
            <v>COMSATS University Islamabad (CUI)</v>
          </cell>
          <cell r="C528">
            <v>93</v>
          </cell>
          <cell r="D528" t="str">
            <v>BAL</v>
          </cell>
          <cell r="E528">
            <v>1.3914428214297281</v>
          </cell>
        </row>
        <row r="529">
          <cell r="B529" t="str">
            <v>East China University of Science &amp; Technology</v>
          </cell>
          <cell r="C529">
            <v>54</v>
          </cell>
          <cell r="D529" t="str">
            <v>BHH</v>
          </cell>
          <cell r="E529">
            <v>1.387270363946272</v>
          </cell>
        </row>
        <row r="530">
          <cell r="B530" t="str">
            <v>National Taipei University</v>
          </cell>
          <cell r="C530">
            <v>43</v>
          </cell>
          <cell r="D530" t="str">
            <v>DCY</v>
          </cell>
          <cell r="E530">
            <v>1.3811727068453561</v>
          </cell>
        </row>
        <row r="531">
          <cell r="B531" t="str">
            <v>Athens University of Economics &amp; Business</v>
          </cell>
          <cell r="C531">
            <v>83</v>
          </cell>
          <cell r="D531" t="str">
            <v>AHV</v>
          </cell>
          <cell r="E531">
            <v>1.380175015298363</v>
          </cell>
        </row>
        <row r="532">
          <cell r="B532" t="str">
            <v>Tianjin University</v>
          </cell>
          <cell r="C532">
            <v>123</v>
          </cell>
          <cell r="D532" t="str">
            <v>AHH</v>
          </cell>
          <cell r="E532">
            <v>1.3774573946479409</v>
          </cell>
        </row>
        <row r="533">
          <cell r="B533" t="str">
            <v>University of Quebec Montreal</v>
          </cell>
          <cell r="C533">
            <v>62</v>
          </cell>
          <cell r="D533" t="str">
            <v>BCB</v>
          </cell>
          <cell r="E533">
            <v>1.375812918448992</v>
          </cell>
        </row>
        <row r="534">
          <cell r="B534" t="str">
            <v>University of Macau</v>
          </cell>
          <cell r="C534">
            <v>69</v>
          </cell>
          <cell r="D534" t="str">
            <v>CHJ</v>
          </cell>
          <cell r="E534">
            <v>1.374820765225828</v>
          </cell>
        </row>
        <row r="535">
          <cell r="B535" t="str">
            <v>National Sun Yat Sen University</v>
          </cell>
          <cell r="C535">
            <v>65</v>
          </cell>
          <cell r="D535" t="str">
            <v>CHD</v>
          </cell>
          <cell r="E535">
            <v>1.37215529951798</v>
          </cell>
        </row>
        <row r="536">
          <cell r="B536" t="str">
            <v>Universite de Lorraine</v>
          </cell>
          <cell r="C536">
            <v>53</v>
          </cell>
          <cell r="D536" t="str">
            <v>CBJ</v>
          </cell>
          <cell r="E536">
            <v>1.3708964550745439</v>
          </cell>
        </row>
        <row r="537">
          <cell r="B537" t="str">
            <v>Academia Sinica - Taiwan</v>
          </cell>
          <cell r="C537">
            <v>43</v>
          </cell>
          <cell r="D537" t="str">
            <v>DDO</v>
          </cell>
          <cell r="E537">
            <v>1.3703838495810441</v>
          </cell>
        </row>
        <row r="538">
          <cell r="B538" t="str">
            <v>Universiti Malaya</v>
          </cell>
          <cell r="C538">
            <v>49</v>
          </cell>
          <cell r="D538" t="str">
            <v>BDY</v>
          </cell>
          <cell r="E538">
            <v>1.3676096220937259</v>
          </cell>
        </row>
        <row r="539">
          <cell r="B539" t="str">
            <v>Jiangxi University of Finance &amp; Economics</v>
          </cell>
          <cell r="C539">
            <v>66</v>
          </cell>
          <cell r="D539" t="str">
            <v>CGW</v>
          </cell>
          <cell r="E539">
            <v>1.3655492481562821</v>
          </cell>
        </row>
        <row r="540">
          <cell r="B540" t="str">
            <v>Delft University of Technology</v>
          </cell>
          <cell r="C540">
            <v>46</v>
          </cell>
          <cell r="D540" t="str">
            <v>BAQ</v>
          </cell>
          <cell r="E540">
            <v>1.3476934470140709</v>
          </cell>
        </row>
        <row r="541">
          <cell r="B541" t="str">
            <v>Poznan University of Economics &amp; Business</v>
          </cell>
          <cell r="C541">
            <v>49</v>
          </cell>
          <cell r="D541" t="str">
            <v>DBB</v>
          </cell>
          <cell r="E541">
            <v>1.347609611215391</v>
          </cell>
        </row>
        <row r="542">
          <cell r="B542" t="str">
            <v>Universidade do Minho</v>
          </cell>
          <cell r="C542">
            <v>71</v>
          </cell>
          <cell r="D542" t="str">
            <v>CAY</v>
          </cell>
          <cell r="E542">
            <v>1.343749775463049</v>
          </cell>
        </row>
        <row r="543">
          <cell r="B543" t="str">
            <v>Ben Gurion University</v>
          </cell>
          <cell r="C543">
            <v>47</v>
          </cell>
          <cell r="D543" t="str">
            <v>DBU</v>
          </cell>
          <cell r="E543">
            <v>1.3432128594907431</v>
          </cell>
        </row>
        <row r="544">
          <cell r="B544" t="str">
            <v>University of Warsaw</v>
          </cell>
          <cell r="C544">
            <v>60</v>
          </cell>
          <cell r="D544" t="str">
            <v>BHR</v>
          </cell>
          <cell r="E544">
            <v>1.3369911558988909</v>
          </cell>
        </row>
        <row r="545">
          <cell r="B545" t="str">
            <v>Universidad Publica de Navarra</v>
          </cell>
          <cell r="C545">
            <v>43</v>
          </cell>
          <cell r="D545" t="str">
            <v>DDC</v>
          </cell>
          <cell r="E545">
            <v>1.330732494812487</v>
          </cell>
        </row>
        <row r="546">
          <cell r="B546" t="str">
            <v>Hefei University of Technology</v>
          </cell>
          <cell r="C546">
            <v>51</v>
          </cell>
          <cell r="D546" t="str">
            <v>DAN</v>
          </cell>
          <cell r="E546">
            <v>1.3297757912282711</v>
          </cell>
        </row>
        <row r="547">
          <cell r="B547" t="str">
            <v>Zhejiang University of Finance &amp; Economics</v>
          </cell>
          <cell r="C547">
            <v>63</v>
          </cell>
          <cell r="D547" t="str">
            <v>CGZ</v>
          </cell>
          <cell r="E547">
            <v>1.32246498861301</v>
          </cell>
        </row>
        <row r="548">
          <cell r="B548" t="str">
            <v>Universiti Putra Malaysia</v>
          </cell>
          <cell r="C548">
            <v>44</v>
          </cell>
          <cell r="D548" t="str">
            <v>DBW</v>
          </cell>
          <cell r="E548">
            <v>1.3191074309160169</v>
          </cell>
        </row>
        <row r="549">
          <cell r="B549" t="str">
            <v>Kyung Hee University</v>
          </cell>
          <cell r="C549">
            <v>57</v>
          </cell>
          <cell r="D549" t="str">
            <v>CGX</v>
          </cell>
          <cell r="E549">
            <v>1.3190768867204441</v>
          </cell>
        </row>
        <row r="550">
          <cell r="B550" t="str">
            <v>Complutense University of Madrid</v>
          </cell>
          <cell r="C550">
            <v>79</v>
          </cell>
          <cell r="D550" t="str">
            <v>CCF</v>
          </cell>
          <cell r="E550">
            <v>1.317006406433622</v>
          </cell>
        </row>
        <row r="551">
          <cell r="B551" t="str">
            <v>Southeast University - China</v>
          </cell>
          <cell r="C551">
            <v>52</v>
          </cell>
          <cell r="D551" t="str">
            <v>BEJ</v>
          </cell>
          <cell r="E551">
            <v>1.3144140774514801</v>
          </cell>
        </row>
        <row r="552">
          <cell r="B552" t="str">
            <v>Korea University</v>
          </cell>
          <cell r="C552">
            <v>99</v>
          </cell>
          <cell r="D552" t="str">
            <v>BBZ</v>
          </cell>
          <cell r="E552">
            <v>1.3123754874446221</v>
          </cell>
        </row>
        <row r="553">
          <cell r="B553" t="str">
            <v>Shanghai Lixin University of Accounting &amp; Finance</v>
          </cell>
          <cell r="C553">
            <v>45</v>
          </cell>
          <cell r="D553" t="str">
            <v>CGL</v>
          </cell>
          <cell r="E553">
            <v>1.307709451900432</v>
          </cell>
        </row>
        <row r="554">
          <cell r="B554" t="str">
            <v>Universidade de Coimbra</v>
          </cell>
          <cell r="C554">
            <v>44</v>
          </cell>
          <cell r="D554" t="str">
            <v>CCE</v>
          </cell>
          <cell r="E554">
            <v>1.30728274122071</v>
          </cell>
        </row>
        <row r="555">
          <cell r="B555" t="str">
            <v>University of Witwatersrand</v>
          </cell>
          <cell r="C555">
            <v>49</v>
          </cell>
          <cell r="D555" t="str">
            <v>DBP</v>
          </cell>
          <cell r="E555">
            <v>1.301978704938813</v>
          </cell>
        </row>
        <row r="556">
          <cell r="B556" t="str">
            <v>Nanjing University of Finance &amp; Economics</v>
          </cell>
          <cell r="C556">
            <v>68</v>
          </cell>
          <cell r="D556" t="str">
            <v>CAO</v>
          </cell>
          <cell r="E556">
            <v>1.3017667127952579</v>
          </cell>
        </row>
        <row r="557">
          <cell r="B557" t="str">
            <v>National Central University</v>
          </cell>
          <cell r="C557">
            <v>58</v>
          </cell>
          <cell r="D557" t="str">
            <v>CGT</v>
          </cell>
          <cell r="E557">
            <v>1.295643591920453</v>
          </cell>
        </row>
        <row r="558">
          <cell r="B558" t="str">
            <v>Universidade da Beira Interior</v>
          </cell>
          <cell r="C558">
            <v>46</v>
          </cell>
          <cell r="D558" t="str">
            <v>DCE</v>
          </cell>
          <cell r="E558">
            <v>1.2923044628477489</v>
          </cell>
        </row>
        <row r="559">
          <cell r="B559" t="str">
            <v>University of Tokyo</v>
          </cell>
          <cell r="C559">
            <v>74</v>
          </cell>
          <cell r="D559" t="str">
            <v>CBT</v>
          </cell>
          <cell r="E559">
            <v>1.289465988605708</v>
          </cell>
        </row>
        <row r="560">
          <cell r="B560" t="str">
            <v>Universidad de Castilla-La Mancha</v>
          </cell>
          <cell r="C560">
            <v>54</v>
          </cell>
          <cell r="D560" t="str">
            <v>CAP</v>
          </cell>
          <cell r="E560">
            <v>1.2874179329558399</v>
          </cell>
        </row>
        <row r="561">
          <cell r="B561" t="str">
            <v>Kyoto University</v>
          </cell>
          <cell r="C561">
            <v>41</v>
          </cell>
          <cell r="D561" t="str">
            <v>ADN</v>
          </cell>
          <cell r="E561">
            <v>1.2867799495011161</v>
          </cell>
        </row>
        <row r="562">
          <cell r="B562" t="str">
            <v>Universidad de Malaga</v>
          </cell>
          <cell r="C562">
            <v>46</v>
          </cell>
          <cell r="D562" t="str">
            <v>CHN</v>
          </cell>
          <cell r="E562">
            <v>1.279454559510224</v>
          </cell>
        </row>
        <row r="563">
          <cell r="B563" t="str">
            <v>National Cheng Kung University</v>
          </cell>
          <cell r="C563">
            <v>41</v>
          </cell>
          <cell r="D563" t="str">
            <v>DEM</v>
          </cell>
          <cell r="E563">
            <v>1.2783060307374861</v>
          </cell>
        </row>
        <row r="564">
          <cell r="B564" t="str">
            <v>University of Haifa</v>
          </cell>
          <cell r="C564">
            <v>42</v>
          </cell>
          <cell r="D564" t="str">
            <v>DDX</v>
          </cell>
          <cell r="E564">
            <v>1.2772572518462919</v>
          </cell>
        </row>
        <row r="565">
          <cell r="B565" t="str">
            <v>Dalian University of Technology</v>
          </cell>
          <cell r="C565">
            <v>59</v>
          </cell>
          <cell r="D565" t="str">
            <v>CGO</v>
          </cell>
          <cell r="E565">
            <v>1.2693509371631759</v>
          </cell>
        </row>
        <row r="566">
          <cell r="B566" t="str">
            <v>Pusan National University</v>
          </cell>
          <cell r="C566">
            <v>41</v>
          </cell>
          <cell r="D566" t="str">
            <v>DEP</v>
          </cell>
          <cell r="E566">
            <v>1.268658331444708</v>
          </cell>
        </row>
        <row r="567">
          <cell r="B567" t="str">
            <v>Universite Grenoble Alpes (UGA)</v>
          </cell>
          <cell r="C567">
            <v>76</v>
          </cell>
          <cell r="D567" t="str">
            <v>CHG</v>
          </cell>
          <cell r="E567">
            <v>1.266332901159392</v>
          </cell>
        </row>
        <row r="568">
          <cell r="B568" t="str">
            <v>Universitat d'Alacant</v>
          </cell>
          <cell r="C568">
            <v>39</v>
          </cell>
          <cell r="D568" t="str">
            <v>CBX</v>
          </cell>
          <cell r="E568">
            <v>1.26472088541146</v>
          </cell>
        </row>
        <row r="569">
          <cell r="B569" t="str">
            <v>Universidade de Lisboa</v>
          </cell>
          <cell r="C569">
            <v>102</v>
          </cell>
          <cell r="D569" t="str">
            <v>CAW</v>
          </cell>
          <cell r="E569">
            <v>1.2630132485404471</v>
          </cell>
        </row>
        <row r="570">
          <cell r="B570" t="str">
            <v>Guangdong University of Finance &amp; Economics</v>
          </cell>
          <cell r="C570">
            <v>45</v>
          </cell>
          <cell r="D570" t="str">
            <v>DCA</v>
          </cell>
          <cell r="E570">
            <v>1.2617982380222661</v>
          </cell>
        </row>
        <row r="571">
          <cell r="B571" t="str">
            <v>Ton Duc Thang University</v>
          </cell>
          <cell r="C571">
            <v>43</v>
          </cell>
          <cell r="D571" t="str">
            <v>DDA</v>
          </cell>
          <cell r="E571">
            <v>1.258034638569195</v>
          </cell>
        </row>
        <row r="572">
          <cell r="B572" t="str">
            <v>Universiti Sains Malaysia</v>
          </cell>
          <cell r="C572">
            <v>55</v>
          </cell>
          <cell r="D572" t="str">
            <v>AHU</v>
          </cell>
          <cell r="E572">
            <v>1.256971500357327</v>
          </cell>
        </row>
        <row r="573">
          <cell r="B573" t="str">
            <v>Warsaw School of Economics</v>
          </cell>
          <cell r="C573">
            <v>51</v>
          </cell>
          <cell r="D573" t="str">
            <v>AGZ</v>
          </cell>
          <cell r="E573">
            <v>1.251283319753784</v>
          </cell>
        </row>
        <row r="574">
          <cell r="B574" t="str">
            <v>Eastern Mediterranean University</v>
          </cell>
          <cell r="C574">
            <v>52</v>
          </cell>
          <cell r="D574" t="str">
            <v>DAD</v>
          </cell>
          <cell r="E574">
            <v>1.2483985939698841</v>
          </cell>
        </row>
        <row r="575">
          <cell r="B575" t="str">
            <v>Kobe University</v>
          </cell>
          <cell r="C575">
            <v>68</v>
          </cell>
          <cell r="D575" t="str">
            <v>ACJ</v>
          </cell>
          <cell r="E575">
            <v>1.2427035375435369</v>
          </cell>
        </row>
        <row r="576">
          <cell r="B576" t="str">
            <v>Universidad Rey Juan Carlos</v>
          </cell>
          <cell r="C576">
            <v>44</v>
          </cell>
          <cell r="D576" t="str">
            <v>DCD</v>
          </cell>
          <cell r="E576">
            <v>1.242272260342405</v>
          </cell>
        </row>
        <row r="577">
          <cell r="B577" t="str">
            <v>Keio University</v>
          </cell>
          <cell r="C577">
            <v>53</v>
          </cell>
          <cell r="D577" t="str">
            <v>BEZ</v>
          </cell>
          <cell r="E577">
            <v>1.2355934459777229</v>
          </cell>
        </row>
        <row r="578">
          <cell r="B578" t="str">
            <v>Jilin University</v>
          </cell>
          <cell r="C578">
            <v>64</v>
          </cell>
          <cell r="D578" t="str">
            <v>BHE</v>
          </cell>
          <cell r="E578">
            <v>1.2305975682884771</v>
          </cell>
        </row>
        <row r="579">
          <cell r="B579" t="str">
            <v>Zhejiang Gongshang University</v>
          </cell>
          <cell r="C579">
            <v>57</v>
          </cell>
          <cell r="D579" t="str">
            <v>BGH</v>
          </cell>
          <cell r="E579">
            <v>1.230041282100109</v>
          </cell>
        </row>
        <row r="580">
          <cell r="B580" t="str">
            <v>National Kaohsiung University of Science &amp; Technology</v>
          </cell>
          <cell r="C580">
            <v>45</v>
          </cell>
          <cell r="D580" t="str">
            <v>DCB</v>
          </cell>
          <cell r="E580">
            <v>1.227637290322078</v>
          </cell>
        </row>
        <row r="581">
          <cell r="B581" t="str">
            <v>University of Murcia</v>
          </cell>
          <cell r="C581">
            <v>44</v>
          </cell>
          <cell r="D581" t="str">
            <v>CAZ</v>
          </cell>
          <cell r="E581">
            <v>1.227451593262604</v>
          </cell>
        </row>
        <row r="582">
          <cell r="B582" t="str">
            <v>Universidade de Sao Paulo</v>
          </cell>
          <cell r="C582">
            <v>91</v>
          </cell>
          <cell r="D582" t="str">
            <v>CCH</v>
          </cell>
          <cell r="E582">
            <v>1.2237117170319289</v>
          </cell>
        </row>
        <row r="583">
          <cell r="B583" t="str">
            <v>National Yang Ming Chiao Tung University</v>
          </cell>
          <cell r="C583">
            <v>42</v>
          </cell>
          <cell r="D583" t="str">
            <v>DDM</v>
          </cell>
          <cell r="E583">
            <v>1.2229244943261131</v>
          </cell>
        </row>
        <row r="584">
          <cell r="B584" t="str">
            <v>University of Tehran</v>
          </cell>
          <cell r="C584">
            <v>42</v>
          </cell>
          <cell r="D584" t="str">
            <v>DED</v>
          </cell>
          <cell r="E584">
            <v>1.2145221585157899</v>
          </cell>
        </row>
        <row r="585">
          <cell r="B585" t="str">
            <v>Universidade de Vigo</v>
          </cell>
          <cell r="C585">
            <v>40</v>
          </cell>
          <cell r="D585" t="str">
            <v>CCI</v>
          </cell>
          <cell r="E585">
            <v>1.2123033563010279</v>
          </cell>
        </row>
        <row r="586">
          <cell r="B586" t="str">
            <v>Prague University of Economics &amp; Business</v>
          </cell>
          <cell r="C586">
            <v>73</v>
          </cell>
          <cell r="D586" t="str">
            <v>BHV</v>
          </cell>
          <cell r="E586">
            <v>1.212260586486904</v>
          </cell>
        </row>
        <row r="587">
          <cell r="B587" t="str">
            <v>Chung Ang University</v>
          </cell>
          <cell r="C587">
            <v>50</v>
          </cell>
          <cell r="D587" t="str">
            <v>DAR</v>
          </cell>
          <cell r="E587">
            <v>1.206242673943291</v>
          </cell>
        </row>
        <row r="588">
          <cell r="B588" t="str">
            <v>Ming Chuan University</v>
          </cell>
          <cell r="C588">
            <v>41</v>
          </cell>
          <cell r="D588" t="str">
            <v>DEK</v>
          </cell>
          <cell r="E588">
            <v>1.2053665557788309</v>
          </cell>
        </row>
        <row r="589">
          <cell r="B589" t="str">
            <v>Universitat Jaume I</v>
          </cell>
          <cell r="C589">
            <v>72</v>
          </cell>
          <cell r="D589" t="str">
            <v>CAU</v>
          </cell>
          <cell r="E589">
            <v>1.2002230218353991</v>
          </cell>
        </row>
        <row r="590">
          <cell r="B590" t="str">
            <v>Universite de Sfax</v>
          </cell>
          <cell r="C590">
            <v>47</v>
          </cell>
          <cell r="D590" t="str">
            <v>BAF</v>
          </cell>
          <cell r="E590">
            <v>1.17826506278992</v>
          </cell>
        </row>
        <row r="591">
          <cell r="B591" t="str">
            <v>Tamkang University</v>
          </cell>
          <cell r="C591">
            <v>44</v>
          </cell>
          <cell r="D591" t="str">
            <v>DCZ</v>
          </cell>
          <cell r="E591">
            <v>1.1715875503573281</v>
          </cell>
        </row>
        <row r="592">
          <cell r="B592" t="str">
            <v>Corvinus University Budapest</v>
          </cell>
          <cell r="C592">
            <v>37</v>
          </cell>
          <cell r="D592" t="str">
            <v>DEJ</v>
          </cell>
          <cell r="E592">
            <v>1.15307871943063</v>
          </cell>
        </row>
        <row r="593">
          <cell r="B593" t="str">
            <v>University of Economics Bratislava</v>
          </cell>
          <cell r="C593">
            <v>43</v>
          </cell>
          <cell r="D593" t="str">
            <v>AFV</v>
          </cell>
          <cell r="E593">
            <v>1.152482584760931</v>
          </cell>
        </row>
        <row r="594">
          <cell r="B594" t="str">
            <v>Universidade Federal do Rio Grande do Sul</v>
          </cell>
          <cell r="C594">
            <v>38</v>
          </cell>
          <cell r="D594" t="str">
            <v>AHN</v>
          </cell>
          <cell r="E594">
            <v>1.132382331952307</v>
          </cell>
        </row>
        <row r="595">
          <cell r="B595" t="str">
            <v>University of Piraeus</v>
          </cell>
          <cell r="C595">
            <v>43</v>
          </cell>
          <cell r="D595" t="str">
            <v>BGC</v>
          </cell>
          <cell r="E595">
            <v>1.1083718921156009</v>
          </cell>
        </row>
        <row r="596">
          <cell r="B596" t="str">
            <v>Feng Chia University</v>
          </cell>
          <cell r="C596">
            <v>42</v>
          </cell>
          <cell r="D596" t="str">
            <v>DDU</v>
          </cell>
          <cell r="E596">
            <v>1.1031208465017071</v>
          </cell>
        </row>
        <row r="597">
          <cell r="B597" t="str">
            <v>Islamic Azad University</v>
          </cell>
          <cell r="C597">
            <v>58</v>
          </cell>
          <cell r="D597" t="str">
            <v>DEY</v>
          </cell>
          <cell r="E597">
            <v>1.10153802886783</v>
          </cell>
        </row>
        <row r="598">
          <cell r="B598" t="str">
            <v>Bucharest University of Economic Studies</v>
          </cell>
          <cell r="C598">
            <v>109</v>
          </cell>
          <cell r="D598" t="str">
            <v>CBO</v>
          </cell>
          <cell r="E598">
            <v>1.0505344314242511</v>
          </cell>
        </row>
        <row r="599">
          <cell r="B599" t="str">
            <v>University of Novi Sad</v>
          </cell>
          <cell r="C599">
            <v>42</v>
          </cell>
          <cell r="D599" t="str">
            <v>DEB</v>
          </cell>
          <cell r="E599">
            <v>1.042076365868406</v>
          </cell>
        </row>
        <row r="600">
          <cell r="B600" t="str">
            <v>University of Belgrade</v>
          </cell>
          <cell r="C600">
            <v>43</v>
          </cell>
          <cell r="D600" t="str">
            <v>DDE</v>
          </cell>
          <cell r="E600">
            <v>1.0304457022047859</v>
          </cell>
        </row>
        <row r="601">
          <cell r="B601" t="str">
            <v>Vilnius Gediminas Technical University</v>
          </cell>
          <cell r="C601">
            <v>48</v>
          </cell>
          <cell r="D601" t="str">
            <v>BGX</v>
          </cell>
          <cell r="E601">
            <v>1</v>
          </cell>
        </row>
      </sheetData>
      <sheetData sheetId="4">
        <row r="1">
          <cell r="B1" t="str">
            <v>journal</v>
          </cell>
          <cell r="C1" t="str">
            <v>acr</v>
          </cell>
          <cell r="D1" t="str">
            <v>pub</v>
          </cell>
          <cell r="E1" t="str">
            <v>journal_score</v>
          </cell>
        </row>
        <row r="2">
          <cell r="B2" t="str">
            <v>ACADEMY OF MANAGEMENT ANNALS</v>
          </cell>
          <cell r="C2" t="str">
            <v>HPA</v>
          </cell>
          <cell r="D2">
            <v>31</v>
          </cell>
          <cell r="E2">
            <v>10</v>
          </cell>
        </row>
        <row r="3">
          <cell r="B3" t="str">
            <v>JOURNAL OF MARKETING</v>
          </cell>
          <cell r="C3" t="str">
            <v>DAW</v>
          </cell>
          <cell r="D3">
            <v>65</v>
          </cell>
          <cell r="E3">
            <v>9.1714274264189974</v>
          </cell>
        </row>
        <row r="4">
          <cell r="B4" t="str">
            <v>ADMINISTRATIVE SCIENCE QUARTERLY</v>
          </cell>
          <cell r="C4" t="str">
            <v>DHW</v>
          </cell>
          <cell r="D4">
            <v>39</v>
          </cell>
          <cell r="E4">
            <v>8.3962589821401838</v>
          </cell>
        </row>
        <row r="5">
          <cell r="B5" t="str">
            <v>JOURNAL OF THE ACADEMY OF MARKETING SCIENCE</v>
          </cell>
          <cell r="C5" t="str">
            <v>DDP</v>
          </cell>
          <cell r="D5">
            <v>71</v>
          </cell>
          <cell r="E5">
            <v>6.2608694519057977</v>
          </cell>
        </row>
        <row r="6">
          <cell r="B6" t="str">
            <v>ACADEMY OF MANAGEMENT JOURNAL</v>
          </cell>
          <cell r="C6" t="str">
            <v>DGW</v>
          </cell>
          <cell r="D6">
            <v>71</v>
          </cell>
          <cell r="E6">
            <v>5.7246957493673074</v>
          </cell>
        </row>
        <row r="7">
          <cell r="B7" t="str">
            <v>ACADEMY OF MANAGEMENT REVIEW</v>
          </cell>
          <cell r="C7" t="str">
            <v>DHV</v>
          </cell>
          <cell r="D7">
            <v>40</v>
          </cell>
          <cell r="E7">
            <v>4.9808607296556042</v>
          </cell>
        </row>
        <row r="8">
          <cell r="B8" t="str">
            <v>STRATEGIC MANAGEMENT JOURNAL</v>
          </cell>
          <cell r="C8" t="str">
            <v>DGG</v>
          </cell>
          <cell r="D8">
            <v>121</v>
          </cell>
          <cell r="E8">
            <v>4.7944181017487848</v>
          </cell>
        </row>
        <row r="9">
          <cell r="B9" t="str">
            <v>JOURNAL OF MANAGEMENT</v>
          </cell>
          <cell r="C9" t="str">
            <v>HAX</v>
          </cell>
          <cell r="D9">
            <v>88</v>
          </cell>
          <cell r="E9">
            <v>4.6606569758750744</v>
          </cell>
        </row>
        <row r="10">
          <cell r="B10" t="str">
            <v>JOURNAL OF MARKETING RESEARCH</v>
          </cell>
          <cell r="C10" t="str">
            <v>DDR</v>
          </cell>
          <cell r="D10">
            <v>71</v>
          </cell>
          <cell r="E10">
            <v>4.4754487620398216</v>
          </cell>
        </row>
        <row r="11">
          <cell r="B11" t="str">
            <v>ACADEMY OF MANAGEMENT PERSPECTIVES</v>
          </cell>
          <cell r="C11" t="str">
            <v>HAI</v>
          </cell>
          <cell r="D11">
            <v>30</v>
          </cell>
          <cell r="E11">
            <v>4.3795559403366484</v>
          </cell>
        </row>
        <row r="12">
          <cell r="B12" t="str">
            <v>JOURNAL OF SERVICE RESEARCH</v>
          </cell>
          <cell r="C12" t="str">
            <v>DBL</v>
          </cell>
          <cell r="D12">
            <v>42</v>
          </cell>
          <cell r="E12">
            <v>4.3408519395293572</v>
          </cell>
        </row>
        <row r="13">
          <cell r="B13" t="str">
            <v>JOURNAL OF CONSUMER RESEARCH</v>
          </cell>
          <cell r="C13" t="str">
            <v>DBJ</v>
          </cell>
          <cell r="D13">
            <v>48</v>
          </cell>
          <cell r="E13">
            <v>4.2880582199407433</v>
          </cell>
        </row>
        <row r="14">
          <cell r="B14" t="str">
            <v>JOURNAL OF PRODUCT INNOVATION MANAGEMENT</v>
          </cell>
          <cell r="C14" t="str">
            <v>DFU</v>
          </cell>
          <cell r="D14">
            <v>25</v>
          </cell>
          <cell r="E14">
            <v>4.1993510507369356</v>
          </cell>
        </row>
        <row r="15">
          <cell r="B15" t="str">
            <v>JOURNAL OF MANAGEMENT STUDIES</v>
          </cell>
          <cell r="C15" t="str">
            <v>DGM</v>
          </cell>
          <cell r="D15">
            <v>93</v>
          </cell>
          <cell r="E15">
            <v>4.1912414615768574</v>
          </cell>
        </row>
        <row r="16">
          <cell r="B16" t="str">
            <v>JOURNAL OF INTERACTIVE MARKETING</v>
          </cell>
          <cell r="C16" t="str">
            <v>DBS</v>
          </cell>
          <cell r="D16">
            <v>32</v>
          </cell>
          <cell r="E16">
            <v>4.1543203410326726</v>
          </cell>
        </row>
        <row r="17">
          <cell r="B17" t="str">
            <v>JOURNAL OF BUSINESS VENTURING</v>
          </cell>
          <cell r="C17" t="str">
            <v>DZA</v>
          </cell>
          <cell r="D17">
            <v>60</v>
          </cell>
          <cell r="E17">
            <v>4.1337271596660932</v>
          </cell>
        </row>
        <row r="18">
          <cell r="B18" t="str">
            <v>ENTREPRENEURSHIP THEORY AND PRACTICE</v>
          </cell>
          <cell r="C18" t="str">
            <v>DAI</v>
          </cell>
          <cell r="D18">
            <v>91</v>
          </cell>
          <cell r="E18">
            <v>4.0235687527931976</v>
          </cell>
        </row>
        <row r="19">
          <cell r="B19" t="str">
            <v>JOURNAL OF RETAILING</v>
          </cell>
          <cell r="C19" t="str">
            <v>DBO</v>
          </cell>
          <cell r="D19">
            <v>38</v>
          </cell>
          <cell r="E19">
            <v>3.9408770418579442</v>
          </cell>
        </row>
        <row r="20">
          <cell r="B20" t="str">
            <v>STRATEGIC ENTREPRENEURSHIP JOURNAL</v>
          </cell>
          <cell r="C20" t="str">
            <v>DHP</v>
          </cell>
          <cell r="D20">
            <v>45</v>
          </cell>
          <cell r="E20">
            <v>3.845250839344978</v>
          </cell>
        </row>
        <row r="21">
          <cell r="B21" t="str">
            <v>JOURNAL OF INTERNATIONAL BUSINESS STUDIES</v>
          </cell>
          <cell r="C21" t="str">
            <v>DGN</v>
          </cell>
          <cell r="D21">
            <v>92</v>
          </cell>
          <cell r="E21">
            <v>3.7696572780717319</v>
          </cell>
        </row>
        <row r="22">
          <cell r="B22" t="str">
            <v>MARKETING SCIENCE</v>
          </cell>
          <cell r="C22" t="str">
            <v>DBB</v>
          </cell>
          <cell r="D22">
            <v>57</v>
          </cell>
          <cell r="E22">
            <v>3.6444512030559122</v>
          </cell>
        </row>
        <row r="23">
          <cell r="B23" t="str">
            <v>CALIFORNIA MANAGEMENT REVIEW</v>
          </cell>
          <cell r="C23" t="str">
            <v>HAF</v>
          </cell>
          <cell r="D23">
            <v>31</v>
          </cell>
          <cell r="E23">
            <v>3.322805921302157</v>
          </cell>
        </row>
        <row r="24">
          <cell r="B24" t="str">
            <v>INTERNATIONAL JOURNAL OF RESEARCH IN MARKETING</v>
          </cell>
          <cell r="C24" t="str">
            <v>DBH</v>
          </cell>
          <cell r="D24">
            <v>47</v>
          </cell>
          <cell r="E24">
            <v>3.2945072317976618</v>
          </cell>
        </row>
        <row r="25">
          <cell r="B25" t="str">
            <v>GLOBAL STRATEGY JOURNAL</v>
          </cell>
          <cell r="C25" t="str">
            <v>HAA</v>
          </cell>
          <cell r="D25">
            <v>33</v>
          </cell>
          <cell r="E25">
            <v>3.081979995958005</v>
          </cell>
        </row>
        <row r="26">
          <cell r="B26" t="str">
            <v>INTERNATIONAL JOURNAL OF MANAGEMENT REVIEWS</v>
          </cell>
          <cell r="C26" t="str">
            <v>HAR</v>
          </cell>
          <cell r="D26">
            <v>21</v>
          </cell>
          <cell r="E26">
            <v>2.9280635790262881</v>
          </cell>
        </row>
        <row r="27">
          <cell r="B27" t="str">
            <v>JOURNAL OF WORLD BUSINESS</v>
          </cell>
          <cell r="C27" t="str">
            <v>DAX</v>
          </cell>
          <cell r="D27">
            <v>62</v>
          </cell>
          <cell r="E27">
            <v>2.7353208051875808</v>
          </cell>
        </row>
        <row r="28">
          <cell r="B28" t="str">
            <v>LONG RANGE PLANNING</v>
          </cell>
          <cell r="C28" t="str">
            <v>HBM</v>
          </cell>
          <cell r="D28">
            <v>56</v>
          </cell>
          <cell r="E28">
            <v>2.6108670483043528</v>
          </cell>
        </row>
        <row r="29">
          <cell r="B29" t="str">
            <v>JOURNAL OF ADVERTISING</v>
          </cell>
          <cell r="C29" t="str">
            <v>HPH</v>
          </cell>
          <cell r="D29">
            <v>42</v>
          </cell>
          <cell r="E29">
            <v>2.4763462297587848</v>
          </cell>
        </row>
        <row r="30">
          <cell r="B30" t="str">
            <v>INTERNATIONAL BUSINESS REVIEW</v>
          </cell>
          <cell r="C30" t="str">
            <v>DDM</v>
          </cell>
          <cell r="D30">
            <v>83</v>
          </cell>
          <cell r="E30">
            <v>2.451746916908295</v>
          </cell>
        </row>
        <row r="31">
          <cell r="B31" t="str">
            <v>BUSINESS ETHICS QUARTERLY</v>
          </cell>
          <cell r="C31" t="str">
            <v>HBT</v>
          </cell>
          <cell r="D31">
            <v>18</v>
          </cell>
          <cell r="E31">
            <v>2.26267607274717</v>
          </cell>
        </row>
        <row r="32">
          <cell r="B32" t="str">
            <v>BUSINESS &amp; SOCIETY</v>
          </cell>
          <cell r="C32" t="str">
            <v>DDG</v>
          </cell>
          <cell r="D32">
            <v>100</v>
          </cell>
          <cell r="E32">
            <v>2.222926552928651</v>
          </cell>
        </row>
        <row r="33">
          <cell r="B33" t="str">
            <v>JOURNAL OF PUBLIC POLICY &amp; MARKETING</v>
          </cell>
          <cell r="C33" t="str">
            <v>DBN</v>
          </cell>
          <cell r="D33">
            <v>40</v>
          </cell>
          <cell r="E33">
            <v>2.21129409473324</v>
          </cell>
        </row>
        <row r="34">
          <cell r="B34" t="str">
            <v>JOURNAL OF INTERNATIONAL MARKETING</v>
          </cell>
          <cell r="C34" t="str">
            <v>DBZ</v>
          </cell>
          <cell r="D34">
            <v>21</v>
          </cell>
          <cell r="E34">
            <v>2.173449915807359</v>
          </cell>
        </row>
        <row r="35">
          <cell r="B35" t="str">
            <v>BRITISH JOURNAL OF MANAGEMENT</v>
          </cell>
          <cell r="C35" t="str">
            <v>DGV</v>
          </cell>
          <cell r="D35">
            <v>76</v>
          </cell>
          <cell r="E35">
            <v>1.994851215315069</v>
          </cell>
        </row>
        <row r="36">
          <cell r="B36" t="str">
            <v>FAMILY BUSINESS REVIEW</v>
          </cell>
          <cell r="C36" t="str">
            <v>DBV</v>
          </cell>
          <cell r="D36">
            <v>25</v>
          </cell>
          <cell r="E36">
            <v>1.971040173706506</v>
          </cell>
        </row>
        <row r="37">
          <cell r="B37" t="str">
            <v>STRATEGIC ORGANIZATION</v>
          </cell>
          <cell r="C37" t="str">
            <v>DHE</v>
          </cell>
          <cell r="D37">
            <v>53</v>
          </cell>
          <cell r="E37">
            <v>1.9654888646411031</v>
          </cell>
        </row>
        <row r="38">
          <cell r="B38" t="str">
            <v>MARKETING THEORY</v>
          </cell>
          <cell r="C38" t="str">
            <v>DBU</v>
          </cell>
          <cell r="D38">
            <v>26</v>
          </cell>
          <cell r="E38">
            <v>1.924255144890713</v>
          </cell>
        </row>
        <row r="39">
          <cell r="B39" t="str">
            <v>BUSINESS HORIZONS</v>
          </cell>
          <cell r="C39" t="str">
            <v>DDU</v>
          </cell>
          <cell r="D39">
            <v>67</v>
          </cell>
          <cell r="E39">
            <v>1.8521401826785211</v>
          </cell>
        </row>
        <row r="40">
          <cell r="B40" t="str">
            <v>JOURNAL OF RESEARCH IN INTERACTIVE MARKETING</v>
          </cell>
          <cell r="C40" t="str">
            <v>DBY</v>
          </cell>
          <cell r="D40">
            <v>22</v>
          </cell>
          <cell r="E40">
            <v>1.8077232641288079</v>
          </cell>
        </row>
        <row r="41">
          <cell r="B41" t="str">
            <v>MARKETING LETTERS</v>
          </cell>
          <cell r="C41" t="str">
            <v>DBM</v>
          </cell>
          <cell r="D41">
            <v>41</v>
          </cell>
          <cell r="E41">
            <v>1.7821680388936161</v>
          </cell>
        </row>
        <row r="42">
          <cell r="B42" t="str">
            <v>ENTREPRENEURSHIP AND REGIONAL DEVELOPMENT</v>
          </cell>
          <cell r="C42" t="str">
            <v>HBN</v>
          </cell>
          <cell r="D42">
            <v>29</v>
          </cell>
          <cell r="E42">
            <v>1.7262842039487329</v>
          </cell>
        </row>
        <row r="43">
          <cell r="B43" t="str">
            <v>INDUSTRIAL MARKETING MANAGEMENT</v>
          </cell>
          <cell r="C43" t="str">
            <v>DGD</v>
          </cell>
          <cell r="D43">
            <v>284</v>
          </cell>
          <cell r="E43">
            <v>1.592218653886508</v>
          </cell>
        </row>
        <row r="44">
          <cell r="B44" t="str">
            <v>INTERNATIONAL SMALL BUSINESS JOURNAL-RESEARCHING ENTREPRENEURSHIP</v>
          </cell>
          <cell r="C44" t="str">
            <v>DHF</v>
          </cell>
          <cell r="D44">
            <v>52</v>
          </cell>
          <cell r="E44">
            <v>1.564815793893499</v>
          </cell>
        </row>
        <row r="45">
          <cell r="B45" t="str">
            <v>JOURNAL OF FAMILY BUSINESS STRATEGY</v>
          </cell>
          <cell r="C45" t="str">
            <v>HAV</v>
          </cell>
          <cell r="D45">
            <v>20</v>
          </cell>
          <cell r="E45">
            <v>1.5106233967194691</v>
          </cell>
        </row>
        <row r="46">
          <cell r="B46" t="str">
            <v>EUROPEAN JOURNAL OF MARKETING</v>
          </cell>
          <cell r="C46" t="str">
            <v>DAD</v>
          </cell>
          <cell r="D46">
            <v>157</v>
          </cell>
          <cell r="E46">
            <v>1.4097983099462721</v>
          </cell>
        </row>
        <row r="47">
          <cell r="B47" t="str">
            <v>INTERNATIONAL JOURNAL OF ADVERTISING</v>
          </cell>
          <cell r="C47" t="str">
            <v>HBG</v>
          </cell>
          <cell r="D47">
            <v>79</v>
          </cell>
          <cell r="E47">
            <v>1.404391761103573</v>
          </cell>
        </row>
        <row r="48">
          <cell r="B48" t="str">
            <v>JOURNAL OF RETAILING AND CONSUMER SERVICES</v>
          </cell>
          <cell r="C48" t="str">
            <v>DDA</v>
          </cell>
          <cell r="D48">
            <v>331</v>
          </cell>
          <cell r="E48">
            <v>1.397849866280563</v>
          </cell>
        </row>
        <row r="49">
          <cell r="B49" t="str">
            <v>JOURNAL OF BUSINESS ETHICS</v>
          </cell>
          <cell r="C49" t="str">
            <v>HBU</v>
          </cell>
          <cell r="D49">
            <v>503</v>
          </cell>
          <cell r="E49">
            <v>1.397715481739509</v>
          </cell>
        </row>
        <row r="50">
          <cell r="B50" t="str">
            <v>JOURNAL OF SERVICES MARKETING</v>
          </cell>
          <cell r="C50" t="str">
            <v>DAH</v>
          </cell>
          <cell r="D50">
            <v>100</v>
          </cell>
          <cell r="E50">
            <v>1.346697082615498</v>
          </cell>
        </row>
        <row r="51">
          <cell r="B51" t="str">
            <v>JOURNAL OF MARKETING MANAGEMENT</v>
          </cell>
          <cell r="C51" t="str">
            <v>DGQ</v>
          </cell>
          <cell r="D51">
            <v>81</v>
          </cell>
          <cell r="E51">
            <v>1.323952000367937</v>
          </cell>
        </row>
        <row r="52">
          <cell r="B52" t="str">
            <v>JOURNAL OF ADVERTISING RESEARCH</v>
          </cell>
          <cell r="C52" t="str">
            <v>HBJ</v>
          </cell>
          <cell r="D52">
            <v>33</v>
          </cell>
          <cell r="E52">
            <v>1.3075922486286009</v>
          </cell>
        </row>
        <row r="53">
          <cell r="B53" t="str">
            <v>BUSINESS STRATEGY AND THE ENVIRONMENT</v>
          </cell>
          <cell r="C53" t="str">
            <v>DFW</v>
          </cell>
          <cell r="D53">
            <v>278</v>
          </cell>
          <cell r="E53">
            <v>1.255035799228605</v>
          </cell>
        </row>
        <row r="54">
          <cell r="B54" t="str">
            <v>JOURNAL OF SERVICE THEORY AND PRACTICE</v>
          </cell>
          <cell r="C54" t="str">
            <v>HAC</v>
          </cell>
          <cell r="D54">
            <v>32</v>
          </cell>
          <cell r="E54">
            <v>1.248051868215927</v>
          </cell>
        </row>
        <row r="55">
          <cell r="B55" t="str">
            <v>CORPORATE GOVERNANCE-AN INTERNATIONAL REVIEW</v>
          </cell>
          <cell r="C55" t="str">
            <v>DFM</v>
          </cell>
          <cell r="D55">
            <v>26</v>
          </cell>
          <cell r="E55">
            <v>1.2265532944132549</v>
          </cell>
        </row>
        <row r="56">
          <cell r="B56" t="str">
            <v>SMALL BUSINESS ECONOMICS</v>
          </cell>
          <cell r="C56" t="str">
            <v>AAP</v>
          </cell>
          <cell r="D56">
            <v>231</v>
          </cell>
          <cell r="E56">
            <v>1.221542210908352</v>
          </cell>
        </row>
        <row r="57">
          <cell r="B57" t="str">
            <v>INTERNATIONAL JOURNAL OF ELECTRONIC COMMERCE</v>
          </cell>
          <cell r="C57" t="str">
            <v>HBL</v>
          </cell>
          <cell r="D57">
            <v>20</v>
          </cell>
          <cell r="E57">
            <v>1.198041997210805</v>
          </cell>
        </row>
        <row r="58">
          <cell r="B58" t="str">
            <v>QME-QUANTITATIVE MARKETING AND ECONOMICS</v>
          </cell>
          <cell r="C58" t="str">
            <v>CER</v>
          </cell>
          <cell r="D58">
            <v>14</v>
          </cell>
          <cell r="E58">
            <v>1.17674370973474</v>
          </cell>
        </row>
        <row r="59">
          <cell r="B59" t="str">
            <v>INTERNATIONAL MARKETING REVIEW</v>
          </cell>
          <cell r="C59" t="str">
            <v>DBD</v>
          </cell>
          <cell r="D59">
            <v>59</v>
          </cell>
          <cell r="E59">
            <v>1.157221969161101</v>
          </cell>
        </row>
        <row r="60">
          <cell r="B60" t="str">
            <v>R &amp; D MANAGEMENT</v>
          </cell>
          <cell r="C60" t="str">
            <v>DHH</v>
          </cell>
          <cell r="D60">
            <v>50</v>
          </cell>
          <cell r="E60">
            <v>1.132515203803008</v>
          </cell>
        </row>
        <row r="61">
          <cell r="B61" t="str">
            <v>INTERNATIONAL JOURNAL OF CONSUMER STUDIES</v>
          </cell>
          <cell r="C61" t="str">
            <v>DDN</v>
          </cell>
          <cell r="D61">
            <v>81</v>
          </cell>
          <cell r="E61">
            <v>1.104033626654104</v>
          </cell>
        </row>
        <row r="62">
          <cell r="B62" t="str">
            <v>INTERNATIONAL JOURNAL OF ENTREPRENEURIAL BEHAVIOR &amp; RESEARCH</v>
          </cell>
          <cell r="C62" t="str">
            <v>DGO</v>
          </cell>
          <cell r="D62">
            <v>91</v>
          </cell>
          <cell r="E62">
            <v>1.074742792705335</v>
          </cell>
        </row>
        <row r="63">
          <cell r="B63" t="str">
            <v>JOURNAL OF PRODUCT AND BRAND MANAGEMENT</v>
          </cell>
          <cell r="C63" t="str">
            <v>DGK</v>
          </cell>
          <cell r="D63">
            <v>99</v>
          </cell>
          <cell r="E63">
            <v>1.062956706701137</v>
          </cell>
        </row>
        <row r="64">
          <cell r="B64" t="str">
            <v>JOURNAL OF INNOVATION &amp; KNOWLEDGE</v>
          </cell>
          <cell r="C64" t="str">
            <v>HAJ</v>
          </cell>
          <cell r="D64">
            <v>30</v>
          </cell>
          <cell r="E64">
            <v>1.0497533717376539</v>
          </cell>
        </row>
        <row r="65">
          <cell r="B65" t="str">
            <v>SUPPLY CHAIN MANAGEMENT-AN INTERNATIONAL JOURNAL</v>
          </cell>
          <cell r="C65" t="str">
            <v>DGY</v>
          </cell>
          <cell r="D65">
            <v>70</v>
          </cell>
          <cell r="E65">
            <v>1.0358067827524291</v>
          </cell>
        </row>
        <row r="66">
          <cell r="B66" t="str">
            <v>JOURNAL OF ELECTRONIC COMMERCE RESEARCH</v>
          </cell>
          <cell r="C66" t="str">
            <v>DCB</v>
          </cell>
          <cell r="D66">
            <v>16</v>
          </cell>
          <cell r="E66">
            <v>1.0199157450286671</v>
          </cell>
        </row>
        <row r="67">
          <cell r="B67" t="str">
            <v>EUROPEAN MANAGEMENT JOURNAL</v>
          </cell>
          <cell r="C67" t="str">
            <v>DGT</v>
          </cell>
          <cell r="D67">
            <v>78</v>
          </cell>
          <cell r="E67">
            <v>1.0009075450017759</v>
          </cell>
        </row>
        <row r="68">
          <cell r="B68" t="str">
            <v>ELECTRONIC MARKETS</v>
          </cell>
          <cell r="C68" t="str">
            <v>DGZ</v>
          </cell>
          <cell r="D68">
            <v>66</v>
          </cell>
          <cell r="E68">
            <v>0.98185959437747783</v>
          </cell>
        </row>
        <row r="69">
          <cell r="B69" t="str">
            <v>JOURNAL OF MACROMARKETING</v>
          </cell>
          <cell r="C69" t="str">
            <v>DDV</v>
          </cell>
          <cell r="D69">
            <v>66</v>
          </cell>
          <cell r="E69">
            <v>0.95804978371327709</v>
          </cell>
        </row>
        <row r="70">
          <cell r="B70" t="str">
            <v>JOURNAL OF BRAND MANAGEMENT</v>
          </cell>
          <cell r="C70" t="str">
            <v>DHO</v>
          </cell>
          <cell r="D70">
            <v>46</v>
          </cell>
          <cell r="E70">
            <v>0.91682320292536501</v>
          </cell>
        </row>
        <row r="71">
          <cell r="B71" t="str">
            <v>HARVARD BUSINESS REVIEW</v>
          </cell>
          <cell r="C71" t="str">
            <v>DHD</v>
          </cell>
          <cell r="D71">
            <v>61</v>
          </cell>
          <cell r="E71">
            <v>0.90385833955671879</v>
          </cell>
        </row>
        <row r="72">
          <cell r="B72" t="str">
            <v>MULTINATIONAL BUSINESS REVIEW</v>
          </cell>
          <cell r="C72" t="str">
            <v>DBP</v>
          </cell>
          <cell r="D72">
            <v>32</v>
          </cell>
          <cell r="E72">
            <v>0.87465685926887871</v>
          </cell>
        </row>
        <row r="73">
          <cell r="B73" t="str">
            <v>SERVICE BUSINESS</v>
          </cell>
          <cell r="C73" t="str">
            <v>HAP</v>
          </cell>
          <cell r="D73">
            <v>22</v>
          </cell>
          <cell r="E73">
            <v>0.838707679472673</v>
          </cell>
        </row>
        <row r="74">
          <cell r="B74" t="str">
            <v>INTERNATIONAL ENTREPRENEURSHIP AND MANAGEMENT JOURNAL</v>
          </cell>
          <cell r="C74" t="str">
            <v>DGH</v>
          </cell>
          <cell r="D74">
            <v>110</v>
          </cell>
          <cell r="E74">
            <v>0.819256348735386</v>
          </cell>
        </row>
        <row r="75">
          <cell r="B75" t="str">
            <v>INTERNATIONAL JOURNAL OF RETAIL &amp; DISTRIBUTION MANAGEMENT</v>
          </cell>
          <cell r="C75" t="str">
            <v>DGP</v>
          </cell>
          <cell r="D75">
            <v>89</v>
          </cell>
          <cell r="E75">
            <v>0.79002623094363689</v>
          </cell>
        </row>
        <row r="76">
          <cell r="B76" t="str">
            <v>JOURNAL OF HOSPITALITY MARKETING &amp; MANAGEMENT</v>
          </cell>
          <cell r="C76" t="str">
            <v>DFY</v>
          </cell>
          <cell r="D76">
            <v>38</v>
          </cell>
          <cell r="E76">
            <v>0.78520273554417219</v>
          </cell>
        </row>
        <row r="77">
          <cell r="B77" t="str">
            <v>IEEE TRANSACTIONS ON ENGINEERING MANAGEMENT</v>
          </cell>
          <cell r="C77" t="str">
            <v>DFR</v>
          </cell>
          <cell r="D77">
            <v>107</v>
          </cell>
          <cell r="E77">
            <v>0.78434449362333725</v>
          </cell>
        </row>
        <row r="78">
          <cell r="B78" t="str">
            <v>JOURNAL OF CONSUMER BEHAVIOUR</v>
          </cell>
          <cell r="C78" t="str">
            <v>DDF</v>
          </cell>
          <cell r="D78">
            <v>109</v>
          </cell>
          <cell r="E78">
            <v>0.76700140631958913</v>
          </cell>
        </row>
        <row r="79">
          <cell r="B79" t="str">
            <v>CORPORATE SOCIAL RESPONSIBILITY AND ENVIRONMENTAL MANAGEMENT</v>
          </cell>
          <cell r="C79" t="str">
            <v>DFX</v>
          </cell>
          <cell r="D79">
            <v>239</v>
          </cell>
          <cell r="E79">
            <v>0.76278649132417886</v>
          </cell>
        </row>
        <row r="80">
          <cell r="B80" t="str">
            <v>JOURNAL OF BUSINESS RESEARCH</v>
          </cell>
          <cell r="C80" t="str">
            <v>DAA</v>
          </cell>
          <cell r="D80">
            <v>772</v>
          </cell>
          <cell r="E80">
            <v>0.72164009260379891</v>
          </cell>
        </row>
        <row r="81">
          <cell r="B81" t="str">
            <v>CONSUMPTION MARKETS &amp; CULTURE</v>
          </cell>
          <cell r="C81" t="str">
            <v>DBK</v>
          </cell>
          <cell r="D81">
            <v>42</v>
          </cell>
          <cell r="E81">
            <v>0.71656188412884014</v>
          </cell>
        </row>
        <row r="82">
          <cell r="B82" t="str">
            <v>BUSINESS ETHICS-A EUROPEAN REVIEW</v>
          </cell>
          <cell r="C82" t="str">
            <v>HBP</v>
          </cell>
          <cell r="D82">
            <v>39</v>
          </cell>
          <cell r="E82">
            <v>0.70247147406093458</v>
          </cell>
        </row>
        <row r="83">
          <cell r="B83" t="str">
            <v>RESEARCH-TECHNOLOGY MANAGEMENT</v>
          </cell>
          <cell r="C83" t="str">
            <v>DFT</v>
          </cell>
          <cell r="D83">
            <v>32</v>
          </cell>
          <cell r="E83">
            <v>0.63579318471314372</v>
          </cell>
        </row>
        <row r="84">
          <cell r="B84" t="str">
            <v>INTERNATIONAL JOURNAL OF BANK MARKETING</v>
          </cell>
          <cell r="C84" t="str">
            <v>DDK</v>
          </cell>
          <cell r="D84">
            <v>90</v>
          </cell>
          <cell r="E84">
            <v>0.6280735875518767</v>
          </cell>
        </row>
        <row r="85">
          <cell r="B85" t="str">
            <v>JOURNAL OF BUSINESS &amp; INDUSTRIAL MARKETING</v>
          </cell>
          <cell r="C85" t="str">
            <v>DAC</v>
          </cell>
          <cell r="D85">
            <v>232</v>
          </cell>
          <cell r="E85">
            <v>0.61912658890475825</v>
          </cell>
        </row>
        <row r="86">
          <cell r="B86" t="str">
            <v>JOURNAL OF FASHION MARKETING AND MANAGEMENT</v>
          </cell>
          <cell r="C86" t="str">
            <v>DHC</v>
          </cell>
          <cell r="D86">
            <v>65</v>
          </cell>
          <cell r="E86">
            <v>0.58857938170103363</v>
          </cell>
        </row>
        <row r="87">
          <cell r="B87" t="str">
            <v>MARKETING INTELLIGENCE &amp; PLANNING</v>
          </cell>
          <cell r="C87" t="str">
            <v>DAJ</v>
          </cell>
          <cell r="D87">
            <v>100</v>
          </cell>
          <cell r="E87">
            <v>0.58148040565451065</v>
          </cell>
        </row>
        <row r="88">
          <cell r="B88" t="str">
            <v>JOURNAL OF ENVIRONMENTAL ECONOMICS AND MANAGEMENT</v>
          </cell>
          <cell r="C88" t="str">
            <v>AFQ</v>
          </cell>
          <cell r="D88">
            <v>68</v>
          </cell>
          <cell r="E88">
            <v>0.57716279940502824</v>
          </cell>
        </row>
        <row r="89">
          <cell r="B89" t="str">
            <v>INDUSTRIAL AND CORPORATE CHANGE</v>
          </cell>
          <cell r="C89" t="str">
            <v>AFG</v>
          </cell>
          <cell r="D89">
            <v>70</v>
          </cell>
          <cell r="E89">
            <v>0.56765342224636173</v>
          </cell>
        </row>
        <row r="90">
          <cell r="B90" t="str">
            <v>MIT SLOAN MANAGEMENT REVIEW</v>
          </cell>
          <cell r="C90" t="str">
            <v>DHQ</v>
          </cell>
          <cell r="D90">
            <v>44</v>
          </cell>
          <cell r="E90">
            <v>0.56120731668136148</v>
          </cell>
        </row>
        <row r="91">
          <cell r="B91" t="str">
            <v>INTERNATIONAL JOURNAL OF MARKET RESEARCH</v>
          </cell>
          <cell r="C91" t="str">
            <v>DBG</v>
          </cell>
          <cell r="D91">
            <v>52</v>
          </cell>
          <cell r="E91">
            <v>0.55231807016766754</v>
          </cell>
        </row>
        <row r="92">
          <cell r="B92" t="str">
            <v>INTERNATIONAL JOURNAL OF ACCOUNTING INFORMATION SYSTEMS</v>
          </cell>
          <cell r="C92" t="str">
            <v>DFP</v>
          </cell>
          <cell r="D92">
            <v>20</v>
          </cell>
          <cell r="E92">
            <v>0.54797719563723601</v>
          </cell>
        </row>
        <row r="93">
          <cell r="B93" t="str">
            <v>MANAGEMENT DECISION</v>
          </cell>
          <cell r="C93" t="str">
            <v>DGB</v>
          </cell>
          <cell r="D93">
            <v>210</v>
          </cell>
          <cell r="E93">
            <v>0.54198729388937872</v>
          </cell>
        </row>
        <row r="94">
          <cell r="B94" t="str">
            <v>JOURNAL OF CONSUMER AFFAIRS</v>
          </cell>
          <cell r="C94" t="str">
            <v>AFW</v>
          </cell>
          <cell r="D94">
            <v>49</v>
          </cell>
          <cell r="E94">
            <v>0.53414612725602839</v>
          </cell>
        </row>
        <row r="95">
          <cell r="B95" t="str">
            <v>COMPETITION &amp; CHANGE</v>
          </cell>
          <cell r="C95" t="str">
            <v>BBF</v>
          </cell>
          <cell r="D95">
            <v>36</v>
          </cell>
          <cell r="E95">
            <v>0.52671576365176398</v>
          </cell>
        </row>
        <row r="96">
          <cell r="B96" t="str">
            <v>ELECTRONIC COMMERCE RESEARCH AND APPLICATIONS</v>
          </cell>
          <cell r="C96" t="str">
            <v>HBK</v>
          </cell>
          <cell r="D96">
            <v>103</v>
          </cell>
          <cell r="E96">
            <v>0.50787255640830953</v>
          </cell>
        </row>
        <row r="97">
          <cell r="B97" t="str">
            <v>ASIA PACIFIC JOURNAL OF MARKETING AND LOGISTICS</v>
          </cell>
          <cell r="C97" t="str">
            <v>DDE</v>
          </cell>
          <cell r="D97">
            <v>144</v>
          </cell>
          <cell r="E97">
            <v>0.49823272915622252</v>
          </cell>
        </row>
        <row r="98">
          <cell r="B98" t="str">
            <v>ENTERPRISE &amp; SOCIETY</v>
          </cell>
          <cell r="C98" t="str">
            <v>HBW</v>
          </cell>
          <cell r="D98">
            <v>29</v>
          </cell>
          <cell r="E98">
            <v>0.47221411048215928</v>
          </cell>
        </row>
        <row r="99">
          <cell r="B99" t="str">
            <v>EUROPEAN JOURNAL OF INNOVATION MANAGEMENT</v>
          </cell>
          <cell r="C99" t="str">
            <v>DGC</v>
          </cell>
          <cell r="D99">
            <v>127</v>
          </cell>
          <cell r="E99">
            <v>0.43630464324634538</v>
          </cell>
        </row>
        <row r="100">
          <cell r="B100" t="str">
            <v>JOURNAL OF SOCIAL MARKETING</v>
          </cell>
          <cell r="C100" t="str">
            <v>DBT</v>
          </cell>
          <cell r="D100">
            <v>28</v>
          </cell>
          <cell r="E100">
            <v>0.41875040333853097</v>
          </cell>
        </row>
        <row r="101">
          <cell r="B101" t="str">
            <v>ASIAN BUSINESS &amp; MANAGEMENT</v>
          </cell>
          <cell r="C101" t="str">
            <v>DHG</v>
          </cell>
          <cell r="D101">
            <v>52</v>
          </cell>
          <cell r="E101">
            <v>0.39967503652821479</v>
          </cell>
        </row>
        <row r="102">
          <cell r="B102" t="str">
            <v>JOURNAL OF INTELLECTUAL CAPITAL</v>
          </cell>
          <cell r="C102" t="str">
            <v>DGL</v>
          </cell>
          <cell r="D102">
            <v>97</v>
          </cell>
          <cell r="E102">
            <v>0.3971094731784604</v>
          </cell>
        </row>
        <row r="103">
          <cell r="B103" t="str">
            <v>SPORT MARKETING QUARTERLY</v>
          </cell>
          <cell r="C103" t="str">
            <v>HBZ</v>
          </cell>
          <cell r="D103">
            <v>22</v>
          </cell>
          <cell r="E103">
            <v>0.38717503413864701</v>
          </cell>
        </row>
        <row r="104">
          <cell r="B104" t="str">
            <v>ASIA PACIFIC BUSINESS REVIEW</v>
          </cell>
          <cell r="C104" t="str">
            <v>DHS</v>
          </cell>
          <cell r="D104">
            <v>43</v>
          </cell>
          <cell r="E104">
            <v>0.38619212612560389</v>
          </cell>
        </row>
        <row r="105">
          <cell r="B105" t="str">
            <v>BUSINESS ETHICS THE ENVIRONMENT &amp; RESPONSIBILITY</v>
          </cell>
          <cell r="C105" t="str">
            <v>HBS</v>
          </cell>
          <cell r="D105">
            <v>18</v>
          </cell>
          <cell r="E105">
            <v>0.37388533416336101</v>
          </cell>
        </row>
        <row r="106">
          <cell r="B106" t="str">
            <v>BUSINESS PROCESS MANAGEMENT JOURNAL</v>
          </cell>
          <cell r="C106" t="str">
            <v>DGJ</v>
          </cell>
          <cell r="D106">
            <v>102</v>
          </cell>
          <cell r="E106">
            <v>0.36431190827906862</v>
          </cell>
        </row>
        <row r="107">
          <cell r="B107" t="str">
            <v>BRQ-BUSINESS RESEARCH QUARTERLY</v>
          </cell>
          <cell r="C107" t="str">
            <v>DHZ</v>
          </cell>
          <cell r="D107">
            <v>34</v>
          </cell>
          <cell r="E107">
            <v>0.36424164682988402</v>
          </cell>
        </row>
        <row r="108">
          <cell r="B108" t="str">
            <v>AUSTRALIAN JOURNAL OF MANAGEMENT</v>
          </cell>
          <cell r="C108" t="str">
            <v>DHK</v>
          </cell>
          <cell r="D108">
            <v>47</v>
          </cell>
          <cell r="E108">
            <v>0.36095394383307949</v>
          </cell>
        </row>
        <row r="109">
          <cell r="B109" t="str">
            <v>JOURNAL OF MARKETING FOR HIGHER EDUCATION</v>
          </cell>
          <cell r="C109" t="str">
            <v>HBO</v>
          </cell>
          <cell r="D109">
            <v>33</v>
          </cell>
          <cell r="E109">
            <v>0.33991286282837802</v>
          </cell>
        </row>
        <row r="110">
          <cell r="B110" t="str">
            <v>GENDER IN MANAGEMENT</v>
          </cell>
          <cell r="C110" t="str">
            <v>HBH</v>
          </cell>
          <cell r="D110">
            <v>58</v>
          </cell>
          <cell r="E110">
            <v>0.33881847581190372</v>
          </cell>
        </row>
        <row r="111">
          <cell r="B111" t="str">
            <v>BUSINESS HISTORY REVIEW</v>
          </cell>
          <cell r="C111" t="str">
            <v>HBX</v>
          </cell>
          <cell r="D111">
            <v>17</v>
          </cell>
          <cell r="E111">
            <v>0.3345936045096804</v>
          </cell>
        </row>
        <row r="112">
          <cell r="B112" t="str">
            <v>JOURNAL OF BUSINESS-TO-BUSINESS MARKETING</v>
          </cell>
          <cell r="C112" t="str">
            <v>DBW</v>
          </cell>
          <cell r="D112">
            <v>24</v>
          </cell>
          <cell r="E112">
            <v>0.31419707229990451</v>
          </cell>
        </row>
        <row r="113">
          <cell r="B113" t="str">
            <v>EURASIAN BUSINESS REVIEW</v>
          </cell>
          <cell r="C113" t="str">
            <v>BBN</v>
          </cell>
          <cell r="D113">
            <v>36</v>
          </cell>
          <cell r="E113">
            <v>0.29870136244986928</v>
          </cell>
        </row>
        <row r="114">
          <cell r="B114" t="str">
            <v>ENTREPRENEURSHIP RESEARCH JOURNAL</v>
          </cell>
          <cell r="C114" t="str">
            <v>DBX</v>
          </cell>
          <cell r="D114">
            <v>22</v>
          </cell>
          <cell r="E114">
            <v>0.29125656058895261</v>
          </cell>
        </row>
        <row r="115">
          <cell r="B115" t="str">
            <v>JOURNAL OF VACATION MARKETING</v>
          </cell>
          <cell r="C115" t="str">
            <v>HBY</v>
          </cell>
          <cell r="D115">
            <v>28</v>
          </cell>
          <cell r="E115">
            <v>0.29044566833066832</v>
          </cell>
        </row>
        <row r="116">
          <cell r="B116" t="str">
            <v>JOURNAL OF MANAGEMENT ANALYTICS</v>
          </cell>
          <cell r="C116" t="str">
            <v>HBB</v>
          </cell>
          <cell r="D116">
            <v>34</v>
          </cell>
          <cell r="E116">
            <v>0.27108156469125849</v>
          </cell>
        </row>
        <row r="117">
          <cell r="B117" t="str">
            <v>JOURNAL OF THEORETICAL AND APPLIED ELECTRONIC COMMERCE RESEARCH</v>
          </cell>
          <cell r="C117" t="str">
            <v>DCA</v>
          </cell>
          <cell r="D117">
            <v>20</v>
          </cell>
          <cell r="E117">
            <v>0.2680925800131797</v>
          </cell>
        </row>
        <row r="118">
          <cell r="B118" t="str">
            <v>INTERNATIONAL JOURNAL OF EMERGING MARKETS</v>
          </cell>
          <cell r="C118" t="str">
            <v>ABH</v>
          </cell>
          <cell r="D118">
            <v>149</v>
          </cell>
          <cell r="E118">
            <v>0.26462913696378748</v>
          </cell>
        </row>
        <row r="119">
          <cell r="B119" t="str">
            <v>SERVICE SCIENCE</v>
          </cell>
          <cell r="C119" t="str">
            <v>HAW</v>
          </cell>
          <cell r="D119">
            <v>10</v>
          </cell>
          <cell r="E119">
            <v>0.26303536258046217</v>
          </cell>
        </row>
        <row r="120">
          <cell r="B120" t="str">
            <v>BUSINESS HISTORY</v>
          </cell>
          <cell r="C120" t="str">
            <v>HBV</v>
          </cell>
          <cell r="D120">
            <v>148</v>
          </cell>
          <cell r="E120">
            <v>0.25403798957225349</v>
          </cell>
        </row>
        <row r="121">
          <cell r="B121" t="str">
            <v>ELECTRONIC COMMERCE RESEARCH</v>
          </cell>
          <cell r="C121" t="str">
            <v>DGU</v>
          </cell>
          <cell r="D121">
            <v>78</v>
          </cell>
          <cell r="E121">
            <v>0.25208012868584528</v>
          </cell>
        </row>
        <row r="122">
          <cell r="B122" t="str">
            <v>INFORMATION SYSTEMS AND E-BUSINESS MANAGEMENT</v>
          </cell>
          <cell r="C122" t="str">
            <v>DHY</v>
          </cell>
          <cell r="D122">
            <v>34</v>
          </cell>
          <cell r="E122">
            <v>0.23720533923701809</v>
          </cell>
        </row>
        <row r="123">
          <cell r="B123" t="str">
            <v>EUROPEAN RESEARCH ON MANAGEMENT AND BUSINESS ECONOMICS</v>
          </cell>
          <cell r="C123" t="str">
            <v>CAS</v>
          </cell>
          <cell r="D123">
            <v>22</v>
          </cell>
          <cell r="E123">
            <v>0.23324609181872211</v>
          </cell>
        </row>
        <row r="124">
          <cell r="B124" t="str">
            <v>CANADIAN JOURNAL OF ADMINISTRATIVE SCIENCES-REVUE CANADIENNE DES SCIENCES DE L ADMINISTRATION</v>
          </cell>
          <cell r="C124" t="str">
            <v>DHT</v>
          </cell>
          <cell r="D124">
            <v>41</v>
          </cell>
          <cell r="E124">
            <v>0.20603104307138351</v>
          </cell>
        </row>
        <row r="125">
          <cell r="B125" t="str">
            <v>EMERGING MARKETS FINANCE AND TRADE</v>
          </cell>
          <cell r="C125" t="str">
            <v>AAK</v>
          </cell>
          <cell r="D125">
            <v>202</v>
          </cell>
          <cell r="E125">
            <v>0.1995715627057188</v>
          </cell>
        </row>
        <row r="126">
          <cell r="B126" t="str">
            <v>ORGANIZATIONAL DYNAMICS</v>
          </cell>
          <cell r="C126" t="str">
            <v>HAZ</v>
          </cell>
          <cell r="D126">
            <v>49</v>
          </cell>
          <cell r="E126">
            <v>0.19221956865753029</v>
          </cell>
        </row>
        <row r="127">
          <cell r="B127" t="str">
            <v>JOURNAL OF PRODUCTIVITY ANALYSIS</v>
          </cell>
          <cell r="C127" t="str">
            <v>BFL</v>
          </cell>
          <cell r="D127">
            <v>23</v>
          </cell>
          <cell r="E127">
            <v>0.1736430969630694</v>
          </cell>
        </row>
        <row r="128">
          <cell r="B128" t="str">
            <v>ASIAN JOURNAL OF TECHNOLOGY INNOVATION</v>
          </cell>
          <cell r="C128" t="str">
            <v>AGR</v>
          </cell>
          <cell r="D128">
            <v>57</v>
          </cell>
          <cell r="E128">
            <v>0.16843900701929651</v>
          </cell>
        </row>
        <row r="129">
          <cell r="B129" t="str">
            <v>INTERNATIONAL JOURNAL OF MANAGING PROJECTS IN BUSINESS</v>
          </cell>
          <cell r="C129" t="str">
            <v>DGR</v>
          </cell>
          <cell r="D129">
            <v>78</v>
          </cell>
          <cell r="E129">
            <v>0.15935336477695461</v>
          </cell>
        </row>
        <row r="130">
          <cell r="B130" t="str">
            <v>JOURNAL OF COMPETITIVENESS</v>
          </cell>
          <cell r="C130" t="str">
            <v>BCN</v>
          </cell>
          <cell r="D130">
            <v>40</v>
          </cell>
          <cell r="E130">
            <v>0.14170339611613469</v>
          </cell>
        </row>
        <row r="131">
          <cell r="B131" t="str">
            <v>JOURNAL OF BUSINESS ECONOMICS AND MANAGEMENT</v>
          </cell>
          <cell r="C131" t="str">
            <v>AED</v>
          </cell>
          <cell r="D131">
            <v>83</v>
          </cell>
          <cell r="E131">
            <v>0.1044840512899039</v>
          </cell>
        </row>
        <row r="132">
          <cell r="B132" t="str">
            <v>SOUTH AFRICAN JOURNAL OF BUSINESS MANAGEMENT</v>
          </cell>
          <cell r="C132" t="str">
            <v>HAN</v>
          </cell>
          <cell r="D132">
            <v>29</v>
          </cell>
          <cell r="E132">
            <v>7.1769746442002985E-2</v>
          </cell>
        </row>
        <row r="133">
          <cell r="B133" t="str">
            <v>RBGN-REVISTA BRASILEIRA DE GESTAO DE NEGOCIOS</v>
          </cell>
          <cell r="C133" t="str">
            <v>DHJ</v>
          </cell>
          <cell r="D133">
            <v>48</v>
          </cell>
          <cell r="E133">
            <v>6.7284631839471809E-2</v>
          </cell>
        </row>
        <row r="134">
          <cell r="B134" t="str">
            <v>ACADEMIA-REVISTA LATINOAMERICANA DE ADMINISTRACION</v>
          </cell>
          <cell r="C134" t="str">
            <v>DHX</v>
          </cell>
          <cell r="D134">
            <v>35</v>
          </cell>
          <cell r="E134">
            <v>5.9342693244041143E-2</v>
          </cell>
        </row>
        <row r="135">
          <cell r="B135" t="str">
            <v>JOURNAL OF WORLD ENERGY LAW &amp; BUSINESS</v>
          </cell>
          <cell r="C135" t="str">
            <v>HCA</v>
          </cell>
          <cell r="D135">
            <v>32</v>
          </cell>
          <cell r="E135">
            <v>5.5582075552672638E-2</v>
          </cell>
        </row>
        <row r="136">
          <cell r="B136" t="str">
            <v>ENGINEERING ECONOMIST</v>
          </cell>
          <cell r="C136" t="str">
            <v>DFV</v>
          </cell>
          <cell r="D136">
            <v>18</v>
          </cell>
          <cell r="E136">
            <v>5.383225869715709E-2</v>
          </cell>
        </row>
        <row r="137">
          <cell r="B137" t="str">
            <v>RAE-REVISTA DE ADMINISTRACAO DE EMPRESAS</v>
          </cell>
          <cell r="C137" t="str">
            <v>HAH</v>
          </cell>
          <cell r="D137">
            <v>32</v>
          </cell>
          <cell r="E137">
            <v>3.6486471848495752E-2</v>
          </cell>
        </row>
        <row r="138">
          <cell r="B138" t="str">
            <v>AMFITEATRU ECONOMIC</v>
          </cell>
          <cell r="C138" t="str">
            <v>AFJ</v>
          </cell>
          <cell r="D138">
            <v>72</v>
          </cell>
          <cell r="E138">
            <v>2.9863014543685049E-2</v>
          </cell>
        </row>
        <row r="139">
          <cell r="B139" t="str">
            <v>CUSTOS E AGRONEGOCIO ON LINE</v>
          </cell>
          <cell r="C139" t="str">
            <v>ACV</v>
          </cell>
          <cell r="D139">
            <v>104</v>
          </cell>
          <cell r="E139">
            <v>2.1633961303454002E-2</v>
          </cell>
        </row>
        <row r="140">
          <cell r="B140" t="str">
            <v>TRANSFORMATIONS IN BUSINESS &amp; ECONOMICS</v>
          </cell>
          <cell r="C140" t="str">
            <v>ADF</v>
          </cell>
          <cell r="D140">
            <v>97</v>
          </cell>
          <cell r="E140">
            <v>1.5828394940231031E-2</v>
          </cell>
        </row>
        <row r="141">
          <cell r="B141" t="str">
            <v>BETRIEBSWIRTSCHAFTLICHE FORSCHUNG UND PRAXIS</v>
          </cell>
          <cell r="C141" t="str">
            <v>DFQ</v>
          </cell>
          <cell r="D141">
            <v>26</v>
          </cell>
          <cell r="E141">
            <v>0.01</v>
          </cell>
        </row>
      </sheetData>
      <sheetData sheetId="5">
        <row r="1">
          <cell r="B1" t="str">
            <v>institution</v>
          </cell>
          <cell r="C1" t="str">
            <v>pub</v>
          </cell>
          <cell r="D1" t="str">
            <v>acr</v>
          </cell>
          <cell r="E1" t="str">
            <v>iscore</v>
          </cell>
        </row>
        <row r="2">
          <cell r="B2" t="str">
            <v>Emory University</v>
          </cell>
          <cell r="C2">
            <v>15</v>
          </cell>
          <cell r="D2" t="str">
            <v>AEN</v>
          </cell>
          <cell r="E2">
            <v>8</v>
          </cell>
        </row>
        <row r="3">
          <cell r="B3" t="str">
            <v>Boston University</v>
          </cell>
          <cell r="C3">
            <v>21</v>
          </cell>
          <cell r="D3" t="str">
            <v>ABA</v>
          </cell>
          <cell r="E3">
            <v>6.8808288893050191</v>
          </cell>
        </row>
        <row r="4">
          <cell r="B4" t="str">
            <v>University of Maryland College Park</v>
          </cell>
          <cell r="C4">
            <v>36</v>
          </cell>
          <cell r="D4" t="str">
            <v>ABO</v>
          </cell>
          <cell r="E4">
            <v>6.1253740108844026</v>
          </cell>
        </row>
        <row r="5">
          <cell r="B5" t="str">
            <v>University of North Carolina Chapel Hill</v>
          </cell>
          <cell r="C5">
            <v>27</v>
          </cell>
          <cell r="D5" t="str">
            <v>ADJ</v>
          </cell>
          <cell r="E5">
            <v>5.6584593987043172</v>
          </cell>
        </row>
        <row r="6">
          <cell r="B6" t="str">
            <v>University of Virginia</v>
          </cell>
          <cell r="C6">
            <v>20</v>
          </cell>
          <cell r="D6" t="str">
            <v>AHJ</v>
          </cell>
          <cell r="E6">
            <v>5.6058852276234754</v>
          </cell>
        </row>
        <row r="7">
          <cell r="B7" t="str">
            <v>Claremont Colleges</v>
          </cell>
          <cell r="C7">
            <v>8</v>
          </cell>
          <cell r="D7" t="str">
            <v>DCH</v>
          </cell>
          <cell r="E7">
            <v>5.5945473475705461</v>
          </cell>
        </row>
        <row r="8">
          <cell r="B8" t="str">
            <v>University of California Irvine</v>
          </cell>
          <cell r="C8">
            <v>13</v>
          </cell>
          <cell r="D8" t="str">
            <v>AGC</v>
          </cell>
          <cell r="E8">
            <v>5.5328069975813712</v>
          </cell>
        </row>
        <row r="9">
          <cell r="B9" t="str">
            <v>INSEAD Business School</v>
          </cell>
          <cell r="C9">
            <v>45</v>
          </cell>
          <cell r="D9" t="str">
            <v>CAA</v>
          </cell>
          <cell r="E9">
            <v>5.4904979069074349</v>
          </cell>
        </row>
        <row r="10">
          <cell r="B10" t="str">
            <v>University of Pittsburgh</v>
          </cell>
          <cell r="C10">
            <v>20</v>
          </cell>
          <cell r="D10" t="str">
            <v>BGD</v>
          </cell>
          <cell r="E10">
            <v>5.3012816989237557</v>
          </cell>
        </row>
        <row r="11">
          <cell r="B11" t="str">
            <v>Yale University</v>
          </cell>
          <cell r="C11">
            <v>13</v>
          </cell>
          <cell r="D11" t="str">
            <v>AAY</v>
          </cell>
          <cell r="E11">
            <v>5.2209887143744549</v>
          </cell>
        </row>
        <row r="12">
          <cell r="B12" t="str">
            <v>London Business School</v>
          </cell>
          <cell r="C12">
            <v>23</v>
          </cell>
          <cell r="D12" t="str">
            <v>ABF</v>
          </cell>
          <cell r="E12">
            <v>5.1544791471468674</v>
          </cell>
        </row>
        <row r="13">
          <cell r="B13" t="str">
            <v>Stanford University</v>
          </cell>
          <cell r="C13">
            <v>37</v>
          </cell>
          <cell r="D13" t="str">
            <v>AAO</v>
          </cell>
          <cell r="E13">
            <v>5.1481253436939287</v>
          </cell>
        </row>
        <row r="14">
          <cell r="B14" t="str">
            <v>Washington University (WUSTL)</v>
          </cell>
          <cell r="C14">
            <v>11</v>
          </cell>
          <cell r="D14" t="str">
            <v>AAX</v>
          </cell>
          <cell r="E14">
            <v>5.0364637519908753</v>
          </cell>
        </row>
        <row r="15">
          <cell r="B15" t="str">
            <v>Columbia University</v>
          </cell>
          <cell r="C15">
            <v>47</v>
          </cell>
          <cell r="D15" t="str">
            <v>AAB</v>
          </cell>
          <cell r="E15">
            <v>5.0050458049808313</v>
          </cell>
        </row>
        <row r="16">
          <cell r="B16" t="str">
            <v>Northwestern University</v>
          </cell>
          <cell r="C16">
            <v>48</v>
          </cell>
          <cell r="D16" t="str">
            <v>AAL</v>
          </cell>
          <cell r="E16">
            <v>4.9950535290815967</v>
          </cell>
        </row>
        <row r="17">
          <cell r="B17" t="str">
            <v>University of Washington Seattle</v>
          </cell>
          <cell r="C17">
            <v>33</v>
          </cell>
          <cell r="D17" t="str">
            <v>ADU</v>
          </cell>
          <cell r="E17">
            <v>4.8555918342032802</v>
          </cell>
        </row>
        <row r="18">
          <cell r="B18" t="str">
            <v>Singapore Management University</v>
          </cell>
          <cell r="C18">
            <v>29</v>
          </cell>
          <cell r="D18" t="str">
            <v>ACQ</v>
          </cell>
          <cell r="E18">
            <v>4.7968541726328997</v>
          </cell>
        </row>
        <row r="19">
          <cell r="B19" t="str">
            <v>Imperial College London</v>
          </cell>
          <cell r="C19">
            <v>27</v>
          </cell>
          <cell r="D19" t="str">
            <v>ABD</v>
          </cell>
          <cell r="E19">
            <v>4.7928919343161773</v>
          </cell>
        </row>
        <row r="20">
          <cell r="B20" t="str">
            <v>University of Cambridge</v>
          </cell>
          <cell r="C20">
            <v>27</v>
          </cell>
          <cell r="D20" t="str">
            <v>AAT</v>
          </cell>
          <cell r="E20">
            <v>4.7368347469570047</v>
          </cell>
        </row>
        <row r="21">
          <cell r="B21" t="str">
            <v>University of California Davis</v>
          </cell>
          <cell r="C21">
            <v>10</v>
          </cell>
          <cell r="D21" t="str">
            <v>ACY</v>
          </cell>
          <cell r="E21">
            <v>4.6521300563294554</v>
          </cell>
        </row>
        <row r="22">
          <cell r="B22" t="str">
            <v>Boston College</v>
          </cell>
          <cell r="C22">
            <v>26</v>
          </cell>
          <cell r="D22" t="str">
            <v>ACA</v>
          </cell>
          <cell r="E22">
            <v>4.6320505277084614</v>
          </cell>
        </row>
        <row r="23">
          <cell r="B23" t="str">
            <v>University of Oregon</v>
          </cell>
          <cell r="C23">
            <v>17</v>
          </cell>
          <cell r="D23" t="str">
            <v>BFY</v>
          </cell>
          <cell r="E23">
            <v>4.6263455987054662</v>
          </cell>
        </row>
        <row r="24">
          <cell r="B24" t="str">
            <v>Texas Christian University</v>
          </cell>
          <cell r="C24">
            <v>23</v>
          </cell>
          <cell r="D24" t="str">
            <v>DAX</v>
          </cell>
          <cell r="E24">
            <v>4.6107638105356781</v>
          </cell>
        </row>
        <row r="25">
          <cell r="B25" t="str">
            <v>University of Wisconsin Madison</v>
          </cell>
          <cell r="C25">
            <v>18</v>
          </cell>
          <cell r="D25" t="str">
            <v>AHM</v>
          </cell>
          <cell r="E25">
            <v>4.601577991598889</v>
          </cell>
        </row>
        <row r="26">
          <cell r="B26" t="str">
            <v>University of Southern California</v>
          </cell>
          <cell r="C26">
            <v>37</v>
          </cell>
          <cell r="D26" t="str">
            <v>ABS</v>
          </cell>
          <cell r="E26">
            <v>4.580925341178089</v>
          </cell>
        </row>
        <row r="27">
          <cell r="B27" t="str">
            <v>Georgia Institute of Technology</v>
          </cell>
          <cell r="C27">
            <v>11</v>
          </cell>
          <cell r="D27" t="str">
            <v>AER</v>
          </cell>
          <cell r="E27">
            <v>4.5105937348127876</v>
          </cell>
        </row>
        <row r="28">
          <cell r="B28" t="str">
            <v>Hong Kong University of Science &amp; Technology</v>
          </cell>
          <cell r="C28">
            <v>16</v>
          </cell>
          <cell r="D28" t="str">
            <v>ACL</v>
          </cell>
          <cell r="E28">
            <v>4.4597432925901881</v>
          </cell>
        </row>
        <row r="29">
          <cell r="B29" t="str">
            <v>York University - Canada</v>
          </cell>
          <cell r="C29">
            <v>47</v>
          </cell>
          <cell r="D29" t="str">
            <v>ABX</v>
          </cell>
          <cell r="E29">
            <v>4.3919583565293614</v>
          </cell>
        </row>
        <row r="30">
          <cell r="B30" t="str">
            <v>University of Pennsylvania</v>
          </cell>
          <cell r="C30">
            <v>62</v>
          </cell>
          <cell r="D30" t="str">
            <v>AAW</v>
          </cell>
          <cell r="E30">
            <v>4.3045013646129169</v>
          </cell>
        </row>
        <row r="31">
          <cell r="B31" t="str">
            <v>Babson College</v>
          </cell>
          <cell r="C31">
            <v>39</v>
          </cell>
          <cell r="D31" t="str">
            <v>CHL</v>
          </cell>
          <cell r="E31">
            <v>4.2093192490897007</v>
          </cell>
        </row>
        <row r="32">
          <cell r="B32" t="str">
            <v>University of Colorado Boulder</v>
          </cell>
          <cell r="C32">
            <v>23</v>
          </cell>
          <cell r="D32" t="str">
            <v>AGE</v>
          </cell>
          <cell r="E32">
            <v>4.206755966537048</v>
          </cell>
        </row>
        <row r="33">
          <cell r="B33" t="str">
            <v>Lehigh University</v>
          </cell>
          <cell r="C33">
            <v>14</v>
          </cell>
          <cell r="D33" t="str">
            <v>BCC</v>
          </cell>
          <cell r="E33">
            <v>4.1855210812401946</v>
          </cell>
        </row>
        <row r="34">
          <cell r="B34" t="str">
            <v>Cornell University</v>
          </cell>
          <cell r="C34">
            <v>37</v>
          </cell>
          <cell r="D34" t="str">
            <v>ABB</v>
          </cell>
          <cell r="E34">
            <v>4.119117528446508</v>
          </cell>
        </row>
        <row r="35">
          <cell r="B35" t="str">
            <v>University of Utah</v>
          </cell>
          <cell r="C35">
            <v>12</v>
          </cell>
          <cell r="D35" t="str">
            <v>AHG</v>
          </cell>
          <cell r="E35">
            <v>4.0846743397686076</v>
          </cell>
        </row>
        <row r="36">
          <cell r="B36" t="str">
            <v>University of Melbourne</v>
          </cell>
          <cell r="C36">
            <v>57</v>
          </cell>
          <cell r="D36" t="str">
            <v>ADD</v>
          </cell>
          <cell r="E36">
            <v>4.0142329797604299</v>
          </cell>
        </row>
        <row r="37">
          <cell r="B37" t="str">
            <v>University of Munich</v>
          </cell>
          <cell r="C37">
            <v>17</v>
          </cell>
          <cell r="D37" t="str">
            <v>ADG</v>
          </cell>
          <cell r="E37">
            <v>3.979600798797601</v>
          </cell>
        </row>
        <row r="38">
          <cell r="B38" t="str">
            <v>New York University</v>
          </cell>
          <cell r="C38">
            <v>45</v>
          </cell>
          <cell r="D38" t="str">
            <v>AAM</v>
          </cell>
          <cell r="E38">
            <v>3.938845803458491</v>
          </cell>
        </row>
        <row r="39">
          <cell r="B39" t="str">
            <v>Texas A&amp;M University College Station</v>
          </cell>
          <cell r="C39">
            <v>51</v>
          </cell>
          <cell r="D39" t="str">
            <v>AAP</v>
          </cell>
          <cell r="E39">
            <v>3.9096530757165429</v>
          </cell>
        </row>
        <row r="40">
          <cell r="B40" t="str">
            <v>University of Colorado Denver</v>
          </cell>
          <cell r="C40">
            <v>7</v>
          </cell>
          <cell r="D40" t="str">
            <v>DEQ</v>
          </cell>
          <cell r="E40">
            <v>3.9079392624224889</v>
          </cell>
        </row>
        <row r="41">
          <cell r="B41" t="str">
            <v>University of California Berkeley</v>
          </cell>
          <cell r="C41">
            <v>26</v>
          </cell>
          <cell r="D41" t="str">
            <v>AAQ</v>
          </cell>
          <cell r="E41">
            <v>3.8922578639566838</v>
          </cell>
        </row>
        <row r="42">
          <cell r="B42" t="str">
            <v>Hautes Etudes Commerciales (HEC) Paris</v>
          </cell>
          <cell r="C42">
            <v>20</v>
          </cell>
          <cell r="D42" t="str">
            <v>AEU</v>
          </cell>
          <cell r="E42">
            <v>3.890175184508359</v>
          </cell>
        </row>
        <row r="43">
          <cell r="B43" t="str">
            <v>Rutgers University Newark</v>
          </cell>
          <cell r="C43">
            <v>18</v>
          </cell>
          <cell r="D43" t="str">
            <v>DBD</v>
          </cell>
          <cell r="E43">
            <v>3.8898053417446068</v>
          </cell>
        </row>
        <row r="44">
          <cell r="B44" t="str">
            <v>University of Nebraska Lincoln</v>
          </cell>
          <cell r="C44">
            <v>16</v>
          </cell>
          <cell r="D44" t="str">
            <v>BFU</v>
          </cell>
          <cell r="E44">
            <v>3.8819688262011991</v>
          </cell>
        </row>
        <row r="45">
          <cell r="B45" t="str">
            <v>EDHEC Business School</v>
          </cell>
          <cell r="C45">
            <v>9</v>
          </cell>
          <cell r="D45" t="str">
            <v>DCV</v>
          </cell>
          <cell r="E45">
            <v>3.8455447396588349</v>
          </cell>
        </row>
        <row r="46">
          <cell r="B46" t="str">
            <v>Universite Catholique Louvain</v>
          </cell>
          <cell r="C46">
            <v>23</v>
          </cell>
          <cell r="D46" t="str">
            <v>AEG</v>
          </cell>
          <cell r="E46">
            <v>3.8375298264760609</v>
          </cell>
        </row>
        <row r="47">
          <cell r="B47" t="str">
            <v>University of Texas Dallas</v>
          </cell>
          <cell r="C47">
            <v>23</v>
          </cell>
          <cell r="D47" t="str">
            <v>ADR</v>
          </cell>
          <cell r="E47">
            <v>3.8375298264760609</v>
          </cell>
        </row>
        <row r="48">
          <cell r="B48" t="str">
            <v>University of Miami</v>
          </cell>
          <cell r="C48">
            <v>22</v>
          </cell>
          <cell r="D48" t="str">
            <v>DAA</v>
          </cell>
          <cell r="E48">
            <v>3.795875724182864</v>
          </cell>
        </row>
        <row r="49">
          <cell r="B49" t="str">
            <v>University of California San Diego</v>
          </cell>
          <cell r="C49">
            <v>9</v>
          </cell>
          <cell r="D49" t="str">
            <v>AAS</v>
          </cell>
          <cell r="E49">
            <v>3.7865982535136871</v>
          </cell>
        </row>
        <row r="50">
          <cell r="B50" t="str">
            <v>Max Planck Society</v>
          </cell>
          <cell r="C50">
            <v>5</v>
          </cell>
          <cell r="D50" t="str">
            <v>BCH</v>
          </cell>
          <cell r="E50">
            <v>3.7504608591168549</v>
          </cell>
        </row>
        <row r="51">
          <cell r="B51" t="str">
            <v>Ohio State University</v>
          </cell>
          <cell r="C51">
            <v>37</v>
          </cell>
          <cell r="D51" t="str">
            <v>ACO</v>
          </cell>
          <cell r="E51">
            <v>3.7309031482444142</v>
          </cell>
        </row>
        <row r="52">
          <cell r="B52" t="str">
            <v>McMaster University</v>
          </cell>
          <cell r="C52">
            <v>25</v>
          </cell>
          <cell r="D52" t="str">
            <v>BCI</v>
          </cell>
          <cell r="E52">
            <v>3.6972189646194451</v>
          </cell>
        </row>
        <row r="53">
          <cell r="B53" t="str">
            <v>Queens University - Canada</v>
          </cell>
          <cell r="C53">
            <v>18</v>
          </cell>
          <cell r="D53" t="str">
            <v>BDA</v>
          </cell>
          <cell r="E53">
            <v>3.6725233422925641</v>
          </cell>
        </row>
        <row r="54">
          <cell r="B54" t="str">
            <v>University of Texas at San Antonio (UTSA)</v>
          </cell>
          <cell r="C54">
            <v>17</v>
          </cell>
          <cell r="D54" t="str">
            <v>BDP</v>
          </cell>
          <cell r="E54">
            <v>3.6576143956934448</v>
          </cell>
        </row>
        <row r="55">
          <cell r="B55" t="str">
            <v>Baylor University</v>
          </cell>
          <cell r="C55">
            <v>24</v>
          </cell>
          <cell r="D55" t="str">
            <v>DBY</v>
          </cell>
          <cell r="E55">
            <v>3.6533986845326418</v>
          </cell>
        </row>
        <row r="56">
          <cell r="B56" t="str">
            <v>Northeastern University</v>
          </cell>
          <cell r="C56">
            <v>42</v>
          </cell>
          <cell r="D56" t="str">
            <v>ACN</v>
          </cell>
          <cell r="E56">
            <v>3.640566442230095</v>
          </cell>
        </row>
        <row r="57">
          <cell r="B57" t="str">
            <v>University of Texas Austin</v>
          </cell>
          <cell r="C57">
            <v>29</v>
          </cell>
          <cell r="D57" t="str">
            <v>ADQ</v>
          </cell>
          <cell r="E57">
            <v>3.6378770387298029</v>
          </cell>
        </row>
        <row r="58">
          <cell r="B58" t="str">
            <v>University of Arizona</v>
          </cell>
          <cell r="C58">
            <v>19</v>
          </cell>
          <cell r="D58" t="str">
            <v>ACU</v>
          </cell>
          <cell r="E58">
            <v>3.6272746412449748</v>
          </cell>
        </row>
        <row r="59">
          <cell r="B59" t="str">
            <v>Dartmouth College</v>
          </cell>
          <cell r="C59">
            <v>10</v>
          </cell>
          <cell r="D59" t="str">
            <v>AAD</v>
          </cell>
          <cell r="E59">
            <v>3.5999391957834899</v>
          </cell>
        </row>
        <row r="60">
          <cell r="B60" t="str">
            <v>Leuphana University Luneburg</v>
          </cell>
          <cell r="C60">
            <v>16</v>
          </cell>
          <cell r="D60" t="str">
            <v>DDL</v>
          </cell>
          <cell r="E60">
            <v>3.5933440923786519</v>
          </cell>
        </row>
        <row r="61">
          <cell r="B61" t="str">
            <v>University of Calgary</v>
          </cell>
          <cell r="C61">
            <v>20</v>
          </cell>
          <cell r="D61" t="str">
            <v>ACX</v>
          </cell>
          <cell r="E61">
            <v>3.5754633100643369</v>
          </cell>
        </row>
        <row r="62">
          <cell r="B62" t="str">
            <v>City St Georges, University of London</v>
          </cell>
          <cell r="C62">
            <v>36</v>
          </cell>
          <cell r="D62" t="str">
            <v>BBL</v>
          </cell>
          <cell r="E62">
            <v>3.5660246663275572</v>
          </cell>
        </row>
        <row r="63">
          <cell r="B63" t="str">
            <v>University of Notre Dame</v>
          </cell>
          <cell r="C63">
            <v>35</v>
          </cell>
          <cell r="D63" t="str">
            <v>ADK</v>
          </cell>
          <cell r="E63">
            <v>3.5639923504603139</v>
          </cell>
        </row>
        <row r="64">
          <cell r="B64" t="str">
            <v>University of South Carolina Columbia</v>
          </cell>
          <cell r="C64">
            <v>44</v>
          </cell>
          <cell r="D64" t="str">
            <v>ABR</v>
          </cell>
          <cell r="E64">
            <v>3.5417775794113111</v>
          </cell>
        </row>
        <row r="65">
          <cell r="B65" t="str">
            <v>Rice University</v>
          </cell>
          <cell r="C65">
            <v>21</v>
          </cell>
          <cell r="D65" t="str">
            <v>AFL</v>
          </cell>
          <cell r="E65">
            <v>3.5304580696341992</v>
          </cell>
        </row>
        <row r="66">
          <cell r="B66" t="str">
            <v>University of Michigan</v>
          </cell>
          <cell r="C66">
            <v>47</v>
          </cell>
          <cell r="D66" t="str">
            <v>AAV</v>
          </cell>
          <cell r="E66">
            <v>3.516877126276043</v>
          </cell>
        </row>
        <row r="67">
          <cell r="B67" t="str">
            <v>University of Illinois Chicago</v>
          </cell>
          <cell r="C67">
            <v>17</v>
          </cell>
          <cell r="D67" t="str">
            <v>AGN</v>
          </cell>
          <cell r="E67">
            <v>3.5165034834830382</v>
          </cell>
        </row>
        <row r="68">
          <cell r="B68" t="str">
            <v>George Washington University</v>
          </cell>
          <cell r="C68">
            <v>22</v>
          </cell>
          <cell r="D68" t="str">
            <v>ACG</v>
          </cell>
          <cell r="E68">
            <v>3.496021951864158</v>
          </cell>
        </row>
        <row r="69">
          <cell r="B69" t="str">
            <v>Arizona State University-Tempe</v>
          </cell>
          <cell r="C69">
            <v>35</v>
          </cell>
          <cell r="D69" t="str">
            <v>AAA</v>
          </cell>
          <cell r="E69">
            <v>3.487944784374776</v>
          </cell>
        </row>
        <row r="70">
          <cell r="B70" t="str">
            <v>University of Alberta</v>
          </cell>
          <cell r="C70">
            <v>33</v>
          </cell>
          <cell r="D70" t="str">
            <v>ABK</v>
          </cell>
          <cell r="E70">
            <v>3.4582952964247542</v>
          </cell>
        </row>
        <row r="71">
          <cell r="B71" t="str">
            <v>Rutgers University New Brunswick</v>
          </cell>
          <cell r="C71">
            <v>40</v>
          </cell>
          <cell r="D71" t="str">
            <v>AFM</v>
          </cell>
          <cell r="E71">
            <v>3.4463379169511419</v>
          </cell>
        </row>
        <row r="72">
          <cell r="B72" t="str">
            <v>Maastricht University</v>
          </cell>
          <cell r="C72">
            <v>34</v>
          </cell>
          <cell r="D72" t="str">
            <v>ABG</v>
          </cell>
          <cell r="E72">
            <v>3.4316810993891891</v>
          </cell>
        </row>
        <row r="73">
          <cell r="B73" t="str">
            <v>University College London</v>
          </cell>
          <cell r="C73">
            <v>23</v>
          </cell>
          <cell r="D73" t="str">
            <v>ADA</v>
          </cell>
          <cell r="E73">
            <v>3.427928238680924</v>
          </cell>
        </row>
        <row r="74">
          <cell r="B74" t="str">
            <v>University of Munster</v>
          </cell>
          <cell r="C74">
            <v>18</v>
          </cell>
          <cell r="D74" t="str">
            <v>DAC</v>
          </cell>
          <cell r="E74">
            <v>3.4195605178507251</v>
          </cell>
        </row>
        <row r="75">
          <cell r="B75" t="str">
            <v>Syracuse University</v>
          </cell>
          <cell r="C75">
            <v>21</v>
          </cell>
          <cell r="D75" t="str">
            <v>BDQ</v>
          </cell>
          <cell r="E75">
            <v>3.418749734431445</v>
          </cell>
        </row>
        <row r="76">
          <cell r="B76" t="str">
            <v>University of Minnesota Twin Cities</v>
          </cell>
          <cell r="C76">
            <v>41</v>
          </cell>
          <cell r="D76" t="str">
            <v>ABP</v>
          </cell>
          <cell r="E76">
            <v>3.4089940068622449</v>
          </cell>
        </row>
        <row r="77">
          <cell r="B77" t="str">
            <v>University of Florida</v>
          </cell>
          <cell r="C77">
            <v>31</v>
          </cell>
          <cell r="D77" t="str">
            <v>AGK</v>
          </cell>
          <cell r="E77">
            <v>3.3889476018114579</v>
          </cell>
        </row>
        <row r="78">
          <cell r="B78" t="str">
            <v>Harvard University</v>
          </cell>
          <cell r="C78">
            <v>85</v>
          </cell>
          <cell r="D78" t="str">
            <v>AAF</v>
          </cell>
          <cell r="E78">
            <v>3.3867385873760329</v>
          </cell>
        </row>
        <row r="79">
          <cell r="B79" t="str">
            <v>Tulane University</v>
          </cell>
          <cell r="C79">
            <v>8</v>
          </cell>
          <cell r="D79" t="str">
            <v>CHR</v>
          </cell>
          <cell r="E79">
            <v>3.3499607070427651</v>
          </cell>
        </row>
        <row r="80">
          <cell r="B80" t="str">
            <v>McGill University</v>
          </cell>
          <cell r="C80">
            <v>21</v>
          </cell>
          <cell r="D80" t="str">
            <v>QEQ</v>
          </cell>
          <cell r="E80">
            <v>3.3488866672818518</v>
          </cell>
        </row>
        <row r="81">
          <cell r="B81" t="str">
            <v>University of Hamburg</v>
          </cell>
          <cell r="C81">
            <v>23</v>
          </cell>
          <cell r="D81" t="str">
            <v>ACI</v>
          </cell>
          <cell r="E81">
            <v>3.3447773362557291</v>
          </cell>
        </row>
        <row r="82">
          <cell r="B82" t="str">
            <v>Vienna University of Economics &amp; Business</v>
          </cell>
          <cell r="C82">
            <v>25</v>
          </cell>
          <cell r="D82" t="str">
            <v>AHP</v>
          </cell>
          <cell r="E82">
            <v>3.3286619700000788</v>
          </cell>
        </row>
        <row r="83">
          <cell r="B83" t="str">
            <v>Oklahoma State University - Stillwater</v>
          </cell>
          <cell r="C83">
            <v>21</v>
          </cell>
          <cell r="D83" t="str">
            <v>BCS</v>
          </cell>
          <cell r="E83">
            <v>3.32781973887319</v>
          </cell>
        </row>
        <row r="84">
          <cell r="B84" t="str">
            <v>Nanyang Technological University</v>
          </cell>
          <cell r="C84">
            <v>35</v>
          </cell>
          <cell r="D84" t="str">
            <v>AFE</v>
          </cell>
          <cell r="E84">
            <v>3.3086272295103112</v>
          </cell>
        </row>
        <row r="85">
          <cell r="B85" t="str">
            <v>Vrije Universiteit Amsterdam</v>
          </cell>
          <cell r="C85">
            <v>48</v>
          </cell>
          <cell r="D85" t="str">
            <v>ADV</v>
          </cell>
          <cell r="E85">
            <v>3.3042904242444102</v>
          </cell>
        </row>
        <row r="86">
          <cell r="B86" t="str">
            <v>Bocconi University</v>
          </cell>
          <cell r="C86">
            <v>51</v>
          </cell>
          <cell r="D86" t="str">
            <v>AAZ</v>
          </cell>
          <cell r="E86">
            <v>3.2962692346903051</v>
          </cell>
        </row>
        <row r="87">
          <cell r="B87" t="str">
            <v>University of Connecticut</v>
          </cell>
          <cell r="C87">
            <v>16</v>
          </cell>
          <cell r="D87" t="str">
            <v>BEO</v>
          </cell>
          <cell r="E87">
            <v>3.2922238582669299</v>
          </cell>
        </row>
        <row r="88">
          <cell r="B88" t="str">
            <v>Drexel University</v>
          </cell>
          <cell r="C88">
            <v>18</v>
          </cell>
          <cell r="D88" t="str">
            <v>AEK</v>
          </cell>
          <cell r="E88">
            <v>3.2887460070953982</v>
          </cell>
        </row>
        <row r="89">
          <cell r="B89" t="str">
            <v>University of Cologne</v>
          </cell>
          <cell r="C89">
            <v>15</v>
          </cell>
          <cell r="D89" t="str">
            <v>BEN</v>
          </cell>
          <cell r="E89">
            <v>3.2875306404998992</v>
          </cell>
        </row>
        <row r="90">
          <cell r="B90" t="str">
            <v>Indiana University Bloomington</v>
          </cell>
          <cell r="C90">
            <v>85</v>
          </cell>
          <cell r="D90" t="str">
            <v>AAG</v>
          </cell>
          <cell r="E90">
            <v>3.2623101602122531</v>
          </cell>
        </row>
        <row r="91">
          <cell r="B91" t="str">
            <v>University of Victoria</v>
          </cell>
          <cell r="C91">
            <v>15</v>
          </cell>
          <cell r="D91" t="str">
            <v>BGQ</v>
          </cell>
          <cell r="E91">
            <v>3.261288974501392</v>
          </cell>
        </row>
        <row r="92">
          <cell r="B92" t="str">
            <v>London School Economics &amp; Political Science</v>
          </cell>
          <cell r="C92">
            <v>18</v>
          </cell>
          <cell r="D92" t="str">
            <v>AAH</v>
          </cell>
          <cell r="E92">
            <v>3.2274467636430479</v>
          </cell>
        </row>
        <row r="93">
          <cell r="B93" t="str">
            <v>University of Turku</v>
          </cell>
          <cell r="C93">
            <v>28</v>
          </cell>
          <cell r="D93" t="str">
            <v>CGK</v>
          </cell>
          <cell r="E93">
            <v>3.221930821540854</v>
          </cell>
        </row>
        <row r="94">
          <cell r="B94" t="str">
            <v>George Mason University</v>
          </cell>
          <cell r="C94">
            <v>10</v>
          </cell>
          <cell r="D94" t="str">
            <v>ACF</v>
          </cell>
          <cell r="E94">
            <v>3.2025310983022122</v>
          </cell>
        </row>
        <row r="95">
          <cell r="B95" t="str">
            <v>University of Iowa</v>
          </cell>
          <cell r="C95">
            <v>15</v>
          </cell>
          <cell r="D95" t="str">
            <v>BFE</v>
          </cell>
          <cell r="E95">
            <v>3.200124954460867</v>
          </cell>
        </row>
        <row r="96">
          <cell r="B96" t="str">
            <v>Autonomous University of Barcelona</v>
          </cell>
          <cell r="C96">
            <v>11</v>
          </cell>
          <cell r="D96" t="str">
            <v>AFY</v>
          </cell>
          <cell r="E96">
            <v>3.1950163543317038</v>
          </cell>
        </row>
        <row r="97">
          <cell r="B97" t="str">
            <v>Free University of Bozen-Bolzano</v>
          </cell>
          <cell r="C97">
            <v>31</v>
          </cell>
          <cell r="D97" t="str">
            <v>AEP</v>
          </cell>
          <cell r="E97">
            <v>3.182206887976311</v>
          </cell>
        </row>
        <row r="98">
          <cell r="B98" t="str">
            <v>University of Tennessee Knoxville</v>
          </cell>
          <cell r="C98">
            <v>38</v>
          </cell>
          <cell r="D98" t="str">
            <v>BGN</v>
          </cell>
          <cell r="E98">
            <v>3.167559587168348</v>
          </cell>
        </row>
        <row r="99">
          <cell r="B99" t="str">
            <v>Pontificia Universidad Catolica de Chile</v>
          </cell>
          <cell r="C99">
            <v>11</v>
          </cell>
          <cell r="D99" t="str">
            <v>CAC</v>
          </cell>
          <cell r="E99">
            <v>3.1634062033746488</v>
          </cell>
        </row>
        <row r="100">
          <cell r="B100" t="str">
            <v>University of British Columbia</v>
          </cell>
          <cell r="C100">
            <v>28</v>
          </cell>
          <cell r="D100" t="str">
            <v>ACW</v>
          </cell>
          <cell r="E100">
            <v>3.1387827659820879</v>
          </cell>
        </row>
        <row r="101">
          <cell r="B101" t="str">
            <v>Erasmus University Rotterdam</v>
          </cell>
          <cell r="C101">
            <v>73</v>
          </cell>
          <cell r="D101" t="str">
            <v>AAE</v>
          </cell>
          <cell r="E101">
            <v>3.1386912837500698</v>
          </cell>
        </row>
        <row r="102">
          <cell r="B102" t="str">
            <v>Tel Aviv University</v>
          </cell>
          <cell r="C102">
            <v>7</v>
          </cell>
          <cell r="D102" t="str">
            <v>BDT</v>
          </cell>
          <cell r="E102">
            <v>3.1016659307264018</v>
          </cell>
        </row>
        <row r="103">
          <cell r="B103" t="str">
            <v>Vanderbilt University</v>
          </cell>
          <cell r="C103">
            <v>16</v>
          </cell>
          <cell r="D103" t="str">
            <v>BGW</v>
          </cell>
          <cell r="E103">
            <v>3.0995208664656002</v>
          </cell>
        </row>
        <row r="104">
          <cell r="B104" t="str">
            <v>Western University (University of Western Ontario)</v>
          </cell>
          <cell r="C104">
            <v>42</v>
          </cell>
          <cell r="D104" t="str">
            <v>ABW</v>
          </cell>
          <cell r="E104">
            <v>3.0987017713452381</v>
          </cell>
        </row>
        <row r="105">
          <cell r="B105" t="str">
            <v>Copenhagen Business School</v>
          </cell>
          <cell r="C105">
            <v>110</v>
          </cell>
          <cell r="D105" t="str">
            <v>AAC</v>
          </cell>
          <cell r="E105">
            <v>3.0972899254091901</v>
          </cell>
        </row>
        <row r="106">
          <cell r="B106" t="str">
            <v>Tilburg University</v>
          </cell>
          <cell r="C106">
            <v>55</v>
          </cell>
          <cell r="D106" t="str">
            <v>ACR</v>
          </cell>
          <cell r="E106">
            <v>3.0906715414389332</v>
          </cell>
        </row>
        <row r="107">
          <cell r="B107" t="str">
            <v>Tallinn University of Technology</v>
          </cell>
          <cell r="C107">
            <v>8</v>
          </cell>
          <cell r="D107" t="str">
            <v>DEV</v>
          </cell>
          <cell r="E107">
            <v>3.0833236969468798</v>
          </cell>
        </row>
        <row r="108">
          <cell r="B108" t="str">
            <v>IESEG School of Management</v>
          </cell>
          <cell r="C108">
            <v>32</v>
          </cell>
          <cell r="D108" t="str">
            <v>BBN</v>
          </cell>
          <cell r="E108">
            <v>3.070539788323742</v>
          </cell>
        </row>
        <row r="109">
          <cell r="B109" t="str">
            <v>Massachusetts Institute of Technology (MIT)</v>
          </cell>
          <cell r="C109">
            <v>33</v>
          </cell>
          <cell r="D109" t="str">
            <v>AAI</v>
          </cell>
          <cell r="E109">
            <v>3.0510826354338652</v>
          </cell>
        </row>
        <row r="110">
          <cell r="B110" t="str">
            <v>National University of Singapore</v>
          </cell>
          <cell r="C110">
            <v>48</v>
          </cell>
          <cell r="D110" t="str">
            <v>AAJ</v>
          </cell>
          <cell r="E110">
            <v>3.048616693606415</v>
          </cell>
        </row>
        <row r="111">
          <cell r="B111" t="str">
            <v>Free University of Berlin</v>
          </cell>
          <cell r="C111">
            <v>19</v>
          </cell>
          <cell r="D111" t="str">
            <v>BBC</v>
          </cell>
          <cell r="E111">
            <v>3.0481806833294032</v>
          </cell>
        </row>
        <row r="112">
          <cell r="B112" t="str">
            <v>University of St Gallen</v>
          </cell>
          <cell r="C112">
            <v>64</v>
          </cell>
          <cell r="D112" t="str">
            <v>ADO</v>
          </cell>
          <cell r="E112">
            <v>3.0420318530981501</v>
          </cell>
        </row>
        <row r="113">
          <cell r="B113" t="str">
            <v>Pennsylvania State University</v>
          </cell>
          <cell r="C113">
            <v>49</v>
          </cell>
          <cell r="D113" t="str">
            <v>ADZ</v>
          </cell>
          <cell r="E113">
            <v>3.0392438842850948</v>
          </cell>
        </row>
        <row r="114">
          <cell r="B114" t="str">
            <v>University of Mannheim</v>
          </cell>
          <cell r="C114">
            <v>21</v>
          </cell>
          <cell r="D114" t="str">
            <v>AGS</v>
          </cell>
          <cell r="E114">
            <v>3.0324102596678801</v>
          </cell>
        </row>
        <row r="115">
          <cell r="B115" t="str">
            <v>Jonkoping University</v>
          </cell>
          <cell r="C115">
            <v>29</v>
          </cell>
          <cell r="D115" t="str">
            <v>BBT</v>
          </cell>
          <cell r="E115">
            <v>2.9948768760240858</v>
          </cell>
        </row>
        <row r="116">
          <cell r="B116" t="str">
            <v>ETH Zurich</v>
          </cell>
          <cell r="C116">
            <v>19</v>
          </cell>
          <cell r="D116" t="str">
            <v>AFT</v>
          </cell>
          <cell r="E116">
            <v>2.9917709639212831</v>
          </cell>
        </row>
        <row r="117">
          <cell r="B117" t="str">
            <v>Florida State University</v>
          </cell>
          <cell r="C117">
            <v>35</v>
          </cell>
          <cell r="D117" t="str">
            <v>BBB</v>
          </cell>
          <cell r="E117">
            <v>2.9915747623609361</v>
          </cell>
        </row>
        <row r="118">
          <cell r="B118" t="str">
            <v>Ghent University</v>
          </cell>
          <cell r="C118">
            <v>43</v>
          </cell>
          <cell r="D118" t="str">
            <v>AES</v>
          </cell>
          <cell r="E118">
            <v>2.9871330935450509</v>
          </cell>
        </row>
        <row r="119">
          <cell r="B119" t="str">
            <v>University of Chicago</v>
          </cell>
          <cell r="C119">
            <v>18</v>
          </cell>
          <cell r="D119" t="str">
            <v>AAU</v>
          </cell>
          <cell r="E119">
            <v>2.9859333311799729</v>
          </cell>
        </row>
        <row r="120">
          <cell r="B120" t="str">
            <v>Universidade Catolica Portuguesa</v>
          </cell>
          <cell r="C120">
            <v>25</v>
          </cell>
          <cell r="D120" t="str">
            <v>BEK</v>
          </cell>
          <cell r="E120">
            <v>2.9700581979763161</v>
          </cell>
        </row>
        <row r="121">
          <cell r="B121" t="str">
            <v>Universidad Carlos III de Madrid</v>
          </cell>
          <cell r="C121">
            <v>21</v>
          </cell>
          <cell r="D121" t="str">
            <v>BDX</v>
          </cell>
          <cell r="E121">
            <v>2.9643463985353811</v>
          </cell>
        </row>
        <row r="122">
          <cell r="B122" t="str">
            <v>Luiss Guido Carli University</v>
          </cell>
          <cell r="C122">
            <v>32</v>
          </cell>
          <cell r="D122" t="str">
            <v>AHY</v>
          </cell>
          <cell r="E122">
            <v>2.962227788781338</v>
          </cell>
        </row>
        <row r="123">
          <cell r="B123" t="str">
            <v>Carnegie Mellon University</v>
          </cell>
          <cell r="C123">
            <v>14</v>
          </cell>
          <cell r="D123" t="str">
            <v>ACB</v>
          </cell>
          <cell r="E123">
            <v>2.956210840410372</v>
          </cell>
        </row>
        <row r="124">
          <cell r="B124" t="str">
            <v>University of Bath</v>
          </cell>
          <cell r="C124">
            <v>46</v>
          </cell>
          <cell r="D124" t="str">
            <v>AFZ</v>
          </cell>
          <cell r="E124">
            <v>2.9509595090717622</v>
          </cell>
        </row>
        <row r="125">
          <cell r="B125" t="str">
            <v>Oregon State University</v>
          </cell>
          <cell r="C125">
            <v>12</v>
          </cell>
          <cell r="D125" t="str">
            <v>BCU</v>
          </cell>
          <cell r="E125">
            <v>2.947965255783342</v>
          </cell>
        </row>
        <row r="126">
          <cell r="B126" t="str">
            <v>Tampere University</v>
          </cell>
          <cell r="C126">
            <v>12</v>
          </cell>
          <cell r="D126" t="str">
            <v>DBG</v>
          </cell>
          <cell r="E126">
            <v>2.947965255783342</v>
          </cell>
        </row>
        <row r="127">
          <cell r="B127" t="str">
            <v>National Taiwan University</v>
          </cell>
          <cell r="C127">
            <v>25</v>
          </cell>
          <cell r="D127" t="str">
            <v>BCN</v>
          </cell>
          <cell r="E127">
            <v>2.9415383555995169</v>
          </cell>
        </row>
        <row r="128">
          <cell r="B128" t="str">
            <v>Lappeenranta-Lahti University of Technology LUT</v>
          </cell>
          <cell r="C128">
            <v>48</v>
          </cell>
          <cell r="D128" t="str">
            <v>BCA</v>
          </cell>
          <cell r="E128">
            <v>2.9317402632008229</v>
          </cell>
        </row>
        <row r="129">
          <cell r="B129" t="str">
            <v>University of Navarra</v>
          </cell>
          <cell r="C129">
            <v>23</v>
          </cell>
          <cell r="D129" t="str">
            <v>ADH</v>
          </cell>
          <cell r="E129">
            <v>2.9294940005768741</v>
          </cell>
        </row>
        <row r="130">
          <cell r="B130" t="str">
            <v>University of Bergamo</v>
          </cell>
          <cell r="C130">
            <v>15</v>
          </cell>
          <cell r="D130" t="str">
            <v>AGA</v>
          </cell>
          <cell r="E130">
            <v>2.9122365328604629</v>
          </cell>
        </row>
        <row r="131">
          <cell r="B131" t="str">
            <v>Louisiana State University</v>
          </cell>
          <cell r="C131">
            <v>22</v>
          </cell>
          <cell r="D131" t="str">
            <v>CAK</v>
          </cell>
          <cell r="E131">
            <v>2.908700911945989</v>
          </cell>
        </row>
        <row r="132">
          <cell r="B132" t="str">
            <v>Chapman University</v>
          </cell>
          <cell r="C132">
            <v>5</v>
          </cell>
          <cell r="D132" t="str">
            <v>DEI</v>
          </cell>
          <cell r="E132">
            <v>2.89471152549363</v>
          </cell>
        </row>
        <row r="133">
          <cell r="B133" t="str">
            <v>University of Warwick</v>
          </cell>
          <cell r="C133">
            <v>50</v>
          </cell>
          <cell r="D133" t="str">
            <v>ADT</v>
          </cell>
          <cell r="E133">
            <v>2.8669479900646628</v>
          </cell>
        </row>
        <row r="134">
          <cell r="B134" t="str">
            <v>Universite Toulouse 1 Capitole</v>
          </cell>
          <cell r="C134">
            <v>6</v>
          </cell>
          <cell r="D134" t="str">
            <v>ABU</v>
          </cell>
          <cell r="E134">
            <v>2.8475717764806112</v>
          </cell>
        </row>
        <row r="135">
          <cell r="B135" t="str">
            <v>Iowa State University</v>
          </cell>
          <cell r="C135">
            <v>30</v>
          </cell>
          <cell r="D135" t="str">
            <v>BBQ</v>
          </cell>
          <cell r="E135">
            <v>2.830914980999609</v>
          </cell>
        </row>
        <row r="136">
          <cell r="B136" t="str">
            <v>Tecnologico de Monterrey</v>
          </cell>
          <cell r="C136">
            <v>26</v>
          </cell>
          <cell r="D136" t="str">
            <v>CAH</v>
          </cell>
          <cell r="E136">
            <v>2.829642504450558</v>
          </cell>
        </row>
        <row r="137">
          <cell r="B137" t="str">
            <v>University at Albany, SUNY</v>
          </cell>
          <cell r="C137">
            <v>10</v>
          </cell>
          <cell r="D137" t="str">
            <v>DDH</v>
          </cell>
          <cell r="E137">
            <v>2.827398727269494</v>
          </cell>
        </row>
        <row r="138">
          <cell r="B138" t="str">
            <v>ESCP Business School</v>
          </cell>
          <cell r="C138">
            <v>41</v>
          </cell>
          <cell r="D138" t="str">
            <v>BHU</v>
          </cell>
          <cell r="E138">
            <v>2.7974964667861379</v>
          </cell>
        </row>
        <row r="139">
          <cell r="B139" t="str">
            <v>The Chinese University of Hong Kong, Shenzhen</v>
          </cell>
          <cell r="C139">
            <v>4</v>
          </cell>
          <cell r="D139" t="str">
            <v>DEF</v>
          </cell>
          <cell r="E139">
            <v>2.7879538226699512</v>
          </cell>
        </row>
        <row r="140">
          <cell r="B140" t="str">
            <v>IE University</v>
          </cell>
          <cell r="C140">
            <v>24</v>
          </cell>
          <cell r="D140" t="str">
            <v>BBM</v>
          </cell>
          <cell r="E140">
            <v>2.7850618320540188</v>
          </cell>
        </row>
        <row r="141">
          <cell r="B141" t="str">
            <v>University of Bristol</v>
          </cell>
          <cell r="C141">
            <v>20</v>
          </cell>
          <cell r="D141" t="str">
            <v>BEH</v>
          </cell>
          <cell r="E141">
            <v>2.7825974120046459</v>
          </cell>
        </row>
        <row r="142">
          <cell r="B142" t="str">
            <v>Johns Hopkins University</v>
          </cell>
          <cell r="C142">
            <v>9</v>
          </cell>
          <cell r="D142" t="str">
            <v>BBS</v>
          </cell>
          <cell r="E142">
            <v>2.7726466831697461</v>
          </cell>
        </row>
        <row r="143">
          <cell r="B143" t="str">
            <v>Audencia</v>
          </cell>
          <cell r="C143">
            <v>33</v>
          </cell>
          <cell r="D143" t="str">
            <v>BBW</v>
          </cell>
          <cell r="E143">
            <v>2.7704802858973561</v>
          </cell>
        </row>
        <row r="144">
          <cell r="B144" t="str">
            <v>heSam Universite</v>
          </cell>
          <cell r="C144">
            <v>42</v>
          </cell>
          <cell r="D144" t="str">
            <v>BBG</v>
          </cell>
          <cell r="E144">
            <v>2.7664100776291982</v>
          </cell>
        </row>
        <row r="145">
          <cell r="B145" t="str">
            <v>Polytechnic University of Milan</v>
          </cell>
          <cell r="C145">
            <v>41</v>
          </cell>
          <cell r="D145" t="str">
            <v>AFH</v>
          </cell>
          <cell r="E145">
            <v>2.7647392182303401</v>
          </cell>
        </row>
        <row r="146">
          <cell r="B146" t="str">
            <v>Universitat Ramon Llull</v>
          </cell>
          <cell r="C146">
            <v>47</v>
          </cell>
          <cell r="D146" t="str">
            <v>CAN</v>
          </cell>
          <cell r="E146">
            <v>2.7612196240930569</v>
          </cell>
        </row>
        <row r="147">
          <cell r="B147" t="str">
            <v>Lund University</v>
          </cell>
          <cell r="C147">
            <v>29</v>
          </cell>
          <cell r="D147" t="str">
            <v>AFB</v>
          </cell>
          <cell r="E147">
            <v>2.7596807663419809</v>
          </cell>
        </row>
        <row r="148">
          <cell r="B148" t="str">
            <v>University of Liverpool</v>
          </cell>
          <cell r="C148">
            <v>55</v>
          </cell>
          <cell r="D148" t="str">
            <v>BFM</v>
          </cell>
          <cell r="E148">
            <v>2.7507932815933112</v>
          </cell>
        </row>
        <row r="149">
          <cell r="B149" t="str">
            <v>BI Norwegian Business School</v>
          </cell>
          <cell r="C149">
            <v>35</v>
          </cell>
          <cell r="D149" t="str">
            <v>AEE</v>
          </cell>
          <cell r="E149">
            <v>2.7441845883872058</v>
          </cell>
        </row>
        <row r="150">
          <cell r="B150" t="str">
            <v>Chinese University of Hong Kong</v>
          </cell>
          <cell r="C150">
            <v>24</v>
          </cell>
          <cell r="D150" t="str">
            <v>ACD</v>
          </cell>
          <cell r="E150">
            <v>2.713509828301349</v>
          </cell>
        </row>
        <row r="151">
          <cell r="B151" t="str">
            <v>American University</v>
          </cell>
          <cell r="C151">
            <v>22</v>
          </cell>
          <cell r="D151" t="str">
            <v>BEC</v>
          </cell>
          <cell r="E151">
            <v>2.7102179055262079</v>
          </cell>
        </row>
        <row r="152">
          <cell r="B152" t="str">
            <v>Norwegian University of Science &amp; Technology (NTNU)</v>
          </cell>
          <cell r="C152">
            <v>17</v>
          </cell>
          <cell r="D152" t="str">
            <v>BCR</v>
          </cell>
          <cell r="E152">
            <v>2.7043432378555559</v>
          </cell>
        </row>
        <row r="153">
          <cell r="B153" t="str">
            <v>University of Ottawa</v>
          </cell>
          <cell r="C153">
            <v>31</v>
          </cell>
          <cell r="D153" t="str">
            <v>BGA</v>
          </cell>
          <cell r="E153">
            <v>2.6980875380925151</v>
          </cell>
        </row>
        <row r="154">
          <cell r="B154" t="str">
            <v>University of Toronto</v>
          </cell>
          <cell r="C154">
            <v>33</v>
          </cell>
          <cell r="D154" t="str">
            <v>ABT</v>
          </cell>
          <cell r="E154">
            <v>2.6884872378411182</v>
          </cell>
        </row>
        <row r="155">
          <cell r="B155" t="str">
            <v>China Europe International Business School</v>
          </cell>
          <cell r="C155">
            <v>19</v>
          </cell>
          <cell r="D155" t="str">
            <v>DET</v>
          </cell>
          <cell r="E155">
            <v>2.6869385768157641</v>
          </cell>
        </row>
        <row r="156">
          <cell r="B156" t="str">
            <v>Lancaster University</v>
          </cell>
          <cell r="C156">
            <v>59</v>
          </cell>
          <cell r="D156" t="str">
            <v>AEY</v>
          </cell>
          <cell r="E156">
            <v>2.6849911283513892</v>
          </cell>
        </row>
        <row r="157">
          <cell r="B157" t="str">
            <v>King's College London</v>
          </cell>
          <cell r="C157">
            <v>55</v>
          </cell>
          <cell r="D157" t="str">
            <v>BBX</v>
          </cell>
          <cell r="E157">
            <v>2.6732378470363738</v>
          </cell>
        </row>
        <row r="158">
          <cell r="B158" t="str">
            <v>University of Rhode Island</v>
          </cell>
          <cell r="C158">
            <v>20</v>
          </cell>
          <cell r="D158" t="str">
            <v>DDR</v>
          </cell>
          <cell r="E158">
            <v>2.6706524678658869</v>
          </cell>
        </row>
        <row r="159">
          <cell r="B159" t="str">
            <v>Goethe University Frankfurt</v>
          </cell>
          <cell r="C159">
            <v>10</v>
          </cell>
          <cell r="D159" t="str">
            <v>BET</v>
          </cell>
          <cell r="E159">
            <v>2.670195360033119</v>
          </cell>
        </row>
        <row r="160">
          <cell r="B160" t="str">
            <v>Technical University of Munich</v>
          </cell>
          <cell r="C160">
            <v>29</v>
          </cell>
          <cell r="D160" t="str">
            <v>BDR</v>
          </cell>
          <cell r="E160">
            <v>2.6667961630552171</v>
          </cell>
        </row>
        <row r="161">
          <cell r="B161" t="str">
            <v>University of Amsterdam</v>
          </cell>
          <cell r="C161">
            <v>56</v>
          </cell>
          <cell r="D161" t="str">
            <v>ACS</v>
          </cell>
          <cell r="E161">
            <v>2.659487714128685</v>
          </cell>
        </row>
        <row r="162">
          <cell r="B162" t="str">
            <v>University of California Los Angeles</v>
          </cell>
          <cell r="C162">
            <v>24</v>
          </cell>
          <cell r="D162" t="str">
            <v>AAR</v>
          </cell>
          <cell r="E162">
            <v>2.6593013278211051</v>
          </cell>
        </row>
        <row r="163">
          <cell r="B163" t="str">
            <v>University of Hong Kong</v>
          </cell>
          <cell r="C163">
            <v>22</v>
          </cell>
          <cell r="D163" t="str">
            <v>ABN</v>
          </cell>
          <cell r="E163">
            <v>2.6584739314052719</v>
          </cell>
        </row>
        <row r="164">
          <cell r="B164" t="str">
            <v>University of Gottingen</v>
          </cell>
          <cell r="C164">
            <v>19</v>
          </cell>
          <cell r="D164" t="str">
            <v>BEX</v>
          </cell>
          <cell r="E164">
            <v>2.6544187274204418</v>
          </cell>
        </row>
        <row r="165">
          <cell r="B165" t="str">
            <v>University of Surrey</v>
          </cell>
          <cell r="C165">
            <v>24</v>
          </cell>
          <cell r="D165" t="str">
            <v>AHC</v>
          </cell>
          <cell r="E165">
            <v>2.6464217279297628</v>
          </cell>
        </row>
        <row r="166">
          <cell r="B166" t="str">
            <v>University of North Carolina Charlotte</v>
          </cell>
          <cell r="C166">
            <v>19</v>
          </cell>
          <cell r="D166" t="str">
            <v>CHP</v>
          </cell>
          <cell r="E166">
            <v>2.6456939331498499</v>
          </cell>
        </row>
        <row r="167">
          <cell r="B167" t="str">
            <v>Florida International University</v>
          </cell>
          <cell r="C167">
            <v>29</v>
          </cell>
          <cell r="D167" t="str">
            <v>BBA</v>
          </cell>
          <cell r="E167">
            <v>2.643325001728805</v>
          </cell>
        </row>
        <row r="168">
          <cell r="B168" t="str">
            <v>Georgia State University</v>
          </cell>
          <cell r="C168">
            <v>40</v>
          </cell>
          <cell r="D168" t="str">
            <v>ACH</v>
          </cell>
          <cell r="E168">
            <v>2.6420508261191631</v>
          </cell>
        </row>
        <row r="169">
          <cell r="B169" t="str">
            <v>Florida Atlantic University</v>
          </cell>
          <cell r="C169">
            <v>33</v>
          </cell>
          <cell r="D169" t="str">
            <v>CBP</v>
          </cell>
          <cell r="E169">
            <v>2.6398359943140881</v>
          </cell>
        </row>
        <row r="170">
          <cell r="B170" t="str">
            <v>Brigham Young University</v>
          </cell>
          <cell r="C170">
            <v>12</v>
          </cell>
          <cell r="D170" t="str">
            <v>AHZ</v>
          </cell>
          <cell r="E170">
            <v>2.63814456501794</v>
          </cell>
        </row>
        <row r="171">
          <cell r="B171" t="str">
            <v>University of Cape Town</v>
          </cell>
          <cell r="C171">
            <v>12</v>
          </cell>
          <cell r="D171" t="str">
            <v>AGR</v>
          </cell>
          <cell r="E171">
            <v>2.6317550934066811</v>
          </cell>
        </row>
        <row r="172">
          <cell r="B172" t="str">
            <v>University of Manchester</v>
          </cell>
          <cell r="C172">
            <v>77</v>
          </cell>
          <cell r="D172" t="str">
            <v>ADC</v>
          </cell>
          <cell r="E172">
            <v>2.6262887045300478</v>
          </cell>
        </row>
        <row r="173">
          <cell r="B173" t="str">
            <v>Clemson University</v>
          </cell>
          <cell r="C173">
            <v>16</v>
          </cell>
          <cell r="D173" t="str">
            <v>BAJ</v>
          </cell>
          <cell r="E173">
            <v>2.5936612664219258</v>
          </cell>
        </row>
        <row r="174">
          <cell r="B174" t="str">
            <v>Temple University</v>
          </cell>
          <cell r="C174">
            <v>34</v>
          </cell>
          <cell r="D174" t="str">
            <v>AFU</v>
          </cell>
          <cell r="E174">
            <v>2.5876003070822708</v>
          </cell>
        </row>
        <row r="175">
          <cell r="B175" t="str">
            <v>Fordham University</v>
          </cell>
          <cell r="C175">
            <v>17</v>
          </cell>
          <cell r="D175" t="str">
            <v>CGQ</v>
          </cell>
          <cell r="E175">
            <v>2.5550593937450721</v>
          </cell>
        </row>
        <row r="176">
          <cell r="B176" t="str">
            <v>Norwegian School of Economics (NHH)</v>
          </cell>
          <cell r="C176">
            <v>18</v>
          </cell>
          <cell r="D176" t="str">
            <v>BCQ</v>
          </cell>
          <cell r="E176">
            <v>2.5466544124380341</v>
          </cell>
        </row>
        <row r="177">
          <cell r="B177" t="str">
            <v>Aston University</v>
          </cell>
          <cell r="C177">
            <v>33</v>
          </cell>
          <cell r="D177" t="str">
            <v>AEB</v>
          </cell>
          <cell r="E177">
            <v>2.545308124066342</v>
          </cell>
        </row>
        <row r="178">
          <cell r="B178" t="str">
            <v>Villanova University</v>
          </cell>
          <cell r="C178">
            <v>32</v>
          </cell>
          <cell r="D178" t="str">
            <v>AGM</v>
          </cell>
          <cell r="E178">
            <v>2.5415393149399321</v>
          </cell>
        </row>
        <row r="179">
          <cell r="B179" t="str">
            <v>University of Georgia</v>
          </cell>
          <cell r="C179">
            <v>46</v>
          </cell>
          <cell r="D179" t="str">
            <v>AGL</v>
          </cell>
          <cell r="E179">
            <v>2.538833426375716</v>
          </cell>
        </row>
        <row r="180">
          <cell r="B180" t="str">
            <v>Radboud University Nijmegen</v>
          </cell>
          <cell r="C180">
            <v>16</v>
          </cell>
          <cell r="D180" t="str">
            <v>BDB</v>
          </cell>
          <cell r="E180">
            <v>2.5310019466511751</v>
          </cell>
        </row>
        <row r="181">
          <cell r="B181" t="str">
            <v>Aalto University</v>
          </cell>
          <cell r="C181">
            <v>61</v>
          </cell>
          <cell r="D181" t="str">
            <v>AEA</v>
          </cell>
          <cell r="E181">
            <v>2.527551030360554</v>
          </cell>
        </row>
        <row r="182">
          <cell r="B182" t="str">
            <v>University of Aberdeen</v>
          </cell>
          <cell r="C182">
            <v>18</v>
          </cell>
          <cell r="D182" t="str">
            <v>BEM</v>
          </cell>
          <cell r="E182">
            <v>2.520566037918464</v>
          </cell>
        </row>
        <row r="183">
          <cell r="B183" t="str">
            <v>RWTH Aachen University</v>
          </cell>
          <cell r="C183">
            <v>19</v>
          </cell>
          <cell r="D183" t="str">
            <v>BDG</v>
          </cell>
          <cell r="E183">
            <v>2.5186721488538661</v>
          </cell>
        </row>
        <row r="184">
          <cell r="B184" t="str">
            <v>Chalmers University of Technology</v>
          </cell>
          <cell r="C184">
            <v>25</v>
          </cell>
          <cell r="D184" t="str">
            <v>DEH</v>
          </cell>
          <cell r="E184">
            <v>2.515453659313704</v>
          </cell>
        </row>
        <row r="185">
          <cell r="B185" t="str">
            <v>University of Zurich</v>
          </cell>
          <cell r="C185">
            <v>18</v>
          </cell>
          <cell r="D185" t="str">
            <v>ABV</v>
          </cell>
          <cell r="E185">
            <v>2.500478825012979</v>
          </cell>
        </row>
        <row r="186">
          <cell r="B186" t="str">
            <v>University of Padua</v>
          </cell>
          <cell r="C186">
            <v>22</v>
          </cell>
          <cell r="D186" t="str">
            <v>BGB</v>
          </cell>
          <cell r="E186">
            <v>2.4997574775775848</v>
          </cell>
        </row>
        <row r="187">
          <cell r="B187" t="str">
            <v>Montpellier Business School</v>
          </cell>
          <cell r="C187">
            <v>45</v>
          </cell>
          <cell r="D187" t="str">
            <v>ABJ</v>
          </cell>
          <cell r="E187">
            <v>2.499701048511537</v>
          </cell>
        </row>
        <row r="188">
          <cell r="B188" t="str">
            <v>University of South Florida</v>
          </cell>
          <cell r="C188">
            <v>20</v>
          </cell>
          <cell r="D188" t="str">
            <v>CHB</v>
          </cell>
          <cell r="E188">
            <v>2.499400276139208</v>
          </cell>
        </row>
        <row r="189">
          <cell r="B189" t="str">
            <v>University of Arkansas Fayetteville</v>
          </cell>
          <cell r="C189">
            <v>27</v>
          </cell>
          <cell r="D189" t="str">
            <v>BEE</v>
          </cell>
          <cell r="E189">
            <v>2.4911639308877489</v>
          </cell>
        </row>
        <row r="190">
          <cell r="B190" t="str">
            <v>Durham University</v>
          </cell>
          <cell r="C190">
            <v>53</v>
          </cell>
          <cell r="D190" t="str">
            <v>BAR</v>
          </cell>
          <cell r="E190">
            <v>2.4875865184682748</v>
          </cell>
        </row>
        <row r="191">
          <cell r="B191" t="str">
            <v>Marquette University</v>
          </cell>
          <cell r="C191">
            <v>17</v>
          </cell>
          <cell r="D191" t="str">
            <v>DDV</v>
          </cell>
          <cell r="E191">
            <v>2.480196448060175</v>
          </cell>
        </row>
        <row r="192">
          <cell r="B192" t="str">
            <v>Duke University</v>
          </cell>
          <cell r="C192">
            <v>21</v>
          </cell>
          <cell r="D192" t="str">
            <v>ABC</v>
          </cell>
          <cell r="E192">
            <v>2.4787659282068839</v>
          </cell>
        </row>
        <row r="193">
          <cell r="B193" t="str">
            <v>University of Antwerp</v>
          </cell>
          <cell r="C193">
            <v>21</v>
          </cell>
          <cell r="D193" t="str">
            <v>BED</v>
          </cell>
          <cell r="E193">
            <v>2.4780080516547351</v>
          </cell>
        </row>
        <row r="194">
          <cell r="B194" t="str">
            <v>Georgetown University</v>
          </cell>
          <cell r="C194">
            <v>14</v>
          </cell>
          <cell r="D194" t="str">
            <v>AEQ</v>
          </cell>
          <cell r="E194">
            <v>2.4775576672855899</v>
          </cell>
        </row>
        <row r="195">
          <cell r="B195" t="str">
            <v>University of Florence</v>
          </cell>
          <cell r="C195">
            <v>23</v>
          </cell>
          <cell r="D195" t="str">
            <v>BAK</v>
          </cell>
          <cell r="E195">
            <v>2.4775561892132099</v>
          </cell>
        </row>
        <row r="196">
          <cell r="B196" t="str">
            <v>WHU - Otto Beisheim School of Management</v>
          </cell>
          <cell r="C196">
            <v>37</v>
          </cell>
          <cell r="D196" t="str">
            <v>AHO</v>
          </cell>
          <cell r="E196">
            <v>2.4747438239482569</v>
          </cell>
        </row>
        <row r="197">
          <cell r="B197" t="str">
            <v>Hanken School of Economics</v>
          </cell>
          <cell r="C197">
            <v>47</v>
          </cell>
          <cell r="D197" t="str">
            <v>CHE</v>
          </cell>
          <cell r="E197">
            <v>2.471902991116941</v>
          </cell>
        </row>
        <row r="198">
          <cell r="B198" t="str">
            <v>University of Groningen</v>
          </cell>
          <cell r="C198">
            <v>41</v>
          </cell>
          <cell r="D198" t="str">
            <v>ABM</v>
          </cell>
          <cell r="E198">
            <v>2.4700138042838828</v>
          </cell>
        </row>
        <row r="199">
          <cell r="B199" t="str">
            <v>University of Oklahoma - Norman</v>
          </cell>
          <cell r="C199">
            <v>22</v>
          </cell>
          <cell r="D199" t="str">
            <v>BFX</v>
          </cell>
          <cell r="E199">
            <v>2.4614372298793641</v>
          </cell>
        </row>
        <row r="200">
          <cell r="B200" t="str">
            <v>Auburn University</v>
          </cell>
          <cell r="C200">
            <v>42</v>
          </cell>
          <cell r="D200" t="str">
            <v>AHF</v>
          </cell>
          <cell r="E200">
            <v>2.4562683378928689</v>
          </cell>
        </row>
        <row r="201">
          <cell r="B201" t="str">
            <v>Technische Universitat Dresden</v>
          </cell>
          <cell r="C201">
            <v>14</v>
          </cell>
          <cell r="D201" t="str">
            <v>BCV</v>
          </cell>
          <cell r="E201">
            <v>2.4519545438660919</v>
          </cell>
        </row>
        <row r="202">
          <cell r="B202" t="str">
            <v>Simon Fraser University</v>
          </cell>
          <cell r="C202">
            <v>30</v>
          </cell>
          <cell r="D202" t="str">
            <v>AFO</v>
          </cell>
          <cell r="E202">
            <v>2.4509573492421288</v>
          </cell>
        </row>
        <row r="203">
          <cell r="B203" t="str">
            <v>University of Oxford</v>
          </cell>
          <cell r="C203">
            <v>48</v>
          </cell>
          <cell r="D203" t="str">
            <v>ABQ</v>
          </cell>
          <cell r="E203">
            <v>2.4485034641067331</v>
          </cell>
        </row>
        <row r="204">
          <cell r="B204" t="str">
            <v>Baruch College (CUNY)</v>
          </cell>
          <cell r="C204">
            <v>27</v>
          </cell>
          <cell r="D204" t="str">
            <v>BFK</v>
          </cell>
          <cell r="E204">
            <v>2.4464550707244528</v>
          </cell>
        </row>
        <row r="205">
          <cell r="B205" t="str">
            <v>University of Verona</v>
          </cell>
          <cell r="C205">
            <v>27</v>
          </cell>
          <cell r="D205" t="str">
            <v>BAV</v>
          </cell>
          <cell r="E205">
            <v>2.4464550707244528</v>
          </cell>
        </row>
        <row r="206">
          <cell r="B206" t="str">
            <v>Stockholm School of Economics</v>
          </cell>
          <cell r="C206">
            <v>50</v>
          </cell>
          <cell r="D206" t="str">
            <v>AFR</v>
          </cell>
          <cell r="E206">
            <v>2.4453356236117569</v>
          </cell>
        </row>
        <row r="207">
          <cell r="B207" t="str">
            <v>emlyon business school</v>
          </cell>
          <cell r="C207">
            <v>29</v>
          </cell>
          <cell r="D207" t="str">
            <v>DBL</v>
          </cell>
          <cell r="E207">
            <v>2.440232323767844</v>
          </cell>
        </row>
        <row r="208">
          <cell r="B208" t="str">
            <v>Auckland University of Technology</v>
          </cell>
          <cell r="C208">
            <v>35</v>
          </cell>
          <cell r="D208" t="str">
            <v>AHW</v>
          </cell>
          <cell r="E208">
            <v>2.4384578090618021</v>
          </cell>
        </row>
        <row r="209">
          <cell r="B209" t="str">
            <v>University of Queensland</v>
          </cell>
          <cell r="C209">
            <v>68</v>
          </cell>
          <cell r="D209" t="str">
            <v>ADM</v>
          </cell>
          <cell r="E209">
            <v>2.4365835880336881</v>
          </cell>
        </row>
        <row r="210">
          <cell r="B210" t="str">
            <v>University of Edinburgh</v>
          </cell>
          <cell r="C210">
            <v>36</v>
          </cell>
          <cell r="D210" t="str">
            <v>AGJ</v>
          </cell>
          <cell r="E210">
            <v>2.4365226072335968</v>
          </cell>
        </row>
        <row r="211">
          <cell r="B211" t="str">
            <v>University of Vienna</v>
          </cell>
          <cell r="C211">
            <v>21</v>
          </cell>
          <cell r="D211" t="str">
            <v>BGR</v>
          </cell>
          <cell r="E211">
            <v>2.4355388495062211</v>
          </cell>
        </row>
        <row r="212">
          <cell r="B212" t="str">
            <v>Universitetet i Stavanger</v>
          </cell>
          <cell r="C212">
            <v>10</v>
          </cell>
          <cell r="D212" t="str">
            <v>DBN</v>
          </cell>
          <cell r="E212">
            <v>2.435171126449454</v>
          </cell>
        </row>
        <row r="213">
          <cell r="B213" t="str">
            <v>University of Delaware</v>
          </cell>
          <cell r="C213">
            <v>12</v>
          </cell>
          <cell r="D213" t="str">
            <v>AGG</v>
          </cell>
          <cell r="E213">
            <v>2.434863716831758</v>
          </cell>
        </row>
        <row r="214">
          <cell r="B214" t="str">
            <v>Northeastern University - China</v>
          </cell>
          <cell r="C214">
            <v>9</v>
          </cell>
          <cell r="D214" t="str">
            <v>DEN</v>
          </cell>
          <cell r="E214">
            <v>2.4327048826914499</v>
          </cell>
        </row>
        <row r="215">
          <cell r="B215" t="str">
            <v>ESSEC Business School</v>
          </cell>
          <cell r="C215">
            <v>14</v>
          </cell>
          <cell r="D215" t="str">
            <v>BAW</v>
          </cell>
          <cell r="E215">
            <v>2.412105248360469</v>
          </cell>
        </row>
        <row r="216">
          <cell r="B216" t="str">
            <v>Colorado State University</v>
          </cell>
          <cell r="C216">
            <v>21</v>
          </cell>
          <cell r="D216" t="str">
            <v>BHX</v>
          </cell>
          <cell r="E216">
            <v>2.403649129355578</v>
          </cell>
        </row>
        <row r="217">
          <cell r="B217" t="str">
            <v>Swansea University</v>
          </cell>
          <cell r="C217">
            <v>30</v>
          </cell>
          <cell r="D217" t="str">
            <v>CHQ</v>
          </cell>
          <cell r="E217">
            <v>2.3996801773897798</v>
          </cell>
        </row>
        <row r="218">
          <cell r="B218" t="str">
            <v>Linkoping University</v>
          </cell>
          <cell r="C218">
            <v>27</v>
          </cell>
          <cell r="D218" t="str">
            <v>AEZ</v>
          </cell>
          <cell r="E218">
            <v>2.3967504772747339</v>
          </cell>
        </row>
        <row r="219">
          <cell r="B219" t="str">
            <v>Royal Holloway University London</v>
          </cell>
          <cell r="C219">
            <v>24</v>
          </cell>
          <cell r="D219" t="str">
            <v>BDE</v>
          </cell>
          <cell r="E219">
            <v>2.3956433002321931</v>
          </cell>
        </row>
        <row r="220">
          <cell r="B220" t="str">
            <v>University of Innsbruck</v>
          </cell>
          <cell r="C220">
            <v>14</v>
          </cell>
          <cell r="D220" t="str">
            <v>BFC</v>
          </cell>
          <cell r="E220">
            <v>2.3939529613322388</v>
          </cell>
        </row>
        <row r="221">
          <cell r="B221" t="str">
            <v>University of Sydney</v>
          </cell>
          <cell r="C221">
            <v>50</v>
          </cell>
          <cell r="D221" t="str">
            <v>ADP</v>
          </cell>
          <cell r="E221">
            <v>2.3934481473851932</v>
          </cell>
        </row>
        <row r="222">
          <cell r="B222" t="str">
            <v>University of Lausanne</v>
          </cell>
          <cell r="C222">
            <v>14</v>
          </cell>
          <cell r="D222" t="str">
            <v>AGO</v>
          </cell>
          <cell r="E222">
            <v>2.3914259165448861</v>
          </cell>
        </row>
        <row r="223">
          <cell r="B223" t="str">
            <v>University of Auckland</v>
          </cell>
          <cell r="C223">
            <v>70</v>
          </cell>
          <cell r="D223" t="str">
            <v>ACV</v>
          </cell>
          <cell r="E223">
            <v>2.390935768630007</v>
          </cell>
        </row>
        <row r="224">
          <cell r="B224" t="str">
            <v>Griffith University</v>
          </cell>
          <cell r="C224">
            <v>57</v>
          </cell>
          <cell r="D224" t="str">
            <v>BBF</v>
          </cell>
          <cell r="E224">
            <v>2.3874578390237602</v>
          </cell>
        </row>
        <row r="225">
          <cell r="B225" t="str">
            <v>University of Illinois Urbana-Champaign</v>
          </cell>
          <cell r="C225">
            <v>34</v>
          </cell>
          <cell r="D225" t="str">
            <v>ADB</v>
          </cell>
          <cell r="E225">
            <v>2.385836733333774</v>
          </cell>
        </row>
        <row r="226">
          <cell r="B226" t="str">
            <v>Fudan University</v>
          </cell>
          <cell r="C226">
            <v>25</v>
          </cell>
          <cell r="D226" t="str">
            <v>BBD</v>
          </cell>
          <cell r="E226">
            <v>2.3857465412146048</v>
          </cell>
        </row>
        <row r="227">
          <cell r="B227" t="str">
            <v>University of Glasgow</v>
          </cell>
          <cell r="C227">
            <v>36</v>
          </cell>
          <cell r="D227" t="str">
            <v>BEV</v>
          </cell>
          <cell r="E227">
            <v>2.3831887246951799</v>
          </cell>
        </row>
        <row r="228">
          <cell r="B228" t="str">
            <v>University of Cincinnati</v>
          </cell>
          <cell r="C228">
            <v>12</v>
          </cell>
          <cell r="D228" t="str">
            <v>DCL</v>
          </cell>
          <cell r="E228">
            <v>2.3751501072018728</v>
          </cell>
        </row>
        <row r="229">
          <cell r="B229" t="str">
            <v>University of Birmingham</v>
          </cell>
          <cell r="C229">
            <v>49</v>
          </cell>
          <cell r="D229" t="str">
            <v>AGB</v>
          </cell>
          <cell r="E229">
            <v>2.3716865103283178</v>
          </cell>
        </row>
        <row r="230">
          <cell r="B230" t="str">
            <v>University of Alabama Tuscaloosa</v>
          </cell>
          <cell r="C230">
            <v>31</v>
          </cell>
          <cell r="D230" t="str">
            <v>BEB</v>
          </cell>
          <cell r="E230">
            <v>2.365972179503014</v>
          </cell>
        </row>
        <row r="231">
          <cell r="B231" t="str">
            <v>University of Bayreuth</v>
          </cell>
          <cell r="C231">
            <v>25</v>
          </cell>
          <cell r="D231" t="str">
            <v>DAI</v>
          </cell>
          <cell r="E231">
            <v>2.3642096412799209</v>
          </cell>
        </row>
        <row r="232">
          <cell r="B232" t="str">
            <v>Wageningen University &amp; Research</v>
          </cell>
          <cell r="C232">
            <v>13</v>
          </cell>
          <cell r="D232" t="str">
            <v>BGZ</v>
          </cell>
          <cell r="E232">
            <v>2.361274300128358</v>
          </cell>
        </row>
        <row r="233">
          <cell r="B233" t="str">
            <v>University of Reading</v>
          </cell>
          <cell r="C233">
            <v>51</v>
          </cell>
          <cell r="D233" t="str">
            <v>AGY</v>
          </cell>
          <cell r="E233">
            <v>2.3575211894986352</v>
          </cell>
        </row>
        <row r="234">
          <cell r="B234" t="str">
            <v>University of Copenhagen</v>
          </cell>
          <cell r="C234">
            <v>9</v>
          </cell>
          <cell r="D234" t="str">
            <v>AGF</v>
          </cell>
          <cell r="E234">
            <v>2.357438864995415</v>
          </cell>
        </row>
        <row r="235">
          <cell r="B235" t="str">
            <v>Universite de Montpellier</v>
          </cell>
          <cell r="C235">
            <v>21</v>
          </cell>
          <cell r="D235" t="str">
            <v>BFT</v>
          </cell>
          <cell r="E235">
            <v>2.342708333588134</v>
          </cell>
        </row>
        <row r="236">
          <cell r="B236" t="str">
            <v>University of Exeter</v>
          </cell>
          <cell r="C236">
            <v>28</v>
          </cell>
          <cell r="D236" t="str">
            <v>BES</v>
          </cell>
          <cell r="E236">
            <v>2.3381108344449881</v>
          </cell>
        </row>
        <row r="237">
          <cell r="B237" t="str">
            <v>Hitotsubashi University</v>
          </cell>
          <cell r="C237">
            <v>4</v>
          </cell>
          <cell r="D237" t="str">
            <v>ADX</v>
          </cell>
          <cell r="E237">
            <v>2.337386245184077</v>
          </cell>
        </row>
        <row r="238">
          <cell r="B238" t="str">
            <v>University of Geneva</v>
          </cell>
          <cell r="C238">
            <v>11</v>
          </cell>
          <cell r="D238" t="str">
            <v>BEU</v>
          </cell>
          <cell r="E238">
            <v>2.336773064567081</v>
          </cell>
        </row>
        <row r="239">
          <cell r="B239" t="str">
            <v>Macquarie University</v>
          </cell>
          <cell r="C239">
            <v>55</v>
          </cell>
          <cell r="D239" t="str">
            <v>BCE</v>
          </cell>
          <cell r="E239">
            <v>2.3296536364208942</v>
          </cell>
        </row>
        <row r="240">
          <cell r="B240" t="str">
            <v>Wilfrid Laurier University</v>
          </cell>
          <cell r="C240">
            <v>17</v>
          </cell>
          <cell r="D240" t="str">
            <v>BHA</v>
          </cell>
          <cell r="E240">
            <v>2.326779968421536</v>
          </cell>
        </row>
        <row r="241">
          <cell r="B241" t="str">
            <v>University of North Carolina Greensboro</v>
          </cell>
          <cell r="C241">
            <v>30</v>
          </cell>
          <cell r="D241" t="str">
            <v>CAS</v>
          </cell>
          <cell r="E241">
            <v>2.3264506434218828</v>
          </cell>
        </row>
        <row r="242">
          <cell r="B242" t="str">
            <v>Miami University</v>
          </cell>
          <cell r="C242">
            <v>17</v>
          </cell>
          <cell r="D242" t="str">
            <v>BCO</v>
          </cell>
          <cell r="E242">
            <v>2.3082272081780388</v>
          </cell>
        </row>
        <row r="243">
          <cell r="B243" t="str">
            <v>Bentley University</v>
          </cell>
          <cell r="C243">
            <v>18</v>
          </cell>
          <cell r="D243" t="str">
            <v>DAJ</v>
          </cell>
          <cell r="E243">
            <v>2.3032031004266988</v>
          </cell>
        </row>
        <row r="244">
          <cell r="B244" t="str">
            <v>Queensland University of Technology (QUT)</v>
          </cell>
          <cell r="C244">
            <v>58</v>
          </cell>
          <cell r="D244" t="str">
            <v>AFJ</v>
          </cell>
          <cell r="E244">
            <v>2.2971589915817749</v>
          </cell>
        </row>
        <row r="245">
          <cell r="B245" t="str">
            <v>Swinburne University of Technology</v>
          </cell>
          <cell r="C245">
            <v>44</v>
          </cell>
          <cell r="D245" t="str">
            <v>BCD</v>
          </cell>
          <cell r="E245">
            <v>2.2863542751978869</v>
          </cell>
        </row>
        <row r="246">
          <cell r="B246" t="str">
            <v>Southern Methodist University</v>
          </cell>
          <cell r="C246">
            <v>11</v>
          </cell>
          <cell r="D246" t="str">
            <v>BDN</v>
          </cell>
          <cell r="E246">
            <v>2.2829112675616718</v>
          </cell>
        </row>
        <row r="247">
          <cell r="B247" t="str">
            <v>University of Bologna</v>
          </cell>
          <cell r="C247">
            <v>44</v>
          </cell>
          <cell r="D247" t="str">
            <v>BEG</v>
          </cell>
          <cell r="E247">
            <v>2.2820368097414052</v>
          </cell>
        </row>
        <row r="248">
          <cell r="B248" t="str">
            <v>University of Kent</v>
          </cell>
          <cell r="C248">
            <v>39</v>
          </cell>
          <cell r="D248" t="str">
            <v>BFH</v>
          </cell>
          <cell r="E248">
            <v>2.2819712459100052</v>
          </cell>
        </row>
        <row r="249">
          <cell r="B249" t="str">
            <v>Loughborough University</v>
          </cell>
          <cell r="C249">
            <v>46</v>
          </cell>
          <cell r="D249" t="str">
            <v>BFO</v>
          </cell>
          <cell r="E249">
            <v>2.2663991152403238</v>
          </cell>
        </row>
        <row r="250">
          <cell r="B250" t="str">
            <v>Scuola Superiore Sant'Anna</v>
          </cell>
          <cell r="C250">
            <v>23</v>
          </cell>
          <cell r="D250" t="str">
            <v>BDI</v>
          </cell>
          <cell r="E250">
            <v>2.2660301973311729</v>
          </cell>
        </row>
        <row r="251">
          <cell r="B251" t="str">
            <v>University of Manitoba</v>
          </cell>
          <cell r="C251">
            <v>15</v>
          </cell>
          <cell r="D251" t="str">
            <v>DDZ</v>
          </cell>
          <cell r="E251">
            <v>2.2634404061957492</v>
          </cell>
        </row>
        <row r="252">
          <cell r="B252" t="str">
            <v>Cardiff University</v>
          </cell>
          <cell r="C252">
            <v>39</v>
          </cell>
          <cell r="D252" t="str">
            <v>BAE</v>
          </cell>
          <cell r="E252">
            <v>2.262987381504749</v>
          </cell>
        </row>
        <row r="253">
          <cell r="B253" t="str">
            <v>Johannes Kepler University Linz</v>
          </cell>
          <cell r="C253">
            <v>11</v>
          </cell>
          <cell r="D253" t="str">
            <v>BFL</v>
          </cell>
          <cell r="E253">
            <v>2.259990759760822</v>
          </cell>
        </row>
        <row r="254">
          <cell r="B254" t="str">
            <v>Nottingham Trent University</v>
          </cell>
          <cell r="C254">
            <v>29</v>
          </cell>
          <cell r="D254" t="str">
            <v>BDW</v>
          </cell>
          <cell r="E254">
            <v>2.2587931533965131</v>
          </cell>
        </row>
        <row r="255">
          <cell r="B255" t="str">
            <v>University of Strathclyde</v>
          </cell>
          <cell r="C255">
            <v>24</v>
          </cell>
          <cell r="D255" t="str">
            <v>BGM</v>
          </cell>
          <cell r="E255">
            <v>2.2584335663346589</v>
          </cell>
        </row>
        <row r="256">
          <cell r="B256" t="str">
            <v>Utah State University</v>
          </cell>
          <cell r="C256">
            <v>11</v>
          </cell>
          <cell r="D256" t="str">
            <v>AEF</v>
          </cell>
          <cell r="E256">
            <v>2.2556595415602758</v>
          </cell>
        </row>
        <row r="257">
          <cell r="B257" t="str">
            <v>University College Dublin</v>
          </cell>
          <cell r="C257">
            <v>18</v>
          </cell>
          <cell r="D257" t="str">
            <v>AGD</v>
          </cell>
          <cell r="E257">
            <v>2.2508250643237031</v>
          </cell>
        </row>
        <row r="258">
          <cell r="B258" t="str">
            <v>Solent University</v>
          </cell>
          <cell r="C258">
            <v>30</v>
          </cell>
          <cell r="D258" t="str">
            <v>CBZ</v>
          </cell>
          <cell r="E258">
            <v>2.2500827876941458</v>
          </cell>
        </row>
        <row r="259">
          <cell r="B259" t="str">
            <v>Michigan State University</v>
          </cell>
          <cell r="C259">
            <v>39</v>
          </cell>
          <cell r="D259" t="str">
            <v>ABH</v>
          </cell>
          <cell r="E259">
            <v>2.2488765350736291</v>
          </cell>
        </row>
        <row r="260">
          <cell r="B260" t="str">
            <v>University of Massachusetts Amherst</v>
          </cell>
          <cell r="C260">
            <v>19</v>
          </cell>
          <cell r="D260" t="str">
            <v>BFR</v>
          </cell>
          <cell r="E260">
            <v>2.244876035258609</v>
          </cell>
        </row>
        <row r="261">
          <cell r="B261" t="str">
            <v>Mississippi State University</v>
          </cell>
          <cell r="C261">
            <v>14</v>
          </cell>
          <cell r="D261" t="str">
            <v>AFD</v>
          </cell>
          <cell r="E261">
            <v>2.238568090242703</v>
          </cell>
        </row>
        <row r="262">
          <cell r="B262" t="str">
            <v>University of Mississippi</v>
          </cell>
          <cell r="C262">
            <v>14</v>
          </cell>
          <cell r="D262" t="str">
            <v>DCF</v>
          </cell>
          <cell r="E262">
            <v>2.238568090242703</v>
          </cell>
        </row>
        <row r="263">
          <cell r="B263" t="str">
            <v>University of Nottingham</v>
          </cell>
          <cell r="C263">
            <v>61</v>
          </cell>
          <cell r="D263" t="str">
            <v>ADL</v>
          </cell>
          <cell r="E263">
            <v>2.2357206299269849</v>
          </cell>
        </row>
        <row r="264">
          <cell r="B264" t="str">
            <v>G d'Annunzio University of Chieti-Pescara</v>
          </cell>
          <cell r="C264">
            <v>18</v>
          </cell>
          <cell r="D264" t="str">
            <v>DBV</v>
          </cell>
          <cell r="E264">
            <v>2.2320547584291242</v>
          </cell>
        </row>
        <row r="265">
          <cell r="B265" t="str">
            <v>Eindhoven University of Technology</v>
          </cell>
          <cell r="C265">
            <v>20</v>
          </cell>
          <cell r="D265" t="str">
            <v>BAU</v>
          </cell>
          <cell r="E265">
            <v>2.2310416514054001</v>
          </cell>
        </row>
        <row r="266">
          <cell r="B266" t="str">
            <v>San Diego State University</v>
          </cell>
          <cell r="C266">
            <v>12</v>
          </cell>
          <cell r="D266" t="str">
            <v>BHN</v>
          </cell>
          <cell r="E266">
            <v>2.228758341532076</v>
          </cell>
        </row>
        <row r="267">
          <cell r="B267" t="str">
            <v>University of Central Florida</v>
          </cell>
          <cell r="C267">
            <v>37</v>
          </cell>
          <cell r="D267" t="str">
            <v>BEA</v>
          </cell>
          <cell r="E267">
            <v>2.2216719017000131</v>
          </cell>
        </row>
        <row r="268">
          <cell r="B268" t="str">
            <v>Royal Melbourne Institute of Technology (RMIT)</v>
          </cell>
          <cell r="C268">
            <v>51</v>
          </cell>
          <cell r="D268" t="str">
            <v>BDD</v>
          </cell>
          <cell r="E268">
            <v>2.216504251599952</v>
          </cell>
        </row>
        <row r="269">
          <cell r="B269" t="str">
            <v>Ifo Institut</v>
          </cell>
          <cell r="C269">
            <v>7</v>
          </cell>
          <cell r="D269" t="str">
            <v>AHT</v>
          </cell>
          <cell r="E269">
            <v>2.2146436530912208</v>
          </cell>
        </row>
        <row r="270">
          <cell r="B270" t="str">
            <v>University of Sussex</v>
          </cell>
          <cell r="C270">
            <v>43</v>
          </cell>
          <cell r="D270" t="str">
            <v>AHD</v>
          </cell>
          <cell r="E270">
            <v>2.206300835772641</v>
          </cell>
        </row>
        <row r="271">
          <cell r="B271" t="str">
            <v>University of Leeds</v>
          </cell>
          <cell r="C271">
            <v>74</v>
          </cell>
          <cell r="D271" t="str">
            <v>AGQ</v>
          </cell>
          <cell r="E271">
            <v>2.2036980932843648</v>
          </cell>
        </row>
        <row r="272">
          <cell r="B272" t="str">
            <v>University of Vaasa</v>
          </cell>
          <cell r="C272">
            <v>42</v>
          </cell>
          <cell r="D272" t="str">
            <v>CBS</v>
          </cell>
          <cell r="E272">
            <v>2.2028753259650138</v>
          </cell>
        </row>
        <row r="273">
          <cell r="B273" t="str">
            <v>University of Salamanca</v>
          </cell>
          <cell r="C273">
            <v>21</v>
          </cell>
          <cell r="D273" t="str">
            <v>DDS</v>
          </cell>
          <cell r="E273">
            <v>2.1927507063326099</v>
          </cell>
        </row>
        <row r="274">
          <cell r="B274" t="str">
            <v>Universidade Nova de Lisboa</v>
          </cell>
          <cell r="C274">
            <v>24</v>
          </cell>
          <cell r="D274" t="str">
            <v>AGU</v>
          </cell>
          <cell r="E274">
            <v>2.1926716983910191</v>
          </cell>
        </row>
        <row r="275">
          <cell r="B275" t="str">
            <v>University of Massachusetts Lowell</v>
          </cell>
          <cell r="C275">
            <v>18</v>
          </cell>
          <cell r="D275" t="str">
            <v>DDP</v>
          </cell>
          <cell r="E275">
            <v>2.1908525201343521</v>
          </cell>
        </row>
        <row r="276">
          <cell r="B276" t="str">
            <v>Deakin University</v>
          </cell>
          <cell r="C276">
            <v>41</v>
          </cell>
          <cell r="D276" t="str">
            <v>ACE</v>
          </cell>
          <cell r="E276">
            <v>2.1897553611210179</v>
          </cell>
        </row>
        <row r="277">
          <cell r="B277" t="str">
            <v>University of South Australia</v>
          </cell>
          <cell r="C277">
            <v>47</v>
          </cell>
          <cell r="D277" t="str">
            <v>BGJ</v>
          </cell>
          <cell r="E277">
            <v>2.1763489586090738</v>
          </cell>
        </row>
        <row r="278">
          <cell r="B278" t="str">
            <v>University of Wisconsin Milwaukee</v>
          </cell>
          <cell r="C278">
            <v>8</v>
          </cell>
          <cell r="D278" t="str">
            <v>DDG</v>
          </cell>
          <cell r="E278">
            <v>2.1737470155363718</v>
          </cell>
        </row>
        <row r="279">
          <cell r="B279" t="str">
            <v>University of Granada</v>
          </cell>
          <cell r="C279">
            <v>37</v>
          </cell>
          <cell r="D279" t="str">
            <v>BEY</v>
          </cell>
          <cell r="E279">
            <v>2.1733342251445471</v>
          </cell>
        </row>
        <row r="280">
          <cell r="B280" t="str">
            <v>University of Zaragoza</v>
          </cell>
          <cell r="C280">
            <v>32</v>
          </cell>
          <cell r="D280" t="str">
            <v>BFB</v>
          </cell>
          <cell r="E280">
            <v>2.1701131749085518</v>
          </cell>
        </row>
        <row r="281">
          <cell r="B281" t="str">
            <v>University of Sheffield</v>
          </cell>
          <cell r="C281">
            <v>23</v>
          </cell>
          <cell r="D281" t="str">
            <v>AHA</v>
          </cell>
          <cell r="E281">
            <v>2.1645048380979821</v>
          </cell>
        </row>
        <row r="282">
          <cell r="B282" t="str">
            <v>University of Southampton</v>
          </cell>
          <cell r="C282">
            <v>36</v>
          </cell>
          <cell r="D282" t="str">
            <v>AHB</v>
          </cell>
          <cell r="E282">
            <v>2.154808409798104</v>
          </cell>
        </row>
        <row r="283">
          <cell r="B283" t="str">
            <v>KU Leuven</v>
          </cell>
          <cell r="C283">
            <v>42</v>
          </cell>
          <cell r="D283" t="str">
            <v>AEX</v>
          </cell>
          <cell r="E283">
            <v>2.1427064331956061</v>
          </cell>
        </row>
        <row r="284">
          <cell r="B284" t="str">
            <v>Stockholm University</v>
          </cell>
          <cell r="C284">
            <v>19</v>
          </cell>
          <cell r="D284" t="str">
            <v>AFS</v>
          </cell>
          <cell r="E284">
            <v>2.140378786071754</v>
          </cell>
        </row>
        <row r="285">
          <cell r="B285" t="str">
            <v>Australian National University</v>
          </cell>
          <cell r="C285">
            <v>27</v>
          </cell>
          <cell r="D285" t="str">
            <v>AEC</v>
          </cell>
          <cell r="E285">
            <v>2.1360806371480021</v>
          </cell>
        </row>
        <row r="286">
          <cell r="B286" t="str">
            <v>University Hohenheim</v>
          </cell>
          <cell r="C286">
            <v>9</v>
          </cell>
          <cell r="D286" t="str">
            <v>BEQ</v>
          </cell>
          <cell r="E286">
            <v>2.1254199050398599</v>
          </cell>
        </row>
        <row r="287">
          <cell r="B287" t="str">
            <v>Leibniz University Hannover</v>
          </cell>
          <cell r="C287">
            <v>10</v>
          </cell>
          <cell r="D287" t="str">
            <v>BAA</v>
          </cell>
          <cell r="E287">
            <v>2.1244543934404692</v>
          </cell>
        </row>
        <row r="288">
          <cell r="B288" t="str">
            <v>Queen Mary University London</v>
          </cell>
          <cell r="C288">
            <v>14</v>
          </cell>
          <cell r="D288" t="str">
            <v>BCY</v>
          </cell>
          <cell r="E288">
            <v>2.123733032585422</v>
          </cell>
        </row>
        <row r="289">
          <cell r="B289" t="str">
            <v>University of Technology Sydney</v>
          </cell>
          <cell r="C289">
            <v>38</v>
          </cell>
          <cell r="D289" t="str">
            <v>AHE</v>
          </cell>
          <cell r="E289">
            <v>2.1229112727608279</v>
          </cell>
        </row>
        <row r="290">
          <cell r="B290" t="str">
            <v>Hong Kong Polytechnic University</v>
          </cell>
          <cell r="C290">
            <v>45</v>
          </cell>
          <cell r="D290" t="str">
            <v>ACK</v>
          </cell>
          <cell r="E290">
            <v>2.119443703095599</v>
          </cell>
        </row>
        <row r="291">
          <cell r="B291" t="str">
            <v>University of New South Wales Sydney</v>
          </cell>
          <cell r="C291">
            <v>57</v>
          </cell>
          <cell r="D291" t="str">
            <v>ADI</v>
          </cell>
          <cell r="E291">
            <v>2.116208511970711</v>
          </cell>
        </row>
        <row r="292">
          <cell r="B292" t="str">
            <v>Tinbergen Institute</v>
          </cell>
          <cell r="C292">
            <v>3</v>
          </cell>
          <cell r="D292" t="str">
            <v>CAI</v>
          </cell>
          <cell r="E292">
            <v>2.1151225730516519</v>
          </cell>
        </row>
        <row r="293">
          <cell r="B293" t="str">
            <v>Chung Ang University</v>
          </cell>
          <cell r="C293">
            <v>5</v>
          </cell>
          <cell r="D293" t="str">
            <v>DAR</v>
          </cell>
          <cell r="E293">
            <v>2.1116977788179971</v>
          </cell>
        </row>
        <row r="294">
          <cell r="B294" t="str">
            <v>University of Houston</v>
          </cell>
          <cell r="C294">
            <v>33</v>
          </cell>
          <cell r="D294" t="str">
            <v>BFA</v>
          </cell>
          <cell r="E294">
            <v>2.1033748420215339</v>
          </cell>
        </row>
        <row r="295">
          <cell r="B295" t="str">
            <v>Binghamton University, SUNY</v>
          </cell>
          <cell r="C295">
            <v>9</v>
          </cell>
          <cell r="D295" t="str">
            <v>DDI</v>
          </cell>
          <cell r="E295">
            <v>2.1019530113744742</v>
          </cell>
        </row>
        <row r="296">
          <cell r="B296" t="str">
            <v>University of Barcelona</v>
          </cell>
          <cell r="C296">
            <v>13</v>
          </cell>
          <cell r="D296" t="str">
            <v>CAM</v>
          </cell>
          <cell r="E296">
            <v>2.0976001112255802</v>
          </cell>
        </row>
        <row r="297">
          <cell r="B297" t="str">
            <v>University of Memphis</v>
          </cell>
          <cell r="C297">
            <v>15</v>
          </cell>
          <cell r="D297" t="str">
            <v>DBO</v>
          </cell>
          <cell r="E297">
            <v>2.097518940231363</v>
          </cell>
        </row>
        <row r="298">
          <cell r="B298" t="str">
            <v>University of Missouri Columbia</v>
          </cell>
          <cell r="C298">
            <v>23</v>
          </cell>
          <cell r="D298" t="str">
            <v>BFS</v>
          </cell>
          <cell r="E298">
            <v>2.096206316382542</v>
          </cell>
        </row>
        <row r="299">
          <cell r="B299" t="str">
            <v>Middlesex University</v>
          </cell>
          <cell r="C299">
            <v>38</v>
          </cell>
          <cell r="D299" t="str">
            <v>BFP</v>
          </cell>
          <cell r="E299">
            <v>2.0947895386962889</v>
          </cell>
        </row>
        <row r="300">
          <cell r="B300" t="str">
            <v>Washington State University</v>
          </cell>
          <cell r="C300">
            <v>22</v>
          </cell>
          <cell r="D300" t="str">
            <v>CAD</v>
          </cell>
          <cell r="E300">
            <v>2.092488161166564</v>
          </cell>
        </row>
        <row r="301">
          <cell r="B301" t="str">
            <v>University of Zagreb</v>
          </cell>
          <cell r="C301">
            <v>17</v>
          </cell>
          <cell r="D301" t="str">
            <v>CBR</v>
          </cell>
          <cell r="E301">
            <v>2.0835482203554219</v>
          </cell>
        </row>
        <row r="302">
          <cell r="B302" t="str">
            <v>Northwestern Polytechnical University</v>
          </cell>
          <cell r="C302">
            <v>24</v>
          </cell>
          <cell r="D302" t="str">
            <v>DAP</v>
          </cell>
          <cell r="E302">
            <v>2.0827634117764982</v>
          </cell>
        </row>
        <row r="303">
          <cell r="B303" t="str">
            <v>University of Nottingham Ningbo China</v>
          </cell>
          <cell r="C303">
            <v>23</v>
          </cell>
          <cell r="D303" t="str">
            <v>BGU</v>
          </cell>
          <cell r="E303">
            <v>2.0811584890567052</v>
          </cell>
        </row>
        <row r="304">
          <cell r="B304" t="str">
            <v>University of St Andrews</v>
          </cell>
          <cell r="C304">
            <v>7</v>
          </cell>
          <cell r="D304" t="str">
            <v>BGL</v>
          </cell>
          <cell r="E304">
            <v>2.0791015925696059</v>
          </cell>
        </row>
        <row r="305">
          <cell r="B305" t="str">
            <v>University of Kansas</v>
          </cell>
          <cell r="C305">
            <v>9</v>
          </cell>
          <cell r="D305" t="str">
            <v>BFF</v>
          </cell>
          <cell r="E305">
            <v>2.0777118575666189</v>
          </cell>
        </row>
        <row r="306">
          <cell r="B306" t="str">
            <v>Open University - UK</v>
          </cell>
          <cell r="C306">
            <v>17</v>
          </cell>
          <cell r="D306" t="str">
            <v>BHP</v>
          </cell>
          <cell r="E306">
            <v>2.0773267626986569</v>
          </cell>
        </row>
        <row r="307">
          <cell r="B307" t="str">
            <v>Purdue University</v>
          </cell>
          <cell r="C307">
            <v>27</v>
          </cell>
          <cell r="D307" t="str">
            <v>ACP</v>
          </cell>
          <cell r="E307">
            <v>2.0755927785745141</v>
          </cell>
        </row>
        <row r="308">
          <cell r="B308" t="str">
            <v>University of East Anglia</v>
          </cell>
          <cell r="C308">
            <v>16</v>
          </cell>
          <cell r="D308" t="str">
            <v>AGH</v>
          </cell>
          <cell r="E308">
            <v>2.0724564016943741</v>
          </cell>
        </row>
        <row r="309">
          <cell r="B309" t="str">
            <v>Sichuan University</v>
          </cell>
          <cell r="C309">
            <v>23</v>
          </cell>
          <cell r="D309" t="str">
            <v>BDL</v>
          </cell>
          <cell r="E309">
            <v>2.0668754784991941</v>
          </cell>
        </row>
        <row r="310">
          <cell r="B310" t="str">
            <v>Virginia Polytechnic Institute &amp; State University</v>
          </cell>
          <cell r="C310">
            <v>20</v>
          </cell>
          <cell r="D310" t="str">
            <v>BGY</v>
          </cell>
          <cell r="E310">
            <v>2.0597561044901389</v>
          </cell>
        </row>
        <row r="311">
          <cell r="B311" t="str">
            <v>Universite Libre de Bruxelles</v>
          </cell>
          <cell r="C311">
            <v>10</v>
          </cell>
          <cell r="D311" t="str">
            <v>BFJ</v>
          </cell>
          <cell r="E311">
            <v>2.059032129904427</v>
          </cell>
        </row>
        <row r="312">
          <cell r="B312" t="str">
            <v>University of California Santa Barbara</v>
          </cell>
          <cell r="C312">
            <v>5</v>
          </cell>
          <cell r="D312" t="str">
            <v>ACZ</v>
          </cell>
          <cell r="E312">
            <v>2.053471762758261</v>
          </cell>
        </row>
        <row r="313">
          <cell r="B313" t="str">
            <v>Kedge Business School</v>
          </cell>
          <cell r="C313">
            <v>50</v>
          </cell>
          <cell r="D313" t="str">
            <v>BEP</v>
          </cell>
          <cell r="E313">
            <v>2.0463716304633812</v>
          </cell>
        </row>
        <row r="314">
          <cell r="B314" t="str">
            <v>City University of Hong Kong</v>
          </cell>
          <cell r="C314">
            <v>47</v>
          </cell>
          <cell r="D314" t="str">
            <v>AEI</v>
          </cell>
          <cell r="E314">
            <v>2.031448697113571</v>
          </cell>
        </row>
        <row r="315">
          <cell r="B315" t="str">
            <v>Concordia University - Canada</v>
          </cell>
          <cell r="C315">
            <v>36</v>
          </cell>
          <cell r="D315" t="str">
            <v>BAM</v>
          </cell>
          <cell r="E315">
            <v>2.0176480826985208</v>
          </cell>
        </row>
        <row r="316">
          <cell r="B316" t="str">
            <v>Centre National de la Recherche Scientifique (CNRS)</v>
          </cell>
          <cell r="C316">
            <v>33</v>
          </cell>
          <cell r="D316" t="str">
            <v>AEJ</v>
          </cell>
          <cell r="E316">
            <v>2.0151980940610348</v>
          </cell>
        </row>
        <row r="317">
          <cell r="B317" t="str">
            <v>SKEMA Business School</v>
          </cell>
          <cell r="C317">
            <v>28</v>
          </cell>
          <cell r="D317" t="str">
            <v>DAV</v>
          </cell>
          <cell r="E317">
            <v>2.0150576584760911</v>
          </cell>
        </row>
        <row r="318">
          <cell r="B318" t="str">
            <v>Kansas State University</v>
          </cell>
          <cell r="C318">
            <v>13</v>
          </cell>
          <cell r="D318" t="str">
            <v>CGU</v>
          </cell>
          <cell r="E318">
            <v>2.0120653347817612</v>
          </cell>
        </row>
        <row r="319">
          <cell r="B319" t="str">
            <v>Trinity College Dublin</v>
          </cell>
          <cell r="C319">
            <v>23</v>
          </cell>
          <cell r="D319" t="str">
            <v>AFW</v>
          </cell>
          <cell r="E319">
            <v>2.000288036128091</v>
          </cell>
        </row>
        <row r="320">
          <cell r="B320" t="str">
            <v>NEOMA Business School</v>
          </cell>
          <cell r="C320">
            <v>29</v>
          </cell>
          <cell r="D320" t="str">
            <v>DDN</v>
          </cell>
          <cell r="E320">
            <v>1.9998454377537289</v>
          </cell>
        </row>
        <row r="321">
          <cell r="B321" t="str">
            <v>University of Wyoming</v>
          </cell>
          <cell r="C321">
            <v>19</v>
          </cell>
          <cell r="D321" t="str">
            <v>DEZ</v>
          </cell>
          <cell r="E321">
            <v>1.99718687592051</v>
          </cell>
        </row>
        <row r="322">
          <cell r="B322" t="str">
            <v>Waseda University</v>
          </cell>
          <cell r="C322">
            <v>13</v>
          </cell>
          <cell r="D322" t="str">
            <v>BAZ</v>
          </cell>
          <cell r="E322">
            <v>1.987978030855774</v>
          </cell>
        </row>
        <row r="323">
          <cell r="B323" t="str">
            <v>Zhejiang University</v>
          </cell>
          <cell r="C323">
            <v>53</v>
          </cell>
          <cell r="D323" t="str">
            <v>BHD</v>
          </cell>
          <cell r="E323">
            <v>1.9842313998399259</v>
          </cell>
        </row>
        <row r="324">
          <cell r="B324" t="str">
            <v>Aarhus University</v>
          </cell>
          <cell r="C324">
            <v>45</v>
          </cell>
          <cell r="D324" t="str">
            <v>ABY</v>
          </cell>
          <cell r="E324">
            <v>1.983115662766155</v>
          </cell>
        </row>
        <row r="325">
          <cell r="B325" t="str">
            <v>Texas State University San Marcos</v>
          </cell>
          <cell r="C325">
            <v>19</v>
          </cell>
          <cell r="D325" t="str">
            <v>DEW</v>
          </cell>
          <cell r="E325">
            <v>1.97566037819445</v>
          </cell>
        </row>
        <row r="326">
          <cell r="B326" t="str">
            <v>University of Pisa</v>
          </cell>
          <cell r="C326">
            <v>15</v>
          </cell>
          <cell r="D326" t="str">
            <v>CHA</v>
          </cell>
          <cell r="E326">
            <v>1.9740911881065999</v>
          </cell>
        </row>
        <row r="327">
          <cell r="B327" t="str">
            <v>Parthenope University Naples</v>
          </cell>
          <cell r="C327">
            <v>34</v>
          </cell>
          <cell r="D327" t="str">
            <v>BCK</v>
          </cell>
          <cell r="E327">
            <v>1.97386070777653</v>
          </cell>
        </row>
        <row r="328">
          <cell r="B328" t="str">
            <v>University of Duisburg Essen</v>
          </cell>
          <cell r="C328">
            <v>9</v>
          </cell>
          <cell r="D328" t="str">
            <v>BAY</v>
          </cell>
          <cell r="E328">
            <v>1.972101992129691</v>
          </cell>
        </row>
        <row r="329">
          <cell r="B329" t="str">
            <v>University of Texas Rio Grande Valley</v>
          </cell>
          <cell r="C329">
            <v>24</v>
          </cell>
          <cell r="D329" t="str">
            <v>DCG</v>
          </cell>
          <cell r="E329">
            <v>1.9711733371590441</v>
          </cell>
        </row>
        <row r="330">
          <cell r="B330" t="str">
            <v>De Montfort University</v>
          </cell>
          <cell r="C330">
            <v>33</v>
          </cell>
          <cell r="D330" t="str">
            <v>CCD</v>
          </cell>
          <cell r="E330">
            <v>1.9704316625304119</v>
          </cell>
        </row>
        <row r="331">
          <cell r="B331" t="str">
            <v>University of Derby</v>
          </cell>
          <cell r="C331">
            <v>20</v>
          </cell>
          <cell r="D331" t="str">
            <v>DDJ</v>
          </cell>
          <cell r="E331">
            <v>1.9671516387114849</v>
          </cell>
        </row>
        <row r="332">
          <cell r="B332" t="str">
            <v>Nankai University</v>
          </cell>
          <cell r="C332">
            <v>21</v>
          </cell>
          <cell r="D332" t="str">
            <v>BEL</v>
          </cell>
          <cell r="E332">
            <v>1.9645472304729339</v>
          </cell>
        </row>
        <row r="333">
          <cell r="B333" t="str">
            <v>University of Otago</v>
          </cell>
          <cell r="C333">
            <v>24</v>
          </cell>
          <cell r="D333" t="str">
            <v>BFZ</v>
          </cell>
          <cell r="E333">
            <v>1.9616861392498941</v>
          </cell>
        </row>
        <row r="334">
          <cell r="B334" t="str">
            <v>Monash University</v>
          </cell>
          <cell r="C334">
            <v>89</v>
          </cell>
          <cell r="D334" t="str">
            <v>ABI</v>
          </cell>
          <cell r="E334">
            <v>1.960049614110325</v>
          </cell>
        </row>
        <row r="335">
          <cell r="B335" t="str">
            <v>University of Rome Tor Vergata</v>
          </cell>
          <cell r="C335">
            <v>15</v>
          </cell>
          <cell r="D335" t="str">
            <v>CBH</v>
          </cell>
          <cell r="E335">
            <v>1.952174569696596</v>
          </cell>
        </row>
        <row r="336">
          <cell r="B336" t="str">
            <v>Ihsan Dogramaci Bilkent University</v>
          </cell>
          <cell r="C336">
            <v>9</v>
          </cell>
          <cell r="D336" t="str">
            <v>DCX</v>
          </cell>
          <cell r="E336">
            <v>1.951044643710464</v>
          </cell>
        </row>
        <row r="337">
          <cell r="B337" t="str">
            <v>Laval University</v>
          </cell>
          <cell r="C337">
            <v>14</v>
          </cell>
          <cell r="D337" t="str">
            <v>AGP</v>
          </cell>
          <cell r="E337">
            <v>1.949655275946462</v>
          </cell>
        </row>
        <row r="338">
          <cell r="B338" t="str">
            <v>Dublin City University</v>
          </cell>
          <cell r="C338">
            <v>16</v>
          </cell>
          <cell r="D338" t="str">
            <v>AEL</v>
          </cell>
          <cell r="E338">
            <v>1.9448687337020609</v>
          </cell>
        </row>
        <row r="339">
          <cell r="B339" t="str">
            <v>Royal Institute of Technology</v>
          </cell>
          <cell r="C339">
            <v>23</v>
          </cell>
          <cell r="D339" t="str">
            <v>DCK</v>
          </cell>
          <cell r="E339">
            <v>1.9434905701231839</v>
          </cell>
        </row>
        <row r="340">
          <cell r="B340" t="str">
            <v>Kozminski University</v>
          </cell>
          <cell r="C340">
            <v>18</v>
          </cell>
          <cell r="D340" t="str">
            <v>DFE</v>
          </cell>
          <cell r="E340">
            <v>1.939285004780724</v>
          </cell>
        </row>
        <row r="341">
          <cell r="B341" t="str">
            <v>Karlsruhe Institute of Technology</v>
          </cell>
          <cell r="C341">
            <v>13</v>
          </cell>
          <cell r="D341" t="str">
            <v>AEM</v>
          </cell>
          <cell r="E341">
            <v>1.9386771418995501</v>
          </cell>
        </row>
        <row r="342">
          <cell r="B342" t="str">
            <v>University of Warsaw</v>
          </cell>
          <cell r="C342">
            <v>13</v>
          </cell>
          <cell r="D342" t="str">
            <v>BHR</v>
          </cell>
          <cell r="E342">
            <v>1.933961045684502</v>
          </cell>
        </row>
        <row r="343">
          <cell r="B343" t="str">
            <v>Central South University</v>
          </cell>
          <cell r="C343">
            <v>19</v>
          </cell>
          <cell r="D343" t="str">
            <v>BAG</v>
          </cell>
          <cell r="E343">
            <v>1.932066202987083</v>
          </cell>
        </row>
        <row r="344">
          <cell r="B344" t="str">
            <v>Shanghai University of Finance &amp; Economics</v>
          </cell>
          <cell r="C344">
            <v>30</v>
          </cell>
          <cell r="D344" t="str">
            <v>BDK</v>
          </cell>
          <cell r="E344">
            <v>1.9299610643620431</v>
          </cell>
        </row>
        <row r="345">
          <cell r="B345" t="str">
            <v>Northumbria University</v>
          </cell>
          <cell r="C345">
            <v>34</v>
          </cell>
          <cell r="D345" t="str">
            <v>CAT</v>
          </cell>
          <cell r="E345">
            <v>1.9268559952934059</v>
          </cell>
        </row>
        <row r="346">
          <cell r="B346" t="str">
            <v>Universite Grenoble Alpes (UGA)</v>
          </cell>
          <cell r="C346">
            <v>7</v>
          </cell>
          <cell r="D346" t="str">
            <v>CHG</v>
          </cell>
          <cell r="E346">
            <v>1.92190112420128</v>
          </cell>
        </row>
        <row r="347">
          <cell r="B347" t="str">
            <v>INRAE</v>
          </cell>
          <cell r="C347">
            <v>10</v>
          </cell>
          <cell r="D347" t="str">
            <v>BBO</v>
          </cell>
          <cell r="E347">
            <v>1.9201275988821069</v>
          </cell>
        </row>
        <row r="348">
          <cell r="B348" t="str">
            <v>Marche Polytechnic University</v>
          </cell>
          <cell r="C348">
            <v>14</v>
          </cell>
          <cell r="D348" t="str">
            <v>BDH</v>
          </cell>
          <cell r="E348">
            <v>1.911449022425062</v>
          </cell>
        </row>
        <row r="349">
          <cell r="B349" t="str">
            <v>Utrecht University</v>
          </cell>
          <cell r="C349">
            <v>18</v>
          </cell>
          <cell r="D349" t="str">
            <v>BGO</v>
          </cell>
          <cell r="E349">
            <v>1.9079298896691961</v>
          </cell>
        </row>
        <row r="350">
          <cell r="B350" t="str">
            <v>University of Wollongong</v>
          </cell>
          <cell r="C350">
            <v>29</v>
          </cell>
          <cell r="D350" t="str">
            <v>BFG</v>
          </cell>
          <cell r="E350">
            <v>1.9074829798294901</v>
          </cell>
        </row>
        <row r="351">
          <cell r="B351" t="str">
            <v>Catholic University of the Sacred Heart</v>
          </cell>
          <cell r="C351">
            <v>23</v>
          </cell>
          <cell r="D351" t="str">
            <v>BAT</v>
          </cell>
          <cell r="E351">
            <v>1.906939738709639</v>
          </cell>
        </row>
        <row r="352">
          <cell r="B352" t="str">
            <v>Universite de Lorraine</v>
          </cell>
          <cell r="C352">
            <v>9</v>
          </cell>
          <cell r="D352" t="str">
            <v>CBJ</v>
          </cell>
          <cell r="E352">
            <v>1.9047797344313211</v>
          </cell>
        </row>
        <row r="353">
          <cell r="B353" t="str">
            <v>Yonsei University</v>
          </cell>
          <cell r="C353">
            <v>41</v>
          </cell>
          <cell r="D353" t="str">
            <v>BHC</v>
          </cell>
          <cell r="E353">
            <v>1.9037832287692189</v>
          </cell>
        </row>
        <row r="354">
          <cell r="B354" t="str">
            <v>Texas Tech University</v>
          </cell>
          <cell r="C354">
            <v>34</v>
          </cell>
          <cell r="D354" t="str">
            <v>BDU</v>
          </cell>
          <cell r="E354">
            <v>1.8986406907650679</v>
          </cell>
        </row>
        <row r="355">
          <cell r="B355" t="str">
            <v>Southern Illinois University</v>
          </cell>
          <cell r="C355">
            <v>17</v>
          </cell>
          <cell r="D355" t="str">
            <v>DBK</v>
          </cell>
          <cell r="E355">
            <v>1.8935666362788801</v>
          </cell>
        </row>
        <row r="356">
          <cell r="B356" t="str">
            <v>King Abdulaziz University</v>
          </cell>
          <cell r="C356">
            <v>15</v>
          </cell>
          <cell r="D356" t="str">
            <v>DBJ</v>
          </cell>
          <cell r="E356">
            <v>1.8839720337712671</v>
          </cell>
        </row>
        <row r="357">
          <cell r="B357" t="str">
            <v>Peking University</v>
          </cell>
          <cell r="C357">
            <v>42</v>
          </cell>
          <cell r="D357" t="str">
            <v>AFF</v>
          </cell>
          <cell r="E357">
            <v>1.875968089848439</v>
          </cell>
        </row>
        <row r="358">
          <cell r="B358" t="str">
            <v>University of Huddersfield</v>
          </cell>
          <cell r="C358">
            <v>20</v>
          </cell>
          <cell r="D358" t="str">
            <v>CGR</v>
          </cell>
          <cell r="E358">
            <v>1.8746462816121241</v>
          </cell>
        </row>
        <row r="359">
          <cell r="B359" t="str">
            <v>Newcastle University - UK</v>
          </cell>
          <cell r="C359">
            <v>63</v>
          </cell>
          <cell r="D359" t="str">
            <v>BCP</v>
          </cell>
          <cell r="E359">
            <v>1.871618932117268</v>
          </cell>
        </row>
        <row r="360">
          <cell r="B360" t="str">
            <v>Universite de Lille</v>
          </cell>
          <cell r="C360">
            <v>9</v>
          </cell>
          <cell r="D360" t="str">
            <v>BHL</v>
          </cell>
          <cell r="E360">
            <v>1.8700564063271929</v>
          </cell>
        </row>
        <row r="361">
          <cell r="B361" t="str">
            <v>Universita Ca Foscari Venezia</v>
          </cell>
          <cell r="C361">
            <v>21</v>
          </cell>
          <cell r="D361" t="str">
            <v>BHM</v>
          </cell>
          <cell r="E361">
            <v>1.8670016024825931</v>
          </cell>
        </row>
        <row r="362">
          <cell r="B362" t="str">
            <v>Hong Kong Baptist University</v>
          </cell>
          <cell r="C362">
            <v>14</v>
          </cell>
          <cell r="D362" t="str">
            <v>BBI</v>
          </cell>
          <cell r="E362">
            <v>1.8657807777351441</v>
          </cell>
        </row>
        <row r="363">
          <cell r="B363" t="str">
            <v>University of Southern Denmark</v>
          </cell>
          <cell r="C363">
            <v>44</v>
          </cell>
          <cell r="D363" t="str">
            <v>BGK</v>
          </cell>
          <cell r="E363">
            <v>1.865457209260851</v>
          </cell>
        </row>
        <row r="364">
          <cell r="B364" t="str">
            <v>Sun Yat Sen University</v>
          </cell>
          <cell r="C364">
            <v>41</v>
          </cell>
          <cell r="D364" t="str">
            <v>BDO</v>
          </cell>
          <cell r="E364">
            <v>1.8621052970493881</v>
          </cell>
        </row>
        <row r="365">
          <cell r="B365" t="str">
            <v>Universidade do Minho</v>
          </cell>
          <cell r="C365">
            <v>22</v>
          </cell>
          <cell r="D365" t="str">
            <v>CAY</v>
          </cell>
          <cell r="E365">
            <v>1.8619359908811131</v>
          </cell>
        </row>
        <row r="366">
          <cell r="B366" t="str">
            <v>Illinois State University</v>
          </cell>
          <cell r="C366">
            <v>12</v>
          </cell>
          <cell r="D366" t="str">
            <v>DCJ</v>
          </cell>
          <cell r="E366">
            <v>1.8566182530896289</v>
          </cell>
        </row>
        <row r="367">
          <cell r="B367" t="str">
            <v>University of Adelaide</v>
          </cell>
          <cell r="C367">
            <v>31</v>
          </cell>
          <cell r="D367" t="str">
            <v>BDZ</v>
          </cell>
          <cell r="E367">
            <v>1.851794964726869</v>
          </cell>
        </row>
        <row r="368">
          <cell r="B368" t="str">
            <v>IZA Institute Labor Economics</v>
          </cell>
          <cell r="C368">
            <v>11</v>
          </cell>
          <cell r="D368" t="str">
            <v>ACM</v>
          </cell>
          <cell r="E368">
            <v>1.850047402336664</v>
          </cell>
        </row>
        <row r="369">
          <cell r="B369" t="str">
            <v>Capital University of Economics &amp; Business</v>
          </cell>
          <cell r="C369">
            <v>16</v>
          </cell>
          <cell r="D369" t="str">
            <v>BHQ</v>
          </cell>
          <cell r="E369">
            <v>1.8473957248651121</v>
          </cell>
        </row>
        <row r="370">
          <cell r="B370" t="str">
            <v>University of Macau</v>
          </cell>
          <cell r="C370">
            <v>18</v>
          </cell>
          <cell r="D370" t="str">
            <v>CHJ</v>
          </cell>
          <cell r="E370">
            <v>1.846187880613126</v>
          </cell>
        </row>
        <row r="371">
          <cell r="B371" t="str">
            <v>University of Siena</v>
          </cell>
          <cell r="C371">
            <v>6</v>
          </cell>
          <cell r="D371" t="str">
            <v>DCO</v>
          </cell>
          <cell r="E371">
            <v>1.845856613819836</v>
          </cell>
        </row>
        <row r="372">
          <cell r="B372" t="str">
            <v>University of Palermo</v>
          </cell>
          <cell r="C372">
            <v>9</v>
          </cell>
          <cell r="D372" t="str">
            <v>DEC</v>
          </cell>
          <cell r="E372">
            <v>1.844224790864424</v>
          </cell>
        </row>
        <row r="373">
          <cell r="B373" t="str">
            <v>University of Valencia</v>
          </cell>
          <cell r="C373">
            <v>59</v>
          </cell>
          <cell r="D373" t="str">
            <v>BGP</v>
          </cell>
          <cell r="E373">
            <v>1.8434517347790811</v>
          </cell>
        </row>
        <row r="374">
          <cell r="B374" t="str">
            <v>University of Bern</v>
          </cell>
          <cell r="C374">
            <v>10</v>
          </cell>
          <cell r="D374" t="str">
            <v>BEF</v>
          </cell>
          <cell r="E374">
            <v>1.8402375753871401</v>
          </cell>
        </row>
        <row r="375">
          <cell r="B375" t="str">
            <v>Edith Cowan University</v>
          </cell>
          <cell r="C375">
            <v>11</v>
          </cell>
          <cell r="D375" t="str">
            <v>DCI</v>
          </cell>
          <cell r="E375">
            <v>1.8339552009330109</v>
          </cell>
        </row>
        <row r="376">
          <cell r="B376" t="str">
            <v>Osaka University</v>
          </cell>
          <cell r="C376">
            <v>8</v>
          </cell>
          <cell r="D376" t="str">
            <v>AFA</v>
          </cell>
          <cell r="E376">
            <v>1.8335108272068179</v>
          </cell>
        </row>
        <row r="377">
          <cell r="B377" t="str">
            <v>Brunel University</v>
          </cell>
          <cell r="C377">
            <v>38</v>
          </cell>
          <cell r="D377" t="str">
            <v>BAB</v>
          </cell>
          <cell r="E377">
            <v>1.832977907087233</v>
          </cell>
        </row>
        <row r="378">
          <cell r="B378" t="str">
            <v>National Sun Yat Sen University</v>
          </cell>
          <cell r="C378">
            <v>19</v>
          </cell>
          <cell r="D378" t="str">
            <v>CHD</v>
          </cell>
          <cell r="E378">
            <v>1.829987382710907</v>
          </cell>
        </row>
        <row r="379">
          <cell r="B379" t="str">
            <v>University of Canterbury</v>
          </cell>
          <cell r="C379">
            <v>16</v>
          </cell>
          <cell r="D379" t="str">
            <v>BEI</v>
          </cell>
          <cell r="E379">
            <v>1.8240198692737679</v>
          </cell>
        </row>
        <row r="380">
          <cell r="B380" t="str">
            <v>Carleton University</v>
          </cell>
          <cell r="C380">
            <v>19</v>
          </cell>
          <cell r="D380" t="str">
            <v>AHX</v>
          </cell>
          <cell r="E380">
            <v>1.8138283666112061</v>
          </cell>
        </row>
        <row r="381">
          <cell r="B381" t="str">
            <v>University of Salento</v>
          </cell>
          <cell r="C381">
            <v>31</v>
          </cell>
          <cell r="D381" t="str">
            <v>DBH</v>
          </cell>
          <cell r="E381">
            <v>1.8128170422122549</v>
          </cell>
        </row>
        <row r="382">
          <cell r="B382" t="str">
            <v>University of Helsinki</v>
          </cell>
          <cell r="C382">
            <v>27</v>
          </cell>
          <cell r="D382" t="str">
            <v>AGV</v>
          </cell>
          <cell r="E382">
            <v>1.807216911053575</v>
          </cell>
        </row>
        <row r="383">
          <cell r="B383" t="str">
            <v>University of Twente</v>
          </cell>
          <cell r="C383">
            <v>16</v>
          </cell>
          <cell r="D383" t="str">
            <v>ADS</v>
          </cell>
          <cell r="E383">
            <v>1.8057770079983131</v>
          </cell>
        </row>
        <row r="384">
          <cell r="B384" t="str">
            <v>Tsinghua University</v>
          </cell>
          <cell r="C384">
            <v>42</v>
          </cell>
          <cell r="D384" t="str">
            <v>AFX</v>
          </cell>
          <cell r="E384">
            <v>1.8047808962656231</v>
          </cell>
        </row>
        <row r="385">
          <cell r="B385" t="str">
            <v>Qatar University</v>
          </cell>
          <cell r="C385">
            <v>24</v>
          </cell>
          <cell r="D385" t="str">
            <v>BGG</v>
          </cell>
          <cell r="E385">
            <v>1.7903745957888151</v>
          </cell>
        </row>
        <row r="386">
          <cell r="B386" t="str">
            <v>University of North Texas Denton</v>
          </cell>
          <cell r="C386">
            <v>35</v>
          </cell>
          <cell r="D386" t="str">
            <v>BAN</v>
          </cell>
          <cell r="E386">
            <v>1.7862042638479141</v>
          </cell>
        </row>
        <row r="387">
          <cell r="B387" t="str">
            <v>Hanyang University</v>
          </cell>
          <cell r="C387">
            <v>27</v>
          </cell>
          <cell r="D387" t="str">
            <v>CGJ</v>
          </cell>
          <cell r="E387">
            <v>1.7848144533242249</v>
          </cell>
        </row>
        <row r="388">
          <cell r="B388" t="str">
            <v>University of International Business &amp; Economics</v>
          </cell>
          <cell r="C388">
            <v>28</v>
          </cell>
          <cell r="D388" t="str">
            <v>BFD</v>
          </cell>
          <cell r="E388">
            <v>1.784625757290478</v>
          </cell>
        </row>
        <row r="389">
          <cell r="B389" t="str">
            <v>University of West England</v>
          </cell>
          <cell r="C389">
            <v>15</v>
          </cell>
          <cell r="D389" t="str">
            <v>DCP</v>
          </cell>
          <cell r="E389">
            <v>1.782026898443164</v>
          </cell>
        </row>
        <row r="390">
          <cell r="B390" t="str">
            <v>University of Newcastle</v>
          </cell>
          <cell r="C390">
            <v>23</v>
          </cell>
          <cell r="D390" t="str">
            <v>AGT</v>
          </cell>
          <cell r="E390">
            <v>1.780193769617018</v>
          </cell>
        </row>
        <row r="391">
          <cell r="B391" t="str">
            <v>Shandong University</v>
          </cell>
          <cell r="C391">
            <v>16</v>
          </cell>
          <cell r="D391" t="str">
            <v>BFQ</v>
          </cell>
          <cell r="E391">
            <v>1.7765138901480231</v>
          </cell>
        </row>
        <row r="392">
          <cell r="B392" t="str">
            <v>Aalborg University</v>
          </cell>
          <cell r="C392">
            <v>17</v>
          </cell>
          <cell r="D392" t="str">
            <v>BHF</v>
          </cell>
          <cell r="E392">
            <v>1.7749488445229631</v>
          </cell>
        </row>
        <row r="393">
          <cell r="B393" t="str">
            <v>Tongji University</v>
          </cell>
          <cell r="C393">
            <v>46</v>
          </cell>
          <cell r="D393" t="str">
            <v>BDV</v>
          </cell>
          <cell r="E393">
            <v>1.773938468838044</v>
          </cell>
        </row>
        <row r="394">
          <cell r="B394" t="str">
            <v>Xi'an Jiaotong-Liverpool University</v>
          </cell>
          <cell r="C394">
            <v>14</v>
          </cell>
          <cell r="D394" t="str">
            <v>DBT</v>
          </cell>
          <cell r="E394">
            <v>1.7713001263717341</v>
          </cell>
        </row>
        <row r="395">
          <cell r="B395" t="str">
            <v>University of Essex</v>
          </cell>
          <cell r="C395">
            <v>30</v>
          </cell>
          <cell r="D395" t="str">
            <v>BER</v>
          </cell>
          <cell r="E395">
            <v>1.7687603556386851</v>
          </cell>
        </row>
        <row r="396">
          <cell r="B396" t="str">
            <v>Shenzhen University</v>
          </cell>
          <cell r="C396">
            <v>21</v>
          </cell>
          <cell r="D396" t="str">
            <v>CGM</v>
          </cell>
          <cell r="E396">
            <v>1.766386230257514</v>
          </cell>
        </row>
        <row r="397">
          <cell r="B397" t="str">
            <v>Cranfield University</v>
          </cell>
          <cell r="C397">
            <v>24</v>
          </cell>
          <cell r="D397" t="str">
            <v>DBZ</v>
          </cell>
          <cell r="E397">
            <v>1.763225500249753</v>
          </cell>
        </row>
        <row r="398">
          <cell r="B398" t="str">
            <v>Universite Cote d'Azur</v>
          </cell>
          <cell r="C398">
            <v>29</v>
          </cell>
          <cell r="D398" t="str">
            <v>CAR</v>
          </cell>
          <cell r="E398">
            <v>1.7626576760307491</v>
          </cell>
        </row>
        <row r="399">
          <cell r="B399" t="str">
            <v>University of Erlangen Nuremberg</v>
          </cell>
          <cell r="C399">
            <v>17</v>
          </cell>
          <cell r="D399" t="str">
            <v>ABZ</v>
          </cell>
          <cell r="E399">
            <v>1.761211667024192</v>
          </cell>
        </row>
        <row r="400">
          <cell r="B400" t="str">
            <v>National Taipei University</v>
          </cell>
          <cell r="C400">
            <v>12</v>
          </cell>
          <cell r="D400" t="str">
            <v>DCY</v>
          </cell>
          <cell r="E400">
            <v>1.7547989708565011</v>
          </cell>
        </row>
        <row r="401">
          <cell r="B401" t="str">
            <v>Harbin Institute of Technology</v>
          </cell>
          <cell r="C401">
            <v>29</v>
          </cell>
          <cell r="D401" t="str">
            <v>CAF</v>
          </cell>
          <cell r="E401">
            <v>1.752137751587062</v>
          </cell>
        </row>
        <row r="402">
          <cell r="B402" t="str">
            <v>North Carolina State University</v>
          </cell>
          <cell r="C402">
            <v>32</v>
          </cell>
          <cell r="D402" t="str">
            <v>BCL</v>
          </cell>
          <cell r="E402">
            <v>1.7514291015303469</v>
          </cell>
        </row>
        <row r="403">
          <cell r="B403" t="str">
            <v>Manchester Metropolitan University</v>
          </cell>
          <cell r="C403">
            <v>26</v>
          </cell>
          <cell r="D403" t="str">
            <v>DBM</v>
          </cell>
          <cell r="E403">
            <v>1.7495781334353111</v>
          </cell>
        </row>
        <row r="404">
          <cell r="B404" t="str">
            <v>American University of Sharjah</v>
          </cell>
          <cell r="C404">
            <v>20</v>
          </cell>
          <cell r="D404" t="str">
            <v>CAV</v>
          </cell>
          <cell r="E404">
            <v>1.748862557791623</v>
          </cell>
        </row>
        <row r="405">
          <cell r="B405" t="str">
            <v>University of Waikato</v>
          </cell>
          <cell r="C405">
            <v>25</v>
          </cell>
          <cell r="D405" t="str">
            <v>AHK</v>
          </cell>
          <cell r="E405">
            <v>1.747825037666491</v>
          </cell>
        </row>
        <row r="406">
          <cell r="B406" t="str">
            <v>University of Stirling</v>
          </cell>
          <cell r="C406">
            <v>15</v>
          </cell>
          <cell r="D406" t="str">
            <v>DDF</v>
          </cell>
          <cell r="E406">
            <v>1.7477782041947789</v>
          </cell>
        </row>
        <row r="407">
          <cell r="B407" t="str">
            <v>University of New Mexico</v>
          </cell>
          <cell r="C407">
            <v>14</v>
          </cell>
          <cell r="D407" t="str">
            <v>DCN</v>
          </cell>
          <cell r="E407">
            <v>1.74693368930948</v>
          </cell>
        </row>
        <row r="408">
          <cell r="B408" t="str">
            <v>IPAG Business School</v>
          </cell>
          <cell r="C408">
            <v>13</v>
          </cell>
          <cell r="D408" t="str">
            <v>BBR</v>
          </cell>
          <cell r="E408">
            <v>1.745657568093214</v>
          </cell>
        </row>
        <row r="409">
          <cell r="B409" t="str">
            <v>University of Turin</v>
          </cell>
          <cell r="C409">
            <v>41</v>
          </cell>
          <cell r="D409" t="str">
            <v>CCB</v>
          </cell>
          <cell r="E409">
            <v>1.7446459780660091</v>
          </cell>
        </row>
        <row r="410">
          <cell r="B410" t="str">
            <v>La Trobe University</v>
          </cell>
          <cell r="C410">
            <v>25</v>
          </cell>
          <cell r="D410" t="str">
            <v>CCA</v>
          </cell>
          <cell r="E410">
            <v>1.7444217777416491</v>
          </cell>
        </row>
        <row r="411">
          <cell r="B411" t="str">
            <v>University of Naples Federico II</v>
          </cell>
          <cell r="C411">
            <v>34</v>
          </cell>
          <cell r="D411" t="str">
            <v>CBA</v>
          </cell>
          <cell r="E411">
            <v>1.741421709218653</v>
          </cell>
        </row>
        <row r="412">
          <cell r="B412" t="str">
            <v>Beijing Institute of Technology</v>
          </cell>
          <cell r="C412">
            <v>14</v>
          </cell>
          <cell r="D412" t="str">
            <v>AED</v>
          </cell>
          <cell r="E412">
            <v>1.7392009507142649</v>
          </cell>
        </row>
        <row r="413">
          <cell r="B413" t="str">
            <v>Delft University of Technology</v>
          </cell>
          <cell r="C413">
            <v>14</v>
          </cell>
          <cell r="D413" t="str">
            <v>BAQ</v>
          </cell>
          <cell r="E413">
            <v>1.7349048078482769</v>
          </cell>
        </row>
        <row r="414">
          <cell r="B414" t="str">
            <v>Massey University</v>
          </cell>
          <cell r="C414">
            <v>29</v>
          </cell>
          <cell r="D414" t="str">
            <v>BCF</v>
          </cell>
          <cell r="E414">
            <v>1.730407345046965</v>
          </cell>
        </row>
        <row r="415">
          <cell r="B415" t="str">
            <v>Autonomous University of Madrid</v>
          </cell>
          <cell r="C415">
            <v>15</v>
          </cell>
          <cell r="D415" t="str">
            <v>CAJ</v>
          </cell>
          <cell r="E415">
            <v>1.72925108039349</v>
          </cell>
        </row>
        <row r="416">
          <cell r="B416" t="str">
            <v>Brock University</v>
          </cell>
          <cell r="C416">
            <v>24</v>
          </cell>
          <cell r="D416" t="str">
            <v>DEG</v>
          </cell>
          <cell r="E416">
            <v>1.726365057934292</v>
          </cell>
        </row>
        <row r="417">
          <cell r="B417" t="str">
            <v>Zayed University</v>
          </cell>
          <cell r="C417">
            <v>18</v>
          </cell>
          <cell r="D417" t="str">
            <v>DCU</v>
          </cell>
          <cell r="E417">
            <v>1.722517574697358</v>
          </cell>
        </row>
        <row r="418">
          <cell r="B418" t="str">
            <v>Queens University Belfast</v>
          </cell>
          <cell r="C418">
            <v>8</v>
          </cell>
          <cell r="D418" t="str">
            <v>BCZ</v>
          </cell>
          <cell r="E418">
            <v>1.7218004986658191</v>
          </cell>
        </row>
        <row r="419">
          <cell r="B419" t="str">
            <v>Beijing Normal University</v>
          </cell>
          <cell r="C419">
            <v>13</v>
          </cell>
          <cell r="D419" t="str">
            <v>BBV</v>
          </cell>
          <cell r="E419">
            <v>1.7132320293824761</v>
          </cell>
        </row>
        <row r="420">
          <cell r="B420" t="str">
            <v>Huazhong University of Science &amp; Technology</v>
          </cell>
          <cell r="C420">
            <v>28</v>
          </cell>
          <cell r="D420" t="str">
            <v>BBJ</v>
          </cell>
          <cell r="E420">
            <v>1.710611982541226</v>
          </cell>
        </row>
        <row r="421">
          <cell r="B421" t="str">
            <v>University of Johannesburg</v>
          </cell>
          <cell r="C421">
            <v>26</v>
          </cell>
          <cell r="D421" t="str">
            <v>CAB</v>
          </cell>
          <cell r="E421">
            <v>1.7098204408218101</v>
          </cell>
        </row>
        <row r="422">
          <cell r="B422" t="str">
            <v>National Chengchi University</v>
          </cell>
          <cell r="C422">
            <v>20</v>
          </cell>
          <cell r="D422" t="str">
            <v>CAE</v>
          </cell>
          <cell r="E422">
            <v>1.704937857441984</v>
          </cell>
        </row>
        <row r="423">
          <cell r="B423" t="str">
            <v>Universite de Strasbourg</v>
          </cell>
          <cell r="C423">
            <v>9</v>
          </cell>
          <cell r="D423" t="str">
            <v>AHS</v>
          </cell>
          <cell r="E423">
            <v>1.703470241730852</v>
          </cell>
        </row>
        <row r="424">
          <cell r="B424" t="str">
            <v>Nanjing University</v>
          </cell>
          <cell r="C424">
            <v>21</v>
          </cell>
          <cell r="D424" t="str">
            <v>BCM</v>
          </cell>
          <cell r="E424">
            <v>1.70276323031643</v>
          </cell>
        </row>
        <row r="425">
          <cell r="B425" t="str">
            <v>University of Portsmouth</v>
          </cell>
          <cell r="C425">
            <v>33</v>
          </cell>
          <cell r="D425" t="str">
            <v>BGE</v>
          </cell>
          <cell r="E425">
            <v>1.6950171786163459</v>
          </cell>
        </row>
        <row r="426">
          <cell r="B426" t="str">
            <v>Victoria University Wellington</v>
          </cell>
          <cell r="C426">
            <v>29</v>
          </cell>
          <cell r="D426" t="str">
            <v>BHZ</v>
          </cell>
          <cell r="E426">
            <v>1.6919677773528681</v>
          </cell>
        </row>
        <row r="427">
          <cell r="B427" t="str">
            <v>University of Nevada Las Vegas</v>
          </cell>
          <cell r="C427">
            <v>16</v>
          </cell>
          <cell r="D427" t="str">
            <v>DCM</v>
          </cell>
          <cell r="E427">
            <v>1.6904034288268981</v>
          </cell>
        </row>
        <row r="428">
          <cell r="B428" t="str">
            <v>Curtin University</v>
          </cell>
          <cell r="C428">
            <v>49</v>
          </cell>
          <cell r="D428" t="str">
            <v>BAP</v>
          </cell>
          <cell r="E428">
            <v>1.685521055047617</v>
          </cell>
        </row>
        <row r="429">
          <cell r="B429" t="str">
            <v>University of Milan</v>
          </cell>
          <cell r="C429">
            <v>6</v>
          </cell>
          <cell r="D429" t="str">
            <v>BAD</v>
          </cell>
          <cell r="E429">
            <v>1.685496271595901</v>
          </cell>
        </row>
        <row r="430">
          <cell r="B430" t="str">
            <v>Coventry University</v>
          </cell>
          <cell r="C430">
            <v>37</v>
          </cell>
          <cell r="D430" t="str">
            <v>BDC</v>
          </cell>
          <cell r="E430">
            <v>1.678111538035975</v>
          </cell>
        </row>
        <row r="431">
          <cell r="B431" t="str">
            <v>Zentrum fur Europaische Wirtschaftsforschung (ZEW)</v>
          </cell>
          <cell r="C431">
            <v>3</v>
          </cell>
          <cell r="D431" t="str">
            <v>CHC</v>
          </cell>
          <cell r="E431">
            <v>1.6775737188161319</v>
          </cell>
        </row>
        <row r="432">
          <cell r="B432" t="str">
            <v>University of Basque Country</v>
          </cell>
          <cell r="C432">
            <v>13</v>
          </cell>
          <cell r="D432" t="str">
            <v>CBC</v>
          </cell>
          <cell r="E432">
            <v>1.6773860414496931</v>
          </cell>
        </row>
        <row r="433">
          <cell r="B433" t="str">
            <v>Sapienza University Rome</v>
          </cell>
          <cell r="C433">
            <v>33</v>
          </cell>
          <cell r="D433" t="str">
            <v>CBG</v>
          </cell>
          <cell r="E433">
            <v>1.669696803501808</v>
          </cell>
        </row>
        <row r="434">
          <cell r="B434" t="str">
            <v>University of Oslo</v>
          </cell>
          <cell r="C434">
            <v>8</v>
          </cell>
          <cell r="D434" t="str">
            <v>CBV</v>
          </cell>
          <cell r="E434">
            <v>1.6687031013776279</v>
          </cell>
        </row>
        <row r="435">
          <cell r="B435" t="str">
            <v>Universitat Politecnica de Valencia</v>
          </cell>
          <cell r="C435">
            <v>21</v>
          </cell>
          <cell r="D435" t="str">
            <v>CBE</v>
          </cell>
          <cell r="E435">
            <v>1.668321092032041</v>
          </cell>
        </row>
        <row r="436">
          <cell r="B436" t="str">
            <v>Old Dominion University</v>
          </cell>
          <cell r="C436">
            <v>17</v>
          </cell>
          <cell r="D436" t="str">
            <v>CHF</v>
          </cell>
          <cell r="E436">
            <v>1.667992643598402</v>
          </cell>
        </row>
        <row r="437">
          <cell r="B437" t="str">
            <v>Technical University of Berlin</v>
          </cell>
          <cell r="C437">
            <v>15</v>
          </cell>
          <cell r="D437" t="str">
            <v>BFV</v>
          </cell>
          <cell r="E437">
            <v>1.6675368140570559</v>
          </cell>
        </row>
        <row r="438">
          <cell r="B438" t="str">
            <v>Korea University</v>
          </cell>
          <cell r="C438">
            <v>25</v>
          </cell>
          <cell r="D438" t="str">
            <v>BBZ</v>
          </cell>
          <cell r="E438">
            <v>1.666812863251264</v>
          </cell>
        </row>
        <row r="439">
          <cell r="B439" t="str">
            <v>Universidade do Porto</v>
          </cell>
          <cell r="C439">
            <v>15</v>
          </cell>
          <cell r="D439" t="str">
            <v>CBF</v>
          </cell>
          <cell r="E439">
            <v>1.6618830230398911</v>
          </cell>
        </row>
        <row r="440">
          <cell r="B440" t="str">
            <v>Hang Seng University of Hong Kong</v>
          </cell>
          <cell r="C440">
            <v>18</v>
          </cell>
          <cell r="D440" t="str">
            <v>DDT</v>
          </cell>
          <cell r="E440">
            <v>1.661190655875548</v>
          </cell>
        </row>
        <row r="441">
          <cell r="B441" t="str">
            <v>Central University of Finance &amp; Economics</v>
          </cell>
          <cell r="C441">
            <v>15</v>
          </cell>
          <cell r="D441" t="str">
            <v>BAH</v>
          </cell>
          <cell r="E441">
            <v>1.65599095003981</v>
          </cell>
        </row>
        <row r="442">
          <cell r="B442" t="str">
            <v>Toronto Metropolitan University</v>
          </cell>
          <cell r="C442">
            <v>28</v>
          </cell>
          <cell r="D442" t="str">
            <v>ADE</v>
          </cell>
          <cell r="E442">
            <v>1.647062189538121</v>
          </cell>
        </row>
        <row r="443">
          <cell r="B443" t="str">
            <v>Universita degli Studi di Bari Aldo Moro</v>
          </cell>
          <cell r="C443">
            <v>10</v>
          </cell>
          <cell r="D443" t="str">
            <v>CGN</v>
          </cell>
          <cell r="E443">
            <v>1.642600373718951</v>
          </cell>
        </row>
        <row r="444">
          <cell r="B444" t="str">
            <v>University of Western Australia</v>
          </cell>
          <cell r="C444">
            <v>44</v>
          </cell>
          <cell r="D444" t="str">
            <v>AHL</v>
          </cell>
          <cell r="E444">
            <v>1.636771917927335</v>
          </cell>
        </row>
        <row r="445">
          <cell r="B445" t="str">
            <v>University of Leicester</v>
          </cell>
          <cell r="C445">
            <v>14</v>
          </cell>
          <cell r="D445" t="str">
            <v>CHO</v>
          </cell>
          <cell r="E445">
            <v>1.6308691064712759</v>
          </cell>
        </row>
        <row r="446">
          <cell r="B446" t="str">
            <v>University of York - UK</v>
          </cell>
          <cell r="C446">
            <v>27</v>
          </cell>
          <cell r="D446" t="str">
            <v>BGT</v>
          </cell>
          <cell r="E446">
            <v>1.630839292167364</v>
          </cell>
        </row>
        <row r="447">
          <cell r="B447" t="str">
            <v>University of Sevilla</v>
          </cell>
          <cell r="C447">
            <v>34</v>
          </cell>
          <cell r="D447" t="str">
            <v>CBK</v>
          </cell>
          <cell r="E447">
            <v>1.6281732209275299</v>
          </cell>
        </row>
        <row r="448">
          <cell r="B448" t="str">
            <v>Getulio Vargas Foundation</v>
          </cell>
          <cell r="C448">
            <v>34</v>
          </cell>
          <cell r="D448" t="str">
            <v>CBY</v>
          </cell>
          <cell r="E448">
            <v>1.6255806957146191</v>
          </cell>
        </row>
        <row r="449">
          <cell r="B449" t="str">
            <v>Xi'an Jiaotong University</v>
          </cell>
          <cell r="C449">
            <v>67</v>
          </cell>
          <cell r="D449" t="str">
            <v>BHB</v>
          </cell>
          <cell r="E449">
            <v>1.62231097952213</v>
          </cell>
        </row>
        <row r="450">
          <cell r="B450" t="str">
            <v>Shanghai Jiao Tong University</v>
          </cell>
          <cell r="C450">
            <v>44</v>
          </cell>
          <cell r="D450" t="str">
            <v>AFN</v>
          </cell>
          <cell r="E450">
            <v>1.6194749941120039</v>
          </cell>
        </row>
        <row r="451">
          <cell r="B451" t="str">
            <v>Universidad Pablo de Olavide</v>
          </cell>
          <cell r="C451">
            <v>19</v>
          </cell>
          <cell r="D451" t="str">
            <v>CBB</v>
          </cell>
          <cell r="E451">
            <v>1.618858526666737</v>
          </cell>
        </row>
        <row r="452">
          <cell r="B452" t="str">
            <v>South China University of Technology</v>
          </cell>
          <cell r="C452">
            <v>28</v>
          </cell>
          <cell r="D452" t="str">
            <v>CCG</v>
          </cell>
          <cell r="E452">
            <v>1.6186375401538391</v>
          </cell>
        </row>
        <row r="453">
          <cell r="B453" t="str">
            <v>Guangdong University of Foreign Studies</v>
          </cell>
          <cell r="C453">
            <v>9</v>
          </cell>
          <cell r="D453" t="str">
            <v>DCW</v>
          </cell>
          <cell r="E453">
            <v>1.6152183081813321</v>
          </cell>
        </row>
        <row r="454">
          <cell r="B454" t="str">
            <v>University of Konstanz</v>
          </cell>
          <cell r="C454">
            <v>6</v>
          </cell>
          <cell r="D454" t="str">
            <v>BAS</v>
          </cell>
          <cell r="E454">
            <v>1.612739140192184</v>
          </cell>
        </row>
        <row r="455">
          <cell r="B455" t="str">
            <v>Instituto Universitario de Lisboa</v>
          </cell>
          <cell r="C455">
            <v>35</v>
          </cell>
          <cell r="D455" t="str">
            <v>BBP</v>
          </cell>
          <cell r="E455">
            <v>1.612503792625378</v>
          </cell>
        </row>
        <row r="456">
          <cell r="B456" t="str">
            <v>Uppsala University</v>
          </cell>
          <cell r="C456">
            <v>32</v>
          </cell>
          <cell r="D456" t="str">
            <v>BGV</v>
          </cell>
          <cell r="E456">
            <v>1.610955293368002</v>
          </cell>
        </row>
        <row r="457">
          <cell r="B457" t="str">
            <v>Hefei University of Technology</v>
          </cell>
          <cell r="C457">
            <v>18</v>
          </cell>
          <cell r="D457" t="str">
            <v>DAN</v>
          </cell>
          <cell r="E457">
            <v>1.6089274013297961</v>
          </cell>
        </row>
        <row r="458">
          <cell r="B458" t="str">
            <v>Shanghai University</v>
          </cell>
          <cell r="C458">
            <v>46</v>
          </cell>
          <cell r="D458" t="str">
            <v>BDM</v>
          </cell>
          <cell r="E458">
            <v>1.60717915433175</v>
          </cell>
        </row>
        <row r="459">
          <cell r="B459" t="str">
            <v>Dongbei University of Finance &amp; Economics</v>
          </cell>
          <cell r="C459">
            <v>23</v>
          </cell>
          <cell r="D459" t="str">
            <v>CGY</v>
          </cell>
          <cell r="E459">
            <v>1.604520042456749</v>
          </cell>
        </row>
        <row r="460">
          <cell r="B460" t="str">
            <v>University of Witwatersrand</v>
          </cell>
          <cell r="C460">
            <v>8</v>
          </cell>
          <cell r="D460" t="str">
            <v>DBP</v>
          </cell>
          <cell r="E460">
            <v>1.599871572959265</v>
          </cell>
        </row>
        <row r="461">
          <cell r="B461" t="str">
            <v>Virginia Commonwealth University</v>
          </cell>
          <cell r="C461">
            <v>16</v>
          </cell>
          <cell r="D461" t="str">
            <v>DFD</v>
          </cell>
          <cell r="E461">
            <v>1.5955505954812521</v>
          </cell>
        </row>
        <row r="462">
          <cell r="B462" t="str">
            <v>Renmin University of China</v>
          </cell>
          <cell r="C462">
            <v>44</v>
          </cell>
          <cell r="D462" t="str">
            <v>AFK</v>
          </cell>
          <cell r="E462">
            <v>1.593062640945925</v>
          </cell>
        </row>
        <row r="463">
          <cell r="B463" t="str">
            <v>West Virginia University</v>
          </cell>
          <cell r="C463">
            <v>23</v>
          </cell>
          <cell r="D463" t="str">
            <v>CGS</v>
          </cell>
          <cell r="E463">
            <v>1.587050667795372</v>
          </cell>
        </row>
        <row r="464">
          <cell r="B464" t="str">
            <v>Heriot Watt University</v>
          </cell>
          <cell r="C464">
            <v>9</v>
          </cell>
          <cell r="D464" t="str">
            <v>AFC</v>
          </cell>
          <cell r="E464">
            <v>1.574864781335978</v>
          </cell>
        </row>
        <row r="465">
          <cell r="B465" t="str">
            <v>Jinan University</v>
          </cell>
          <cell r="C465">
            <v>20</v>
          </cell>
          <cell r="D465" t="str">
            <v>CBU</v>
          </cell>
          <cell r="E465">
            <v>1.5744388063748589</v>
          </cell>
        </row>
        <row r="466">
          <cell r="B466" t="str">
            <v>Ho Chi Minh City University Economics</v>
          </cell>
          <cell r="C466">
            <v>16</v>
          </cell>
          <cell r="D466" t="str">
            <v>BBH</v>
          </cell>
          <cell r="E466">
            <v>1.573919937783739</v>
          </cell>
        </row>
        <row r="467">
          <cell r="B467" t="str">
            <v>University of Milano-Bicocca</v>
          </cell>
          <cell r="C467">
            <v>7</v>
          </cell>
          <cell r="D467" t="str">
            <v>CHH</v>
          </cell>
          <cell r="E467">
            <v>1.5676307643853311</v>
          </cell>
        </row>
        <row r="468">
          <cell r="B468" t="str">
            <v>Seoul National University (SNU)</v>
          </cell>
          <cell r="C468">
            <v>35</v>
          </cell>
          <cell r="D468" t="str">
            <v>BDJ</v>
          </cell>
          <cell r="E468">
            <v>1.5642319517136529</v>
          </cell>
        </row>
        <row r="469">
          <cell r="B469" t="str">
            <v>Eastern Mediterranean University</v>
          </cell>
          <cell r="C469">
            <v>7</v>
          </cell>
          <cell r="D469" t="str">
            <v>DAD</v>
          </cell>
          <cell r="E469">
            <v>1.563784573885022</v>
          </cell>
        </row>
        <row r="470">
          <cell r="B470" t="str">
            <v>California State University Fullerton</v>
          </cell>
          <cell r="C470">
            <v>11</v>
          </cell>
          <cell r="D470" t="str">
            <v>DAZ</v>
          </cell>
          <cell r="E470">
            <v>1.551479351922431</v>
          </cell>
        </row>
        <row r="471">
          <cell r="B471" t="str">
            <v>Universidad Publica de Navarra</v>
          </cell>
          <cell r="C471">
            <v>13</v>
          </cell>
          <cell r="D471" t="str">
            <v>DDC</v>
          </cell>
          <cell r="E471">
            <v>1.549976832468823</v>
          </cell>
        </row>
        <row r="472">
          <cell r="B472" t="str">
            <v>Complutense University of Madrid</v>
          </cell>
          <cell r="C472">
            <v>18</v>
          </cell>
          <cell r="D472" t="str">
            <v>CCF</v>
          </cell>
          <cell r="E472">
            <v>1.5470734018952561</v>
          </cell>
        </row>
        <row r="473">
          <cell r="B473" t="str">
            <v>Tianjin University</v>
          </cell>
          <cell r="C473">
            <v>21</v>
          </cell>
          <cell r="D473" t="str">
            <v>AHH</v>
          </cell>
          <cell r="E473">
            <v>1.5469217606592021</v>
          </cell>
        </row>
        <row r="474">
          <cell r="B474" t="str">
            <v>University of Pretoria</v>
          </cell>
          <cell r="C474">
            <v>28</v>
          </cell>
          <cell r="D474" t="str">
            <v>AGX</v>
          </cell>
          <cell r="E474">
            <v>1.5450160608846899</v>
          </cell>
        </row>
        <row r="475">
          <cell r="B475" t="str">
            <v>HSE University (National Research University Higher School of Economics)</v>
          </cell>
          <cell r="C475">
            <v>28</v>
          </cell>
          <cell r="D475" t="str">
            <v>CBQ</v>
          </cell>
          <cell r="E475">
            <v>1.5450160608846899</v>
          </cell>
        </row>
        <row r="476">
          <cell r="B476" t="str">
            <v>Corvinus University Budapest</v>
          </cell>
          <cell r="C476">
            <v>7</v>
          </cell>
          <cell r="D476" t="str">
            <v>DEJ</v>
          </cell>
          <cell r="E476">
            <v>1.542738613624359</v>
          </cell>
        </row>
        <row r="477">
          <cell r="B477" t="str">
            <v>Southwestern University of Finance &amp; Economics - China</v>
          </cell>
          <cell r="C477">
            <v>39</v>
          </cell>
          <cell r="D477" t="str">
            <v>AFQ</v>
          </cell>
          <cell r="E477">
            <v>1.541516794962982</v>
          </cell>
        </row>
        <row r="478">
          <cell r="B478" t="str">
            <v>Universidade de Santiago de Compostela</v>
          </cell>
          <cell r="C478">
            <v>15</v>
          </cell>
          <cell r="D478" t="str">
            <v>BHW</v>
          </cell>
          <cell r="E478">
            <v>1.536978118193145</v>
          </cell>
        </row>
        <row r="479">
          <cell r="B479" t="str">
            <v>University of Guelph</v>
          </cell>
          <cell r="C479">
            <v>9</v>
          </cell>
          <cell r="D479" t="str">
            <v>CGP</v>
          </cell>
          <cell r="E479">
            <v>1.5299039458049299</v>
          </cell>
        </row>
        <row r="480">
          <cell r="B480" t="str">
            <v>University of Gothenburg</v>
          </cell>
          <cell r="C480">
            <v>18</v>
          </cell>
          <cell r="D480" t="str">
            <v>BEW</v>
          </cell>
          <cell r="E480">
            <v>1.5180891064466471</v>
          </cell>
        </row>
        <row r="481">
          <cell r="B481" t="str">
            <v>Universite de Rennes</v>
          </cell>
          <cell r="C481">
            <v>22</v>
          </cell>
          <cell r="D481" t="str">
            <v>BBE</v>
          </cell>
          <cell r="E481">
            <v>1.504254748659287</v>
          </cell>
        </row>
        <row r="482">
          <cell r="B482" t="str">
            <v>Xiamen University</v>
          </cell>
          <cell r="C482">
            <v>29</v>
          </cell>
          <cell r="D482" t="str">
            <v>AHQ</v>
          </cell>
          <cell r="E482">
            <v>1.500063159375167</v>
          </cell>
        </row>
        <row r="483">
          <cell r="B483" t="str">
            <v>Wuhan University</v>
          </cell>
          <cell r="C483">
            <v>31</v>
          </cell>
          <cell r="D483" t="str">
            <v>BHS</v>
          </cell>
          <cell r="E483">
            <v>1.4948122329342439</v>
          </cell>
        </row>
        <row r="484">
          <cell r="B484" t="str">
            <v>University of Salerno</v>
          </cell>
          <cell r="C484">
            <v>24</v>
          </cell>
          <cell r="D484" t="str">
            <v>DAF</v>
          </cell>
          <cell r="E484">
            <v>1.4880347564755829</v>
          </cell>
        </row>
        <row r="485">
          <cell r="B485" t="str">
            <v>Universite Paris Saclay</v>
          </cell>
          <cell r="C485">
            <v>7</v>
          </cell>
          <cell r="D485" t="str">
            <v>CBD</v>
          </cell>
          <cell r="E485">
            <v>1.486564347045094</v>
          </cell>
        </row>
        <row r="486">
          <cell r="B486" t="str">
            <v>Kyung Hee University</v>
          </cell>
          <cell r="C486">
            <v>21</v>
          </cell>
          <cell r="D486" t="str">
            <v>CGX</v>
          </cell>
          <cell r="E486">
            <v>1.486057511049631</v>
          </cell>
        </row>
        <row r="487">
          <cell r="B487" t="str">
            <v>Universiti Putra Malaysia</v>
          </cell>
          <cell r="C487">
            <v>25</v>
          </cell>
          <cell r="D487" t="str">
            <v>DBW</v>
          </cell>
          <cell r="E487">
            <v>1.483942137334485</v>
          </cell>
        </row>
        <row r="488">
          <cell r="B488" t="str">
            <v>Aix-Marseille Universite</v>
          </cell>
          <cell r="C488">
            <v>16</v>
          </cell>
          <cell r="D488" t="str">
            <v>BHG</v>
          </cell>
          <cell r="E488">
            <v>1.4820899189137939</v>
          </cell>
        </row>
        <row r="489">
          <cell r="B489" t="str">
            <v>Universiti Malaya</v>
          </cell>
          <cell r="C489">
            <v>14</v>
          </cell>
          <cell r="D489" t="str">
            <v>BDY</v>
          </cell>
          <cell r="E489">
            <v>1.4809790484524059</v>
          </cell>
        </row>
        <row r="490">
          <cell r="B490" t="str">
            <v>Hunan University</v>
          </cell>
          <cell r="C490">
            <v>31</v>
          </cell>
          <cell r="D490" t="str">
            <v>BBK</v>
          </cell>
          <cell r="E490">
            <v>1.4777911113894211</v>
          </cell>
        </row>
        <row r="491">
          <cell r="B491" t="str">
            <v>University of Tasmania</v>
          </cell>
          <cell r="C491">
            <v>14</v>
          </cell>
          <cell r="D491" t="str">
            <v>AFP</v>
          </cell>
          <cell r="E491">
            <v>1.477176466754504</v>
          </cell>
        </row>
        <row r="492">
          <cell r="B492" t="str">
            <v>Universidad de los Andes (Colombia)</v>
          </cell>
          <cell r="C492">
            <v>14</v>
          </cell>
          <cell r="D492" t="str">
            <v>DDB</v>
          </cell>
          <cell r="E492">
            <v>1.473883554217273</v>
          </cell>
        </row>
        <row r="493">
          <cell r="B493" t="str">
            <v>COMSATS University Islamabad (CUI)</v>
          </cell>
          <cell r="C493">
            <v>31</v>
          </cell>
          <cell r="D493" t="str">
            <v>BAL</v>
          </cell>
          <cell r="E493">
            <v>1.4711753769455289</v>
          </cell>
        </row>
        <row r="494">
          <cell r="B494" t="str">
            <v>University of Kiel</v>
          </cell>
          <cell r="C494">
            <v>12</v>
          </cell>
          <cell r="D494" t="str">
            <v>CBI</v>
          </cell>
          <cell r="E494">
            <v>1.4711528396036271</v>
          </cell>
        </row>
        <row r="495">
          <cell r="B495" t="str">
            <v>University of Waterloo</v>
          </cell>
          <cell r="C495">
            <v>12</v>
          </cell>
          <cell r="D495" t="str">
            <v>BGS</v>
          </cell>
          <cell r="E495">
            <v>1.4673444840801371</v>
          </cell>
        </row>
        <row r="496">
          <cell r="B496" t="str">
            <v>Pusan National University</v>
          </cell>
          <cell r="C496">
            <v>6</v>
          </cell>
          <cell r="D496" t="str">
            <v>DEP</v>
          </cell>
          <cell r="E496">
            <v>1.4537502980686541</v>
          </cell>
        </row>
        <row r="497">
          <cell r="B497" t="str">
            <v>National Cheng Kung University</v>
          </cell>
          <cell r="C497">
            <v>14</v>
          </cell>
          <cell r="D497" t="str">
            <v>DEM</v>
          </cell>
          <cell r="E497">
            <v>1.449953019600559</v>
          </cell>
        </row>
        <row r="498">
          <cell r="B498" t="str">
            <v>Athens University of Economics &amp; Business</v>
          </cell>
          <cell r="C498">
            <v>22</v>
          </cell>
          <cell r="D498" t="str">
            <v>AHV</v>
          </cell>
          <cell r="E498">
            <v>1.4483946132151191</v>
          </cell>
        </row>
        <row r="499">
          <cell r="B499" t="str">
            <v>Universidade de Lisboa</v>
          </cell>
          <cell r="C499">
            <v>32</v>
          </cell>
          <cell r="D499" t="str">
            <v>CAW</v>
          </cell>
          <cell r="E499">
            <v>1.436340806556194</v>
          </cell>
        </row>
        <row r="500">
          <cell r="B500" t="str">
            <v>Universidad de Castilla-La Mancha</v>
          </cell>
          <cell r="C500">
            <v>17</v>
          </cell>
          <cell r="D500" t="str">
            <v>CAP</v>
          </cell>
          <cell r="E500">
            <v>1.429638779094786</v>
          </cell>
        </row>
        <row r="501">
          <cell r="B501" t="str">
            <v>Ton Duc Thang University</v>
          </cell>
          <cell r="C501">
            <v>6</v>
          </cell>
          <cell r="D501" t="str">
            <v>DDA</v>
          </cell>
          <cell r="E501">
            <v>1.4286489529616231</v>
          </cell>
        </row>
        <row r="502">
          <cell r="B502" t="str">
            <v>Ben Gurion University</v>
          </cell>
          <cell r="C502">
            <v>6</v>
          </cell>
          <cell r="D502" t="str">
            <v>DBU</v>
          </cell>
          <cell r="E502">
            <v>1.4284513968259089</v>
          </cell>
        </row>
        <row r="503">
          <cell r="B503" t="str">
            <v>Ming Chuan University</v>
          </cell>
          <cell r="C503">
            <v>15</v>
          </cell>
          <cell r="D503" t="str">
            <v>DEK</v>
          </cell>
          <cell r="E503">
            <v>1.4223876044197941</v>
          </cell>
        </row>
        <row r="504">
          <cell r="B504" t="str">
            <v>China Agricultural University</v>
          </cell>
          <cell r="C504">
            <v>6</v>
          </cell>
          <cell r="D504" t="str">
            <v>CCC</v>
          </cell>
          <cell r="E504">
            <v>1.4222035912037641</v>
          </cell>
        </row>
        <row r="505">
          <cell r="B505" t="str">
            <v>Chinese Academy of Sciences</v>
          </cell>
          <cell r="C505">
            <v>42</v>
          </cell>
          <cell r="D505" t="str">
            <v>ADY</v>
          </cell>
          <cell r="E505">
            <v>1.4103185586532669</v>
          </cell>
        </row>
        <row r="506">
          <cell r="B506" t="str">
            <v>Beijing Jiaotong University</v>
          </cell>
          <cell r="C506">
            <v>8</v>
          </cell>
          <cell r="D506" t="str">
            <v>ABE</v>
          </cell>
          <cell r="E506">
            <v>1.410287143778798</v>
          </cell>
        </row>
        <row r="507">
          <cell r="B507" t="str">
            <v>Nanjing University of Science &amp; Technology</v>
          </cell>
          <cell r="C507">
            <v>6</v>
          </cell>
          <cell r="D507" t="str">
            <v>DDW</v>
          </cell>
          <cell r="E507">
            <v>1.4019536754472419</v>
          </cell>
        </row>
        <row r="508">
          <cell r="B508" t="str">
            <v>Zhejiang Gongshang University</v>
          </cell>
          <cell r="C508">
            <v>20</v>
          </cell>
          <cell r="D508" t="str">
            <v>BGH</v>
          </cell>
          <cell r="E508">
            <v>1.398380853184511</v>
          </cell>
        </row>
        <row r="509">
          <cell r="B509" t="str">
            <v>Universite PSL</v>
          </cell>
          <cell r="C509">
            <v>8</v>
          </cell>
          <cell r="D509" t="str">
            <v>BCW</v>
          </cell>
          <cell r="E509">
            <v>1.3974763620328541</v>
          </cell>
        </row>
        <row r="510">
          <cell r="B510" t="str">
            <v>Guangdong University of Finance &amp; Economics</v>
          </cell>
          <cell r="C510">
            <v>12</v>
          </cell>
          <cell r="D510" t="str">
            <v>DCA</v>
          </cell>
          <cell r="E510">
            <v>1.3961606327622249</v>
          </cell>
        </row>
        <row r="511">
          <cell r="B511" t="str">
            <v>Southeast University - China</v>
          </cell>
          <cell r="C511">
            <v>13</v>
          </cell>
          <cell r="D511" t="str">
            <v>BEJ</v>
          </cell>
          <cell r="E511">
            <v>1.3922859674928161</v>
          </cell>
        </row>
        <row r="512">
          <cell r="B512" t="str">
            <v>Nanchang University</v>
          </cell>
          <cell r="C512">
            <v>6</v>
          </cell>
          <cell r="D512" t="str">
            <v>BCJ</v>
          </cell>
          <cell r="E512">
            <v>1.390526432815856</v>
          </cell>
        </row>
        <row r="513">
          <cell r="B513" t="str">
            <v>Zhejiang University of Finance &amp; Economics</v>
          </cell>
          <cell r="C513">
            <v>17</v>
          </cell>
          <cell r="D513" t="str">
            <v>CGZ</v>
          </cell>
          <cell r="E513">
            <v>1.373084722668847</v>
          </cell>
        </row>
        <row r="514">
          <cell r="B514" t="str">
            <v>Universitat d'Alacant</v>
          </cell>
          <cell r="C514">
            <v>15</v>
          </cell>
          <cell r="D514" t="str">
            <v>CBX</v>
          </cell>
          <cell r="E514">
            <v>1.369567199370741</v>
          </cell>
        </row>
        <row r="515">
          <cell r="B515" t="str">
            <v>Southwest Jiaotong University</v>
          </cell>
          <cell r="C515">
            <v>17</v>
          </cell>
          <cell r="D515" t="str">
            <v>BCX</v>
          </cell>
          <cell r="E515">
            <v>1.368224242440043</v>
          </cell>
        </row>
        <row r="516">
          <cell r="B516" t="str">
            <v>Jilin University</v>
          </cell>
          <cell r="C516">
            <v>17</v>
          </cell>
          <cell r="D516" t="str">
            <v>BHE</v>
          </cell>
          <cell r="E516">
            <v>1.367998559030668</v>
          </cell>
        </row>
        <row r="517">
          <cell r="B517" t="str">
            <v>East China University of Science &amp; Technology</v>
          </cell>
          <cell r="C517">
            <v>25</v>
          </cell>
          <cell r="D517" t="str">
            <v>BHH</v>
          </cell>
          <cell r="E517">
            <v>1.367300234018004</v>
          </cell>
        </row>
        <row r="518">
          <cell r="B518" t="str">
            <v>Roma Tre University</v>
          </cell>
          <cell r="C518">
            <v>15</v>
          </cell>
          <cell r="D518" t="str">
            <v>BAI</v>
          </cell>
          <cell r="E518">
            <v>1.3652156168009779</v>
          </cell>
        </row>
        <row r="519">
          <cell r="B519" t="str">
            <v>Universidade da Beira Interior</v>
          </cell>
          <cell r="C519">
            <v>19</v>
          </cell>
          <cell r="D519" t="str">
            <v>DCE</v>
          </cell>
          <cell r="E519">
            <v>1.3562141636372149</v>
          </cell>
        </row>
        <row r="520">
          <cell r="B520" t="str">
            <v>Tamkang University</v>
          </cell>
          <cell r="C520">
            <v>10</v>
          </cell>
          <cell r="D520" t="str">
            <v>DCZ</v>
          </cell>
          <cell r="E520">
            <v>1.355244211032465</v>
          </cell>
        </row>
        <row r="521">
          <cell r="B521" t="str">
            <v>Sungkyunkwan University (SKKU)</v>
          </cell>
          <cell r="C521">
            <v>29</v>
          </cell>
          <cell r="D521" t="str">
            <v>BDS</v>
          </cell>
          <cell r="E521">
            <v>1.3481919359395911</v>
          </cell>
        </row>
        <row r="522">
          <cell r="B522" t="str">
            <v>National Yang Ming Chiao Tung University</v>
          </cell>
          <cell r="C522">
            <v>7</v>
          </cell>
          <cell r="D522" t="str">
            <v>DDM</v>
          </cell>
          <cell r="E522">
            <v>1.3395481223828249</v>
          </cell>
        </row>
        <row r="523">
          <cell r="B523" t="str">
            <v>University of Bielefeld</v>
          </cell>
          <cell r="C523">
            <v>5</v>
          </cell>
          <cell r="D523" t="str">
            <v>DBX</v>
          </cell>
          <cell r="E523">
            <v>1.3341887938678789</v>
          </cell>
        </row>
        <row r="524">
          <cell r="B524" t="str">
            <v>Universidad Rey Juan Carlos</v>
          </cell>
          <cell r="C524">
            <v>20</v>
          </cell>
          <cell r="D524" t="str">
            <v>DCD</v>
          </cell>
          <cell r="E524">
            <v>1.3231495026089699</v>
          </cell>
        </row>
        <row r="525">
          <cell r="B525" t="str">
            <v>Lahore University of Management Sciences</v>
          </cell>
          <cell r="C525">
            <v>14</v>
          </cell>
          <cell r="D525" t="str">
            <v>DDK</v>
          </cell>
          <cell r="E525">
            <v>1.3194161894440251</v>
          </cell>
        </row>
        <row r="526">
          <cell r="B526" t="str">
            <v>Prague University of Economics &amp; Business</v>
          </cell>
          <cell r="C526">
            <v>16</v>
          </cell>
          <cell r="D526" t="str">
            <v>BHV</v>
          </cell>
          <cell r="E526">
            <v>1.3191961035574871</v>
          </cell>
        </row>
        <row r="527">
          <cell r="B527" t="str">
            <v>University of Luxembourg</v>
          </cell>
          <cell r="C527">
            <v>7</v>
          </cell>
          <cell r="D527" t="str">
            <v>CAX</v>
          </cell>
          <cell r="E527">
            <v>1.3093683167277519</v>
          </cell>
        </row>
        <row r="528">
          <cell r="B528" t="str">
            <v>National Kaohsiung University of Science &amp; Technology</v>
          </cell>
          <cell r="C528">
            <v>21</v>
          </cell>
          <cell r="D528" t="str">
            <v>DCB</v>
          </cell>
          <cell r="E528">
            <v>1.307916533606116</v>
          </cell>
        </row>
        <row r="529">
          <cell r="B529" t="str">
            <v>Zhongnan University of Economics &amp; Law</v>
          </cell>
          <cell r="C529">
            <v>16</v>
          </cell>
          <cell r="D529" t="str">
            <v>BHT</v>
          </cell>
          <cell r="E529">
            <v>1.3049747632062849</v>
          </cell>
        </row>
        <row r="530">
          <cell r="B530" t="str">
            <v>Nanjing Audit University</v>
          </cell>
          <cell r="C530">
            <v>15</v>
          </cell>
          <cell r="D530" t="str">
            <v>CBW</v>
          </cell>
          <cell r="E530">
            <v>1.3035938913461149</v>
          </cell>
        </row>
        <row r="531">
          <cell r="B531" t="str">
            <v>Universidad de Malaga</v>
          </cell>
          <cell r="C531">
            <v>24</v>
          </cell>
          <cell r="D531" t="str">
            <v>CHN</v>
          </cell>
          <cell r="E531">
            <v>1.291263380136765</v>
          </cell>
        </row>
        <row r="532">
          <cell r="B532" t="str">
            <v>Charles University Prague</v>
          </cell>
          <cell r="C532">
            <v>5</v>
          </cell>
          <cell r="D532" t="str">
            <v>BGF</v>
          </cell>
          <cell r="E532">
            <v>1.287601319418743</v>
          </cell>
        </row>
        <row r="533">
          <cell r="B533" t="str">
            <v>Universiti Sains Malaysia</v>
          </cell>
          <cell r="C533">
            <v>17</v>
          </cell>
          <cell r="D533" t="str">
            <v>AHU</v>
          </cell>
          <cell r="E533">
            <v>1.286252766417769</v>
          </cell>
        </row>
        <row r="534">
          <cell r="B534" t="str">
            <v>Nanjing University of Finance &amp; Economics</v>
          </cell>
          <cell r="C534">
            <v>12</v>
          </cell>
          <cell r="D534" t="str">
            <v>CAO</v>
          </cell>
          <cell r="E534">
            <v>1.2851251041091909</v>
          </cell>
        </row>
        <row r="535">
          <cell r="B535" t="str">
            <v>National Central University</v>
          </cell>
          <cell r="C535">
            <v>13</v>
          </cell>
          <cell r="D535" t="str">
            <v>CGT</v>
          </cell>
          <cell r="E535">
            <v>1.2808192134585481</v>
          </cell>
        </row>
        <row r="536">
          <cell r="B536" t="str">
            <v>Humboldt University of Berlin</v>
          </cell>
          <cell r="C536">
            <v>3</v>
          </cell>
          <cell r="D536" t="str">
            <v>BHY</v>
          </cell>
          <cell r="E536">
            <v>1.277251657508673</v>
          </cell>
        </row>
        <row r="537">
          <cell r="B537" t="str">
            <v>Universidad de Chile</v>
          </cell>
          <cell r="C537">
            <v>8</v>
          </cell>
          <cell r="D537" t="str">
            <v>CAQ</v>
          </cell>
          <cell r="E537">
            <v>1.275226693872975</v>
          </cell>
        </row>
        <row r="538">
          <cell r="B538" t="str">
            <v>University of Novi Sad</v>
          </cell>
          <cell r="C538">
            <v>9</v>
          </cell>
          <cell r="D538" t="str">
            <v>DEB</v>
          </cell>
          <cell r="E538">
            <v>1.2593261698537781</v>
          </cell>
        </row>
        <row r="539">
          <cell r="B539" t="str">
            <v>Beihang University</v>
          </cell>
          <cell r="C539">
            <v>5</v>
          </cell>
          <cell r="D539" t="str">
            <v>CAG</v>
          </cell>
          <cell r="E539">
            <v>1.256644578046495</v>
          </cell>
        </row>
        <row r="540">
          <cell r="B540" t="str">
            <v>Korea Advanced Institute of Science &amp; Technology (KAIST)</v>
          </cell>
          <cell r="C540">
            <v>17</v>
          </cell>
          <cell r="D540" t="str">
            <v>CHM</v>
          </cell>
          <cell r="E540">
            <v>1.2529745981608791</v>
          </cell>
        </row>
        <row r="541">
          <cell r="B541" t="str">
            <v>University of Tehran</v>
          </cell>
          <cell r="C541">
            <v>22</v>
          </cell>
          <cell r="D541" t="str">
            <v>DED</v>
          </cell>
          <cell r="E541">
            <v>1.2424757889355409</v>
          </cell>
        </row>
        <row r="542">
          <cell r="B542" t="str">
            <v>Poznan University of Economics &amp; Business</v>
          </cell>
          <cell r="C542">
            <v>10</v>
          </cell>
          <cell r="D542" t="str">
            <v>DBB</v>
          </cell>
          <cell r="E542">
            <v>1.240618636882753</v>
          </cell>
        </row>
        <row r="543">
          <cell r="B543" t="str">
            <v>Universidade de Coimbra</v>
          </cell>
          <cell r="C543">
            <v>7</v>
          </cell>
          <cell r="D543" t="str">
            <v>CCE</v>
          </cell>
          <cell r="E543">
            <v>1.2383527493816899</v>
          </cell>
        </row>
        <row r="544">
          <cell r="B544" t="str">
            <v>Universitat Jaume I</v>
          </cell>
          <cell r="C544">
            <v>19</v>
          </cell>
          <cell r="D544" t="str">
            <v>CAU</v>
          </cell>
          <cell r="E544">
            <v>1.226651346128685</v>
          </cell>
        </row>
        <row r="545">
          <cell r="B545" t="str">
            <v>Universidade de Sao Paulo</v>
          </cell>
          <cell r="C545">
            <v>33</v>
          </cell>
          <cell r="D545" t="str">
            <v>CCH</v>
          </cell>
          <cell r="E545">
            <v>1.2236321158706389</v>
          </cell>
        </row>
        <row r="546">
          <cell r="B546" t="str">
            <v>University of Murcia</v>
          </cell>
          <cell r="C546">
            <v>23</v>
          </cell>
          <cell r="D546" t="str">
            <v>CAZ</v>
          </cell>
          <cell r="E546">
            <v>1.2221736280224089</v>
          </cell>
        </row>
        <row r="547">
          <cell r="B547" t="str">
            <v>Islamic Azad University</v>
          </cell>
          <cell r="C547">
            <v>22</v>
          </cell>
          <cell r="D547" t="str">
            <v>DEY</v>
          </cell>
          <cell r="E547">
            <v>1.212817667750105</v>
          </cell>
        </row>
        <row r="548">
          <cell r="B548" t="str">
            <v>Dalian University of Technology</v>
          </cell>
          <cell r="C548">
            <v>15</v>
          </cell>
          <cell r="D548" t="str">
            <v>CGO</v>
          </cell>
          <cell r="E548">
            <v>1.208356828540798</v>
          </cell>
        </row>
        <row r="549">
          <cell r="B549" t="str">
            <v>Keio University</v>
          </cell>
          <cell r="C549">
            <v>9</v>
          </cell>
          <cell r="D549" t="str">
            <v>BEZ</v>
          </cell>
          <cell r="E549">
            <v>1.2058095893408409</v>
          </cell>
        </row>
        <row r="550">
          <cell r="B550" t="str">
            <v>Feng Chia University</v>
          </cell>
          <cell r="C550">
            <v>11</v>
          </cell>
          <cell r="D550" t="str">
            <v>DDU</v>
          </cell>
          <cell r="E550">
            <v>1.1880343253752099</v>
          </cell>
        </row>
        <row r="551">
          <cell r="B551" t="str">
            <v>University of Tokyo</v>
          </cell>
          <cell r="C551">
            <v>4</v>
          </cell>
          <cell r="D551" t="str">
            <v>CBT</v>
          </cell>
          <cell r="E551">
            <v>1.187570753130387</v>
          </cell>
        </row>
        <row r="552">
          <cell r="B552" t="str">
            <v>Universite de Sfax</v>
          </cell>
          <cell r="C552">
            <v>3</v>
          </cell>
          <cell r="D552" t="str">
            <v>BAF</v>
          </cell>
          <cell r="E552">
            <v>1.1846971645079889</v>
          </cell>
        </row>
        <row r="553">
          <cell r="B553" t="str">
            <v>Shanghai Lixin University of Accounting &amp; Finance</v>
          </cell>
          <cell r="C553">
            <v>11</v>
          </cell>
          <cell r="D553" t="str">
            <v>CGL</v>
          </cell>
          <cell r="E553">
            <v>1.1844652772022151</v>
          </cell>
        </row>
        <row r="554">
          <cell r="B554" t="str">
            <v>University of Kentucky</v>
          </cell>
          <cell r="C554">
            <v>28</v>
          </cell>
          <cell r="D554" t="str">
            <v>AEH</v>
          </cell>
          <cell r="E554">
            <v>1.1803197474889029</v>
          </cell>
        </row>
        <row r="555">
          <cell r="B555" t="str">
            <v>Universidade Federal do Rio Grande do Sul</v>
          </cell>
          <cell r="C555">
            <v>24</v>
          </cell>
          <cell r="D555" t="str">
            <v>AHN</v>
          </cell>
          <cell r="E555">
            <v>1.1757769813304011</v>
          </cell>
        </row>
        <row r="556">
          <cell r="B556" t="str">
            <v>University of Haifa</v>
          </cell>
          <cell r="C556">
            <v>4</v>
          </cell>
          <cell r="D556" t="str">
            <v>DDX</v>
          </cell>
          <cell r="E556">
            <v>1.174416358848293</v>
          </cell>
        </row>
        <row r="557">
          <cell r="B557" t="str">
            <v>Chongqing University</v>
          </cell>
          <cell r="C557">
            <v>13</v>
          </cell>
          <cell r="D557" t="str">
            <v>BFN</v>
          </cell>
          <cell r="E557">
            <v>1.1683721103996101</v>
          </cell>
        </row>
        <row r="558">
          <cell r="B558" t="str">
            <v>Kyoto University</v>
          </cell>
          <cell r="C558">
            <v>6</v>
          </cell>
          <cell r="D558" t="str">
            <v>ADN</v>
          </cell>
          <cell r="E558">
            <v>1.156668759262476</v>
          </cell>
        </row>
        <row r="559">
          <cell r="B559" t="str">
            <v>Universidade de Vigo</v>
          </cell>
          <cell r="C559">
            <v>18</v>
          </cell>
          <cell r="D559" t="str">
            <v>CCI</v>
          </cell>
          <cell r="E559">
            <v>1.15139905802827</v>
          </cell>
        </row>
        <row r="560">
          <cell r="B560" t="str">
            <v>University of Quebec Montreal</v>
          </cell>
          <cell r="C560">
            <v>22</v>
          </cell>
          <cell r="D560" t="str">
            <v>BCB</v>
          </cell>
          <cell r="E560">
            <v>1.1269532830023881</v>
          </cell>
        </row>
        <row r="561">
          <cell r="B561" t="str">
            <v>University of Piraeus</v>
          </cell>
          <cell r="C561">
            <v>4</v>
          </cell>
          <cell r="D561" t="str">
            <v>BGC</v>
          </cell>
          <cell r="E561">
            <v>1.1036004527692189</v>
          </cell>
        </row>
        <row r="562">
          <cell r="B562" t="str">
            <v>Universite de Montreal</v>
          </cell>
          <cell r="C562">
            <v>49</v>
          </cell>
          <cell r="D562" t="str">
            <v>ADF</v>
          </cell>
          <cell r="E562">
            <v>1.0890779419689041</v>
          </cell>
        </row>
        <row r="563">
          <cell r="B563" t="str">
            <v>Pompeu Fabra University</v>
          </cell>
          <cell r="C563">
            <v>14</v>
          </cell>
          <cell r="D563" t="str">
            <v>AGW</v>
          </cell>
          <cell r="E563">
            <v>1.0753565102135441</v>
          </cell>
        </row>
        <row r="564">
          <cell r="B564" t="str">
            <v>Jiangxi University of Finance &amp; Economics</v>
          </cell>
          <cell r="C564">
            <v>11</v>
          </cell>
          <cell r="D564" t="str">
            <v>CGW</v>
          </cell>
          <cell r="E564">
            <v>1.072268490077638</v>
          </cell>
        </row>
        <row r="565">
          <cell r="B565" t="str">
            <v>Stellenbosch University</v>
          </cell>
          <cell r="C565">
            <v>9</v>
          </cell>
          <cell r="D565" t="str">
            <v>BBY</v>
          </cell>
          <cell r="E565">
            <v>1.027150692805074</v>
          </cell>
        </row>
        <row r="566">
          <cell r="B566" t="str">
            <v>University of Belgrade</v>
          </cell>
          <cell r="C566">
            <v>7</v>
          </cell>
          <cell r="D566" t="str">
            <v>DDE</v>
          </cell>
          <cell r="E566">
            <v>1.020183354427175</v>
          </cell>
        </row>
        <row r="567">
          <cell r="B567" t="str">
            <v>Kobe University</v>
          </cell>
          <cell r="C567">
            <v>5</v>
          </cell>
          <cell r="D567" t="str">
            <v>ACJ</v>
          </cell>
          <cell r="E567">
            <v>1.0187079362275919</v>
          </cell>
        </row>
        <row r="568">
          <cell r="B568" t="str">
            <v>Hebrew University of Jerusalem</v>
          </cell>
          <cell r="C568">
            <v>3</v>
          </cell>
          <cell r="D568" t="str">
            <v>AET</v>
          </cell>
          <cell r="E568">
            <v>1.0106432762505171</v>
          </cell>
        </row>
        <row r="569">
          <cell r="B569" t="str">
            <v>University of Economics Bratislava</v>
          </cell>
          <cell r="C569">
            <v>3</v>
          </cell>
          <cell r="D569" t="str">
            <v>AFV</v>
          </cell>
          <cell r="E569">
            <v>1.005658434759434</v>
          </cell>
        </row>
        <row r="570">
          <cell r="B570" t="str">
            <v>Bucharest University of Economic Studies</v>
          </cell>
          <cell r="C570">
            <v>48</v>
          </cell>
          <cell r="D570" t="str">
            <v>CBO</v>
          </cell>
          <cell r="E570">
            <v>1.0020941537182759</v>
          </cell>
        </row>
        <row r="571">
          <cell r="B571" t="str">
            <v>Vilnius Gediminas Technical University</v>
          </cell>
          <cell r="C571">
            <v>19</v>
          </cell>
          <cell r="D571" t="str">
            <v>BGX</v>
          </cell>
          <cell r="E571">
            <v>1</v>
          </cell>
        </row>
      </sheetData>
      <sheetData sheetId="6">
        <row r="1">
          <cell r="B1" t="str">
            <v>journal</v>
          </cell>
          <cell r="C1" t="str">
            <v>acr</v>
          </cell>
          <cell r="D1" t="str">
            <v>pub</v>
          </cell>
          <cell r="E1" t="str">
            <v>journal_score</v>
          </cell>
        </row>
        <row r="2">
          <cell r="B2" t="str">
            <v>QUARTERLY JOURNAL OF ECONOMICS</v>
          </cell>
          <cell r="C2" t="str">
            <v>BCK</v>
          </cell>
          <cell r="D2">
            <v>40</v>
          </cell>
          <cell r="E2">
            <v>10</v>
          </cell>
        </row>
        <row r="3">
          <cell r="B3" t="str">
            <v>AMERICAN ECONOMIC REVIEW</v>
          </cell>
          <cell r="C3" t="str">
            <v>ACE</v>
          </cell>
          <cell r="D3">
            <v>116</v>
          </cell>
          <cell r="E3">
            <v>6.4842478525852982</v>
          </cell>
        </row>
        <row r="4">
          <cell r="B4" t="str">
            <v>JOURNAL OF POLITICAL ECONOMY</v>
          </cell>
          <cell r="C4" t="str">
            <v>ACO</v>
          </cell>
          <cell r="D4">
            <v>110</v>
          </cell>
          <cell r="E4">
            <v>4.6716761308568584</v>
          </cell>
        </row>
        <row r="5">
          <cell r="B5" t="str">
            <v>REVIEW OF ECONOMIC STUDIES</v>
          </cell>
          <cell r="C5" t="str">
            <v>AEM</v>
          </cell>
          <cell r="D5">
            <v>80</v>
          </cell>
          <cell r="E5">
            <v>4.3828689745314513</v>
          </cell>
        </row>
        <row r="6">
          <cell r="B6" t="str">
            <v>ECONOMETRICA</v>
          </cell>
          <cell r="C6" t="str">
            <v>AEU</v>
          </cell>
          <cell r="D6">
            <v>76</v>
          </cell>
          <cell r="E6">
            <v>4.3761882743580616</v>
          </cell>
        </row>
        <row r="7">
          <cell r="B7" t="str">
            <v>NBER MACROECONOMICS ANNUAL</v>
          </cell>
          <cell r="C7" t="str">
            <v>CGO</v>
          </cell>
          <cell r="D7">
            <v>7</v>
          </cell>
          <cell r="E7">
            <v>4.3557157472994454</v>
          </cell>
        </row>
        <row r="8">
          <cell r="B8" t="str">
            <v>JOURNAL OF ECONOMIC LITERATURE</v>
          </cell>
          <cell r="C8" t="str">
            <v>CBD</v>
          </cell>
          <cell r="D8">
            <v>16</v>
          </cell>
          <cell r="E8">
            <v>4.0979996091721516</v>
          </cell>
        </row>
        <row r="9">
          <cell r="B9" t="str">
            <v>AMERICAN ECONOMIC REVIEW-INSIGHTS</v>
          </cell>
          <cell r="C9" t="str">
            <v>BFA</v>
          </cell>
          <cell r="D9">
            <v>32</v>
          </cell>
          <cell r="E9">
            <v>3.7240051185145751</v>
          </cell>
        </row>
        <row r="10">
          <cell r="B10" t="str">
            <v>BROOKINGS PAPERS ON ECONOMIC ACTIVITY</v>
          </cell>
          <cell r="C10" t="str">
            <v>CAB</v>
          </cell>
          <cell r="D10">
            <v>24</v>
          </cell>
          <cell r="E10">
            <v>3.6864152277633639</v>
          </cell>
        </row>
        <row r="11">
          <cell r="B11" t="str">
            <v>AMERICAN ECONOMIC JOURNAL-APPLIED ECONOMICS</v>
          </cell>
          <cell r="C11" t="str">
            <v>BBU</v>
          </cell>
          <cell r="D11">
            <v>43</v>
          </cell>
          <cell r="E11">
            <v>3.216761411490614</v>
          </cell>
        </row>
        <row r="12">
          <cell r="B12" t="str">
            <v>JOURNAL OF FINANCE</v>
          </cell>
          <cell r="C12" t="str">
            <v>ADN</v>
          </cell>
          <cell r="D12">
            <v>73</v>
          </cell>
          <cell r="E12">
            <v>3.014058639333109</v>
          </cell>
        </row>
        <row r="13">
          <cell r="B13" t="str">
            <v>AMERICAN ECONOMIC JOURNAL-MACROECONOMICS</v>
          </cell>
          <cell r="C13" t="str">
            <v>BDC</v>
          </cell>
          <cell r="D13">
            <v>38</v>
          </cell>
          <cell r="E13">
            <v>2.9113245936451229</v>
          </cell>
        </row>
        <row r="14">
          <cell r="B14" t="str">
            <v>JOURNAL OF LABOR ECONOMICS</v>
          </cell>
          <cell r="C14" t="str">
            <v>BFC</v>
          </cell>
          <cell r="D14">
            <v>32</v>
          </cell>
          <cell r="E14">
            <v>2.8951802270033342</v>
          </cell>
        </row>
        <row r="15">
          <cell r="B15" t="str">
            <v>JOURNAL OF ECONOMIC PERSPECTIVES</v>
          </cell>
          <cell r="C15" t="str">
            <v>BCD</v>
          </cell>
          <cell r="D15">
            <v>41</v>
          </cell>
          <cell r="E15">
            <v>2.6691646250053851</v>
          </cell>
        </row>
        <row r="16">
          <cell r="B16" t="str">
            <v>REVIEW OF ECONOMICS AND STATISTICS</v>
          </cell>
          <cell r="C16" t="str">
            <v>AGB</v>
          </cell>
          <cell r="D16">
            <v>65</v>
          </cell>
          <cell r="E16">
            <v>2.6539943403393078</v>
          </cell>
        </row>
        <row r="17">
          <cell r="B17" t="str">
            <v>AMERICAN ECONOMIC JOURNAL-ECONOMIC POLICY</v>
          </cell>
          <cell r="C17" t="str">
            <v>BAG</v>
          </cell>
          <cell r="D17">
            <v>51</v>
          </cell>
          <cell r="E17">
            <v>2.577843649375775</v>
          </cell>
        </row>
        <row r="18">
          <cell r="B18" t="str">
            <v>ANNUAL REVIEW OF ECONOMICS</v>
          </cell>
          <cell r="C18" t="str">
            <v>BFJ</v>
          </cell>
          <cell r="D18">
            <v>31</v>
          </cell>
          <cell r="E18">
            <v>2.5210416702415031</v>
          </cell>
        </row>
        <row r="19">
          <cell r="B19" t="str">
            <v>REVIEW OF FINANCIAL STUDIES</v>
          </cell>
          <cell r="C19" t="str">
            <v>ABS</v>
          </cell>
          <cell r="D19">
            <v>141</v>
          </cell>
          <cell r="E19">
            <v>2.2288796439084861</v>
          </cell>
        </row>
        <row r="20">
          <cell r="B20" t="str">
            <v>JOURNAL OF PUBLIC ECONOMICS</v>
          </cell>
          <cell r="C20" t="str">
            <v>ABW</v>
          </cell>
          <cell r="D20">
            <v>133</v>
          </cell>
          <cell r="E20">
            <v>2.1597200031683652</v>
          </cell>
        </row>
        <row r="21">
          <cell r="B21" t="str">
            <v>JOURNAL OF FINANCIAL ECONOMICS</v>
          </cell>
          <cell r="C21" t="str">
            <v>ABL</v>
          </cell>
          <cell r="D21">
            <v>152</v>
          </cell>
          <cell r="E21">
            <v>1.768381799995411</v>
          </cell>
        </row>
        <row r="22">
          <cell r="B22" t="str">
            <v>JOURNAL OF THE EUROPEAN ECONOMIC ASSOCIATION</v>
          </cell>
          <cell r="C22" t="str">
            <v>AEC</v>
          </cell>
          <cell r="D22">
            <v>84</v>
          </cell>
          <cell r="E22">
            <v>1.740750753979956</v>
          </cell>
        </row>
        <row r="23">
          <cell r="B23" t="str">
            <v>JOURNAL OF MONETARY ECONOMICS</v>
          </cell>
          <cell r="C23" t="str">
            <v>ACY</v>
          </cell>
          <cell r="D23">
            <v>102</v>
          </cell>
          <cell r="E23">
            <v>1.5757826019850421</v>
          </cell>
        </row>
        <row r="24">
          <cell r="B24" t="str">
            <v>QUANTITATIVE ECONOMICS</v>
          </cell>
          <cell r="C24" t="str">
            <v>BCP</v>
          </cell>
          <cell r="D24">
            <v>40</v>
          </cell>
          <cell r="E24">
            <v>1.3376725541052279</v>
          </cell>
        </row>
        <row r="25">
          <cell r="B25" t="str">
            <v>IMF ECONOMIC REVIEW</v>
          </cell>
          <cell r="C25" t="str">
            <v>CAM</v>
          </cell>
          <cell r="D25">
            <v>21</v>
          </cell>
          <cell r="E25">
            <v>1.228601050836849</v>
          </cell>
        </row>
        <row r="26">
          <cell r="B26" t="str">
            <v>JOURNAL OF INTERNATIONAL ECONOMICS</v>
          </cell>
          <cell r="C26" t="str">
            <v>ADP</v>
          </cell>
          <cell r="D26">
            <v>92</v>
          </cell>
          <cell r="E26">
            <v>1.208975325095021</v>
          </cell>
        </row>
        <row r="27">
          <cell r="B27" t="str">
            <v>JOURNAL OF URBAN ECONOMICS</v>
          </cell>
          <cell r="C27" t="str">
            <v>BCX</v>
          </cell>
          <cell r="D27">
            <v>39</v>
          </cell>
          <cell r="E27">
            <v>1.1980518619416021</v>
          </cell>
        </row>
        <row r="28">
          <cell r="B28" t="str">
            <v>REVIEW OF ENVIRONMENTAL ECONOMICS AND POLICY</v>
          </cell>
          <cell r="C28" t="str">
            <v>CBE</v>
          </cell>
          <cell r="D28">
            <v>19</v>
          </cell>
          <cell r="E28">
            <v>1.179142784469021</v>
          </cell>
        </row>
        <row r="29">
          <cell r="B29" t="str">
            <v>JOURNAL OF HUMAN RESOURCES</v>
          </cell>
          <cell r="C29" t="str">
            <v>BCM</v>
          </cell>
          <cell r="D29">
            <v>39</v>
          </cell>
          <cell r="E29">
            <v>1.1721712767139789</v>
          </cell>
        </row>
        <row r="30">
          <cell r="B30" t="str">
            <v>JOURNAL OF THE ASSOCIATION OF ENVIRONMENTAL AND RESOURCE ECONOMISTS</v>
          </cell>
          <cell r="C30" t="str">
            <v>BDM</v>
          </cell>
          <cell r="D30">
            <v>36</v>
          </cell>
          <cell r="E30">
            <v>1.162158364457492</v>
          </cell>
        </row>
        <row r="31">
          <cell r="B31" t="str">
            <v>JOURNAL OF ECONOMIC GROWTH</v>
          </cell>
          <cell r="C31" t="str">
            <v>CFF</v>
          </cell>
          <cell r="D31">
            <v>11</v>
          </cell>
          <cell r="E31">
            <v>1.0196935110501211</v>
          </cell>
        </row>
        <row r="32">
          <cell r="B32" t="str">
            <v>ECONOMIC JOURNAL</v>
          </cell>
          <cell r="C32" t="str">
            <v>ADJ</v>
          </cell>
          <cell r="D32">
            <v>95</v>
          </cell>
          <cell r="E32">
            <v>1.0073638810250469</v>
          </cell>
        </row>
        <row r="33">
          <cell r="B33" t="str">
            <v>THEORETICAL ECONOMICS</v>
          </cell>
          <cell r="C33" t="str">
            <v>BBI</v>
          </cell>
          <cell r="D33">
            <v>45</v>
          </cell>
          <cell r="E33">
            <v>0.97777520429152209</v>
          </cell>
        </row>
        <row r="34">
          <cell r="B34" t="str">
            <v>RAND JOURNAL OF ECONOMICS</v>
          </cell>
          <cell r="C34" t="str">
            <v>BBA</v>
          </cell>
          <cell r="D34">
            <v>46</v>
          </cell>
          <cell r="E34">
            <v>0.94530211393556318</v>
          </cell>
        </row>
        <row r="35">
          <cell r="B35" t="str">
            <v>JOURNAL OF RISK AND UNCERTAINTY</v>
          </cell>
          <cell r="C35" t="str">
            <v>BGY</v>
          </cell>
          <cell r="D35">
            <v>24</v>
          </cell>
          <cell r="E35">
            <v>0.91660045676040947</v>
          </cell>
        </row>
        <row r="36">
          <cell r="B36" t="str">
            <v>REVIEW OF FINANCE</v>
          </cell>
          <cell r="C36" t="str">
            <v>BDY</v>
          </cell>
          <cell r="D36">
            <v>17</v>
          </cell>
          <cell r="E36">
            <v>0.90741275068920835</v>
          </cell>
        </row>
        <row r="37">
          <cell r="B37" t="str">
            <v>AMERICAN ECONOMIC JOURNAL-MICROECONOMICS</v>
          </cell>
          <cell r="C37" t="str">
            <v>BEK</v>
          </cell>
          <cell r="D37">
            <v>34</v>
          </cell>
          <cell r="E37">
            <v>0.86226263049755014</v>
          </cell>
        </row>
        <row r="38">
          <cell r="B38" t="str">
            <v>ANNUAL REVIEW OF RESOURCE ECONOMICS</v>
          </cell>
          <cell r="C38" t="str">
            <v>BHY</v>
          </cell>
          <cell r="D38">
            <v>23</v>
          </cell>
          <cell r="E38">
            <v>0.8585454197341662</v>
          </cell>
        </row>
        <row r="39">
          <cell r="B39" t="str">
            <v>JOURNAL OF ACCOUNTING &amp; ECONOMICS</v>
          </cell>
          <cell r="C39" t="str">
            <v>BDJ</v>
          </cell>
          <cell r="D39">
            <v>35</v>
          </cell>
          <cell r="E39">
            <v>0.85226039853670688</v>
          </cell>
        </row>
        <row r="40">
          <cell r="B40" t="str">
            <v>OXFORD REVIEW OF ECONOMIC POLICY</v>
          </cell>
          <cell r="C40" t="str">
            <v>AGQ</v>
          </cell>
          <cell r="D40">
            <v>62</v>
          </cell>
          <cell r="E40">
            <v>0.83717890825146768</v>
          </cell>
        </row>
        <row r="41">
          <cell r="B41" t="str">
            <v>JOURNAL OF DEVELOPMENT ECONOMICS</v>
          </cell>
          <cell r="C41" t="str">
            <v>ABX</v>
          </cell>
          <cell r="D41">
            <v>132</v>
          </cell>
          <cell r="E41">
            <v>0.82366215302626244</v>
          </cell>
        </row>
        <row r="42">
          <cell r="B42" t="str">
            <v>GENEVA RISK AND INSURANCE REVIEW</v>
          </cell>
          <cell r="C42" t="str">
            <v>CEK</v>
          </cell>
          <cell r="D42">
            <v>14</v>
          </cell>
          <cell r="E42">
            <v>0.80184467749113542</v>
          </cell>
        </row>
        <row r="43">
          <cell r="B43" t="str">
            <v>EUROPEAN ECONOMIC REVIEW</v>
          </cell>
          <cell r="C43" t="str">
            <v>AAV</v>
          </cell>
          <cell r="D43">
            <v>192</v>
          </cell>
          <cell r="E43">
            <v>0.80005093962623963</v>
          </cell>
        </row>
        <row r="44">
          <cell r="B44" t="str">
            <v>JOURNAL OF HEALTH ECONOMICS</v>
          </cell>
          <cell r="C44" t="str">
            <v>ADZ</v>
          </cell>
          <cell r="D44">
            <v>85</v>
          </cell>
          <cell r="E44">
            <v>0.79145737402929583</v>
          </cell>
        </row>
        <row r="45">
          <cell r="B45" t="str">
            <v>AMERICAN JOURNAL OF HEALTH ECONOMICS</v>
          </cell>
          <cell r="C45" t="str">
            <v>CDH</v>
          </cell>
          <cell r="D45">
            <v>17</v>
          </cell>
          <cell r="E45">
            <v>0.77534336556705685</v>
          </cell>
        </row>
        <row r="46">
          <cell r="B46" t="str">
            <v>JOURNAL OF ENVIRONMENTAL ECONOMICS AND MANAGEMENT</v>
          </cell>
          <cell r="C46" t="str">
            <v>AFQ</v>
          </cell>
          <cell r="D46">
            <v>68</v>
          </cell>
          <cell r="E46">
            <v>0.75635860082522322</v>
          </cell>
        </row>
        <row r="47">
          <cell r="B47" t="str">
            <v>FISCAL STUDIES</v>
          </cell>
          <cell r="C47" t="str">
            <v>BDZ</v>
          </cell>
          <cell r="D47">
            <v>34</v>
          </cell>
          <cell r="E47">
            <v>0.75273257406670779</v>
          </cell>
        </row>
        <row r="48">
          <cell r="B48" t="str">
            <v>JOURNAL OF ECONOMIC HISTORY</v>
          </cell>
          <cell r="C48" t="str">
            <v>BFK</v>
          </cell>
          <cell r="D48">
            <v>31</v>
          </cell>
          <cell r="E48">
            <v>0.74505868069748171</v>
          </cell>
        </row>
        <row r="49">
          <cell r="B49" t="str">
            <v>EXPLORATIONS IN ECONOMIC HISTORY</v>
          </cell>
          <cell r="C49" t="str">
            <v>CAC</v>
          </cell>
          <cell r="D49">
            <v>23</v>
          </cell>
          <cell r="E49">
            <v>0.74050165862809869</v>
          </cell>
        </row>
        <row r="50">
          <cell r="B50" t="str">
            <v>REVIEW OF ECONOMIC DYNAMICS</v>
          </cell>
          <cell r="C50" t="str">
            <v>AFU</v>
          </cell>
          <cell r="D50">
            <v>67</v>
          </cell>
          <cell r="E50">
            <v>0.71853692372940969</v>
          </cell>
        </row>
        <row r="51">
          <cell r="B51" t="str">
            <v>JOURNAL OF ECONOMETRICS</v>
          </cell>
          <cell r="C51" t="str">
            <v>ABN</v>
          </cell>
          <cell r="D51">
            <v>148</v>
          </cell>
          <cell r="E51">
            <v>0.69769026999483386</v>
          </cell>
        </row>
        <row r="52">
          <cell r="B52" t="str">
            <v>JOURNAL OF ECONOMIC SURVEYS</v>
          </cell>
          <cell r="C52" t="str">
            <v>AGH</v>
          </cell>
          <cell r="D52">
            <v>40</v>
          </cell>
          <cell r="E52">
            <v>0.69591387545429217</v>
          </cell>
        </row>
        <row r="53">
          <cell r="B53" t="str">
            <v>INTERNATIONAL ECONOMIC REVIEW</v>
          </cell>
          <cell r="C53" t="str">
            <v>AEW</v>
          </cell>
          <cell r="D53">
            <v>75</v>
          </cell>
          <cell r="E53">
            <v>0.69045968254696777</v>
          </cell>
        </row>
        <row r="54">
          <cell r="B54" t="str">
            <v>EXPERIMENTAL ECONOMICS</v>
          </cell>
          <cell r="C54" t="str">
            <v>AEF</v>
          </cell>
          <cell r="D54">
            <v>70</v>
          </cell>
          <cell r="E54">
            <v>0.68379980313769406</v>
          </cell>
        </row>
        <row r="55">
          <cell r="B55" t="str">
            <v>ECONOMETRICS JOURNAL</v>
          </cell>
          <cell r="C55" t="str">
            <v>CAA</v>
          </cell>
          <cell r="D55">
            <v>24</v>
          </cell>
          <cell r="E55">
            <v>0.67357536932177686</v>
          </cell>
        </row>
        <row r="56">
          <cell r="B56" t="str">
            <v>JOURNAL OF ECONOMIC THEORY</v>
          </cell>
          <cell r="C56" t="str">
            <v>ACI</v>
          </cell>
          <cell r="D56">
            <v>114</v>
          </cell>
          <cell r="E56">
            <v>0.67197625673491668</v>
          </cell>
        </row>
        <row r="57">
          <cell r="B57" t="str">
            <v>ECONOMIC POLICY</v>
          </cell>
          <cell r="C57" t="str">
            <v>CDR</v>
          </cell>
          <cell r="D57">
            <v>16</v>
          </cell>
          <cell r="E57">
            <v>0.66432917189553742</v>
          </cell>
        </row>
        <row r="58">
          <cell r="B58" t="str">
            <v>JOURNAL OF POPULATION ECONOMICS</v>
          </cell>
          <cell r="C58" t="str">
            <v>AFP</v>
          </cell>
          <cell r="D58">
            <v>66</v>
          </cell>
          <cell r="E58">
            <v>0.66263247476561249</v>
          </cell>
        </row>
        <row r="59">
          <cell r="B59" t="str">
            <v>JOURNAL OF LAW &amp; ECONOMICS</v>
          </cell>
          <cell r="C59" t="str">
            <v>BHH</v>
          </cell>
          <cell r="D59">
            <v>26</v>
          </cell>
          <cell r="E59">
            <v>0.64216620184754303</v>
          </cell>
        </row>
        <row r="60">
          <cell r="B60" t="str">
            <v>JOURNAL OF BUSINESS &amp; ECONOMIC STATISTICS</v>
          </cell>
          <cell r="C60" t="str">
            <v>ABU</v>
          </cell>
          <cell r="D60">
            <v>114</v>
          </cell>
          <cell r="E60">
            <v>0.63576334885815677</v>
          </cell>
        </row>
        <row r="61">
          <cell r="B61" t="str">
            <v>JOURNAL OF FINANCIAL ECONOMETRICS</v>
          </cell>
          <cell r="C61" t="str">
            <v>CBI</v>
          </cell>
          <cell r="D61">
            <v>21</v>
          </cell>
          <cell r="E61">
            <v>0.63085296564785431</v>
          </cell>
        </row>
        <row r="62">
          <cell r="B62" t="str">
            <v>JOURNAL OF FINANCIAL AND QUANTITATIVE ANALYSIS</v>
          </cell>
          <cell r="C62" t="str">
            <v>AEI</v>
          </cell>
          <cell r="D62">
            <v>82</v>
          </cell>
          <cell r="E62">
            <v>0.6092136400947944</v>
          </cell>
        </row>
        <row r="63">
          <cell r="B63" t="str">
            <v>JOURNAL OF MONEY CREDIT AND BANKING</v>
          </cell>
          <cell r="C63" t="str">
            <v>ADL</v>
          </cell>
          <cell r="D63">
            <v>73</v>
          </cell>
          <cell r="E63">
            <v>0.60239364570537046</v>
          </cell>
        </row>
        <row r="64">
          <cell r="B64" t="str">
            <v>NATIONAL TAX JOURNAL</v>
          </cell>
          <cell r="C64" t="str">
            <v>BBP</v>
          </cell>
          <cell r="D64">
            <v>44</v>
          </cell>
          <cell r="E64">
            <v>0.58990411277844212</v>
          </cell>
        </row>
        <row r="65">
          <cell r="B65" t="str">
            <v>AMERICAN JOURNAL OF AGRICULTURAL ECONOMICS</v>
          </cell>
          <cell r="C65" t="str">
            <v>ACL</v>
          </cell>
          <cell r="D65">
            <v>112</v>
          </cell>
          <cell r="E65">
            <v>0.54196841147269459</v>
          </cell>
        </row>
        <row r="66">
          <cell r="B66" t="str">
            <v>JOURNAL OF APPLIED ECONOMETRICS</v>
          </cell>
          <cell r="C66" t="str">
            <v>AGP</v>
          </cell>
          <cell r="D66">
            <v>52</v>
          </cell>
          <cell r="E66">
            <v>0.54144405207171797</v>
          </cell>
        </row>
        <row r="67">
          <cell r="B67" t="str">
            <v>WORLD BANK ECONOMIC REVIEW</v>
          </cell>
          <cell r="C67" t="str">
            <v>AHY</v>
          </cell>
          <cell r="D67">
            <v>54</v>
          </cell>
          <cell r="E67">
            <v>0.52635071062330585</v>
          </cell>
        </row>
        <row r="68">
          <cell r="B68" t="str">
            <v>LABOUR ECONOMICS</v>
          </cell>
          <cell r="C68" t="str">
            <v>ACF</v>
          </cell>
          <cell r="D68">
            <v>116</v>
          </cell>
          <cell r="E68">
            <v>0.50151117656719213</v>
          </cell>
        </row>
        <row r="69">
          <cell r="B69" t="str">
            <v>REVIEW OF ECONOMICS OF THE HOUSEHOLD</v>
          </cell>
          <cell r="C69" t="str">
            <v>AEY</v>
          </cell>
          <cell r="D69">
            <v>65</v>
          </cell>
          <cell r="E69">
            <v>0.48963653373396082</v>
          </cell>
        </row>
        <row r="70">
          <cell r="B70" t="str">
            <v>EUROPEAN REVIEW OF ECONOMIC HISTORY</v>
          </cell>
          <cell r="C70" t="str">
            <v>BFO</v>
          </cell>
          <cell r="D70">
            <v>31</v>
          </cell>
          <cell r="E70">
            <v>0.48263975453558139</v>
          </cell>
        </row>
        <row r="71">
          <cell r="B71" t="str">
            <v>GAMES AND ECONOMIC BEHAVIOR</v>
          </cell>
          <cell r="C71" t="str">
            <v>ABJ</v>
          </cell>
          <cell r="D71">
            <v>156</v>
          </cell>
          <cell r="E71">
            <v>0.46092227468021779</v>
          </cell>
        </row>
        <row r="72">
          <cell r="B72" t="str">
            <v>JOURNAL OF COMPARATIVE ECONOMICS</v>
          </cell>
          <cell r="C72" t="str">
            <v>BAP</v>
          </cell>
          <cell r="D72">
            <v>49</v>
          </cell>
          <cell r="E72">
            <v>0.44631470616236729</v>
          </cell>
        </row>
        <row r="73">
          <cell r="B73" t="str">
            <v>JOURNAL OF ECONOMIC DYNAMICS &amp; CONTROL</v>
          </cell>
          <cell r="C73" t="str">
            <v>ACD</v>
          </cell>
          <cell r="D73">
            <v>120</v>
          </cell>
          <cell r="E73">
            <v>0.44164980935869153</v>
          </cell>
        </row>
        <row r="74">
          <cell r="B74" t="str">
            <v>JOURNAL OF LAW ECONOMICS &amp; ORGANIZATION</v>
          </cell>
          <cell r="C74" t="str">
            <v>CCZ</v>
          </cell>
          <cell r="D74">
            <v>17</v>
          </cell>
          <cell r="E74">
            <v>0.43604632737354282</v>
          </cell>
        </row>
        <row r="75">
          <cell r="B75" t="str">
            <v>JOURNAL OF BENEFIT-COST ANALYSIS</v>
          </cell>
          <cell r="C75" t="str">
            <v>CCX</v>
          </cell>
          <cell r="D75">
            <v>17</v>
          </cell>
          <cell r="E75">
            <v>0.43505338628363749</v>
          </cell>
        </row>
        <row r="76">
          <cell r="B76" t="str">
            <v>APPLIED ECONOMIC PERSPECTIVES AND POLICY</v>
          </cell>
          <cell r="C76" t="str">
            <v>ACN</v>
          </cell>
          <cell r="D76">
            <v>111</v>
          </cell>
          <cell r="E76">
            <v>0.43326763642156618</v>
          </cell>
        </row>
        <row r="77">
          <cell r="B77" t="str">
            <v>ENERGY JOURNAL</v>
          </cell>
          <cell r="C77" t="str">
            <v>AEV</v>
          </cell>
          <cell r="D77">
            <v>76</v>
          </cell>
          <cell r="E77">
            <v>0.43176417697802022</v>
          </cell>
        </row>
        <row r="78">
          <cell r="B78" t="str">
            <v>ECONOMIC INQUIRY</v>
          </cell>
          <cell r="C78" t="str">
            <v>ABP</v>
          </cell>
          <cell r="D78">
            <v>95</v>
          </cell>
          <cell r="E78">
            <v>0.4273366746207849</v>
          </cell>
        </row>
        <row r="79">
          <cell r="B79" t="str">
            <v>JOURNAL OF ECONOMICS &amp; MANAGEMENT STRATEGY</v>
          </cell>
          <cell r="C79" t="str">
            <v>AHZ</v>
          </cell>
          <cell r="D79">
            <v>43</v>
          </cell>
          <cell r="E79">
            <v>0.41729032129210097</v>
          </cell>
        </row>
        <row r="80">
          <cell r="B80" t="str">
            <v>ECONOMIC HISTORY REVIEW</v>
          </cell>
          <cell r="C80" t="str">
            <v>AGM</v>
          </cell>
          <cell r="D80">
            <v>55</v>
          </cell>
          <cell r="E80">
            <v>0.39168816222482827</v>
          </cell>
        </row>
        <row r="81">
          <cell r="B81" t="str">
            <v>INTERNATIONAL JOURNAL OF FORECASTING</v>
          </cell>
          <cell r="C81" t="str">
            <v>ADB</v>
          </cell>
          <cell r="D81">
            <v>98</v>
          </cell>
          <cell r="E81">
            <v>0.37303813152389842</v>
          </cell>
        </row>
        <row r="82">
          <cell r="B82" t="str">
            <v>MATHEMATICAL FINANCE</v>
          </cell>
          <cell r="C82" t="str">
            <v>AGL</v>
          </cell>
          <cell r="D82">
            <v>43</v>
          </cell>
          <cell r="E82">
            <v>0.35928681200154361</v>
          </cell>
        </row>
        <row r="83">
          <cell r="B83" t="str">
            <v>ECONOMIC THEORY</v>
          </cell>
          <cell r="C83" t="str">
            <v>ABM</v>
          </cell>
          <cell r="D83">
            <v>143</v>
          </cell>
          <cell r="E83">
            <v>0.35868429907475502</v>
          </cell>
        </row>
        <row r="84">
          <cell r="B84" t="str">
            <v>INTERNATIONAL JOURNAL OF INDUSTRIAL ORGANIZATION</v>
          </cell>
          <cell r="C84" t="str">
            <v>AFK</v>
          </cell>
          <cell r="D84">
            <v>72</v>
          </cell>
          <cell r="E84">
            <v>0.35480596935133929</v>
          </cell>
        </row>
        <row r="85">
          <cell r="B85" t="str">
            <v>REAL ESTATE ECONOMICS</v>
          </cell>
          <cell r="C85" t="str">
            <v>AGK</v>
          </cell>
          <cell r="D85">
            <v>63</v>
          </cell>
          <cell r="E85">
            <v>0.35385789853055533</v>
          </cell>
        </row>
        <row r="86">
          <cell r="B86" t="str">
            <v>JOURNAL OF ECONOMIC BEHAVIOR &amp; ORGANIZATION</v>
          </cell>
          <cell r="C86" t="str">
            <v>AAE</v>
          </cell>
          <cell r="D86">
            <v>396</v>
          </cell>
          <cell r="E86">
            <v>0.33929402439560391</v>
          </cell>
        </row>
        <row r="87">
          <cell r="B87" t="str">
            <v>ECONOMICA</v>
          </cell>
          <cell r="C87" t="str">
            <v>AHT</v>
          </cell>
          <cell r="D87">
            <v>45</v>
          </cell>
          <cell r="E87">
            <v>0.33782327554178199</v>
          </cell>
        </row>
        <row r="88">
          <cell r="B88" t="str">
            <v>ENVIRONMENTAL &amp; RESOURCE ECONOMICS</v>
          </cell>
          <cell r="C88" t="str">
            <v>ABY</v>
          </cell>
          <cell r="D88">
            <v>124</v>
          </cell>
          <cell r="E88">
            <v>0.32652457943137098</v>
          </cell>
        </row>
        <row r="89">
          <cell r="B89" t="str">
            <v>JOURNAL OF RISK AND INSURANCE</v>
          </cell>
          <cell r="C89" t="str">
            <v>AHD</v>
          </cell>
          <cell r="D89">
            <v>53</v>
          </cell>
          <cell r="E89">
            <v>0.32361676589578642</v>
          </cell>
        </row>
        <row r="90">
          <cell r="B90" t="str">
            <v>ENERGY ECONOMICS</v>
          </cell>
          <cell r="C90" t="str">
            <v>AAH</v>
          </cell>
          <cell r="D90">
            <v>369</v>
          </cell>
          <cell r="E90">
            <v>0.32016168293941222</v>
          </cell>
        </row>
        <row r="91">
          <cell r="B91" t="str">
            <v>REVIEW OF INCOME AND WEALTH</v>
          </cell>
          <cell r="C91" t="str">
            <v>AFT</v>
          </cell>
          <cell r="D91">
            <v>53</v>
          </cell>
          <cell r="E91">
            <v>0.31824508038736798</v>
          </cell>
        </row>
        <row r="92">
          <cell r="B92" t="str">
            <v>JOURNAL OF FINANCIAL STABILITY</v>
          </cell>
          <cell r="C92" t="str">
            <v>BBD</v>
          </cell>
          <cell r="D92">
            <v>45</v>
          </cell>
          <cell r="E92">
            <v>0.31452481593014459</v>
          </cell>
        </row>
        <row r="93">
          <cell r="B93" t="str">
            <v>JOURNAL OF HOUSING ECONOMICS</v>
          </cell>
          <cell r="C93" t="str">
            <v>BEM</v>
          </cell>
          <cell r="D93">
            <v>34</v>
          </cell>
          <cell r="E93">
            <v>0.31120916326757558</v>
          </cell>
        </row>
        <row r="94">
          <cell r="B94" t="str">
            <v>HEALTH ECONOMICS</v>
          </cell>
          <cell r="C94" t="str">
            <v>ABD</v>
          </cell>
          <cell r="D94">
            <v>157</v>
          </cell>
          <cell r="E94">
            <v>0.30951907203420709</v>
          </cell>
        </row>
        <row r="95">
          <cell r="B95" t="str">
            <v>JOURNAL OF BANKING &amp; FINANCE</v>
          </cell>
          <cell r="C95" t="str">
            <v>AAR</v>
          </cell>
          <cell r="D95">
            <v>220</v>
          </cell>
          <cell r="E95">
            <v>0.30741799350840282</v>
          </cell>
        </row>
        <row r="96">
          <cell r="B96" t="str">
            <v>ECONOMETRIC THEORY</v>
          </cell>
          <cell r="C96" t="str">
            <v>BEP</v>
          </cell>
          <cell r="D96">
            <v>34</v>
          </cell>
          <cell r="E96">
            <v>0.30530580266358659</v>
          </cell>
        </row>
        <row r="97">
          <cell r="B97" t="str">
            <v>CAMBRIDGE JOURNAL OF REGIONS ECONOMY AND SOCIETY</v>
          </cell>
          <cell r="C97" t="str">
            <v>BGD</v>
          </cell>
          <cell r="D97">
            <v>29</v>
          </cell>
          <cell r="E97">
            <v>0.30357441966370607</v>
          </cell>
        </row>
        <row r="98">
          <cell r="B98" t="str">
            <v>SCANDINAVIAN JOURNAL OF ECONOMICS</v>
          </cell>
          <cell r="C98" t="str">
            <v>AFE</v>
          </cell>
          <cell r="D98">
            <v>62</v>
          </cell>
          <cell r="E98">
            <v>0.29836795565873242</v>
          </cell>
        </row>
        <row r="99">
          <cell r="B99" t="str">
            <v>OXFORD BULLETIN OF ECONOMICS AND STATISTICS</v>
          </cell>
          <cell r="C99" t="str">
            <v>ADT</v>
          </cell>
          <cell r="D99">
            <v>60</v>
          </cell>
          <cell r="E99">
            <v>0.29793826612306551</v>
          </cell>
        </row>
        <row r="100">
          <cell r="B100" t="str">
            <v>QME-QUANTITATIVE MARKETING AND ECONOMICS</v>
          </cell>
          <cell r="C100" t="str">
            <v>CER</v>
          </cell>
          <cell r="D100">
            <v>14</v>
          </cell>
          <cell r="E100">
            <v>0.2959358047469875</v>
          </cell>
        </row>
        <row r="101">
          <cell r="B101" t="str">
            <v>CANADIAN JOURNAL OF ECONOMICS-REVUE CANADIENNE D ECONOMIQUE</v>
          </cell>
          <cell r="C101" t="str">
            <v>AHW</v>
          </cell>
          <cell r="D101">
            <v>55</v>
          </cell>
          <cell r="E101">
            <v>0.29564047759747158</v>
          </cell>
        </row>
        <row r="102">
          <cell r="B102" t="str">
            <v>CANADIAN JOURNAL OF AGRICULTURAL ECONOMICS-REVUE CANADIENNE D AGROECONOMIE</v>
          </cell>
          <cell r="C102" t="str">
            <v>BBG</v>
          </cell>
          <cell r="D102">
            <v>40</v>
          </cell>
          <cell r="E102">
            <v>0.28941394312195012</v>
          </cell>
        </row>
        <row r="103">
          <cell r="B103" t="str">
            <v>FOOD POLICY</v>
          </cell>
          <cell r="C103" t="str">
            <v>ACX</v>
          </cell>
          <cell r="D103">
            <v>102</v>
          </cell>
          <cell r="E103">
            <v>0.28603144070146852</v>
          </cell>
        </row>
        <row r="104">
          <cell r="B104" t="str">
            <v>JOURNAL OF PUBLIC ECONOMIC THEORY</v>
          </cell>
          <cell r="C104" t="str">
            <v>ADD</v>
          </cell>
          <cell r="D104">
            <v>73</v>
          </cell>
          <cell r="E104">
            <v>0.28601958372390462</v>
          </cell>
        </row>
        <row r="105">
          <cell r="B105" t="str">
            <v>EUROPEAN REVIEW OF AGRICULTURAL ECONOMICS</v>
          </cell>
          <cell r="C105" t="str">
            <v>AFV</v>
          </cell>
          <cell r="D105">
            <v>63</v>
          </cell>
          <cell r="E105">
            <v>0.28089782877654429</v>
          </cell>
        </row>
        <row r="106">
          <cell r="B106" t="str">
            <v>JOURNAL OF INDUSTRIAL ECONOMICS</v>
          </cell>
          <cell r="C106" t="str">
            <v>BHK</v>
          </cell>
          <cell r="D106">
            <v>26</v>
          </cell>
          <cell r="E106">
            <v>0.28078172376831539</v>
          </cell>
        </row>
        <row r="107">
          <cell r="B107" t="str">
            <v>CESIFO ECONOMIC STUDIES</v>
          </cell>
          <cell r="C107" t="str">
            <v>CDM</v>
          </cell>
          <cell r="D107">
            <v>15</v>
          </cell>
          <cell r="E107">
            <v>0.27888453788039042</v>
          </cell>
        </row>
        <row r="108">
          <cell r="B108" t="str">
            <v>ECONOMETRIC REVIEWS</v>
          </cell>
          <cell r="C108" t="str">
            <v>AFA</v>
          </cell>
          <cell r="D108">
            <v>46</v>
          </cell>
          <cell r="E108">
            <v>0.27114077355760918</v>
          </cell>
        </row>
        <row r="109">
          <cell r="B109" t="str">
            <v>REVIEW OF INTERNATIONAL POLITICAL ECONOMY</v>
          </cell>
          <cell r="C109" t="str">
            <v>ABK</v>
          </cell>
          <cell r="D109">
            <v>109</v>
          </cell>
          <cell r="E109">
            <v>0.26886422132833637</v>
          </cell>
        </row>
        <row r="110">
          <cell r="B110" t="str">
            <v>AGRICULTURAL ECONOMICS</v>
          </cell>
          <cell r="C110" t="str">
            <v>AGY</v>
          </cell>
          <cell r="D110">
            <v>49</v>
          </cell>
          <cell r="E110">
            <v>0.26817154746811162</v>
          </cell>
        </row>
        <row r="111">
          <cell r="B111" t="str">
            <v>ECONOMICS &amp; HUMAN BIOLOGY</v>
          </cell>
          <cell r="C111" t="str">
            <v>ADC</v>
          </cell>
          <cell r="D111">
            <v>97</v>
          </cell>
          <cell r="E111">
            <v>0.26675986895952519</v>
          </cell>
        </row>
        <row r="112">
          <cell r="B112" t="str">
            <v>JOURNAL OF BEHAVIORAL AND EXPERIMENTAL FINANCE</v>
          </cell>
          <cell r="C112" t="str">
            <v>AEH</v>
          </cell>
          <cell r="D112">
            <v>80</v>
          </cell>
          <cell r="E112">
            <v>0.2655509621947158</v>
          </cell>
        </row>
        <row r="113">
          <cell r="B113" t="str">
            <v>ECONOMICS AND PHILOSOPHY</v>
          </cell>
          <cell r="C113" t="str">
            <v>CDJ</v>
          </cell>
          <cell r="D113">
            <v>17</v>
          </cell>
          <cell r="E113">
            <v>0.2651754103952999</v>
          </cell>
        </row>
        <row r="114">
          <cell r="B114" t="str">
            <v>WORLD BANK RESEARCH OBSERVER</v>
          </cell>
          <cell r="C114" t="str">
            <v>CGK</v>
          </cell>
          <cell r="D114">
            <v>6</v>
          </cell>
          <cell r="E114">
            <v>0.26424165682210288</v>
          </cell>
        </row>
        <row r="115">
          <cell r="B115" t="str">
            <v>JOURNAL OF INSTITUTIONAL ECONOMICS</v>
          </cell>
          <cell r="C115" t="str">
            <v>BAI</v>
          </cell>
          <cell r="D115">
            <v>51</v>
          </cell>
          <cell r="E115">
            <v>0.26230378339034932</v>
          </cell>
        </row>
        <row r="116">
          <cell r="B116" t="str">
            <v>FEMINIST ECONOMICS</v>
          </cell>
          <cell r="C116" t="str">
            <v>BBE</v>
          </cell>
          <cell r="D116">
            <v>32</v>
          </cell>
          <cell r="E116">
            <v>0.26111376671862369</v>
          </cell>
        </row>
        <row r="117">
          <cell r="B117" t="str">
            <v>COMPETITION &amp; CHANGE</v>
          </cell>
          <cell r="C117" t="str">
            <v>BBF</v>
          </cell>
          <cell r="D117">
            <v>36</v>
          </cell>
          <cell r="E117">
            <v>0.25864358281400829</v>
          </cell>
        </row>
        <row r="118">
          <cell r="B118" t="str">
            <v>ASTIN BULLETIN-THE JOURNAL OF THE INTERNATIONAL ACTUARIAL ASSOCIATION</v>
          </cell>
          <cell r="C118" t="str">
            <v>CGL</v>
          </cell>
          <cell r="D118">
            <v>8</v>
          </cell>
          <cell r="E118">
            <v>0.25424113876343479</v>
          </cell>
        </row>
        <row r="119">
          <cell r="B119" t="str">
            <v>CHINA ECONOMIC REVIEW</v>
          </cell>
          <cell r="C119" t="str">
            <v>ABB</v>
          </cell>
          <cell r="D119">
            <v>179</v>
          </cell>
          <cell r="E119">
            <v>0.24760402278562119</v>
          </cell>
        </row>
        <row r="120">
          <cell r="B120" t="str">
            <v>JOURNAL OF PENSION ECONOMICS &amp; FINANCE</v>
          </cell>
          <cell r="C120" t="str">
            <v>BHB</v>
          </cell>
          <cell r="D120">
            <v>27</v>
          </cell>
          <cell r="E120">
            <v>0.24567496158429511</v>
          </cell>
        </row>
        <row r="121">
          <cell r="B121" t="str">
            <v>REVIEW OF INDUSTRIAL ORGANIZATION</v>
          </cell>
          <cell r="C121" t="str">
            <v>ADX</v>
          </cell>
          <cell r="D121">
            <v>76</v>
          </cell>
          <cell r="E121">
            <v>0.24368165474826251</v>
          </cell>
        </row>
        <row r="122">
          <cell r="B122" t="str">
            <v>ECOLOGICAL ECONOMICS</v>
          </cell>
          <cell r="C122" t="str">
            <v>AAN</v>
          </cell>
          <cell r="D122">
            <v>255</v>
          </cell>
          <cell r="E122">
            <v>0.23993637103883189</v>
          </cell>
        </row>
        <row r="123">
          <cell r="B123" t="str">
            <v>REVIEW OF WORLD ECONOMICS</v>
          </cell>
          <cell r="C123" t="str">
            <v>BBQ</v>
          </cell>
          <cell r="D123">
            <v>41</v>
          </cell>
          <cell r="E123">
            <v>0.2395589093241946</v>
          </cell>
        </row>
        <row r="124">
          <cell r="B124" t="str">
            <v>PHARMACOECONOMICS</v>
          </cell>
          <cell r="C124" t="str">
            <v>ACK</v>
          </cell>
          <cell r="D124">
            <v>61</v>
          </cell>
          <cell r="E124">
            <v>0.23712333205909419</v>
          </cell>
        </row>
        <row r="125">
          <cell r="B125" t="str">
            <v>NEW POLITICAL ECONOMY</v>
          </cell>
          <cell r="C125" t="str">
            <v>ACB</v>
          </cell>
          <cell r="D125">
            <v>90</v>
          </cell>
          <cell r="E125">
            <v>0.23637843049113019</v>
          </cell>
        </row>
        <row r="126">
          <cell r="B126" t="str">
            <v>JOURNAL OF MACROECONOMICS</v>
          </cell>
          <cell r="C126" t="str">
            <v>AGG</v>
          </cell>
          <cell r="D126">
            <v>64</v>
          </cell>
          <cell r="E126">
            <v>0.2351262974169267</v>
          </cell>
        </row>
        <row r="127">
          <cell r="B127" t="str">
            <v>RESOURCE AND ENERGY ECONOMICS</v>
          </cell>
          <cell r="C127" t="str">
            <v>BAR</v>
          </cell>
          <cell r="D127">
            <v>48</v>
          </cell>
          <cell r="E127">
            <v>0.2324609450939954</v>
          </cell>
        </row>
        <row r="128">
          <cell r="B128" t="str">
            <v>JOURNAL OF COMMODITY MARKETS</v>
          </cell>
          <cell r="C128" t="str">
            <v>CBF</v>
          </cell>
          <cell r="D128">
            <v>21</v>
          </cell>
          <cell r="E128">
            <v>0.22663793490687831</v>
          </cell>
        </row>
        <row r="129">
          <cell r="B129" t="str">
            <v>JOURNAL OF COMPETITION LAW &amp; ECONOMICS</v>
          </cell>
          <cell r="C129" t="str">
            <v>CDI</v>
          </cell>
          <cell r="D129">
            <v>17</v>
          </cell>
          <cell r="E129">
            <v>0.2193162509722246</v>
          </cell>
        </row>
        <row r="130">
          <cell r="B130" t="str">
            <v>EUROPEAN JOURNAL OF POLITICAL ECONOMY</v>
          </cell>
          <cell r="C130" t="str">
            <v>ADR</v>
          </cell>
          <cell r="D130">
            <v>90</v>
          </cell>
          <cell r="E130">
            <v>0.2171086818799772</v>
          </cell>
        </row>
        <row r="131">
          <cell r="B131" t="str">
            <v>AMERICAN LAW AND ECONOMICS REVIEW</v>
          </cell>
          <cell r="C131" t="str">
            <v>CFK</v>
          </cell>
          <cell r="D131">
            <v>10</v>
          </cell>
          <cell r="E131">
            <v>0.21681595466624171</v>
          </cell>
        </row>
        <row r="132">
          <cell r="B132" t="str">
            <v>SMALL BUSINESS ECONOMICS</v>
          </cell>
          <cell r="C132" t="str">
            <v>AAP</v>
          </cell>
          <cell r="D132">
            <v>231</v>
          </cell>
          <cell r="E132">
            <v>0.21256434991084619</v>
          </cell>
        </row>
        <row r="133">
          <cell r="B133" t="str">
            <v>JOURNAL OF THE ECONOMICS OF AGEING</v>
          </cell>
          <cell r="C133" t="str">
            <v>AGZ</v>
          </cell>
          <cell r="D133">
            <v>59</v>
          </cell>
          <cell r="E133">
            <v>0.21243646150220419</v>
          </cell>
        </row>
        <row r="134">
          <cell r="B134" t="str">
            <v>CONTEMPORARY ECONOMIC POLICY</v>
          </cell>
          <cell r="C134" t="str">
            <v>AET</v>
          </cell>
          <cell r="D134">
            <v>60</v>
          </cell>
          <cell r="E134">
            <v>0.21151693477683059</v>
          </cell>
        </row>
        <row r="135">
          <cell r="B135" t="str">
            <v>MACROECONOMIC DYNAMICS</v>
          </cell>
          <cell r="C135" t="str">
            <v>AFF</v>
          </cell>
          <cell r="D135">
            <v>74</v>
          </cell>
          <cell r="E135">
            <v>0.21144408476933749</v>
          </cell>
        </row>
        <row r="136">
          <cell r="B136" t="str">
            <v>JOURNAL OF BEHAVIORAL AND EXPERIMENTAL ECONOMICS</v>
          </cell>
          <cell r="C136" t="str">
            <v>AEB</v>
          </cell>
          <cell r="D136">
            <v>84</v>
          </cell>
          <cell r="E136">
            <v>0.20800429798372769</v>
          </cell>
        </row>
        <row r="137">
          <cell r="B137" t="str">
            <v>MARINE RESOURCE ECONOMICS</v>
          </cell>
          <cell r="C137" t="str">
            <v>CBH</v>
          </cell>
          <cell r="D137">
            <v>21</v>
          </cell>
          <cell r="E137">
            <v>0.20617670260375709</v>
          </cell>
        </row>
        <row r="138">
          <cell r="B138" t="str">
            <v>OXFORD ECONOMIC PAPERS-NEW SERIES</v>
          </cell>
          <cell r="C138" t="str">
            <v>BAJ</v>
          </cell>
          <cell r="D138">
            <v>51</v>
          </cell>
          <cell r="E138">
            <v>0.20604583878166999</v>
          </cell>
        </row>
        <row r="139">
          <cell r="B139" t="str">
            <v>JOURNAL OF REAL ESTATE FINANCE AND ECONOMICS</v>
          </cell>
          <cell r="C139" t="str">
            <v>ACW</v>
          </cell>
          <cell r="D139">
            <v>98</v>
          </cell>
          <cell r="E139">
            <v>0.20525373161062421</v>
          </cell>
        </row>
        <row r="140">
          <cell r="B140" t="str">
            <v>ECONOMIC MODELLING</v>
          </cell>
          <cell r="C140" t="str">
            <v>AAG</v>
          </cell>
          <cell r="D140">
            <v>375</v>
          </cell>
          <cell r="E140">
            <v>0.20309980719800211</v>
          </cell>
        </row>
        <row r="141">
          <cell r="B141" t="str">
            <v>SOUTHERN ECONOMIC JOURNAL</v>
          </cell>
          <cell r="C141" t="str">
            <v>AFY</v>
          </cell>
          <cell r="D141">
            <v>51</v>
          </cell>
          <cell r="E141">
            <v>0.19839454263114159</v>
          </cell>
        </row>
        <row r="142">
          <cell r="B142" t="str">
            <v>JOURNAL OF POLICY MODELING</v>
          </cell>
          <cell r="C142" t="str">
            <v>AEJ</v>
          </cell>
          <cell r="D142">
            <v>81</v>
          </cell>
          <cell r="E142">
            <v>0.19805837577812341</v>
          </cell>
        </row>
        <row r="143">
          <cell r="B143" t="str">
            <v>JOURNAL OF DEMOGRAPHIC ECONOMICS</v>
          </cell>
          <cell r="C143" t="str">
            <v>CDU</v>
          </cell>
          <cell r="D143">
            <v>16</v>
          </cell>
          <cell r="E143">
            <v>0.19742144193880681</v>
          </cell>
        </row>
        <row r="144">
          <cell r="B144" t="str">
            <v>QUANTITATIVE FINANCE</v>
          </cell>
          <cell r="C144" t="str">
            <v>ABG</v>
          </cell>
          <cell r="D144">
            <v>132</v>
          </cell>
          <cell r="E144">
            <v>0.19535358297347999</v>
          </cell>
        </row>
        <row r="145">
          <cell r="B145" t="str">
            <v>ASIAN ECONOMIC POLICY REVIEW</v>
          </cell>
          <cell r="C145" t="str">
            <v>CDG</v>
          </cell>
          <cell r="D145">
            <v>11</v>
          </cell>
          <cell r="E145">
            <v>0.19301963237339781</v>
          </cell>
        </row>
        <row r="146">
          <cell r="B146" t="str">
            <v>JOURNAL OF ECONOMIC METHODOLOGY</v>
          </cell>
          <cell r="C146" t="str">
            <v>CCJ</v>
          </cell>
          <cell r="D146">
            <v>9</v>
          </cell>
          <cell r="E146">
            <v>0.18823003747953909</v>
          </cell>
        </row>
        <row r="147">
          <cell r="B147" t="str">
            <v>JOURNAL OF ECONOMIC EDUCATION</v>
          </cell>
          <cell r="C147" t="str">
            <v>BGX</v>
          </cell>
          <cell r="D147">
            <v>25</v>
          </cell>
          <cell r="E147">
            <v>0.1881142285685137</v>
          </cell>
        </row>
        <row r="148">
          <cell r="B148" t="str">
            <v>STRUCTURAL CHANGE AND ECONOMIC DYNAMICS</v>
          </cell>
          <cell r="C148" t="str">
            <v>ACJ</v>
          </cell>
          <cell r="D148">
            <v>113</v>
          </cell>
          <cell r="E148">
            <v>0.18773642142607999</v>
          </cell>
        </row>
        <row r="149">
          <cell r="B149" t="str">
            <v>JOURNAL OF ASIAN ECONOMICS</v>
          </cell>
          <cell r="C149" t="str">
            <v>BDN</v>
          </cell>
          <cell r="D149">
            <v>36</v>
          </cell>
          <cell r="E149">
            <v>0.18308001767275631</v>
          </cell>
        </row>
        <row r="150">
          <cell r="B150" t="str">
            <v>ECONOMIST-NETHERLANDS</v>
          </cell>
          <cell r="C150" t="str">
            <v>BGV</v>
          </cell>
          <cell r="D150">
            <v>26</v>
          </cell>
          <cell r="E150">
            <v>0.18109267289880959</v>
          </cell>
        </row>
        <row r="151">
          <cell r="B151" t="str">
            <v>CAMBRIDGE JOURNAL OF ECONOMICS</v>
          </cell>
          <cell r="C151" t="str">
            <v>AGJ</v>
          </cell>
          <cell r="D151">
            <v>62</v>
          </cell>
          <cell r="E151">
            <v>0.18045737030765649</v>
          </cell>
        </row>
        <row r="152">
          <cell r="B152" t="str">
            <v>JOURNAL OF EMPIRICAL FINANCE</v>
          </cell>
          <cell r="C152" t="str">
            <v>AGT</v>
          </cell>
          <cell r="D152">
            <v>61</v>
          </cell>
          <cell r="E152">
            <v>0.17993358901499051</v>
          </cell>
        </row>
        <row r="153">
          <cell r="B153" t="str">
            <v>WORLD ECONOMY</v>
          </cell>
          <cell r="C153" t="str">
            <v>AAU</v>
          </cell>
          <cell r="D153">
            <v>159</v>
          </cell>
          <cell r="E153">
            <v>0.17937824913152969</v>
          </cell>
        </row>
        <row r="154">
          <cell r="B154" t="str">
            <v>FEDERAL RESERVE BANK OF ST LOUIS REVIEW</v>
          </cell>
          <cell r="C154" t="str">
            <v>CCW</v>
          </cell>
          <cell r="D154">
            <v>17</v>
          </cell>
          <cell r="E154">
            <v>0.17621631853688449</v>
          </cell>
        </row>
        <row r="155">
          <cell r="B155" t="str">
            <v>JOURNAL OF AGRICULTURAL ECONOMICS</v>
          </cell>
          <cell r="C155" t="str">
            <v>AFR</v>
          </cell>
          <cell r="D155">
            <v>53</v>
          </cell>
          <cell r="E155">
            <v>0.17584754006184911</v>
          </cell>
        </row>
        <row r="156">
          <cell r="B156" t="str">
            <v>JOURNAL OF PRODUCTIVITY ANALYSIS</v>
          </cell>
          <cell r="C156" t="str">
            <v>BFL</v>
          </cell>
          <cell r="D156">
            <v>23</v>
          </cell>
          <cell r="E156">
            <v>0.17481008580640731</v>
          </cell>
        </row>
        <row r="157">
          <cell r="B157" t="str">
            <v>ECONOMICS &amp; POLITICS</v>
          </cell>
          <cell r="C157" t="str">
            <v>BGN</v>
          </cell>
          <cell r="D157">
            <v>20</v>
          </cell>
          <cell r="E157">
            <v>0.17408172500424601</v>
          </cell>
        </row>
        <row r="158">
          <cell r="B158" t="str">
            <v>SERIES-JOURNAL OF THE SPANISH ECONOMIC ASSOCIATION</v>
          </cell>
          <cell r="C158" t="str">
            <v>CAT</v>
          </cell>
          <cell r="D158">
            <v>20</v>
          </cell>
          <cell r="E158">
            <v>0.17379579858096761</v>
          </cell>
        </row>
        <row r="159">
          <cell r="B159" t="str">
            <v>JOURNAL OF INTERNATIONAL FINANCIAL MARKETS INSTITUTIONS &amp; MONEY</v>
          </cell>
          <cell r="C159" t="str">
            <v>AGN</v>
          </cell>
          <cell r="D159">
            <v>62</v>
          </cell>
          <cell r="E159">
            <v>0.17318438526636909</v>
          </cell>
        </row>
        <row r="160">
          <cell r="B160" t="str">
            <v>JOURNAL OF MATHEMATICAL ECONOMICS</v>
          </cell>
          <cell r="C160" t="str">
            <v>AEQ</v>
          </cell>
          <cell r="D160">
            <v>78</v>
          </cell>
          <cell r="E160">
            <v>0.17292061050967861</v>
          </cell>
        </row>
        <row r="161">
          <cell r="B161" t="str">
            <v>ECONOMICS LETTERS</v>
          </cell>
          <cell r="C161" t="str">
            <v>AAD</v>
          </cell>
          <cell r="D161">
            <v>438</v>
          </cell>
          <cell r="E161">
            <v>0.1728969594635319</v>
          </cell>
        </row>
        <row r="162">
          <cell r="B162" t="str">
            <v>SCOTTISH JOURNAL OF POLITICAL ECONOMY</v>
          </cell>
          <cell r="C162" t="str">
            <v>BCR</v>
          </cell>
          <cell r="D162">
            <v>26</v>
          </cell>
          <cell r="E162">
            <v>0.1709236523476646</v>
          </cell>
        </row>
        <row r="163">
          <cell r="B163" t="str">
            <v>KYKLOS</v>
          </cell>
          <cell r="C163" t="str">
            <v>BFM</v>
          </cell>
          <cell r="D163">
            <v>27</v>
          </cell>
          <cell r="E163">
            <v>0.1678819934656664</v>
          </cell>
        </row>
        <row r="164">
          <cell r="B164" t="str">
            <v>JOURNAL OF ECONOMICS</v>
          </cell>
          <cell r="C164" t="str">
            <v>BBH</v>
          </cell>
          <cell r="D164">
            <v>43</v>
          </cell>
          <cell r="E164">
            <v>0.16653689745117151</v>
          </cell>
        </row>
        <row r="165">
          <cell r="B165" t="str">
            <v>JOURNAL OF ECONOMIC INEQUALITY</v>
          </cell>
          <cell r="C165" t="str">
            <v>BDL</v>
          </cell>
          <cell r="D165">
            <v>35</v>
          </cell>
          <cell r="E165">
            <v>0.16598650419680711</v>
          </cell>
        </row>
        <row r="166">
          <cell r="B166" t="str">
            <v>JOURNAL OF SPORTS ECONOMICS</v>
          </cell>
          <cell r="C166" t="str">
            <v>AHQ</v>
          </cell>
          <cell r="D166">
            <v>43</v>
          </cell>
          <cell r="E166">
            <v>0.16447034285518461</v>
          </cell>
        </row>
        <row r="167">
          <cell r="B167" t="str">
            <v>JOURNAL OF AFRICAN ECONOMIES</v>
          </cell>
          <cell r="C167" t="str">
            <v>CBZ</v>
          </cell>
          <cell r="D167">
            <v>20</v>
          </cell>
          <cell r="E167">
            <v>0.1607051566060661</v>
          </cell>
        </row>
        <row r="168">
          <cell r="B168" t="str">
            <v>EMERGING MARKETS REVIEW</v>
          </cell>
          <cell r="C168" t="str">
            <v>AHK</v>
          </cell>
          <cell r="D168">
            <v>57</v>
          </cell>
          <cell r="E168">
            <v>0.1605040594547987</v>
          </cell>
        </row>
        <row r="169">
          <cell r="B169" t="str">
            <v>JOURNAL OF THE JAPANESE AND INTERNATIONAL ECONOMIES</v>
          </cell>
          <cell r="C169" t="str">
            <v>BGT</v>
          </cell>
          <cell r="D169">
            <v>27</v>
          </cell>
          <cell r="E169">
            <v>0.1601600070922731</v>
          </cell>
        </row>
        <row r="170">
          <cell r="B170" t="str">
            <v>REVISTA DE HISTORIA ECONOMICA</v>
          </cell>
          <cell r="C170" t="str">
            <v>CDD</v>
          </cell>
          <cell r="D170">
            <v>18</v>
          </cell>
          <cell r="E170">
            <v>0.15891026030967609</v>
          </cell>
        </row>
        <row r="171">
          <cell r="B171" t="str">
            <v>EUROPEAN JOURNAL OF LAW AND ECONOMICS</v>
          </cell>
          <cell r="C171" t="str">
            <v>BBS</v>
          </cell>
          <cell r="D171">
            <v>41</v>
          </cell>
          <cell r="E171">
            <v>0.15276720753654169</v>
          </cell>
        </row>
        <row r="172">
          <cell r="B172" t="str">
            <v>GERMAN ECONOMIC REVIEW</v>
          </cell>
          <cell r="C172" t="str">
            <v>CDV</v>
          </cell>
          <cell r="D172">
            <v>16</v>
          </cell>
          <cell r="E172">
            <v>0.1521765169735512</v>
          </cell>
        </row>
        <row r="173">
          <cell r="B173" t="str">
            <v>REVIEW OF ECONOMIC DESIGN</v>
          </cell>
          <cell r="C173" t="str">
            <v>CFC</v>
          </cell>
          <cell r="D173">
            <v>12</v>
          </cell>
          <cell r="E173">
            <v>0.14961963763141159</v>
          </cell>
        </row>
        <row r="174">
          <cell r="B174" t="str">
            <v>INDUSTRIAL AND CORPORATE CHANGE</v>
          </cell>
          <cell r="C174" t="str">
            <v>AFG</v>
          </cell>
          <cell r="D174">
            <v>70</v>
          </cell>
          <cell r="E174">
            <v>0.14890885946208679</v>
          </cell>
        </row>
        <row r="175">
          <cell r="B175" t="str">
            <v>INDUSTRY AND INNOVATION</v>
          </cell>
          <cell r="C175" t="str">
            <v>AEN</v>
          </cell>
          <cell r="D175">
            <v>59</v>
          </cell>
          <cell r="E175">
            <v>0.1488500086587031</v>
          </cell>
        </row>
        <row r="176">
          <cell r="B176" t="str">
            <v>JOURNAL OF FAMILY AND ECONOMIC ISSUES</v>
          </cell>
          <cell r="C176" t="str">
            <v>ADO</v>
          </cell>
          <cell r="D176">
            <v>74</v>
          </cell>
          <cell r="E176">
            <v>0.1476129647048387</v>
          </cell>
        </row>
        <row r="177">
          <cell r="B177" t="str">
            <v>ECONOMIC ANALYSIS AND POLICY</v>
          </cell>
          <cell r="C177" t="str">
            <v>ADH</v>
          </cell>
          <cell r="D177">
            <v>95</v>
          </cell>
          <cell r="E177">
            <v>0.14706630065684739</v>
          </cell>
        </row>
        <row r="178">
          <cell r="B178" t="str">
            <v>INSURANCE MATHEMATICS &amp; ECONOMICS</v>
          </cell>
          <cell r="C178" t="str">
            <v>ACU</v>
          </cell>
          <cell r="D178">
            <v>103</v>
          </cell>
          <cell r="E178">
            <v>0.14699353911326021</v>
          </cell>
        </row>
        <row r="179">
          <cell r="B179" t="str">
            <v>JOURNAL OF INSTITUTIONAL AND THEORETICAL ECONOMICS-ZEITSCHRIFT FUR DIE GESAMTE STAATSWISSENSCHAFT</v>
          </cell>
          <cell r="C179" t="str">
            <v>BHQ</v>
          </cell>
          <cell r="D179">
            <v>26</v>
          </cell>
          <cell r="E179">
            <v>0.1456845891485905</v>
          </cell>
        </row>
        <row r="180">
          <cell r="B180" t="str">
            <v>INTERNATIONAL REVIEW OF ECONOMICS &amp; FINANCE</v>
          </cell>
          <cell r="C180" t="str">
            <v>AAZ</v>
          </cell>
          <cell r="D180">
            <v>178</v>
          </cell>
          <cell r="E180">
            <v>0.1453227910236663</v>
          </cell>
        </row>
        <row r="181">
          <cell r="B181" t="str">
            <v>INTERNATIONAL TAX AND PUBLIC FINANCE</v>
          </cell>
          <cell r="C181" t="str">
            <v>AEG</v>
          </cell>
          <cell r="D181">
            <v>74</v>
          </cell>
          <cell r="E181">
            <v>0.14526171011793321</v>
          </cell>
        </row>
        <row r="182">
          <cell r="B182" t="str">
            <v>JOURNAL OF CHOICE MODELLING</v>
          </cell>
          <cell r="C182" t="str">
            <v>BHG</v>
          </cell>
          <cell r="D182">
            <v>26</v>
          </cell>
          <cell r="E182">
            <v>0.1452367665046386</v>
          </cell>
        </row>
        <row r="183">
          <cell r="B183" t="str">
            <v>INFORMATION ECONOMICS AND POLICY</v>
          </cell>
          <cell r="C183" t="str">
            <v>CBT</v>
          </cell>
          <cell r="D183">
            <v>19</v>
          </cell>
          <cell r="E183">
            <v>0.14446623027404129</v>
          </cell>
        </row>
        <row r="184">
          <cell r="B184" t="str">
            <v>EMERGING MARKETS FINANCE AND TRADE</v>
          </cell>
          <cell r="C184" t="str">
            <v>AAK</v>
          </cell>
          <cell r="D184">
            <v>202</v>
          </cell>
          <cell r="E184">
            <v>0.1437598023010124</v>
          </cell>
        </row>
        <row r="185">
          <cell r="B185" t="str">
            <v>SPATIAL ECONOMIC ANALYSIS</v>
          </cell>
          <cell r="C185" t="str">
            <v>AAB</v>
          </cell>
          <cell r="D185">
            <v>34</v>
          </cell>
          <cell r="E185">
            <v>0.1436421522666595</v>
          </cell>
        </row>
        <row r="186">
          <cell r="B186" t="str">
            <v>INTERNATIONAL REVIEW OF LAW AND ECONOMICS</v>
          </cell>
          <cell r="C186" t="str">
            <v>BAM</v>
          </cell>
          <cell r="D186">
            <v>50</v>
          </cell>
          <cell r="E186">
            <v>0.14098131856785329</v>
          </cell>
        </row>
        <row r="187">
          <cell r="B187" t="str">
            <v>ECONOMIC SYSTEMS</v>
          </cell>
          <cell r="C187" t="str">
            <v>BAB</v>
          </cell>
          <cell r="D187">
            <v>53</v>
          </cell>
          <cell r="E187">
            <v>0.14086822230734661</v>
          </cell>
        </row>
        <row r="188">
          <cell r="B188" t="str">
            <v>JOURNAL OF EVOLUTIONARY ECONOMICS</v>
          </cell>
          <cell r="C188" t="str">
            <v>AEP</v>
          </cell>
          <cell r="D188">
            <v>69</v>
          </cell>
          <cell r="E188">
            <v>0.1401350290129815</v>
          </cell>
        </row>
        <row r="189">
          <cell r="B189" t="str">
            <v>CHINA AGRICULTURAL ECONOMIC REVIEW</v>
          </cell>
          <cell r="C189" t="str">
            <v>AHC</v>
          </cell>
          <cell r="D189">
            <v>57</v>
          </cell>
          <cell r="E189">
            <v>0.14008436830895629</v>
          </cell>
        </row>
        <row r="190">
          <cell r="B190" t="str">
            <v>AUSTRALIAN JOURNAL OF AGRICULTURAL AND RESOURCE ECONOMICS</v>
          </cell>
          <cell r="C190" t="str">
            <v>AGC</v>
          </cell>
          <cell r="D190">
            <v>47</v>
          </cell>
          <cell r="E190">
            <v>0.13942666634695669</v>
          </cell>
        </row>
        <row r="191">
          <cell r="B191" t="str">
            <v>MANCHESTER SCHOOL</v>
          </cell>
          <cell r="C191" t="str">
            <v>AHJ</v>
          </cell>
          <cell r="D191">
            <v>48</v>
          </cell>
          <cell r="E191">
            <v>0.13910057582352289</v>
          </cell>
        </row>
        <row r="192">
          <cell r="B192" t="str">
            <v>THEORY AND DECISION</v>
          </cell>
          <cell r="C192" t="str">
            <v>AFL</v>
          </cell>
          <cell r="D192">
            <v>60</v>
          </cell>
          <cell r="E192">
            <v>0.13704532307089559</v>
          </cell>
        </row>
        <row r="193">
          <cell r="B193" t="str">
            <v>EMPIRICAL ECONOMICS</v>
          </cell>
          <cell r="C193" t="str">
            <v>AAF</v>
          </cell>
          <cell r="D193">
            <v>380</v>
          </cell>
          <cell r="E193">
            <v>0.1368306139226351</v>
          </cell>
        </row>
        <row r="194">
          <cell r="B194" t="str">
            <v>JCMS-JOURNAL OF COMMON MARKET STUDIES</v>
          </cell>
          <cell r="C194" t="str">
            <v>ABV</v>
          </cell>
          <cell r="D194">
            <v>108</v>
          </cell>
          <cell r="E194">
            <v>0.13650663784766681</v>
          </cell>
        </row>
        <row r="195">
          <cell r="B195" t="str">
            <v>OPEN ECONOMIES REVIEW</v>
          </cell>
          <cell r="C195" t="str">
            <v>AHF</v>
          </cell>
          <cell r="D195">
            <v>52</v>
          </cell>
          <cell r="E195">
            <v>0.1360490648625062</v>
          </cell>
        </row>
        <row r="196">
          <cell r="B196" t="str">
            <v>JOURNAL OF FORECASTING</v>
          </cell>
          <cell r="C196" t="str">
            <v>ABZ</v>
          </cell>
          <cell r="D196">
            <v>103</v>
          </cell>
          <cell r="E196">
            <v>0.13537257070037401</v>
          </cell>
        </row>
        <row r="197">
          <cell r="B197" t="str">
            <v>JAHRBUCHER FUR NATIONALOKONOMIE UND STATISTIK</v>
          </cell>
          <cell r="C197" t="str">
            <v>BEX</v>
          </cell>
          <cell r="D197">
            <v>33</v>
          </cell>
          <cell r="E197">
            <v>0.13405830391043311</v>
          </cell>
        </row>
        <row r="198">
          <cell r="B198" t="str">
            <v>JOURNAL OF REGULATORY ECONOMICS</v>
          </cell>
          <cell r="C198" t="str">
            <v>CAH</v>
          </cell>
          <cell r="D198">
            <v>23</v>
          </cell>
          <cell r="E198">
            <v>0.13334669200663041</v>
          </cell>
        </row>
        <row r="199">
          <cell r="B199" t="str">
            <v>REVIEW OF INTERNATIONAL ECONOMICS</v>
          </cell>
          <cell r="C199" t="str">
            <v>AEZ</v>
          </cell>
          <cell r="D199">
            <v>55</v>
          </cell>
          <cell r="E199">
            <v>0.13220706188405881</v>
          </cell>
        </row>
        <row r="200">
          <cell r="B200" t="str">
            <v>JOURNAL OF CULTURAL ECONOMICS</v>
          </cell>
          <cell r="C200" t="str">
            <v>BDS</v>
          </cell>
          <cell r="D200">
            <v>34</v>
          </cell>
          <cell r="E200">
            <v>0.13078432888501121</v>
          </cell>
        </row>
        <row r="201">
          <cell r="B201" t="str">
            <v>MATHEMATICS AND FINANCIAL ECONOMICS</v>
          </cell>
          <cell r="C201" t="str">
            <v>BCQ</v>
          </cell>
          <cell r="D201">
            <v>38</v>
          </cell>
          <cell r="E201">
            <v>0.12972189618716229</v>
          </cell>
        </row>
        <row r="202">
          <cell r="B202" t="str">
            <v>JOURNAL OF REAL ESTATE RESEARCH</v>
          </cell>
          <cell r="C202" t="str">
            <v>CCA</v>
          </cell>
          <cell r="D202">
            <v>20</v>
          </cell>
          <cell r="E202">
            <v>0.12872841880990951</v>
          </cell>
        </row>
        <row r="203">
          <cell r="B203" t="str">
            <v>EUROPEAN JOURNAL OF HEALTH ECONOMICS</v>
          </cell>
          <cell r="C203" t="str">
            <v>ACM</v>
          </cell>
          <cell r="D203">
            <v>95</v>
          </cell>
          <cell r="E203">
            <v>0.128269583161566</v>
          </cell>
        </row>
        <row r="204">
          <cell r="B204" t="str">
            <v>DEFENCE AND PEACE ECONOMICS</v>
          </cell>
          <cell r="C204" t="str">
            <v>ACZ</v>
          </cell>
          <cell r="D204">
            <v>85</v>
          </cell>
          <cell r="E204">
            <v>0.1279384174879005</v>
          </cell>
        </row>
        <row r="205">
          <cell r="B205" t="str">
            <v>CHINA &amp; WORLD ECONOMY</v>
          </cell>
          <cell r="C205" t="str">
            <v>BDO</v>
          </cell>
          <cell r="D205">
            <v>34</v>
          </cell>
          <cell r="E205">
            <v>0.1264723383229755</v>
          </cell>
        </row>
        <row r="206">
          <cell r="B206" t="str">
            <v>CLIMATE CHANGE ECONOMICS</v>
          </cell>
          <cell r="C206" t="str">
            <v>AAJ</v>
          </cell>
          <cell r="D206">
            <v>27</v>
          </cell>
          <cell r="E206">
            <v>0.126210318772674</v>
          </cell>
        </row>
        <row r="207">
          <cell r="B207" t="str">
            <v>ECONOMICS OF INNOVATION AND NEW TECHNOLOGY</v>
          </cell>
          <cell r="C207" t="str">
            <v>ADI</v>
          </cell>
          <cell r="D207">
            <v>79</v>
          </cell>
          <cell r="E207">
            <v>0.1249237679018014</v>
          </cell>
        </row>
        <row r="208">
          <cell r="B208" t="str">
            <v>ECONOMIC AND SOCIAL REVIEW</v>
          </cell>
          <cell r="C208" t="str">
            <v>CCO</v>
          </cell>
          <cell r="D208">
            <v>19</v>
          </cell>
          <cell r="E208">
            <v>0.1236129029480884</v>
          </cell>
        </row>
        <row r="209">
          <cell r="B209" t="str">
            <v>QUARTERLY REVIEW OF ECONOMICS AND FINANCE</v>
          </cell>
          <cell r="C209" t="str">
            <v>ACA</v>
          </cell>
          <cell r="D209">
            <v>119</v>
          </cell>
          <cell r="E209">
            <v>0.1225155900286166</v>
          </cell>
        </row>
        <row r="210">
          <cell r="B210" t="str">
            <v>STUDIES IN NONLINEAR DYNAMICS AND ECONOMETRICS</v>
          </cell>
          <cell r="C210" t="str">
            <v>BFQ</v>
          </cell>
          <cell r="D210">
            <v>31</v>
          </cell>
          <cell r="E210">
            <v>0.12245992421761839</v>
          </cell>
        </row>
        <row r="211">
          <cell r="B211" t="str">
            <v>ECONOMIC RECORD</v>
          </cell>
          <cell r="C211" t="str">
            <v>BFE</v>
          </cell>
          <cell r="D211">
            <v>30</v>
          </cell>
          <cell r="E211">
            <v>0.1217088509766798</v>
          </cell>
        </row>
        <row r="212">
          <cell r="B212" t="str">
            <v>JOURNAL OF CONSUMER AFFAIRS</v>
          </cell>
          <cell r="C212" t="str">
            <v>AFW</v>
          </cell>
          <cell r="D212">
            <v>49</v>
          </cell>
          <cell r="E212">
            <v>0.1206355653501036</v>
          </cell>
        </row>
        <row r="213">
          <cell r="B213" t="str">
            <v>REVIEW OF KEYNESIAN ECONOMICS</v>
          </cell>
          <cell r="C213" t="str">
            <v>BFV</v>
          </cell>
          <cell r="D213">
            <v>30</v>
          </cell>
          <cell r="E213">
            <v>0.11067304625384231</v>
          </cell>
        </row>
        <row r="214">
          <cell r="B214" t="str">
            <v>JOURNAL OF HUMAN CAPITAL</v>
          </cell>
          <cell r="C214" t="str">
            <v>CDT</v>
          </cell>
          <cell r="D214">
            <v>15</v>
          </cell>
          <cell r="E214">
            <v>0.1087209389356089</v>
          </cell>
        </row>
        <row r="215">
          <cell r="B215" t="str">
            <v>JOURNAL OF AGRICULTURAL AND RESOURCE ECONOMICS</v>
          </cell>
          <cell r="C215" t="str">
            <v>BEN</v>
          </cell>
          <cell r="D215">
            <v>34</v>
          </cell>
          <cell r="E215">
            <v>0.10785547824748649</v>
          </cell>
        </row>
        <row r="216">
          <cell r="B216" t="str">
            <v>WATER ECONOMICS AND POLICY</v>
          </cell>
          <cell r="C216" t="str">
            <v>CBK</v>
          </cell>
          <cell r="D216">
            <v>21</v>
          </cell>
          <cell r="E216">
            <v>0.1076120195708312</v>
          </cell>
        </row>
        <row r="217">
          <cell r="B217" t="str">
            <v>SOCIO-ECONOMIC PLANNING SCIENCES</v>
          </cell>
          <cell r="C217" t="str">
            <v>ABT</v>
          </cell>
          <cell r="D217">
            <v>138</v>
          </cell>
          <cell r="E217">
            <v>0.1075358197218043</v>
          </cell>
        </row>
        <row r="218">
          <cell r="B218" t="str">
            <v>JAPANESE ECONOMIC REVIEW</v>
          </cell>
          <cell r="C218" t="str">
            <v>BAS</v>
          </cell>
          <cell r="D218">
            <v>37</v>
          </cell>
          <cell r="E218">
            <v>0.1069401070294405</v>
          </cell>
        </row>
        <row r="219">
          <cell r="B219" t="str">
            <v>AUSTRALIAN ECONOMIC REVIEW</v>
          </cell>
          <cell r="C219" t="str">
            <v>BCH</v>
          </cell>
          <cell r="D219">
            <v>33</v>
          </cell>
          <cell r="E219">
            <v>0.1064416879630649</v>
          </cell>
        </row>
        <row r="220">
          <cell r="B220" t="str">
            <v>NORTH AMERICAN JOURNAL OF ECONOMICS AND FINANCE</v>
          </cell>
          <cell r="C220" t="str">
            <v>AAM</v>
          </cell>
          <cell r="D220">
            <v>267</v>
          </cell>
          <cell r="E220">
            <v>0.1039502368422289</v>
          </cell>
        </row>
        <row r="221">
          <cell r="B221" t="str">
            <v>FUTURES</v>
          </cell>
          <cell r="C221" t="str">
            <v>ADS</v>
          </cell>
          <cell r="D221">
            <v>88</v>
          </cell>
          <cell r="E221">
            <v>0.1028549097583682</v>
          </cell>
        </row>
        <row r="222">
          <cell r="B222" t="str">
            <v>JOURNAL OF AGRARIAN CHANGE</v>
          </cell>
          <cell r="C222" t="str">
            <v>BAT</v>
          </cell>
          <cell r="D222">
            <v>29</v>
          </cell>
          <cell r="E222">
            <v>0.1022479576437311</v>
          </cell>
        </row>
        <row r="223">
          <cell r="B223" t="str">
            <v>ECONOMICS OF TRANSITION AND INSTITUTIONAL CHANGE</v>
          </cell>
          <cell r="C223" t="str">
            <v>BDF</v>
          </cell>
          <cell r="D223">
            <v>37</v>
          </cell>
          <cell r="E223">
            <v>0.10149886707960409</v>
          </cell>
        </row>
        <row r="224">
          <cell r="B224" t="str">
            <v>APPLIED ECONOMICS</v>
          </cell>
          <cell r="C224" t="str">
            <v>AAC</v>
          </cell>
          <cell r="D224">
            <v>374</v>
          </cell>
          <cell r="E224">
            <v>9.670395260172561E-2</v>
          </cell>
        </row>
        <row r="225">
          <cell r="B225" t="str">
            <v>JOURNAL OF ECONOMIC POLICY REFORM</v>
          </cell>
          <cell r="C225" t="str">
            <v>BAX</v>
          </cell>
          <cell r="D225">
            <v>41</v>
          </cell>
          <cell r="E225">
            <v>9.6110767463126801E-2</v>
          </cell>
        </row>
        <row r="226">
          <cell r="B226" t="str">
            <v>BALTIC JOURNAL OF ECONOMICS</v>
          </cell>
          <cell r="C226" t="str">
            <v>CFU</v>
          </cell>
          <cell r="D226">
            <v>10</v>
          </cell>
          <cell r="E226">
            <v>9.380796000391961E-2</v>
          </cell>
        </row>
        <row r="227">
          <cell r="B227" t="str">
            <v>ENVIRONMENT AND DEVELOPMENT ECONOMICS</v>
          </cell>
          <cell r="C227" t="str">
            <v>BFU</v>
          </cell>
          <cell r="D227">
            <v>30</v>
          </cell>
          <cell r="E227">
            <v>9.3175432588320214E-2</v>
          </cell>
        </row>
        <row r="228">
          <cell r="B228" t="str">
            <v>BORSA ISTANBUL REVIEW</v>
          </cell>
          <cell r="C228" t="str">
            <v>BCL</v>
          </cell>
          <cell r="D228">
            <v>39</v>
          </cell>
          <cell r="E228">
            <v>9.1693105075389747E-2</v>
          </cell>
        </row>
        <row r="229">
          <cell r="B229" t="str">
            <v>ECONOMIC AND LABOUR RELATIONS REVIEW</v>
          </cell>
          <cell r="C229" t="str">
            <v>BEC</v>
          </cell>
          <cell r="D229">
            <v>32</v>
          </cell>
          <cell r="E229">
            <v>9.1000730655159373E-2</v>
          </cell>
        </row>
        <row r="230">
          <cell r="B230" t="str">
            <v>EURASIAN BUSINESS REVIEW</v>
          </cell>
          <cell r="C230" t="str">
            <v>BBN</v>
          </cell>
          <cell r="D230">
            <v>36</v>
          </cell>
          <cell r="E230">
            <v>9.0316274218966153E-2</v>
          </cell>
        </row>
        <row r="231">
          <cell r="B231" t="str">
            <v>INTERNATIONAL JOURNAL OF GAME THEORY</v>
          </cell>
          <cell r="C231" t="str">
            <v>AGW</v>
          </cell>
          <cell r="D231">
            <v>59</v>
          </cell>
          <cell r="E231">
            <v>8.9764623894152892E-2</v>
          </cell>
        </row>
        <row r="232">
          <cell r="B232" t="str">
            <v>JOURNAL OF BEHAVIORAL FINANCE</v>
          </cell>
          <cell r="C232" t="str">
            <v>ADV</v>
          </cell>
          <cell r="D232">
            <v>58</v>
          </cell>
          <cell r="E232">
            <v>8.7940974834334398E-2</v>
          </cell>
        </row>
        <row r="233">
          <cell r="B233" t="str">
            <v>EMPIRICA</v>
          </cell>
          <cell r="C233" t="str">
            <v>AGU</v>
          </cell>
          <cell r="D233">
            <v>60</v>
          </cell>
          <cell r="E233">
            <v>8.6461345403440582E-2</v>
          </cell>
        </row>
        <row r="234">
          <cell r="B234" t="str">
            <v>COMPUTATIONAL ECONOMICS</v>
          </cell>
          <cell r="C234" t="str">
            <v>AAW</v>
          </cell>
          <cell r="D234">
            <v>163</v>
          </cell>
          <cell r="E234">
            <v>8.639540252019047E-2</v>
          </cell>
        </row>
        <row r="235">
          <cell r="B235" t="str">
            <v>ECONOMIC DEVELOPMENT QUARTERLY</v>
          </cell>
          <cell r="C235" t="str">
            <v>BGG</v>
          </cell>
          <cell r="D235">
            <v>24</v>
          </cell>
          <cell r="E235">
            <v>8.6265795748617258E-2</v>
          </cell>
        </row>
        <row r="236">
          <cell r="B236" t="str">
            <v>DEVELOPING ECONOMIES</v>
          </cell>
          <cell r="C236" t="str">
            <v>CFQ</v>
          </cell>
          <cell r="D236">
            <v>10</v>
          </cell>
          <cell r="E236">
            <v>8.5333677124489096E-2</v>
          </cell>
        </row>
        <row r="237">
          <cell r="B237" t="str">
            <v>ECONOMIC SYSTEMS RESEARCH</v>
          </cell>
          <cell r="C237" t="str">
            <v>AHE</v>
          </cell>
          <cell r="D237">
            <v>42</v>
          </cell>
          <cell r="E237">
            <v>8.5045094070126323E-2</v>
          </cell>
        </row>
        <row r="238">
          <cell r="B238" t="str">
            <v>INTERNATIONAL JOURNAL OF ECONOMIC THEORY</v>
          </cell>
          <cell r="C238" t="str">
            <v>BBT</v>
          </cell>
          <cell r="D238">
            <v>36</v>
          </cell>
          <cell r="E238">
            <v>8.4338783121387706E-2</v>
          </cell>
        </row>
        <row r="239">
          <cell r="B239" t="str">
            <v>HEALTH ECONOMICS REVIEW</v>
          </cell>
          <cell r="C239" t="str">
            <v>BDE</v>
          </cell>
          <cell r="D239">
            <v>31</v>
          </cell>
          <cell r="E239">
            <v>8.0677768724651461E-2</v>
          </cell>
        </row>
        <row r="240">
          <cell r="B240" t="str">
            <v>ECONOMIC CHANGE AND RESTRUCTURING</v>
          </cell>
          <cell r="C240" t="str">
            <v>AFM</v>
          </cell>
          <cell r="D240">
            <v>65</v>
          </cell>
          <cell r="E240">
            <v>8.032549701024061E-2</v>
          </cell>
        </row>
        <row r="241">
          <cell r="B241" t="str">
            <v>JOURNAL OF ECONOMIC INTERACTION AND COORDINATION</v>
          </cell>
          <cell r="C241" t="str">
            <v>AHG</v>
          </cell>
          <cell r="D241">
            <v>54</v>
          </cell>
          <cell r="E241">
            <v>7.903677953757568E-2</v>
          </cell>
        </row>
        <row r="242">
          <cell r="B242" t="str">
            <v>ECONOMICS OF TRANSPORTATION</v>
          </cell>
          <cell r="C242" t="str">
            <v>CBG</v>
          </cell>
          <cell r="D242">
            <v>21</v>
          </cell>
          <cell r="E242">
            <v>7.8604693273314416E-2</v>
          </cell>
        </row>
        <row r="243">
          <cell r="B243" t="str">
            <v>JOURNAL OF APPLIED ECONOMICS</v>
          </cell>
          <cell r="C243" t="str">
            <v>BCZ</v>
          </cell>
          <cell r="D243">
            <v>39</v>
          </cell>
          <cell r="E243">
            <v>7.6866662432819005E-2</v>
          </cell>
        </row>
        <row r="244">
          <cell r="B244" t="str">
            <v>BULLETIN OF INDONESIAN ECONOMIC STUDIES</v>
          </cell>
          <cell r="C244" t="str">
            <v>CFG</v>
          </cell>
          <cell r="D244">
            <v>12</v>
          </cell>
          <cell r="E244">
            <v>7.6375030249841908E-2</v>
          </cell>
        </row>
        <row r="245">
          <cell r="B245" t="str">
            <v>JOURNAL OF INTERNATIONAL TRADE &amp; ECONOMIC DEVELOPMENT</v>
          </cell>
          <cell r="C245" t="str">
            <v>AFX</v>
          </cell>
          <cell r="D245">
            <v>42</v>
          </cell>
          <cell r="E245">
            <v>7.6265084839867034E-2</v>
          </cell>
        </row>
        <row r="246">
          <cell r="B246" t="str">
            <v>HISTORY OF POLITICAL ECONOMY</v>
          </cell>
          <cell r="C246" t="str">
            <v>BBY</v>
          </cell>
          <cell r="D246">
            <v>40</v>
          </cell>
          <cell r="E246">
            <v>7.558948288858304E-2</v>
          </cell>
        </row>
        <row r="247">
          <cell r="B247" t="str">
            <v>ECON JOURNAL WATCH</v>
          </cell>
          <cell r="C247" t="str">
            <v>CFY</v>
          </cell>
          <cell r="D247">
            <v>9</v>
          </cell>
          <cell r="E247">
            <v>7.5448475609957794E-2</v>
          </cell>
        </row>
        <row r="248">
          <cell r="B248" t="str">
            <v>AUSTRALIAN ECONOMIC PAPERS</v>
          </cell>
          <cell r="C248" t="str">
            <v>BAQ</v>
          </cell>
          <cell r="D248">
            <v>46</v>
          </cell>
          <cell r="E248">
            <v>7.3633260805452558E-2</v>
          </cell>
        </row>
        <row r="249">
          <cell r="B249" t="str">
            <v>METROECONOMICA</v>
          </cell>
          <cell r="C249" t="str">
            <v>AHS</v>
          </cell>
          <cell r="D249">
            <v>45</v>
          </cell>
          <cell r="E249">
            <v>7.1934849738261572E-2</v>
          </cell>
        </row>
        <row r="250">
          <cell r="B250" t="str">
            <v>APPLIED ECONOMICS LETTERS</v>
          </cell>
          <cell r="C250" t="str">
            <v>AAA</v>
          </cell>
          <cell r="D250">
            <v>435</v>
          </cell>
          <cell r="E250">
            <v>7.1863340998857439E-2</v>
          </cell>
        </row>
        <row r="251">
          <cell r="B251" t="str">
            <v>REVIEW OF DEVELOPMENT ECONOMICS</v>
          </cell>
          <cell r="C251" t="str">
            <v>ACG</v>
          </cell>
          <cell r="D251">
            <v>99</v>
          </cell>
          <cell r="E251">
            <v>7.1053341473260881E-2</v>
          </cell>
        </row>
        <row r="252">
          <cell r="B252" t="str">
            <v>ECONOMIA POLITICA</v>
          </cell>
          <cell r="C252" t="str">
            <v>AHP</v>
          </cell>
          <cell r="D252">
            <v>47</v>
          </cell>
          <cell r="E252">
            <v>7.0733730499888084E-2</v>
          </cell>
        </row>
        <row r="253">
          <cell r="B253" t="str">
            <v>SOUTH AFRICAN JOURNAL OF ECONOMICS</v>
          </cell>
          <cell r="C253" t="str">
            <v>BEB</v>
          </cell>
          <cell r="D253">
            <v>30</v>
          </cell>
          <cell r="E253">
            <v>6.9914555369919792E-2</v>
          </cell>
        </row>
        <row r="254">
          <cell r="B254" t="str">
            <v>INTERNATIONAL FINANCE</v>
          </cell>
          <cell r="C254" t="str">
            <v>BFN</v>
          </cell>
          <cell r="D254">
            <v>20</v>
          </cell>
          <cell r="E254">
            <v>6.7323356619407804E-2</v>
          </cell>
        </row>
        <row r="255">
          <cell r="B255" t="str">
            <v>EUROPEAN JOURNAL OF THE HISTORY OF ECONOMIC THOUGHT</v>
          </cell>
          <cell r="C255" t="str">
            <v>AGA</v>
          </cell>
          <cell r="D255">
            <v>59</v>
          </cell>
          <cell r="E255">
            <v>6.6823987973896895E-2</v>
          </cell>
        </row>
        <row r="256">
          <cell r="B256" t="str">
            <v>PACIFIC ECONOMIC REVIEW</v>
          </cell>
          <cell r="C256" t="str">
            <v>BBJ</v>
          </cell>
          <cell r="D256">
            <v>43</v>
          </cell>
          <cell r="E256">
            <v>6.6169794447154012E-2</v>
          </cell>
        </row>
        <row r="257">
          <cell r="B257" t="str">
            <v>AUSTRALIAN ECONOMIC HISTORY REVIEW</v>
          </cell>
          <cell r="C257" t="str">
            <v>CCM</v>
          </cell>
          <cell r="D257">
            <v>16</v>
          </cell>
          <cell r="E257">
            <v>6.5960470031944413E-2</v>
          </cell>
        </row>
        <row r="258">
          <cell r="B258" t="str">
            <v>JOURNAL OF COMPETITIVENESS</v>
          </cell>
          <cell r="C258" t="str">
            <v>BCN</v>
          </cell>
          <cell r="D258">
            <v>40</v>
          </cell>
          <cell r="E258">
            <v>6.4346533241631865E-2</v>
          </cell>
        </row>
        <row r="259">
          <cell r="B259" t="str">
            <v>REVIEW OF RADICAL POLITICAL ECONOMICS</v>
          </cell>
          <cell r="C259" t="str">
            <v>AGV</v>
          </cell>
          <cell r="D259">
            <v>47</v>
          </cell>
          <cell r="E259">
            <v>6.3555929027099375E-2</v>
          </cell>
        </row>
        <row r="260">
          <cell r="B260" t="str">
            <v>JOURNAL OF THE KNOWLEDGE ECONOMY</v>
          </cell>
          <cell r="C260" t="str">
            <v>ABO</v>
          </cell>
          <cell r="D260">
            <v>140</v>
          </cell>
          <cell r="E260">
            <v>6.3535666706938304E-2</v>
          </cell>
        </row>
        <row r="261">
          <cell r="B261" t="str">
            <v>POST-COMMUNIST ECONOMIES</v>
          </cell>
          <cell r="C261" t="str">
            <v>AEK</v>
          </cell>
          <cell r="D261">
            <v>52</v>
          </cell>
          <cell r="E261">
            <v>6.3468193883467292E-2</v>
          </cell>
        </row>
        <row r="262">
          <cell r="B262" t="str">
            <v>B E JOURNAL OF ECONOMIC ANALYSIS &amp; POLICY</v>
          </cell>
          <cell r="C262" t="str">
            <v>BAU</v>
          </cell>
          <cell r="D262">
            <v>46</v>
          </cell>
          <cell r="E262">
            <v>6.333208521721731E-2</v>
          </cell>
        </row>
        <row r="263">
          <cell r="B263" t="str">
            <v>JAPAN AND THE WORLD ECONOMY</v>
          </cell>
          <cell r="C263" t="str">
            <v>BGZ</v>
          </cell>
          <cell r="D263">
            <v>27</v>
          </cell>
          <cell r="E263">
            <v>6.3010335254759645E-2</v>
          </cell>
        </row>
        <row r="264">
          <cell r="B264" t="str">
            <v>B E JOURNAL OF MACROECONOMICS</v>
          </cell>
          <cell r="C264" t="str">
            <v>BEG</v>
          </cell>
          <cell r="D264">
            <v>35</v>
          </cell>
          <cell r="E264">
            <v>6.2963272355387193E-2</v>
          </cell>
        </row>
        <row r="265">
          <cell r="B265" t="str">
            <v>JOURNAL OF WORLD TRADE</v>
          </cell>
          <cell r="C265" t="str">
            <v>BBZ</v>
          </cell>
          <cell r="D265">
            <v>42</v>
          </cell>
          <cell r="E265">
            <v>6.267346412583169E-2</v>
          </cell>
        </row>
        <row r="266">
          <cell r="B266" t="str">
            <v>MANAGERIAL AND DECISION ECONOMICS</v>
          </cell>
          <cell r="C266" t="str">
            <v>AAX</v>
          </cell>
          <cell r="D266">
            <v>161</v>
          </cell>
          <cell r="E266">
            <v>6.2587111035834045E-2</v>
          </cell>
        </row>
        <row r="267">
          <cell r="B267" t="str">
            <v>JOURNAL OF CONTEMPORARY ACCOUNTING &amp; ECONOMICS</v>
          </cell>
          <cell r="C267" t="str">
            <v>BFS</v>
          </cell>
          <cell r="D267">
            <v>30</v>
          </cell>
          <cell r="E267">
            <v>6.2058566433227609E-2</v>
          </cell>
        </row>
        <row r="268">
          <cell r="B268" t="str">
            <v>JOURNAL OF ECONOMIC ISSUES</v>
          </cell>
          <cell r="C268" t="str">
            <v>AER</v>
          </cell>
          <cell r="D268">
            <v>77</v>
          </cell>
          <cell r="E268">
            <v>6.0106410118872383E-2</v>
          </cell>
        </row>
        <row r="269">
          <cell r="B269" t="str">
            <v>JOURNAL OF POST KEYNESIAN ECONOMICS</v>
          </cell>
          <cell r="C269" t="str">
            <v>BAV</v>
          </cell>
          <cell r="D269">
            <v>38</v>
          </cell>
          <cell r="E269">
            <v>5.9428077301423618E-2</v>
          </cell>
        </row>
        <row r="270">
          <cell r="B270" t="str">
            <v>INTERNATIONAL LABOUR REVIEW</v>
          </cell>
          <cell r="C270" t="str">
            <v>BDD</v>
          </cell>
          <cell r="D270">
            <v>38</v>
          </cell>
          <cell r="E270">
            <v>5.8918809569508832E-2</v>
          </cell>
        </row>
        <row r="271">
          <cell r="B271" t="str">
            <v>EASTERN EUROPEAN ECONOMICS</v>
          </cell>
          <cell r="C271" t="str">
            <v>BFX</v>
          </cell>
          <cell r="D271">
            <v>22</v>
          </cell>
          <cell r="E271">
            <v>5.7083280958051472E-2</v>
          </cell>
        </row>
        <row r="272">
          <cell r="B272" t="str">
            <v>REVUE D ECONOMIE POLITIQUE</v>
          </cell>
          <cell r="C272" t="str">
            <v>BDW</v>
          </cell>
          <cell r="D272">
            <v>36</v>
          </cell>
          <cell r="E272">
            <v>5.7040626072451618E-2</v>
          </cell>
        </row>
        <row r="273">
          <cell r="B273" t="str">
            <v>INTERNATIONAL JOURNAL OF EMERGING MARKETS</v>
          </cell>
          <cell r="C273" t="str">
            <v>ABH</v>
          </cell>
          <cell r="D273">
            <v>149</v>
          </cell>
          <cell r="E273">
            <v>5.5972014219384393E-2</v>
          </cell>
        </row>
        <row r="274">
          <cell r="B274" t="str">
            <v>INTERNATIONAL JOURNAL OF HEALTH ECONOMICS AND MANAGEMENT</v>
          </cell>
          <cell r="C274" t="str">
            <v>CAF</v>
          </cell>
          <cell r="D274">
            <v>22</v>
          </cell>
          <cell r="E274">
            <v>5.5243220285271101E-2</v>
          </cell>
        </row>
        <row r="275">
          <cell r="B275" t="str">
            <v>ASIAN ECONOMIC JOURNAL</v>
          </cell>
          <cell r="C275" t="str">
            <v>CDL</v>
          </cell>
          <cell r="D275">
            <v>17</v>
          </cell>
          <cell r="E275">
            <v>5.5015692458931287E-2</v>
          </cell>
        </row>
        <row r="276">
          <cell r="B276" t="str">
            <v>RESEARCH IN TRANSPORTATION ECONOMICS</v>
          </cell>
          <cell r="C276" t="str">
            <v>ACP</v>
          </cell>
          <cell r="D276">
            <v>107</v>
          </cell>
          <cell r="E276">
            <v>5.0928396346232321E-2</v>
          </cell>
        </row>
        <row r="277">
          <cell r="B277" t="str">
            <v>BULLETIN OF ECONOMIC RESEARCH</v>
          </cell>
          <cell r="C277" t="str">
            <v>BAO</v>
          </cell>
          <cell r="D277">
            <v>38</v>
          </cell>
          <cell r="E277">
            <v>5.0709881704243863E-2</v>
          </cell>
        </row>
        <row r="278">
          <cell r="B278" t="str">
            <v>APPLIED ECONOMIC ANALYSIS</v>
          </cell>
          <cell r="C278" t="str">
            <v>CFE</v>
          </cell>
          <cell r="D278">
            <v>12</v>
          </cell>
          <cell r="E278">
            <v>4.8760988713356157E-2</v>
          </cell>
        </row>
        <row r="279">
          <cell r="B279" t="str">
            <v>ASIAN JOURNAL OF TECHNOLOGY INNOVATION</v>
          </cell>
          <cell r="C279" t="str">
            <v>AGR</v>
          </cell>
          <cell r="D279">
            <v>57</v>
          </cell>
          <cell r="E279">
            <v>4.8675043755742789E-2</v>
          </cell>
        </row>
        <row r="280">
          <cell r="B280" t="str">
            <v>TECHNOLOGICAL AND ECONOMIC DEVELOPMENT OF ECONOMY</v>
          </cell>
          <cell r="C280" t="str">
            <v>AGO</v>
          </cell>
          <cell r="D280">
            <v>62</v>
          </cell>
          <cell r="E280">
            <v>4.789938139168734E-2</v>
          </cell>
        </row>
        <row r="281">
          <cell r="B281" t="str">
            <v>PANOECONOMICUS</v>
          </cell>
          <cell r="C281" t="str">
            <v>BEZ</v>
          </cell>
          <cell r="D281">
            <v>39</v>
          </cell>
          <cell r="E281">
            <v>4.7735773793220679E-2</v>
          </cell>
        </row>
        <row r="282">
          <cell r="B282" t="str">
            <v>ECONOMICS OF GOVERNANCE</v>
          </cell>
          <cell r="C282" t="str">
            <v>CDW</v>
          </cell>
          <cell r="D282">
            <v>13</v>
          </cell>
          <cell r="E282">
            <v>4.6493797111125848E-2</v>
          </cell>
        </row>
        <row r="283">
          <cell r="B283" t="str">
            <v>JOURNAL OF TRANSPORT ECONOMICS AND POLICY</v>
          </cell>
          <cell r="C283" t="str">
            <v>CET</v>
          </cell>
          <cell r="D283">
            <v>13</v>
          </cell>
          <cell r="E283">
            <v>4.5145075570682293E-2</v>
          </cell>
        </row>
        <row r="284">
          <cell r="B284" t="str">
            <v>JOURNAL OF THE ASIA PACIFIC ECONOMY</v>
          </cell>
          <cell r="C284" t="str">
            <v>ADW</v>
          </cell>
          <cell r="D284">
            <v>56</v>
          </cell>
          <cell r="E284">
            <v>4.345955199388065E-2</v>
          </cell>
        </row>
        <row r="285">
          <cell r="B285" t="str">
            <v>ANNALS OF PUBLIC AND COOPERATIVE ECONOMICS</v>
          </cell>
          <cell r="C285" t="str">
            <v>AHX</v>
          </cell>
          <cell r="D285">
            <v>47</v>
          </cell>
          <cell r="E285">
            <v>4.2533880164651948E-2</v>
          </cell>
        </row>
        <row r="286">
          <cell r="B286" t="str">
            <v>ECONOMIC RESEARCH-EKONOMSKA ISTRAZIVANJA</v>
          </cell>
          <cell r="C286" t="str">
            <v>AAI</v>
          </cell>
          <cell r="D286">
            <v>281</v>
          </cell>
          <cell r="E286">
            <v>3.9180853693088838E-2</v>
          </cell>
        </row>
        <row r="287">
          <cell r="B287" t="str">
            <v>EUROPEAN RESEARCH ON MANAGEMENT AND BUSINESS ECONOMICS</v>
          </cell>
          <cell r="C287" t="str">
            <v>CAS</v>
          </cell>
          <cell r="D287">
            <v>22</v>
          </cell>
          <cell r="E287">
            <v>3.705459580667847E-2</v>
          </cell>
        </row>
        <row r="288">
          <cell r="B288" t="str">
            <v>ASIAN-PACIFIC ECONOMIC LITERATURE</v>
          </cell>
          <cell r="C288" t="str">
            <v>CES</v>
          </cell>
          <cell r="D288">
            <v>13</v>
          </cell>
          <cell r="E288">
            <v>3.7007435154481162E-2</v>
          </cell>
        </row>
        <row r="289">
          <cell r="B289" t="str">
            <v>SINGAPORE ECONOMIC REVIEW</v>
          </cell>
          <cell r="C289" t="str">
            <v>ACH</v>
          </cell>
          <cell r="D289">
            <v>115</v>
          </cell>
          <cell r="E289">
            <v>3.6618353716683212E-2</v>
          </cell>
        </row>
        <row r="290">
          <cell r="B290" t="str">
            <v>ASIAN ECONOMIC PAPERS</v>
          </cell>
          <cell r="C290" t="str">
            <v>CCU</v>
          </cell>
          <cell r="D290">
            <v>18</v>
          </cell>
          <cell r="E290">
            <v>3.6470989049467863E-2</v>
          </cell>
        </row>
        <row r="291">
          <cell r="B291" t="str">
            <v>REVIEW OF DERIVATIVES RESEARCH</v>
          </cell>
          <cell r="C291" t="str">
            <v>CDC</v>
          </cell>
          <cell r="D291">
            <v>18</v>
          </cell>
          <cell r="E291">
            <v>3.6186416154798458E-2</v>
          </cell>
        </row>
        <row r="292">
          <cell r="B292" t="str">
            <v>ESTUDIOS DE ECONOMIA</v>
          </cell>
          <cell r="C292" t="str">
            <v>CFX</v>
          </cell>
          <cell r="D292">
            <v>10</v>
          </cell>
          <cell r="E292">
            <v>3.6115732092579747E-2</v>
          </cell>
        </row>
        <row r="293">
          <cell r="B293" t="str">
            <v>ROMANIAN JOURNAL OF ECONOMIC FORECASTING</v>
          </cell>
          <cell r="C293" t="str">
            <v>BCU</v>
          </cell>
          <cell r="D293">
            <v>40</v>
          </cell>
          <cell r="E293">
            <v>3.593623274133724E-2</v>
          </cell>
        </row>
        <row r="294">
          <cell r="B294" t="str">
            <v>JOURNAL OF BUSINESS ECONOMICS AND MANAGEMENT</v>
          </cell>
          <cell r="C294" t="str">
            <v>AED</v>
          </cell>
          <cell r="D294">
            <v>83</v>
          </cell>
          <cell r="E294">
            <v>3.5391167351083948E-2</v>
          </cell>
        </row>
        <row r="295">
          <cell r="B295" t="str">
            <v>ASIA-PACIFIC JOURNAL OF ACCOUNTING &amp; ECONOMICS</v>
          </cell>
          <cell r="C295" t="str">
            <v>ADA</v>
          </cell>
          <cell r="D295">
            <v>92</v>
          </cell>
          <cell r="E295">
            <v>3.4611445063944028E-2</v>
          </cell>
        </row>
        <row r="296">
          <cell r="B296" t="str">
            <v>REVIEW OF NETWORK ECONOMICS</v>
          </cell>
          <cell r="C296" t="str">
            <v>CGS</v>
          </cell>
          <cell r="D296">
            <v>6</v>
          </cell>
          <cell r="E296">
            <v>3.3761997031757869E-2</v>
          </cell>
        </row>
        <row r="297">
          <cell r="B297" t="str">
            <v>JOURNAL OF AUSTRALIAN POLITICAL ECONOMY</v>
          </cell>
          <cell r="C297" t="str">
            <v>BCI</v>
          </cell>
          <cell r="D297">
            <v>41</v>
          </cell>
          <cell r="E297">
            <v>3.102658094337082E-2</v>
          </cell>
        </row>
        <row r="298">
          <cell r="B298" t="str">
            <v>GLOBAL ECONOMIC REVIEW</v>
          </cell>
          <cell r="C298" t="str">
            <v>BGF</v>
          </cell>
          <cell r="D298">
            <v>25</v>
          </cell>
          <cell r="E298">
            <v>3.098435552992531E-2</v>
          </cell>
        </row>
        <row r="299">
          <cell r="B299" t="str">
            <v>KOREAN ECONOMIC REVIEW</v>
          </cell>
          <cell r="C299" t="str">
            <v>CEC</v>
          </cell>
          <cell r="D299">
            <v>15</v>
          </cell>
          <cell r="E299">
            <v>2.8735950609157349E-2</v>
          </cell>
        </row>
        <row r="300">
          <cell r="B300" t="str">
            <v>OECONOMIA COPERNICANA</v>
          </cell>
          <cell r="C300" t="str">
            <v>BFB</v>
          </cell>
          <cell r="D300">
            <v>31</v>
          </cell>
          <cell r="E300">
            <v>2.8410696085296141E-2</v>
          </cell>
        </row>
        <row r="301">
          <cell r="B301" t="str">
            <v>PORTUGUESE ECONOMIC JOURNAL</v>
          </cell>
          <cell r="C301" t="str">
            <v>BFT</v>
          </cell>
          <cell r="D301">
            <v>29</v>
          </cell>
          <cell r="E301">
            <v>2.825108824663088E-2</v>
          </cell>
        </row>
        <row r="302">
          <cell r="B302" t="str">
            <v>TRIMESTRE ECONOMICO</v>
          </cell>
          <cell r="C302" t="str">
            <v>BDI</v>
          </cell>
          <cell r="D302">
            <v>37</v>
          </cell>
          <cell r="E302">
            <v>2.8128854965813369E-2</v>
          </cell>
        </row>
        <row r="303">
          <cell r="B303" t="str">
            <v>SOUTH AFRICAN JOURNAL OF ECONOMIC AND MANAGEMENT SCIENCES</v>
          </cell>
          <cell r="C303" t="str">
            <v>BDV</v>
          </cell>
          <cell r="D303">
            <v>35</v>
          </cell>
          <cell r="E303">
            <v>2.7809262303000851E-2</v>
          </cell>
        </row>
        <row r="304">
          <cell r="B304" t="str">
            <v>INDEPENDENT REVIEW</v>
          </cell>
          <cell r="C304" t="str">
            <v>BCV</v>
          </cell>
          <cell r="D304">
            <v>40</v>
          </cell>
          <cell r="E304">
            <v>2.774734328434288E-2</v>
          </cell>
        </row>
        <row r="305">
          <cell r="B305" t="str">
            <v>ECONOMICS-THE OPEN ACCESS OPEN-ASSESSMENT E-JOURNAL</v>
          </cell>
          <cell r="C305" t="str">
            <v>BHO</v>
          </cell>
          <cell r="D305">
            <v>25</v>
          </cell>
          <cell r="E305">
            <v>2.7078673324441471E-2</v>
          </cell>
        </row>
        <row r="306">
          <cell r="B306" t="str">
            <v>CEPAL REVIEW</v>
          </cell>
          <cell r="C306" t="str">
            <v>BEJ</v>
          </cell>
          <cell r="D306">
            <v>35</v>
          </cell>
          <cell r="E306">
            <v>2.6505081773616861E-2</v>
          </cell>
        </row>
        <row r="307">
          <cell r="B307" t="str">
            <v>HITOTSUBASHI JOURNAL OF ECONOMICS</v>
          </cell>
          <cell r="C307" t="str">
            <v>CGM</v>
          </cell>
          <cell r="D307">
            <v>8</v>
          </cell>
          <cell r="E307">
            <v>2.6296883296639921E-2</v>
          </cell>
        </row>
        <row r="308">
          <cell r="B308" t="str">
            <v>AGRICULTURAL ECONOMICS-ZEMEDELSKA EKONOMIKA</v>
          </cell>
          <cell r="C308" t="str">
            <v>AHH</v>
          </cell>
          <cell r="D308">
            <v>56</v>
          </cell>
          <cell r="E308">
            <v>2.6158862429196052E-2</v>
          </cell>
        </row>
        <row r="309">
          <cell r="B309" t="str">
            <v>B E JOURNAL OF THEORETICAL ECONOMICS</v>
          </cell>
          <cell r="C309" t="str">
            <v>BCJ</v>
          </cell>
          <cell r="D309">
            <v>41</v>
          </cell>
          <cell r="E309">
            <v>2.5899541441400019E-2</v>
          </cell>
        </row>
        <row r="310">
          <cell r="B310" t="str">
            <v>JOURNAL OF FOREST ECONOMICS</v>
          </cell>
          <cell r="C310" t="str">
            <v>CDX</v>
          </cell>
          <cell r="D310">
            <v>16</v>
          </cell>
          <cell r="E310">
            <v>2.5867706545991839E-2</v>
          </cell>
        </row>
        <row r="311">
          <cell r="B311" t="str">
            <v>LATIN AMERICAN ECONOMIC REVIEW</v>
          </cell>
          <cell r="C311" t="str">
            <v>CGE</v>
          </cell>
          <cell r="D311">
            <v>6</v>
          </cell>
          <cell r="E311">
            <v>2.3976236734445971E-2</v>
          </cell>
        </row>
        <row r="312">
          <cell r="B312" t="str">
            <v>INZINERINE EKONOMIKA-ENGINEERING ECONOMICS</v>
          </cell>
          <cell r="C312" t="str">
            <v>BAL</v>
          </cell>
          <cell r="D312">
            <v>50</v>
          </cell>
          <cell r="E312">
            <v>2.363536366470027E-2</v>
          </cell>
        </row>
        <row r="313">
          <cell r="B313" t="str">
            <v>PRAGUE ECONOMIC PAPERS</v>
          </cell>
          <cell r="C313" t="str">
            <v>BEF</v>
          </cell>
          <cell r="D313">
            <v>35</v>
          </cell>
          <cell r="E313">
            <v>2.2887491969865881E-2</v>
          </cell>
        </row>
        <row r="314">
          <cell r="B314" t="str">
            <v>ANNALS OF ECONOMICS AND FINANCE</v>
          </cell>
          <cell r="C314" t="str">
            <v>CCP</v>
          </cell>
          <cell r="D314">
            <v>19</v>
          </cell>
          <cell r="E314">
            <v>2.124817839345226E-2</v>
          </cell>
        </row>
        <row r="315">
          <cell r="B315" t="str">
            <v>ACTA OECONOMICA</v>
          </cell>
          <cell r="C315" t="str">
            <v>BDG</v>
          </cell>
          <cell r="D315">
            <v>37</v>
          </cell>
          <cell r="E315">
            <v>2.0109901522500681E-2</v>
          </cell>
        </row>
        <row r="316">
          <cell r="B316" t="str">
            <v>HACIENDA PUBLICA ESPANOLA-REVIEW OF PUBLIC ECONOMICS</v>
          </cell>
          <cell r="C316" t="str">
            <v>CAW</v>
          </cell>
          <cell r="D316">
            <v>22</v>
          </cell>
          <cell r="E316">
            <v>1.9316380459273679E-2</v>
          </cell>
        </row>
        <row r="317">
          <cell r="B317" t="str">
            <v>REVISTA DE ECONOMIA MUNDIAL</v>
          </cell>
          <cell r="C317" t="str">
            <v>CBB</v>
          </cell>
          <cell r="D317">
            <v>19</v>
          </cell>
          <cell r="E317">
            <v>1.8273798255771599E-2</v>
          </cell>
        </row>
        <row r="318">
          <cell r="B318" t="str">
            <v>E &amp; M EKONOMIE A MANAGEMENT</v>
          </cell>
          <cell r="C318" t="str">
            <v>AHV</v>
          </cell>
          <cell r="D318">
            <v>55</v>
          </cell>
          <cell r="E318">
            <v>1.657406277373584E-2</v>
          </cell>
        </row>
        <row r="319">
          <cell r="B319" t="str">
            <v>EKONOMICKY CASOPIS</v>
          </cell>
          <cell r="C319" t="str">
            <v>BAD</v>
          </cell>
          <cell r="D319">
            <v>53</v>
          </cell>
          <cell r="E319">
            <v>1.650093747883331E-2</v>
          </cell>
        </row>
        <row r="320">
          <cell r="B320" t="str">
            <v>TRANSFORMATIONS IN BUSINESS &amp; ECONOMICS</v>
          </cell>
          <cell r="C320" t="str">
            <v>ADF</v>
          </cell>
          <cell r="D320">
            <v>97</v>
          </cell>
          <cell r="E320">
            <v>1.6215708735356951E-2</v>
          </cell>
        </row>
        <row r="321">
          <cell r="B321" t="str">
            <v>JOURNAL OF KOREA TRADE</v>
          </cell>
          <cell r="C321" t="str">
            <v>AHO</v>
          </cell>
          <cell r="D321">
            <v>57</v>
          </cell>
          <cell r="E321">
            <v>1.496117449143434E-2</v>
          </cell>
        </row>
        <row r="322">
          <cell r="B322" t="str">
            <v>AMFITEATRU ECONOMIC</v>
          </cell>
          <cell r="C322" t="str">
            <v>AFJ</v>
          </cell>
          <cell r="D322">
            <v>72</v>
          </cell>
          <cell r="E322">
            <v>1.415604991568737E-2</v>
          </cell>
        </row>
        <row r="323">
          <cell r="B323" t="str">
            <v>ECONOMIC COMPUTATION AND ECONOMIC CYBERNETICS STUDIES AND RESEARCH</v>
          </cell>
          <cell r="C323" t="str">
            <v>AEX</v>
          </cell>
          <cell r="D323">
            <v>76</v>
          </cell>
          <cell r="E323">
            <v>1.3836772195517891E-2</v>
          </cell>
        </row>
        <row r="324">
          <cell r="B324" t="str">
            <v>CUSTOS E AGRONEGOCIO ON LINE</v>
          </cell>
          <cell r="C324" t="str">
            <v>ACV</v>
          </cell>
          <cell r="D324">
            <v>104</v>
          </cell>
          <cell r="E324">
            <v>1.2950544407789999E-2</v>
          </cell>
        </row>
        <row r="325">
          <cell r="B325" t="str">
            <v>INTERNATIONAL JOURNAL OF TRANSPORT ECONOMICS</v>
          </cell>
          <cell r="C325" t="str">
            <v>CCG</v>
          </cell>
          <cell r="D325">
            <v>20</v>
          </cell>
          <cell r="E325">
            <v>1.261805674681339E-2</v>
          </cell>
        </row>
        <row r="326">
          <cell r="B326" t="str">
            <v>ARGUMENTA OECONOMICA</v>
          </cell>
          <cell r="C326" t="str">
            <v>BHC</v>
          </cell>
          <cell r="D326">
            <v>27</v>
          </cell>
          <cell r="E326">
            <v>1.147752598979344E-2</v>
          </cell>
        </row>
        <row r="327">
          <cell r="B327" t="str">
            <v>POLITICKA EKONOMIE</v>
          </cell>
          <cell r="C327" t="str">
            <v>BGL</v>
          </cell>
          <cell r="D327">
            <v>29</v>
          </cell>
          <cell r="E327">
            <v>1.1037232336820231E-2</v>
          </cell>
        </row>
        <row r="328">
          <cell r="B328" t="str">
            <v>INVESTIGACION ECONOMICA</v>
          </cell>
          <cell r="C328" t="str">
            <v>CCE</v>
          </cell>
          <cell r="D328">
            <v>20</v>
          </cell>
          <cell r="E328">
            <v>1.089070561590664E-2</v>
          </cell>
        </row>
        <row r="329">
          <cell r="B329" t="str">
            <v>REVUE D ETUDES COMPARATIVES EST-OUEST</v>
          </cell>
          <cell r="C329" t="str">
            <v>CCR</v>
          </cell>
          <cell r="D329">
            <v>19</v>
          </cell>
          <cell r="E329">
            <v>0.01</v>
          </cell>
        </row>
      </sheetData>
      <sheetData sheetId="7">
        <row r="1">
          <cell r="B1" t="str">
            <v>institution</v>
          </cell>
          <cell r="C1" t="str">
            <v>pub</v>
          </cell>
          <cell r="D1" t="str">
            <v>acr</v>
          </cell>
          <cell r="E1" t="str">
            <v>iscore</v>
          </cell>
        </row>
        <row r="2">
          <cell r="B2" t="str">
            <v>University of California Santa Barbara</v>
          </cell>
          <cell r="C2">
            <v>44</v>
          </cell>
          <cell r="D2" t="str">
            <v>ACZ</v>
          </cell>
          <cell r="E2">
            <v>8</v>
          </cell>
        </row>
        <row r="3">
          <cell r="B3" t="str">
            <v>University of Chicago</v>
          </cell>
          <cell r="C3">
            <v>157</v>
          </cell>
          <cell r="D3" t="str">
            <v>AAU</v>
          </cell>
          <cell r="E3">
            <v>7.778876548235564</v>
          </cell>
        </row>
        <row r="4">
          <cell r="B4" t="str">
            <v>London Business School</v>
          </cell>
          <cell r="C4">
            <v>30</v>
          </cell>
          <cell r="D4" t="str">
            <v>ABF</v>
          </cell>
          <cell r="E4">
            <v>7.4382433689431187</v>
          </cell>
        </row>
        <row r="5">
          <cell r="B5" t="str">
            <v>Center for Economic &amp; Policy Research (CEPR)</v>
          </cell>
          <cell r="C5">
            <v>151</v>
          </cell>
          <cell r="D5" t="str">
            <v>CBM</v>
          </cell>
          <cell r="E5">
            <v>6.8528581107335986</v>
          </cell>
        </row>
        <row r="6">
          <cell r="B6" t="str">
            <v>Princeton University</v>
          </cell>
          <cell r="C6">
            <v>101</v>
          </cell>
          <cell r="D6" t="str">
            <v>AAN</v>
          </cell>
          <cell r="E6">
            <v>6.4527793481973239</v>
          </cell>
        </row>
        <row r="7">
          <cell r="B7" t="str">
            <v>Massachusetts Institute of Technology (MIT)</v>
          </cell>
          <cell r="C7">
            <v>152</v>
          </cell>
          <cell r="D7" t="str">
            <v>AAI</v>
          </cell>
          <cell r="E7">
            <v>6.2364644534629496</v>
          </cell>
        </row>
        <row r="8">
          <cell r="B8" t="str">
            <v>Pompeu Fabra University</v>
          </cell>
          <cell r="C8">
            <v>55</v>
          </cell>
          <cell r="D8" t="str">
            <v>AGW</v>
          </cell>
          <cell r="E8">
            <v>5.7544054222421703</v>
          </cell>
        </row>
        <row r="9">
          <cell r="B9" t="str">
            <v>Harvard University</v>
          </cell>
          <cell r="C9">
            <v>265</v>
          </cell>
          <cell r="D9" t="str">
            <v>AAF</v>
          </cell>
          <cell r="E9">
            <v>5.7076664030410704</v>
          </cell>
        </row>
        <row r="10">
          <cell r="B10" t="str">
            <v>Yale University</v>
          </cell>
          <cell r="C10">
            <v>134</v>
          </cell>
          <cell r="D10" t="str">
            <v>AAY</v>
          </cell>
          <cell r="E10">
            <v>5.6264041115100492</v>
          </cell>
        </row>
        <row r="11">
          <cell r="B11" t="str">
            <v>University of California Los Angeles</v>
          </cell>
          <cell r="C11">
            <v>88</v>
          </cell>
          <cell r="D11" t="str">
            <v>AAR</v>
          </cell>
          <cell r="E11">
            <v>5.4430353081393088</v>
          </cell>
        </row>
        <row r="12">
          <cell r="B12" t="str">
            <v>Stanford University</v>
          </cell>
          <cell r="C12">
            <v>196</v>
          </cell>
          <cell r="D12" t="str">
            <v>AAO</v>
          </cell>
          <cell r="E12">
            <v>5.2596414163536247</v>
          </cell>
        </row>
        <row r="13">
          <cell r="B13" t="str">
            <v>University of California Berkeley</v>
          </cell>
          <cell r="C13">
            <v>156</v>
          </cell>
          <cell r="D13" t="str">
            <v>AAQ</v>
          </cell>
          <cell r="E13">
            <v>5.2397573373506372</v>
          </cell>
        </row>
        <row r="14">
          <cell r="B14" t="str">
            <v>National Bureau of Economic Research</v>
          </cell>
          <cell r="C14">
            <v>710</v>
          </cell>
          <cell r="D14" t="str">
            <v>AAK</v>
          </cell>
          <cell r="E14">
            <v>5.0418361208377824</v>
          </cell>
        </row>
        <row r="15">
          <cell r="B15" t="str">
            <v>Northwestern University</v>
          </cell>
          <cell r="C15">
            <v>102</v>
          </cell>
          <cell r="D15" t="str">
            <v>AAL</v>
          </cell>
          <cell r="E15">
            <v>4.909136133601451</v>
          </cell>
        </row>
        <row r="16">
          <cell r="B16" t="str">
            <v>University of Zurich</v>
          </cell>
          <cell r="C16">
            <v>98</v>
          </cell>
          <cell r="D16" t="str">
            <v>ABV</v>
          </cell>
          <cell r="E16">
            <v>4.8973206055403704</v>
          </cell>
        </row>
        <row r="17">
          <cell r="B17" t="str">
            <v>University of Cincinnati</v>
          </cell>
          <cell r="C17">
            <v>12</v>
          </cell>
          <cell r="D17" t="str">
            <v>DCL</v>
          </cell>
          <cell r="E17">
            <v>4.7339204775641894</v>
          </cell>
        </row>
        <row r="18">
          <cell r="B18" t="str">
            <v>Boston University</v>
          </cell>
          <cell r="C18">
            <v>73</v>
          </cell>
          <cell r="D18" t="str">
            <v>ABA</v>
          </cell>
          <cell r="E18">
            <v>4.71934944217859</v>
          </cell>
        </row>
        <row r="19">
          <cell r="B19" t="str">
            <v>Columbia University</v>
          </cell>
          <cell r="C19">
            <v>165</v>
          </cell>
          <cell r="D19" t="str">
            <v>AAB</v>
          </cell>
          <cell r="E19">
            <v>4.6213954813069984</v>
          </cell>
        </row>
        <row r="20">
          <cell r="B20" t="str">
            <v>Dartmouth College</v>
          </cell>
          <cell r="C20">
            <v>30</v>
          </cell>
          <cell r="D20" t="str">
            <v>AAD</v>
          </cell>
          <cell r="E20">
            <v>4.6080061426039371</v>
          </cell>
        </row>
        <row r="21">
          <cell r="B21" t="str">
            <v>Institut Polytechnique de Paris</v>
          </cell>
          <cell r="C21">
            <v>76</v>
          </cell>
          <cell r="D21" t="str">
            <v>BFW</v>
          </cell>
          <cell r="E21">
            <v>4.5698168480078181</v>
          </cell>
        </row>
        <row r="22">
          <cell r="B22" t="str">
            <v>Centre for Economic Policy Research - UK</v>
          </cell>
          <cell r="C22">
            <v>233</v>
          </cell>
          <cell r="D22" t="str">
            <v>ACC</v>
          </cell>
          <cell r="E22">
            <v>4.3003542027293378</v>
          </cell>
        </row>
        <row r="23">
          <cell r="B23" t="str">
            <v>Bank of England</v>
          </cell>
          <cell r="C23">
            <v>38</v>
          </cell>
          <cell r="D23" t="str">
            <v>BHK</v>
          </cell>
          <cell r="E23">
            <v>4.2682272336127722</v>
          </cell>
        </row>
        <row r="24">
          <cell r="B24" t="str">
            <v>University of California San Diego</v>
          </cell>
          <cell r="C24">
            <v>82</v>
          </cell>
          <cell r="D24" t="str">
            <v>AAS</v>
          </cell>
          <cell r="E24">
            <v>4.190181993193872</v>
          </cell>
        </row>
        <row r="25">
          <cell r="B25" t="str">
            <v>University of Texas Austin</v>
          </cell>
          <cell r="C25">
            <v>58</v>
          </cell>
          <cell r="D25" t="str">
            <v>ADQ</v>
          </cell>
          <cell r="E25">
            <v>4.0830671298948387</v>
          </cell>
        </row>
        <row r="26">
          <cell r="B26" t="str">
            <v>University of Pennsylvania</v>
          </cell>
          <cell r="C26">
            <v>124</v>
          </cell>
          <cell r="D26" t="str">
            <v>AAW</v>
          </cell>
          <cell r="E26">
            <v>4.0445984140058782</v>
          </cell>
        </row>
        <row r="27">
          <cell r="B27" t="str">
            <v>Swiss Finance Institute (SFI)</v>
          </cell>
          <cell r="C27">
            <v>28</v>
          </cell>
          <cell r="D27" t="str">
            <v>DEU</v>
          </cell>
          <cell r="E27">
            <v>4.0017151316232962</v>
          </cell>
        </row>
        <row r="28">
          <cell r="B28" t="str">
            <v>University of Michigan</v>
          </cell>
          <cell r="C28">
            <v>107</v>
          </cell>
          <cell r="D28" t="str">
            <v>AAV</v>
          </cell>
          <cell r="E28">
            <v>3.9241048679124231</v>
          </cell>
        </row>
        <row r="29">
          <cell r="B29" t="str">
            <v>Boston College</v>
          </cell>
          <cell r="C29">
            <v>54</v>
          </cell>
          <cell r="D29" t="str">
            <v>ACA</v>
          </cell>
          <cell r="E29">
            <v>3.7597089217697932</v>
          </cell>
        </row>
        <row r="30">
          <cell r="B30" t="str">
            <v>University of California Davis</v>
          </cell>
          <cell r="C30">
            <v>61</v>
          </cell>
          <cell r="D30" t="str">
            <v>ACY</v>
          </cell>
          <cell r="E30">
            <v>3.645755034649004</v>
          </cell>
        </row>
        <row r="31">
          <cell r="B31" t="str">
            <v>New York University</v>
          </cell>
          <cell r="C31">
            <v>155</v>
          </cell>
          <cell r="D31" t="str">
            <v>AAM</v>
          </cell>
          <cell r="E31">
            <v>3.5913867728754729</v>
          </cell>
        </row>
        <row r="32">
          <cell r="B32" t="str">
            <v>London School Economics &amp; Political Science</v>
          </cell>
          <cell r="C32">
            <v>281</v>
          </cell>
          <cell r="D32" t="str">
            <v>AAH</v>
          </cell>
          <cell r="E32">
            <v>3.52044976801302</v>
          </cell>
        </row>
        <row r="33">
          <cell r="B33" t="str">
            <v>Washington University (WUSTL)</v>
          </cell>
          <cell r="C33">
            <v>46</v>
          </cell>
          <cell r="D33" t="str">
            <v>AAX</v>
          </cell>
          <cell r="E33">
            <v>3.4909442423729971</v>
          </cell>
        </row>
        <row r="34">
          <cell r="B34" t="str">
            <v>University of British Columbia</v>
          </cell>
          <cell r="C34">
            <v>79</v>
          </cell>
          <cell r="D34" t="str">
            <v>ACW</v>
          </cell>
          <cell r="E34">
            <v>3.4869614344964739</v>
          </cell>
        </row>
        <row r="35">
          <cell r="B35" t="str">
            <v>Federal Reserve System - USA</v>
          </cell>
          <cell r="C35">
            <v>311</v>
          </cell>
          <cell r="D35" t="str">
            <v>CBN</v>
          </cell>
          <cell r="E35">
            <v>3.4188762955094538</v>
          </cell>
        </row>
        <row r="36">
          <cell r="B36" t="str">
            <v>University of Bergen</v>
          </cell>
          <cell r="C36">
            <v>26</v>
          </cell>
          <cell r="D36" t="str">
            <v>DEX</v>
          </cell>
          <cell r="E36">
            <v>3.4072367747514392</v>
          </cell>
        </row>
        <row r="37">
          <cell r="B37" t="str">
            <v>BI Norwegian Business School</v>
          </cell>
          <cell r="C37">
            <v>31</v>
          </cell>
          <cell r="D37" t="str">
            <v>AEE</v>
          </cell>
          <cell r="E37">
            <v>3.383898410559556</v>
          </cell>
        </row>
        <row r="38">
          <cell r="B38" t="str">
            <v>University of Bonn</v>
          </cell>
          <cell r="C38">
            <v>69</v>
          </cell>
          <cell r="D38" t="str">
            <v>ABL</v>
          </cell>
          <cell r="E38">
            <v>3.3272446519680061</v>
          </cell>
        </row>
        <row r="39">
          <cell r="B39" t="str">
            <v>Rice University</v>
          </cell>
          <cell r="C39">
            <v>22</v>
          </cell>
          <cell r="D39" t="str">
            <v>AFL</v>
          </cell>
          <cell r="E39">
            <v>3.3179572940701112</v>
          </cell>
        </row>
        <row r="40">
          <cell r="B40" t="str">
            <v>Bocconi University</v>
          </cell>
          <cell r="C40">
            <v>107</v>
          </cell>
          <cell r="D40" t="str">
            <v>AAZ</v>
          </cell>
          <cell r="E40">
            <v>3.3100951121255662</v>
          </cell>
        </row>
        <row r="41">
          <cell r="B41" t="str">
            <v>Duke University</v>
          </cell>
          <cell r="C41">
            <v>90</v>
          </cell>
          <cell r="D41" t="str">
            <v>ABC</v>
          </cell>
          <cell r="E41">
            <v>3.3080386012318579</v>
          </cell>
        </row>
        <row r="42">
          <cell r="B42" t="str">
            <v>Queen Mary University London</v>
          </cell>
          <cell r="C42">
            <v>58</v>
          </cell>
          <cell r="D42" t="str">
            <v>BCY</v>
          </cell>
          <cell r="E42">
            <v>3.2588065950426301</v>
          </cell>
        </row>
        <row r="43">
          <cell r="B43" t="str">
            <v>Vanderbilt University</v>
          </cell>
          <cell r="C43">
            <v>44</v>
          </cell>
          <cell r="D43" t="str">
            <v>BGW</v>
          </cell>
          <cell r="E43">
            <v>3.2148643267761958</v>
          </cell>
        </row>
        <row r="44">
          <cell r="B44" t="str">
            <v>University of Wisconsin Madison</v>
          </cell>
          <cell r="C44">
            <v>97</v>
          </cell>
          <cell r="D44" t="str">
            <v>AHM</v>
          </cell>
          <cell r="E44">
            <v>3.118277193771013</v>
          </cell>
        </row>
        <row r="45">
          <cell r="B45" t="str">
            <v>University of Notre Dame</v>
          </cell>
          <cell r="C45">
            <v>39</v>
          </cell>
          <cell r="D45" t="str">
            <v>ADK</v>
          </cell>
          <cell r="E45">
            <v>3.1139205646420738</v>
          </cell>
        </row>
        <row r="46">
          <cell r="B46" t="str">
            <v>University of Warwick</v>
          </cell>
          <cell r="C46">
            <v>103</v>
          </cell>
          <cell r="D46" t="str">
            <v>ADT</v>
          </cell>
          <cell r="E46">
            <v>3.0896658528398779</v>
          </cell>
        </row>
        <row r="47">
          <cell r="B47" t="str">
            <v>Hong Kong University of Science &amp; Technology</v>
          </cell>
          <cell r="C47">
            <v>45</v>
          </cell>
          <cell r="D47" t="str">
            <v>ACL</v>
          </cell>
          <cell r="E47">
            <v>3.0634360984525149</v>
          </cell>
        </row>
        <row r="48">
          <cell r="B48" t="str">
            <v>Stockholm University</v>
          </cell>
          <cell r="C48">
            <v>51</v>
          </cell>
          <cell r="D48" t="str">
            <v>AFS</v>
          </cell>
          <cell r="E48">
            <v>3.046813849895984</v>
          </cell>
        </row>
        <row r="49">
          <cell r="B49" t="str">
            <v>KU Leuven</v>
          </cell>
          <cell r="C49">
            <v>90</v>
          </cell>
          <cell r="D49" t="str">
            <v>AEX</v>
          </cell>
          <cell r="E49">
            <v>3.0386816929454401</v>
          </cell>
        </row>
        <row r="50">
          <cell r="B50" t="str">
            <v>Imperial College London</v>
          </cell>
          <cell r="C50">
            <v>58</v>
          </cell>
          <cell r="D50" t="str">
            <v>ABD</v>
          </cell>
          <cell r="E50">
            <v>3.0347389745640152</v>
          </cell>
        </row>
        <row r="51">
          <cell r="B51" t="str">
            <v>University of Colorado Boulder</v>
          </cell>
          <cell r="C51">
            <v>42</v>
          </cell>
          <cell r="D51" t="str">
            <v>AGE</v>
          </cell>
          <cell r="E51">
            <v>3.030965067717041</v>
          </cell>
        </row>
        <row r="52">
          <cell r="B52" t="str">
            <v>University of Southern California</v>
          </cell>
          <cell r="C52">
            <v>111</v>
          </cell>
          <cell r="D52" t="str">
            <v>ABS</v>
          </cell>
          <cell r="E52">
            <v>3.0306615575361668</v>
          </cell>
        </row>
        <row r="53">
          <cell r="B53" t="str">
            <v>University of Toronto</v>
          </cell>
          <cell r="C53">
            <v>109</v>
          </cell>
          <cell r="D53" t="str">
            <v>ABT</v>
          </cell>
          <cell r="E53">
            <v>3.0191767601742261</v>
          </cell>
        </row>
        <row r="54">
          <cell r="B54" t="str">
            <v>University of Illinois Chicago</v>
          </cell>
          <cell r="C54">
            <v>48</v>
          </cell>
          <cell r="D54" t="str">
            <v>AGN</v>
          </cell>
          <cell r="E54">
            <v>2.9979334892875831</v>
          </cell>
        </row>
        <row r="55">
          <cell r="B55" t="str">
            <v>EDHEC Business School</v>
          </cell>
          <cell r="C55">
            <v>19</v>
          </cell>
          <cell r="D55" t="str">
            <v>DCV</v>
          </cell>
          <cell r="E55">
            <v>2.970218277659177</v>
          </cell>
        </row>
        <row r="56">
          <cell r="B56" t="str">
            <v>Hautes Etudes Commerciales (HEC) Paris</v>
          </cell>
          <cell r="C56">
            <v>24</v>
          </cell>
          <cell r="D56" t="str">
            <v>AEU</v>
          </cell>
          <cell r="E56">
            <v>2.9448139893713399</v>
          </cell>
        </row>
        <row r="57">
          <cell r="B57" t="str">
            <v>Georgetown University</v>
          </cell>
          <cell r="C57">
            <v>59</v>
          </cell>
          <cell r="D57" t="str">
            <v>AEQ</v>
          </cell>
          <cell r="E57">
            <v>2.8929849027490042</v>
          </cell>
        </row>
        <row r="58">
          <cell r="B58" t="str">
            <v>Johns Hopkins University</v>
          </cell>
          <cell r="C58">
            <v>81</v>
          </cell>
          <cell r="D58" t="str">
            <v>BBS</v>
          </cell>
          <cell r="E58">
            <v>2.888537522972797</v>
          </cell>
        </row>
        <row r="59">
          <cell r="B59" t="str">
            <v>University of Minnesota Twin Cities</v>
          </cell>
          <cell r="C59">
            <v>75</v>
          </cell>
          <cell r="D59" t="str">
            <v>ABP</v>
          </cell>
          <cell r="E59">
            <v>2.858145924266505</v>
          </cell>
        </row>
        <row r="60">
          <cell r="B60" t="str">
            <v>University of Maryland College Park</v>
          </cell>
          <cell r="C60">
            <v>73</v>
          </cell>
          <cell r="D60" t="str">
            <v>ABO</v>
          </cell>
          <cell r="E60">
            <v>2.8572580604335438</v>
          </cell>
        </row>
        <row r="61">
          <cell r="B61" t="str">
            <v>Carnegie Mellon University</v>
          </cell>
          <cell r="C61">
            <v>31</v>
          </cell>
          <cell r="D61" t="str">
            <v>ACB</v>
          </cell>
          <cell r="E61">
            <v>2.8435827114159409</v>
          </cell>
        </row>
        <row r="62">
          <cell r="B62" t="str">
            <v>University of Geneva</v>
          </cell>
          <cell r="C62">
            <v>36</v>
          </cell>
          <cell r="D62" t="str">
            <v>BEU</v>
          </cell>
          <cell r="E62">
            <v>2.8349841098082531</v>
          </cell>
        </row>
        <row r="63">
          <cell r="B63" t="str">
            <v>Norwegian School of Economics (NHH)</v>
          </cell>
          <cell r="C63">
            <v>60</v>
          </cell>
          <cell r="D63" t="str">
            <v>BCQ</v>
          </cell>
          <cell r="E63">
            <v>2.828704184859971</v>
          </cell>
        </row>
        <row r="64">
          <cell r="B64" t="str">
            <v>Georgia Institute of Technology</v>
          </cell>
          <cell r="C64">
            <v>23</v>
          </cell>
          <cell r="D64" t="str">
            <v>AER</v>
          </cell>
          <cell r="E64">
            <v>2.7917347772451859</v>
          </cell>
        </row>
        <row r="65">
          <cell r="B65" t="str">
            <v>University of Colorado Denver</v>
          </cell>
          <cell r="C65">
            <v>20</v>
          </cell>
          <cell r="D65" t="str">
            <v>DEQ</v>
          </cell>
          <cell r="E65">
            <v>2.7827059263288221</v>
          </cell>
        </row>
        <row r="66">
          <cell r="B66" t="str">
            <v>University of Lausanne</v>
          </cell>
          <cell r="C66">
            <v>43</v>
          </cell>
          <cell r="D66" t="str">
            <v>AGO</v>
          </cell>
          <cell r="E66">
            <v>2.770280965432125</v>
          </cell>
        </row>
        <row r="67">
          <cell r="B67" t="str">
            <v>University College London</v>
          </cell>
          <cell r="C67">
            <v>146</v>
          </cell>
          <cell r="D67" t="str">
            <v>ADA</v>
          </cell>
          <cell r="E67">
            <v>2.7660194042133641</v>
          </cell>
        </row>
        <row r="68">
          <cell r="B68" t="str">
            <v>ESSEC Business School</v>
          </cell>
          <cell r="C68">
            <v>19</v>
          </cell>
          <cell r="D68" t="str">
            <v>BAW</v>
          </cell>
          <cell r="E68">
            <v>2.738498607268228</v>
          </cell>
        </row>
        <row r="69">
          <cell r="B69" t="str">
            <v>Lund University</v>
          </cell>
          <cell r="C69">
            <v>77</v>
          </cell>
          <cell r="D69" t="str">
            <v>AFB</v>
          </cell>
          <cell r="E69">
            <v>2.7377709151644982</v>
          </cell>
        </row>
        <row r="70">
          <cell r="B70" t="str">
            <v>Bank of Canada</v>
          </cell>
          <cell r="C70">
            <v>40</v>
          </cell>
          <cell r="D70" t="str">
            <v>BHJ</v>
          </cell>
          <cell r="E70">
            <v>2.713772369641259</v>
          </cell>
        </row>
        <row r="71">
          <cell r="B71" t="str">
            <v>IZA Institute Labor Economics</v>
          </cell>
          <cell r="C71">
            <v>321</v>
          </cell>
          <cell r="D71" t="str">
            <v>ACM</v>
          </cell>
          <cell r="E71">
            <v>2.6815266623332779</v>
          </cell>
        </row>
        <row r="72">
          <cell r="B72" t="str">
            <v>INSEAD Business School</v>
          </cell>
          <cell r="C72">
            <v>21</v>
          </cell>
          <cell r="D72" t="str">
            <v>CAA</v>
          </cell>
          <cell r="E72">
            <v>2.658511727868432</v>
          </cell>
        </row>
        <row r="73">
          <cell r="B73" t="str">
            <v>University of Copenhagen</v>
          </cell>
          <cell r="C73">
            <v>80</v>
          </cell>
          <cell r="D73" t="str">
            <v>AGF</v>
          </cell>
          <cell r="E73">
            <v>2.656685695585836</v>
          </cell>
        </row>
        <row r="74">
          <cell r="B74" t="str">
            <v>Universite Toulouse 1 Capitole</v>
          </cell>
          <cell r="C74">
            <v>76</v>
          </cell>
          <cell r="D74" t="str">
            <v>ABU</v>
          </cell>
          <cell r="E74">
            <v>2.6507586375946981</v>
          </cell>
        </row>
        <row r="75">
          <cell r="B75" t="str">
            <v>University of Utah</v>
          </cell>
          <cell r="C75">
            <v>35</v>
          </cell>
          <cell r="D75" t="str">
            <v>AHG</v>
          </cell>
          <cell r="E75">
            <v>2.6285605600348112</v>
          </cell>
        </row>
        <row r="76">
          <cell r="B76" t="str">
            <v>Brigham Young University</v>
          </cell>
          <cell r="C76">
            <v>33</v>
          </cell>
          <cell r="D76" t="str">
            <v>AHZ</v>
          </cell>
          <cell r="E76">
            <v>2.6140419519079341</v>
          </cell>
        </row>
        <row r="77">
          <cell r="B77" t="str">
            <v>Paris School of Economics</v>
          </cell>
          <cell r="C77">
            <v>76</v>
          </cell>
          <cell r="D77" t="str">
            <v>AHR</v>
          </cell>
          <cell r="E77">
            <v>2.6098588002607519</v>
          </cell>
        </row>
        <row r="78">
          <cell r="B78" t="str">
            <v>University of Virginia</v>
          </cell>
          <cell r="C78">
            <v>52</v>
          </cell>
          <cell r="D78" t="str">
            <v>AHJ</v>
          </cell>
          <cell r="E78">
            <v>2.549087240796529</v>
          </cell>
        </row>
        <row r="79">
          <cell r="B79" t="str">
            <v>Lahore University of Management Sciences</v>
          </cell>
          <cell r="C79">
            <v>17</v>
          </cell>
          <cell r="D79" t="str">
            <v>DDK</v>
          </cell>
          <cell r="E79">
            <v>2.5472327337728662</v>
          </cell>
        </row>
        <row r="80">
          <cell r="B80" t="str">
            <v>The Chinese University of Hong Kong, Shenzhen</v>
          </cell>
          <cell r="C80">
            <v>30</v>
          </cell>
          <cell r="D80" t="str">
            <v>DEF</v>
          </cell>
          <cell r="E80">
            <v>2.5411602186318412</v>
          </cell>
        </row>
        <row r="81">
          <cell r="B81" t="str">
            <v>Stockholm School of Economics</v>
          </cell>
          <cell r="C81">
            <v>43</v>
          </cell>
          <cell r="D81" t="str">
            <v>AFR</v>
          </cell>
          <cell r="E81">
            <v>2.5368063306840831</v>
          </cell>
        </row>
        <row r="82">
          <cell r="B82" t="str">
            <v>Texas A&amp;M University College Station</v>
          </cell>
          <cell r="C82">
            <v>67</v>
          </cell>
          <cell r="D82" t="str">
            <v>AAP</v>
          </cell>
          <cell r="E82">
            <v>2.521348692896455</v>
          </cell>
        </row>
        <row r="83">
          <cell r="B83" t="str">
            <v>University of Oslo</v>
          </cell>
          <cell r="C83">
            <v>52</v>
          </cell>
          <cell r="D83" t="str">
            <v>CBV</v>
          </cell>
          <cell r="E83">
            <v>2.506814344452807</v>
          </cell>
        </row>
        <row r="84">
          <cell r="B84" t="str">
            <v>University of North Carolina Chapel Hill</v>
          </cell>
          <cell r="C84">
            <v>68</v>
          </cell>
          <cell r="D84" t="str">
            <v>ADJ</v>
          </cell>
          <cell r="E84">
            <v>2.5015896548949179</v>
          </cell>
        </row>
        <row r="85">
          <cell r="B85" t="str">
            <v>Clemson University</v>
          </cell>
          <cell r="C85">
            <v>19</v>
          </cell>
          <cell r="D85" t="str">
            <v>BAJ</v>
          </cell>
          <cell r="E85">
            <v>2.4802190080967268</v>
          </cell>
        </row>
        <row r="86">
          <cell r="B86" t="str">
            <v>University of Oregon</v>
          </cell>
          <cell r="C86">
            <v>40</v>
          </cell>
          <cell r="D86" t="str">
            <v>BFY</v>
          </cell>
          <cell r="E86">
            <v>2.440088315693953</v>
          </cell>
        </row>
        <row r="87">
          <cell r="B87" t="str">
            <v>San Diego State University</v>
          </cell>
          <cell r="C87">
            <v>22</v>
          </cell>
          <cell r="D87" t="str">
            <v>BHN</v>
          </cell>
          <cell r="E87">
            <v>2.433150400719752</v>
          </cell>
        </row>
        <row r="88">
          <cell r="B88" t="str">
            <v>Western University (University of Western Ontario)</v>
          </cell>
          <cell r="C88">
            <v>41</v>
          </cell>
          <cell r="D88" t="str">
            <v>ABW</v>
          </cell>
          <cell r="E88">
            <v>2.432390680360148</v>
          </cell>
        </row>
        <row r="89">
          <cell r="B89" t="str">
            <v>University of Delaware</v>
          </cell>
          <cell r="C89">
            <v>32</v>
          </cell>
          <cell r="D89" t="str">
            <v>AGG</v>
          </cell>
          <cell r="E89">
            <v>2.4156223337580132</v>
          </cell>
        </row>
        <row r="90">
          <cell r="B90" t="str">
            <v>University of Oxford</v>
          </cell>
          <cell r="C90">
            <v>201</v>
          </cell>
          <cell r="D90" t="str">
            <v>ABQ</v>
          </cell>
          <cell r="E90">
            <v>2.392531844425156</v>
          </cell>
        </row>
        <row r="91">
          <cell r="B91" t="str">
            <v>Pontificia Universidad Catolica de Chile</v>
          </cell>
          <cell r="C91">
            <v>35</v>
          </cell>
          <cell r="D91" t="str">
            <v>CAC</v>
          </cell>
          <cell r="E91">
            <v>2.3860941333866181</v>
          </cell>
        </row>
        <row r="92">
          <cell r="B92" t="str">
            <v>University of Illinois Urbana-Champaign</v>
          </cell>
          <cell r="C92">
            <v>98</v>
          </cell>
          <cell r="D92" t="str">
            <v>ADB</v>
          </cell>
          <cell r="E92">
            <v>2.370727448483525</v>
          </cell>
        </row>
        <row r="93">
          <cell r="B93" t="str">
            <v>Cornell University</v>
          </cell>
          <cell r="C93">
            <v>131</v>
          </cell>
          <cell r="D93" t="str">
            <v>ABB</v>
          </cell>
          <cell r="E93">
            <v>2.3696314449698601</v>
          </cell>
        </row>
        <row r="94">
          <cell r="B94" t="str">
            <v>Arizona State University-Tempe</v>
          </cell>
          <cell r="C94">
            <v>72</v>
          </cell>
          <cell r="D94" t="str">
            <v>AAA</v>
          </cell>
          <cell r="E94">
            <v>2.362216097538512</v>
          </cell>
        </row>
        <row r="95">
          <cell r="B95" t="str">
            <v>Michigan State University</v>
          </cell>
          <cell r="C95">
            <v>97</v>
          </cell>
          <cell r="D95" t="str">
            <v>ABH</v>
          </cell>
          <cell r="E95">
            <v>2.3573751984996139</v>
          </cell>
        </row>
        <row r="96">
          <cell r="B96" t="str">
            <v>University of Innsbruck</v>
          </cell>
          <cell r="C96">
            <v>33</v>
          </cell>
          <cell r="D96" t="str">
            <v>BFC</v>
          </cell>
          <cell r="E96">
            <v>2.3558772299710942</v>
          </cell>
        </row>
        <row r="97">
          <cell r="B97" t="str">
            <v>University of California Irvine</v>
          </cell>
          <cell r="C97">
            <v>53</v>
          </cell>
          <cell r="D97" t="str">
            <v>AGC</v>
          </cell>
          <cell r="E97">
            <v>2.3304959260351552</v>
          </cell>
        </row>
        <row r="98">
          <cell r="B98" t="str">
            <v>Uppsala University</v>
          </cell>
          <cell r="C98">
            <v>45</v>
          </cell>
          <cell r="D98" t="str">
            <v>BGV</v>
          </cell>
          <cell r="E98">
            <v>2.3190972182112799</v>
          </cell>
        </row>
        <row r="99">
          <cell r="B99" t="str">
            <v>Ohio State University</v>
          </cell>
          <cell r="C99">
            <v>91</v>
          </cell>
          <cell r="D99" t="str">
            <v>ACO</v>
          </cell>
          <cell r="E99">
            <v>2.315356698018435</v>
          </cell>
        </row>
        <row r="100">
          <cell r="B100" t="str">
            <v>Tel Aviv University</v>
          </cell>
          <cell r="C100">
            <v>50</v>
          </cell>
          <cell r="D100" t="str">
            <v>BDT</v>
          </cell>
          <cell r="E100">
            <v>2.2835300755904568</v>
          </cell>
        </row>
        <row r="101">
          <cell r="B101" t="str">
            <v>Emory University</v>
          </cell>
          <cell r="C101">
            <v>33</v>
          </cell>
          <cell r="D101" t="str">
            <v>AEN</v>
          </cell>
          <cell r="E101">
            <v>2.2795397319645381</v>
          </cell>
        </row>
        <row r="102">
          <cell r="B102" t="str">
            <v>Monash University</v>
          </cell>
          <cell r="C102">
            <v>169</v>
          </cell>
          <cell r="D102" t="str">
            <v>ABI</v>
          </cell>
          <cell r="E102">
            <v>2.2783630951276721</v>
          </cell>
        </row>
        <row r="103">
          <cell r="B103" t="str">
            <v>Babson College</v>
          </cell>
          <cell r="C103">
            <v>13</v>
          </cell>
          <cell r="D103" t="str">
            <v>CHL</v>
          </cell>
          <cell r="E103">
            <v>2.276953463868415</v>
          </cell>
        </row>
        <row r="104">
          <cell r="B104" t="str">
            <v>University of Washington Seattle</v>
          </cell>
          <cell r="C104">
            <v>55</v>
          </cell>
          <cell r="D104" t="str">
            <v>ADU</v>
          </cell>
          <cell r="E104">
            <v>2.275702746525214</v>
          </cell>
        </row>
        <row r="105">
          <cell r="B105" t="str">
            <v>Northeastern University</v>
          </cell>
          <cell r="C105">
            <v>19</v>
          </cell>
          <cell r="D105" t="str">
            <v>ACN</v>
          </cell>
          <cell r="E105">
            <v>2.262427335457692</v>
          </cell>
        </row>
        <row r="106">
          <cell r="B106" t="str">
            <v>International Monetary Fund</v>
          </cell>
          <cell r="C106">
            <v>135</v>
          </cell>
          <cell r="D106" t="str">
            <v>AEW</v>
          </cell>
          <cell r="E106">
            <v>2.2577465305961208</v>
          </cell>
        </row>
        <row r="107">
          <cell r="B107" t="str">
            <v>Hebrew University of Jerusalem</v>
          </cell>
          <cell r="C107">
            <v>38</v>
          </cell>
          <cell r="D107" t="str">
            <v>AET</v>
          </cell>
          <cell r="E107">
            <v>2.241837247565583</v>
          </cell>
        </row>
        <row r="108">
          <cell r="B108" t="str">
            <v>Drexel University</v>
          </cell>
          <cell r="C108">
            <v>32</v>
          </cell>
          <cell r="D108" t="str">
            <v>AEK</v>
          </cell>
          <cell r="E108">
            <v>2.240380116142163</v>
          </cell>
        </row>
        <row r="109">
          <cell r="B109" t="str">
            <v>Copenhagen Business School</v>
          </cell>
          <cell r="C109">
            <v>49</v>
          </cell>
          <cell r="D109" t="str">
            <v>AAC</v>
          </cell>
          <cell r="E109">
            <v>2.217523075623101</v>
          </cell>
        </row>
        <row r="110">
          <cell r="B110" t="str">
            <v>University of Essex</v>
          </cell>
          <cell r="C110">
            <v>82</v>
          </cell>
          <cell r="D110" t="str">
            <v>BER</v>
          </cell>
          <cell r="E110">
            <v>2.2140616760435998</v>
          </cell>
        </row>
        <row r="111">
          <cell r="B111" t="str">
            <v>Universite de Montreal</v>
          </cell>
          <cell r="C111">
            <v>74</v>
          </cell>
          <cell r="D111" t="str">
            <v>ADF</v>
          </cell>
          <cell r="E111">
            <v>2.2055878637720858</v>
          </cell>
        </row>
        <row r="112">
          <cell r="B112" t="str">
            <v>University of Zaragoza</v>
          </cell>
          <cell r="C112">
            <v>43</v>
          </cell>
          <cell r="D112" t="str">
            <v>BFB</v>
          </cell>
          <cell r="E112">
            <v>2.2021431207618871</v>
          </cell>
        </row>
        <row r="113">
          <cell r="B113" t="str">
            <v>McGill University</v>
          </cell>
          <cell r="C113">
            <v>44</v>
          </cell>
          <cell r="D113" t="str">
            <v>QEQ</v>
          </cell>
          <cell r="E113">
            <v>2.1944306244486098</v>
          </cell>
        </row>
        <row r="114">
          <cell r="B114" t="str">
            <v>Kiel Institute for the World Economy</v>
          </cell>
          <cell r="C114">
            <v>45</v>
          </cell>
          <cell r="D114" t="str">
            <v>DAH</v>
          </cell>
          <cell r="E114">
            <v>2.1875704800172668</v>
          </cell>
        </row>
        <row r="115">
          <cell r="B115" t="str">
            <v>Chinese University of Hong Kong</v>
          </cell>
          <cell r="C115">
            <v>65</v>
          </cell>
          <cell r="D115" t="str">
            <v>ACD</v>
          </cell>
          <cell r="E115">
            <v>2.1773757086609811</v>
          </cell>
        </row>
        <row r="116">
          <cell r="B116" t="str">
            <v>European Central Bank</v>
          </cell>
          <cell r="C116">
            <v>197</v>
          </cell>
          <cell r="D116" t="str">
            <v>AEO</v>
          </cell>
          <cell r="E116">
            <v>2.1767734324024919</v>
          </cell>
        </row>
        <row r="117">
          <cell r="B117" t="str">
            <v>University of Miami</v>
          </cell>
          <cell r="C117">
            <v>15</v>
          </cell>
          <cell r="D117" t="str">
            <v>DAA</v>
          </cell>
          <cell r="E117">
            <v>2.1756318411240079</v>
          </cell>
        </row>
        <row r="118">
          <cell r="B118" t="str">
            <v>University of Massachusetts Amherst</v>
          </cell>
          <cell r="C118">
            <v>43</v>
          </cell>
          <cell r="D118" t="str">
            <v>BFR</v>
          </cell>
          <cell r="E118">
            <v>2.1511104783067729</v>
          </cell>
        </row>
        <row r="119">
          <cell r="B119" t="str">
            <v>University of Munich</v>
          </cell>
          <cell r="C119">
            <v>73</v>
          </cell>
          <cell r="D119" t="str">
            <v>ADG</v>
          </cell>
          <cell r="E119">
            <v>2.135678995395101</v>
          </cell>
        </row>
        <row r="120">
          <cell r="B120" t="str">
            <v>European University Institute</v>
          </cell>
          <cell r="C120">
            <v>53</v>
          </cell>
          <cell r="D120" t="str">
            <v>BAX</v>
          </cell>
          <cell r="E120">
            <v>2.1340622335416448</v>
          </cell>
        </row>
        <row r="121">
          <cell r="B121" t="str">
            <v>University of Navarra</v>
          </cell>
          <cell r="C121">
            <v>35</v>
          </cell>
          <cell r="D121" t="str">
            <v>ADH</v>
          </cell>
          <cell r="E121">
            <v>2.1262361304715518</v>
          </cell>
        </row>
        <row r="122">
          <cell r="B122" t="str">
            <v>Baylor University</v>
          </cell>
          <cell r="C122">
            <v>17</v>
          </cell>
          <cell r="D122" t="str">
            <v>DBY</v>
          </cell>
          <cell r="E122">
            <v>2.1221340640470872</v>
          </cell>
        </row>
        <row r="123">
          <cell r="B123" t="str">
            <v>Bank of Italy</v>
          </cell>
          <cell r="C123">
            <v>58</v>
          </cell>
          <cell r="D123" t="str">
            <v>CBL</v>
          </cell>
          <cell r="E123">
            <v>2.1200916449385701</v>
          </cell>
        </row>
        <row r="124">
          <cell r="B124" t="str">
            <v>University of Ottawa</v>
          </cell>
          <cell r="C124">
            <v>36</v>
          </cell>
          <cell r="D124" t="str">
            <v>BGA</v>
          </cell>
          <cell r="E124">
            <v>2.119221834944192</v>
          </cell>
        </row>
        <row r="125">
          <cell r="B125" t="str">
            <v>Carleton University</v>
          </cell>
          <cell r="C125">
            <v>32</v>
          </cell>
          <cell r="D125" t="str">
            <v>AHX</v>
          </cell>
          <cell r="E125">
            <v>2.117762956142863</v>
          </cell>
        </row>
        <row r="126">
          <cell r="B126" t="str">
            <v>Ifo Institut</v>
          </cell>
          <cell r="C126">
            <v>267</v>
          </cell>
          <cell r="D126" t="str">
            <v>AHT</v>
          </cell>
          <cell r="E126">
            <v>2.1126245891436239</v>
          </cell>
        </row>
        <row r="127">
          <cell r="B127" t="str">
            <v>Bentley University</v>
          </cell>
          <cell r="C127">
            <v>18</v>
          </cell>
          <cell r="D127" t="str">
            <v>DAJ</v>
          </cell>
          <cell r="E127">
            <v>2.111571766506644</v>
          </cell>
        </row>
        <row r="128">
          <cell r="B128" t="str">
            <v>University of Kentucky</v>
          </cell>
          <cell r="C128">
            <v>37</v>
          </cell>
          <cell r="D128" t="str">
            <v>AEH</v>
          </cell>
          <cell r="E128">
            <v>2.1059320946405689</v>
          </cell>
        </row>
        <row r="129">
          <cell r="B129" t="str">
            <v>Southern Methodist University</v>
          </cell>
          <cell r="C129">
            <v>23</v>
          </cell>
          <cell r="D129" t="str">
            <v>BDN</v>
          </cell>
          <cell r="E129">
            <v>2.1005644114249908</v>
          </cell>
        </row>
        <row r="130">
          <cell r="B130" t="str">
            <v>Purdue University</v>
          </cell>
          <cell r="C130">
            <v>78</v>
          </cell>
          <cell r="D130" t="str">
            <v>ACP</v>
          </cell>
          <cell r="E130">
            <v>2.0878449445721441</v>
          </cell>
        </row>
        <row r="131">
          <cell r="B131" t="str">
            <v>North Carolina State University</v>
          </cell>
          <cell r="C131">
            <v>45</v>
          </cell>
          <cell r="D131" t="str">
            <v>BCL</v>
          </cell>
          <cell r="E131">
            <v>2.0704503359965658</v>
          </cell>
        </row>
        <row r="132">
          <cell r="B132" t="str">
            <v>The World Bank</v>
          </cell>
          <cell r="C132">
            <v>148</v>
          </cell>
          <cell r="D132" t="str">
            <v>ADW</v>
          </cell>
          <cell r="E132">
            <v>2.0697769283971268</v>
          </cell>
        </row>
        <row r="133">
          <cell r="B133" t="str">
            <v>University of New South Wales Sydney</v>
          </cell>
          <cell r="C133">
            <v>75</v>
          </cell>
          <cell r="D133" t="str">
            <v>ADI</v>
          </cell>
          <cell r="E133">
            <v>2.0675363759233609</v>
          </cell>
        </row>
        <row r="134">
          <cell r="B134" t="str">
            <v>University of Arkansas Fayetteville</v>
          </cell>
          <cell r="C134">
            <v>40</v>
          </cell>
          <cell r="D134" t="str">
            <v>BEE</v>
          </cell>
          <cell r="E134">
            <v>2.0658963222562532</v>
          </cell>
        </row>
        <row r="135">
          <cell r="B135" t="str">
            <v>University of Bern</v>
          </cell>
          <cell r="C135">
            <v>50</v>
          </cell>
          <cell r="D135" t="str">
            <v>BEF</v>
          </cell>
          <cell r="E135">
            <v>2.064941525836363</v>
          </cell>
        </row>
        <row r="136">
          <cell r="B136" t="str">
            <v>University of Mannheim</v>
          </cell>
          <cell r="C136">
            <v>59</v>
          </cell>
          <cell r="D136" t="str">
            <v>AGS</v>
          </cell>
          <cell r="E136">
            <v>2.0610208993245971</v>
          </cell>
        </row>
        <row r="137">
          <cell r="B137" t="str">
            <v>Hitotsubashi University</v>
          </cell>
          <cell r="C137">
            <v>48</v>
          </cell>
          <cell r="D137" t="str">
            <v>ADX</v>
          </cell>
          <cell r="E137">
            <v>2.0579246829434901</v>
          </cell>
        </row>
        <row r="138">
          <cell r="B138" t="str">
            <v>University of Sussex</v>
          </cell>
          <cell r="C138">
            <v>49</v>
          </cell>
          <cell r="D138" t="str">
            <v>AHD</v>
          </cell>
          <cell r="E138">
            <v>2.057625753283681</v>
          </cell>
        </row>
        <row r="139">
          <cell r="B139" t="str">
            <v>Hong Kong Baptist University</v>
          </cell>
          <cell r="C139">
            <v>23</v>
          </cell>
          <cell r="D139" t="str">
            <v>BBI</v>
          </cell>
          <cell r="E139">
            <v>2.0496161758363791</v>
          </cell>
        </row>
        <row r="140">
          <cell r="B140" t="str">
            <v>DIW Berlin - Deutsches Institut fur Wirtschaftsforschung</v>
          </cell>
          <cell r="C140">
            <v>45</v>
          </cell>
          <cell r="D140" t="str">
            <v>DBS</v>
          </cell>
          <cell r="E140">
            <v>2.0492018337053781</v>
          </cell>
        </row>
        <row r="141">
          <cell r="B141" t="str">
            <v>Laval University</v>
          </cell>
          <cell r="C141">
            <v>37</v>
          </cell>
          <cell r="D141" t="str">
            <v>AGP</v>
          </cell>
          <cell r="E141">
            <v>2.0347485078405172</v>
          </cell>
        </row>
        <row r="142">
          <cell r="B142" t="str">
            <v>University of Connecticut</v>
          </cell>
          <cell r="C142">
            <v>56</v>
          </cell>
          <cell r="D142" t="str">
            <v>BEO</v>
          </cell>
          <cell r="E142">
            <v>2.0322798335602008</v>
          </cell>
        </row>
        <row r="143">
          <cell r="B143" t="str">
            <v>Stellenbosch University</v>
          </cell>
          <cell r="C143">
            <v>35</v>
          </cell>
          <cell r="D143" t="str">
            <v>BBY</v>
          </cell>
          <cell r="E143">
            <v>2.0315118669419969</v>
          </cell>
        </row>
        <row r="144">
          <cell r="B144" t="str">
            <v>Rutgers University Newark</v>
          </cell>
          <cell r="C144">
            <v>10</v>
          </cell>
          <cell r="D144" t="str">
            <v>DBD</v>
          </cell>
          <cell r="E144">
            <v>2.0236690334046181</v>
          </cell>
        </row>
        <row r="145">
          <cell r="B145" t="str">
            <v>Chapman University</v>
          </cell>
          <cell r="C145">
            <v>30</v>
          </cell>
          <cell r="D145" t="str">
            <v>DEI</v>
          </cell>
          <cell r="E145">
            <v>2.0212626819247692</v>
          </cell>
        </row>
        <row r="146">
          <cell r="B146" t="str">
            <v>Indiana University Bloomington</v>
          </cell>
          <cell r="C146">
            <v>76</v>
          </cell>
          <cell r="D146" t="str">
            <v>AAG</v>
          </cell>
          <cell r="E146">
            <v>2.0190835100165829</v>
          </cell>
        </row>
        <row r="147">
          <cell r="B147" t="str">
            <v>Virginia Polytechnic Institute &amp; State University</v>
          </cell>
          <cell r="C147">
            <v>54</v>
          </cell>
          <cell r="D147" t="str">
            <v>BGY</v>
          </cell>
          <cell r="E147">
            <v>2.0156551189904728</v>
          </cell>
        </row>
        <row r="148">
          <cell r="B148" t="str">
            <v>Autonomous University of Barcelona</v>
          </cell>
          <cell r="C148">
            <v>52</v>
          </cell>
          <cell r="D148" t="str">
            <v>AFY</v>
          </cell>
          <cell r="E148">
            <v>2.0154973741360438</v>
          </cell>
        </row>
        <row r="149">
          <cell r="B149" t="str">
            <v>Pennsylvania State University</v>
          </cell>
          <cell r="C149">
            <v>84</v>
          </cell>
          <cell r="D149" t="str">
            <v>ADZ</v>
          </cell>
          <cell r="E149">
            <v>2.0109438134653419</v>
          </cell>
        </row>
        <row r="150">
          <cell r="B150" t="str">
            <v>University of Cambridge</v>
          </cell>
          <cell r="C150">
            <v>153</v>
          </cell>
          <cell r="D150" t="str">
            <v>AAT</v>
          </cell>
          <cell r="E150">
            <v>2.0047956610639739</v>
          </cell>
        </row>
        <row r="151">
          <cell r="B151" t="str">
            <v>University of Arizona</v>
          </cell>
          <cell r="C151">
            <v>52</v>
          </cell>
          <cell r="D151" t="str">
            <v>ACU</v>
          </cell>
          <cell r="E151">
            <v>2.002347537415246</v>
          </cell>
        </row>
        <row r="152">
          <cell r="B152" t="str">
            <v>Georgia State University</v>
          </cell>
          <cell r="C152">
            <v>59</v>
          </cell>
          <cell r="D152" t="str">
            <v>ACH</v>
          </cell>
          <cell r="E152">
            <v>2.0016882459218701</v>
          </cell>
        </row>
        <row r="153">
          <cell r="B153" t="str">
            <v>University of Pittsburgh</v>
          </cell>
          <cell r="C153">
            <v>32</v>
          </cell>
          <cell r="D153" t="str">
            <v>BGD</v>
          </cell>
          <cell r="E153">
            <v>1.9978180391434921</v>
          </cell>
        </row>
        <row r="154">
          <cell r="B154" t="str">
            <v>Tulane University</v>
          </cell>
          <cell r="C154">
            <v>20</v>
          </cell>
          <cell r="D154" t="str">
            <v>CHR</v>
          </cell>
          <cell r="E154">
            <v>1.9820570884341451</v>
          </cell>
        </row>
        <row r="155">
          <cell r="B155" t="str">
            <v>heSam Universite</v>
          </cell>
          <cell r="C155">
            <v>24</v>
          </cell>
          <cell r="D155" t="str">
            <v>BBG</v>
          </cell>
          <cell r="E155">
            <v>1.980494739676067</v>
          </cell>
        </row>
        <row r="156">
          <cell r="B156" t="str">
            <v>University of Edinburgh</v>
          </cell>
          <cell r="C156">
            <v>55</v>
          </cell>
          <cell r="D156" t="str">
            <v>AGJ</v>
          </cell>
          <cell r="E156">
            <v>1.975874259195604</v>
          </cell>
        </row>
        <row r="157">
          <cell r="B157" t="str">
            <v>Technical University of Berlin</v>
          </cell>
          <cell r="C157">
            <v>24</v>
          </cell>
          <cell r="D157" t="str">
            <v>BFV</v>
          </cell>
          <cell r="E157">
            <v>1.9723188417153541</v>
          </cell>
        </row>
        <row r="158">
          <cell r="B158" t="str">
            <v>University of St Gallen</v>
          </cell>
          <cell r="C158">
            <v>56</v>
          </cell>
          <cell r="D158" t="str">
            <v>ADO</v>
          </cell>
          <cell r="E158">
            <v>1.963083118350498</v>
          </cell>
        </row>
        <row r="159">
          <cell r="B159" t="str">
            <v>University of Turin</v>
          </cell>
          <cell r="C159">
            <v>54</v>
          </cell>
          <cell r="D159" t="str">
            <v>CCB</v>
          </cell>
          <cell r="E159">
            <v>1.953742792481679</v>
          </cell>
        </row>
        <row r="160">
          <cell r="B160" t="str">
            <v>University of Bristol</v>
          </cell>
          <cell r="C160">
            <v>48</v>
          </cell>
          <cell r="D160" t="str">
            <v>BEH</v>
          </cell>
          <cell r="E160">
            <v>1.948244615647738</v>
          </cell>
        </row>
        <row r="161">
          <cell r="B161" t="str">
            <v>Tilburg University</v>
          </cell>
          <cell r="C161">
            <v>114</v>
          </cell>
          <cell r="D161" t="str">
            <v>ACR</v>
          </cell>
          <cell r="E161">
            <v>1.9390374518326501</v>
          </cell>
        </row>
        <row r="162">
          <cell r="B162" t="str">
            <v>University of Nebraska Lincoln</v>
          </cell>
          <cell r="C162">
            <v>28</v>
          </cell>
          <cell r="D162" t="str">
            <v>BFU</v>
          </cell>
          <cell r="E162">
            <v>1.9370695562383879</v>
          </cell>
        </row>
        <row r="163">
          <cell r="B163" t="str">
            <v>Universidad de los Andes (Colombia)</v>
          </cell>
          <cell r="C163">
            <v>19</v>
          </cell>
          <cell r="D163" t="str">
            <v>DDB</v>
          </cell>
          <cell r="E163">
            <v>1.93494102755704</v>
          </cell>
        </row>
        <row r="164">
          <cell r="B164" t="str">
            <v>Charles University Prague</v>
          </cell>
          <cell r="C164">
            <v>72</v>
          </cell>
          <cell r="D164" t="str">
            <v>BGF</v>
          </cell>
          <cell r="E164">
            <v>1.9330449323833141</v>
          </cell>
        </row>
        <row r="165">
          <cell r="B165" t="str">
            <v>Washington State University</v>
          </cell>
          <cell r="C165">
            <v>27</v>
          </cell>
          <cell r="D165" t="str">
            <v>CAD</v>
          </cell>
          <cell r="E165">
            <v>1.9279441419140499</v>
          </cell>
        </row>
        <row r="166">
          <cell r="B166" t="str">
            <v>University of Amsterdam</v>
          </cell>
          <cell r="C166">
            <v>101</v>
          </cell>
          <cell r="D166" t="str">
            <v>ACS</v>
          </cell>
          <cell r="E166">
            <v>1.9277817476119901</v>
          </cell>
        </row>
        <row r="167">
          <cell r="B167" t="str">
            <v>Tsinghua University</v>
          </cell>
          <cell r="C167">
            <v>107</v>
          </cell>
          <cell r="D167" t="str">
            <v>AFX</v>
          </cell>
          <cell r="E167">
            <v>1.923263322267512</v>
          </cell>
        </row>
        <row r="168">
          <cell r="B168" t="str">
            <v>Karlsruhe Institute of Technology</v>
          </cell>
          <cell r="C168">
            <v>18</v>
          </cell>
          <cell r="D168" t="str">
            <v>AEM</v>
          </cell>
          <cell r="E168">
            <v>1.9224683652188419</v>
          </cell>
        </row>
        <row r="169">
          <cell r="B169" t="str">
            <v>Aalto University</v>
          </cell>
          <cell r="C169">
            <v>23</v>
          </cell>
          <cell r="D169" t="str">
            <v>AEA</v>
          </cell>
          <cell r="E169">
            <v>1.894491176987759</v>
          </cell>
        </row>
        <row r="170">
          <cell r="B170" t="str">
            <v>Claremont Colleges</v>
          </cell>
          <cell r="C170">
            <v>33</v>
          </cell>
          <cell r="D170" t="str">
            <v>DCH</v>
          </cell>
          <cell r="E170">
            <v>1.894431182682772</v>
          </cell>
        </row>
        <row r="171">
          <cell r="B171" t="str">
            <v>University of Texas Dallas</v>
          </cell>
          <cell r="C171">
            <v>29</v>
          </cell>
          <cell r="D171" t="str">
            <v>ADR</v>
          </cell>
          <cell r="E171">
            <v>1.8914557151079141</v>
          </cell>
        </row>
        <row r="172">
          <cell r="B172" t="str">
            <v>Universite Catholique Louvain</v>
          </cell>
          <cell r="C172">
            <v>29</v>
          </cell>
          <cell r="D172" t="str">
            <v>AEG</v>
          </cell>
          <cell r="E172">
            <v>1.8914557151079141</v>
          </cell>
        </row>
        <row r="173">
          <cell r="B173" t="str">
            <v>York University - Canada</v>
          </cell>
          <cell r="C173">
            <v>38</v>
          </cell>
          <cell r="D173" t="str">
            <v>ABX</v>
          </cell>
          <cell r="E173">
            <v>1.8888304062765731</v>
          </cell>
        </row>
        <row r="174">
          <cell r="B174" t="str">
            <v>Australian National University</v>
          </cell>
          <cell r="C174">
            <v>153</v>
          </cell>
          <cell r="D174" t="str">
            <v>AEC</v>
          </cell>
          <cell r="E174">
            <v>1.8875855106876289</v>
          </cell>
        </row>
        <row r="175">
          <cell r="B175" t="str">
            <v>University of Gothenburg</v>
          </cell>
          <cell r="C175">
            <v>60</v>
          </cell>
          <cell r="D175" t="str">
            <v>BEW</v>
          </cell>
          <cell r="E175">
            <v>1.883246681197231</v>
          </cell>
        </row>
        <row r="176">
          <cell r="B176" t="str">
            <v>City University of Hong Kong</v>
          </cell>
          <cell r="C176">
            <v>43</v>
          </cell>
          <cell r="D176" t="str">
            <v>AEI</v>
          </cell>
          <cell r="E176">
            <v>1.8806202067443469</v>
          </cell>
        </row>
        <row r="177">
          <cell r="B177" t="str">
            <v>Aarhus University</v>
          </cell>
          <cell r="C177">
            <v>83</v>
          </cell>
          <cell r="D177" t="str">
            <v>ABY</v>
          </cell>
          <cell r="E177">
            <v>1.876510370686302</v>
          </cell>
        </row>
        <row r="178">
          <cell r="B178" t="str">
            <v>Fudan University</v>
          </cell>
          <cell r="C178">
            <v>89</v>
          </cell>
          <cell r="D178" t="str">
            <v>BBD</v>
          </cell>
          <cell r="E178">
            <v>1.8574456306552971</v>
          </cell>
        </row>
        <row r="179">
          <cell r="B179" t="str">
            <v>University of Victoria</v>
          </cell>
          <cell r="C179">
            <v>13</v>
          </cell>
          <cell r="D179" t="str">
            <v>BGQ</v>
          </cell>
          <cell r="E179">
            <v>1.8573187107916169</v>
          </cell>
        </row>
        <row r="180">
          <cell r="B180" t="str">
            <v>National University of Singapore</v>
          </cell>
          <cell r="C180">
            <v>119</v>
          </cell>
          <cell r="D180" t="str">
            <v>AAJ</v>
          </cell>
          <cell r="E180">
            <v>1.852088257718028</v>
          </cell>
        </row>
        <row r="181">
          <cell r="B181" t="str">
            <v>University of Missouri Columbia</v>
          </cell>
          <cell r="C181">
            <v>47</v>
          </cell>
          <cell r="D181" t="str">
            <v>BFS</v>
          </cell>
          <cell r="E181">
            <v>1.838207291399671</v>
          </cell>
        </row>
        <row r="182">
          <cell r="B182" t="str">
            <v>Humboldt University of Berlin</v>
          </cell>
          <cell r="C182">
            <v>45</v>
          </cell>
          <cell r="D182" t="str">
            <v>BHY</v>
          </cell>
          <cell r="E182">
            <v>1.8380602082263651</v>
          </cell>
        </row>
        <row r="183">
          <cell r="B183" t="str">
            <v>Nanjing University</v>
          </cell>
          <cell r="C183">
            <v>57</v>
          </cell>
          <cell r="D183" t="str">
            <v>BCM</v>
          </cell>
          <cell r="E183">
            <v>1.835108005853014</v>
          </cell>
        </row>
        <row r="184">
          <cell r="B184" t="str">
            <v>University of North Carolina Greensboro</v>
          </cell>
          <cell r="C184">
            <v>13</v>
          </cell>
          <cell r="D184" t="str">
            <v>CAS</v>
          </cell>
          <cell r="E184">
            <v>1.833621937194637</v>
          </cell>
        </row>
        <row r="185">
          <cell r="B185" t="str">
            <v>Virginia Commonwealth University</v>
          </cell>
          <cell r="C185">
            <v>6</v>
          </cell>
          <cell r="D185" t="str">
            <v>DFD</v>
          </cell>
          <cell r="E185">
            <v>1.833183183463637</v>
          </cell>
        </row>
        <row r="186">
          <cell r="B186" t="str">
            <v>Goethe University Frankfurt</v>
          </cell>
          <cell r="C186">
            <v>53</v>
          </cell>
          <cell r="D186" t="str">
            <v>BET</v>
          </cell>
          <cell r="E186">
            <v>1.83145379647877</v>
          </cell>
        </row>
        <row r="187">
          <cell r="B187" t="str">
            <v>Universite Claude Bernard Lyon 1</v>
          </cell>
          <cell r="C187">
            <v>33</v>
          </cell>
          <cell r="D187" t="str">
            <v>DDD</v>
          </cell>
          <cell r="E187">
            <v>1.824653161760819</v>
          </cell>
        </row>
        <row r="188">
          <cell r="B188" t="str">
            <v>Vienna University of Economics &amp; Business</v>
          </cell>
          <cell r="C188">
            <v>53</v>
          </cell>
          <cell r="D188" t="str">
            <v>AHP</v>
          </cell>
          <cell r="E188">
            <v>1.8196286073565431</v>
          </cell>
        </row>
        <row r="189">
          <cell r="B189" t="str">
            <v>Tampere University</v>
          </cell>
          <cell r="C189">
            <v>25</v>
          </cell>
          <cell r="D189" t="str">
            <v>DBG</v>
          </cell>
          <cell r="E189">
            <v>1.818876560961552</v>
          </cell>
        </row>
        <row r="190">
          <cell r="B190" t="str">
            <v>Oregon State University</v>
          </cell>
          <cell r="C190">
            <v>25</v>
          </cell>
          <cell r="D190" t="str">
            <v>BCU</v>
          </cell>
          <cell r="E190">
            <v>1.818876560961552</v>
          </cell>
        </row>
        <row r="191">
          <cell r="B191" t="str">
            <v>Ihsan Dogramaci Bilkent University</v>
          </cell>
          <cell r="C191">
            <v>22</v>
          </cell>
          <cell r="D191" t="str">
            <v>DCX</v>
          </cell>
          <cell r="E191">
            <v>1.814628036745477</v>
          </cell>
        </row>
        <row r="192">
          <cell r="B192" t="str">
            <v>University of South Carolina Columbia</v>
          </cell>
          <cell r="C192">
            <v>29</v>
          </cell>
          <cell r="D192" t="str">
            <v>ABR</v>
          </cell>
          <cell r="E192">
            <v>1.812201567945418</v>
          </cell>
        </row>
        <row r="193">
          <cell r="B193" t="str">
            <v>University of Surrey</v>
          </cell>
          <cell r="C193">
            <v>31</v>
          </cell>
          <cell r="D193" t="str">
            <v>AHC</v>
          </cell>
          <cell r="E193">
            <v>1.8087830995661649</v>
          </cell>
        </row>
        <row r="194">
          <cell r="B194" t="str">
            <v>University of St Andrews</v>
          </cell>
          <cell r="C194">
            <v>27</v>
          </cell>
          <cell r="D194" t="str">
            <v>BGL</v>
          </cell>
          <cell r="E194">
            <v>1.80769085809251</v>
          </cell>
        </row>
        <row r="195">
          <cell r="B195" t="str">
            <v>Lancaster University</v>
          </cell>
          <cell r="C195">
            <v>61</v>
          </cell>
          <cell r="D195" t="str">
            <v>AEY</v>
          </cell>
          <cell r="E195">
            <v>1.8023645775377439</v>
          </cell>
        </row>
        <row r="196">
          <cell r="B196" t="str">
            <v>Baruch College (CUNY)</v>
          </cell>
          <cell r="C196">
            <v>17</v>
          </cell>
          <cell r="D196" t="str">
            <v>BFK</v>
          </cell>
          <cell r="E196">
            <v>1.8017137679859361</v>
          </cell>
        </row>
        <row r="197">
          <cell r="B197" t="str">
            <v>University of Verona</v>
          </cell>
          <cell r="C197">
            <v>17</v>
          </cell>
          <cell r="D197" t="str">
            <v>BAV</v>
          </cell>
          <cell r="E197">
            <v>1.8017137679859361</v>
          </cell>
        </row>
        <row r="198">
          <cell r="B198" t="str">
            <v>Rutgers University New Brunswick</v>
          </cell>
          <cell r="C198">
            <v>46</v>
          </cell>
          <cell r="D198" t="str">
            <v>AFM</v>
          </cell>
          <cell r="E198">
            <v>1.788190952120511</v>
          </cell>
        </row>
        <row r="199">
          <cell r="B199" t="str">
            <v>University of Basque Country</v>
          </cell>
          <cell r="C199">
            <v>49</v>
          </cell>
          <cell r="D199" t="str">
            <v>CBC</v>
          </cell>
          <cell r="E199">
            <v>1.7822430658579369</v>
          </cell>
        </row>
        <row r="200">
          <cell r="B200" t="str">
            <v>Iowa State University</v>
          </cell>
          <cell r="C200">
            <v>40</v>
          </cell>
          <cell r="D200" t="str">
            <v>BBQ</v>
          </cell>
          <cell r="E200">
            <v>1.7708078566420959</v>
          </cell>
        </row>
        <row r="201">
          <cell r="B201" t="str">
            <v>Hanken School of Economics</v>
          </cell>
          <cell r="C201">
            <v>16</v>
          </cell>
          <cell r="D201" t="str">
            <v>CHE</v>
          </cell>
          <cell r="E201">
            <v>1.766289012620357</v>
          </cell>
        </row>
        <row r="202">
          <cell r="B202" t="str">
            <v>Queens University Belfast</v>
          </cell>
          <cell r="C202">
            <v>29</v>
          </cell>
          <cell r="D202" t="str">
            <v>BCZ</v>
          </cell>
          <cell r="E202">
            <v>1.760270833202608</v>
          </cell>
        </row>
        <row r="203">
          <cell r="B203" t="str">
            <v>University of Nottingham</v>
          </cell>
          <cell r="C203">
            <v>79</v>
          </cell>
          <cell r="D203" t="str">
            <v>ADL</v>
          </cell>
          <cell r="E203">
            <v>1.7563798258427969</v>
          </cell>
        </row>
        <row r="204">
          <cell r="B204" t="str">
            <v>University of Rhode Island</v>
          </cell>
          <cell r="C204">
            <v>11</v>
          </cell>
          <cell r="D204" t="str">
            <v>DDR</v>
          </cell>
          <cell r="E204">
            <v>1.7525492643738061</v>
          </cell>
        </row>
        <row r="205">
          <cell r="B205" t="str">
            <v>Universidade Catolica Portuguesa</v>
          </cell>
          <cell r="C205">
            <v>19</v>
          </cell>
          <cell r="D205" t="str">
            <v>BEK</v>
          </cell>
          <cell r="E205">
            <v>1.7511631775598979</v>
          </cell>
        </row>
        <row r="206">
          <cell r="B206" t="str">
            <v>Johannes Kepler University Linz</v>
          </cell>
          <cell r="C206">
            <v>36</v>
          </cell>
          <cell r="D206" t="str">
            <v>BFL</v>
          </cell>
          <cell r="E206">
            <v>1.7502896008196409</v>
          </cell>
        </row>
        <row r="207">
          <cell r="B207" t="str">
            <v>China Europe International Business School</v>
          </cell>
          <cell r="C207">
            <v>6</v>
          </cell>
          <cell r="D207" t="str">
            <v>DET</v>
          </cell>
          <cell r="E207">
            <v>1.7485091136213129</v>
          </cell>
        </row>
        <row r="208">
          <cell r="B208" t="str">
            <v>University of Cologne</v>
          </cell>
          <cell r="C208">
            <v>63</v>
          </cell>
          <cell r="D208" t="str">
            <v>BEN</v>
          </cell>
          <cell r="E208">
            <v>1.743475849602812</v>
          </cell>
        </row>
        <row r="209">
          <cell r="B209" t="str">
            <v>University of Georgia</v>
          </cell>
          <cell r="C209">
            <v>66</v>
          </cell>
          <cell r="D209" t="str">
            <v>AGL</v>
          </cell>
          <cell r="E209">
            <v>1.73579899027855</v>
          </cell>
        </row>
        <row r="210">
          <cell r="B210" t="str">
            <v>Singapore Management University</v>
          </cell>
          <cell r="C210">
            <v>61</v>
          </cell>
          <cell r="D210" t="str">
            <v>ACQ</v>
          </cell>
          <cell r="E210">
            <v>1.7308166833295171</v>
          </cell>
        </row>
        <row r="211">
          <cell r="B211" t="str">
            <v>Deakin University</v>
          </cell>
          <cell r="C211">
            <v>59</v>
          </cell>
          <cell r="D211" t="str">
            <v>ACE</v>
          </cell>
          <cell r="E211">
            <v>1.7294596512038301</v>
          </cell>
        </row>
        <row r="212">
          <cell r="B212" t="str">
            <v>Peking University</v>
          </cell>
          <cell r="C212">
            <v>180</v>
          </cell>
          <cell r="D212" t="str">
            <v>AFF</v>
          </cell>
          <cell r="E212">
            <v>1.729249833254576</v>
          </cell>
        </row>
        <row r="213">
          <cell r="B213" t="str">
            <v>University of Hong Kong</v>
          </cell>
          <cell r="C213">
            <v>54</v>
          </cell>
          <cell r="D213" t="str">
            <v>ABN</v>
          </cell>
          <cell r="E213">
            <v>1.728290987633389</v>
          </cell>
        </row>
        <row r="214">
          <cell r="B214" t="str">
            <v>Ghent University</v>
          </cell>
          <cell r="C214">
            <v>58</v>
          </cell>
          <cell r="D214" t="str">
            <v>AES</v>
          </cell>
          <cell r="E214">
            <v>1.725885340773252</v>
          </cell>
        </row>
        <row r="215">
          <cell r="B215" t="str">
            <v>University of York - UK</v>
          </cell>
          <cell r="C215">
            <v>76</v>
          </cell>
          <cell r="D215" t="str">
            <v>BGT</v>
          </cell>
          <cell r="E215">
            <v>1.72393243785504</v>
          </cell>
        </row>
        <row r="216">
          <cell r="B216" t="str">
            <v>South Ural State University</v>
          </cell>
          <cell r="C216">
            <v>27</v>
          </cell>
          <cell r="D216" t="str">
            <v>DAW</v>
          </cell>
          <cell r="E216">
            <v>1.714182377681527</v>
          </cell>
        </row>
        <row r="217">
          <cell r="B217" t="str">
            <v>Jinan University</v>
          </cell>
          <cell r="C217">
            <v>87</v>
          </cell>
          <cell r="D217" t="str">
            <v>CBU</v>
          </cell>
          <cell r="E217">
            <v>1.7141412665512641</v>
          </cell>
        </row>
        <row r="218">
          <cell r="B218" t="str">
            <v>University College Dublin</v>
          </cell>
          <cell r="C218">
            <v>45</v>
          </cell>
          <cell r="D218" t="str">
            <v>AGD</v>
          </cell>
          <cell r="E218">
            <v>1.710255178471781</v>
          </cell>
        </row>
        <row r="219">
          <cell r="B219" t="str">
            <v>Luiss Guido Carli University</v>
          </cell>
          <cell r="C219">
            <v>45</v>
          </cell>
          <cell r="D219" t="str">
            <v>AHY</v>
          </cell>
          <cell r="E219">
            <v>1.7078175028040441</v>
          </cell>
        </row>
        <row r="220">
          <cell r="B220" t="str">
            <v>Universidade Nova de Lisboa</v>
          </cell>
          <cell r="C220">
            <v>45</v>
          </cell>
          <cell r="D220" t="str">
            <v>AGU</v>
          </cell>
          <cell r="E220">
            <v>1.7013672040944741</v>
          </cell>
        </row>
        <row r="221">
          <cell r="B221" t="str">
            <v>Universidad Carlos III de Madrid</v>
          </cell>
          <cell r="C221">
            <v>58</v>
          </cell>
          <cell r="D221" t="str">
            <v>BDX</v>
          </cell>
          <cell r="E221">
            <v>1.699367025313125</v>
          </cell>
        </row>
        <row r="222">
          <cell r="B222" t="str">
            <v>Utah State University</v>
          </cell>
          <cell r="C222">
            <v>36</v>
          </cell>
          <cell r="D222" t="str">
            <v>AEF</v>
          </cell>
          <cell r="E222">
            <v>1.6957846970593189</v>
          </cell>
        </row>
        <row r="223">
          <cell r="B223" t="str">
            <v>Queens University - Canada</v>
          </cell>
          <cell r="C223">
            <v>29</v>
          </cell>
          <cell r="D223" t="str">
            <v>BDA</v>
          </cell>
          <cell r="E223">
            <v>1.693878209126203</v>
          </cell>
        </row>
        <row r="224">
          <cell r="B224" t="str">
            <v>University of Calgary</v>
          </cell>
          <cell r="C224">
            <v>33</v>
          </cell>
          <cell r="D224" t="str">
            <v>ACX</v>
          </cell>
          <cell r="E224">
            <v>1.6928160487570729</v>
          </cell>
        </row>
        <row r="225">
          <cell r="B225" t="str">
            <v>University of Iowa</v>
          </cell>
          <cell r="C225">
            <v>28</v>
          </cell>
          <cell r="D225" t="str">
            <v>BFE</v>
          </cell>
          <cell r="E225">
            <v>1.692147556433705</v>
          </cell>
        </row>
        <row r="226">
          <cell r="B226" t="str">
            <v>Royal Holloway University London</v>
          </cell>
          <cell r="C226">
            <v>16</v>
          </cell>
          <cell r="D226" t="str">
            <v>BDE</v>
          </cell>
          <cell r="E226">
            <v>1.69024266285997</v>
          </cell>
        </row>
        <row r="227">
          <cell r="B227" t="str">
            <v>University of Florida</v>
          </cell>
          <cell r="C227">
            <v>68</v>
          </cell>
          <cell r="D227" t="str">
            <v>AGK</v>
          </cell>
          <cell r="E227">
            <v>1.6899353997644559</v>
          </cell>
        </row>
        <row r="228">
          <cell r="B228" t="str">
            <v>University of Manchester</v>
          </cell>
          <cell r="C228">
            <v>87</v>
          </cell>
          <cell r="D228" t="str">
            <v>ADC</v>
          </cell>
          <cell r="E228">
            <v>1.687671775178478</v>
          </cell>
        </row>
        <row r="229">
          <cell r="B229" t="str">
            <v>University of Bologna</v>
          </cell>
          <cell r="C229">
            <v>86</v>
          </cell>
          <cell r="D229" t="str">
            <v>BEG</v>
          </cell>
          <cell r="E229">
            <v>1.68736618506626</v>
          </cell>
        </row>
        <row r="230">
          <cell r="B230" t="str">
            <v>Temple University</v>
          </cell>
          <cell r="C230">
            <v>30</v>
          </cell>
          <cell r="D230" t="str">
            <v>AFU</v>
          </cell>
          <cell r="E230">
            <v>1.6827784569323361</v>
          </cell>
        </row>
        <row r="231">
          <cell r="B231" t="str">
            <v>Free University of Berlin</v>
          </cell>
          <cell r="C231">
            <v>34</v>
          </cell>
          <cell r="D231" t="str">
            <v>BBC</v>
          </cell>
          <cell r="E231">
            <v>1.68079125052255</v>
          </cell>
        </row>
        <row r="232">
          <cell r="B232" t="str">
            <v>Deutsche Bundesbank</v>
          </cell>
          <cell r="C232">
            <v>34</v>
          </cell>
          <cell r="D232" t="str">
            <v>CHK</v>
          </cell>
          <cell r="E232">
            <v>1.6753697100523199</v>
          </cell>
        </row>
        <row r="233">
          <cell r="B233" t="str">
            <v>Ruprecht Karls University Heidelberg</v>
          </cell>
          <cell r="C233">
            <v>40</v>
          </cell>
          <cell r="D233" t="str">
            <v>BAC</v>
          </cell>
          <cell r="E233">
            <v>1.6737575513138589</v>
          </cell>
        </row>
        <row r="234">
          <cell r="B234" t="str">
            <v>IESEG School of Management</v>
          </cell>
          <cell r="C234">
            <v>33</v>
          </cell>
          <cell r="D234" t="str">
            <v>BBN</v>
          </cell>
          <cell r="E234">
            <v>1.6686271506454811</v>
          </cell>
        </row>
        <row r="235">
          <cell r="B235" t="str">
            <v>Wilfrid Laurier University</v>
          </cell>
          <cell r="C235">
            <v>20</v>
          </cell>
          <cell r="D235" t="str">
            <v>BHA</v>
          </cell>
          <cell r="E235">
            <v>1.6635706372643231</v>
          </cell>
        </row>
        <row r="236">
          <cell r="B236" t="str">
            <v>Florida State University</v>
          </cell>
          <cell r="C236">
            <v>43</v>
          </cell>
          <cell r="D236" t="str">
            <v>BBB</v>
          </cell>
          <cell r="E236">
            <v>1.655063574108097</v>
          </cell>
        </row>
        <row r="237">
          <cell r="B237" t="str">
            <v>Nanjing University of Science &amp; Technology</v>
          </cell>
          <cell r="C237">
            <v>19</v>
          </cell>
          <cell r="D237" t="str">
            <v>DDW</v>
          </cell>
          <cell r="E237">
            <v>1.654680013793429</v>
          </cell>
        </row>
        <row r="238">
          <cell r="B238" t="str">
            <v>University of Memphis</v>
          </cell>
          <cell r="C238">
            <v>12</v>
          </cell>
          <cell r="D238" t="str">
            <v>DBO</v>
          </cell>
          <cell r="E238">
            <v>1.6541834783703839</v>
          </cell>
        </row>
        <row r="239">
          <cell r="B239" t="str">
            <v>Concordia University - Canada</v>
          </cell>
          <cell r="C239">
            <v>26</v>
          </cell>
          <cell r="D239" t="str">
            <v>BAM</v>
          </cell>
          <cell r="E239">
            <v>1.653978221243066</v>
          </cell>
        </row>
        <row r="240">
          <cell r="B240" t="str">
            <v>University of Naples Federico II</v>
          </cell>
          <cell r="C240">
            <v>44</v>
          </cell>
          <cell r="D240" t="str">
            <v>CBA</v>
          </cell>
          <cell r="E240">
            <v>1.653486205328444</v>
          </cell>
        </row>
        <row r="241">
          <cell r="B241" t="str">
            <v>Erasmus University Rotterdam</v>
          </cell>
          <cell r="C241">
            <v>143</v>
          </cell>
          <cell r="D241" t="str">
            <v>AAE</v>
          </cell>
          <cell r="E241">
            <v>1.653387535749119</v>
          </cell>
        </row>
        <row r="242">
          <cell r="B242" t="str">
            <v>University of North Carolina Charlotte</v>
          </cell>
          <cell r="C242">
            <v>17</v>
          </cell>
          <cell r="D242" t="str">
            <v>CHP</v>
          </cell>
          <cell r="E242">
            <v>1.653109313708087</v>
          </cell>
        </row>
        <row r="243">
          <cell r="B243" t="str">
            <v>University of Kent</v>
          </cell>
          <cell r="C243">
            <v>27</v>
          </cell>
          <cell r="D243" t="str">
            <v>BFH</v>
          </cell>
          <cell r="E243">
            <v>1.6493219871837701</v>
          </cell>
        </row>
        <row r="244">
          <cell r="B244" t="str">
            <v>University of Houston</v>
          </cell>
          <cell r="C244">
            <v>20</v>
          </cell>
          <cell r="D244" t="str">
            <v>BFA</v>
          </cell>
          <cell r="E244">
            <v>1.6491712902356039</v>
          </cell>
        </row>
        <row r="245">
          <cell r="B245" t="str">
            <v>Universidade do Porto</v>
          </cell>
          <cell r="C245">
            <v>48</v>
          </cell>
          <cell r="D245" t="str">
            <v>CBF</v>
          </cell>
          <cell r="E245">
            <v>1.6480959069491841</v>
          </cell>
        </row>
        <row r="246">
          <cell r="B246" t="str">
            <v>University of Leicester</v>
          </cell>
          <cell r="C246">
            <v>30</v>
          </cell>
          <cell r="D246" t="str">
            <v>CHO</v>
          </cell>
          <cell r="E246">
            <v>1.6471644102362619</v>
          </cell>
        </row>
        <row r="247">
          <cell r="B247" t="str">
            <v>University of Quebec Montreal</v>
          </cell>
          <cell r="C247">
            <v>21</v>
          </cell>
          <cell r="D247" t="str">
            <v>BCB</v>
          </cell>
          <cell r="E247">
            <v>1.6439837270391</v>
          </cell>
        </row>
        <row r="248">
          <cell r="B248" t="str">
            <v>Instituto Universitario de Lisboa</v>
          </cell>
          <cell r="C248">
            <v>6</v>
          </cell>
          <cell r="D248" t="str">
            <v>BBP</v>
          </cell>
          <cell r="E248">
            <v>1.6394328148712161</v>
          </cell>
        </row>
        <row r="249">
          <cell r="B249" t="str">
            <v>University of Exeter</v>
          </cell>
          <cell r="C249">
            <v>46</v>
          </cell>
          <cell r="D249" t="str">
            <v>BES</v>
          </cell>
          <cell r="E249">
            <v>1.6362252588357431</v>
          </cell>
        </row>
        <row r="250">
          <cell r="B250" t="str">
            <v>Max Planck Society</v>
          </cell>
          <cell r="C250">
            <v>60</v>
          </cell>
          <cell r="D250" t="str">
            <v>BCH</v>
          </cell>
          <cell r="E250">
            <v>1.6314721886664081</v>
          </cell>
        </row>
        <row r="251">
          <cell r="B251" t="str">
            <v>University of Palermo</v>
          </cell>
          <cell r="C251">
            <v>31</v>
          </cell>
          <cell r="D251" t="str">
            <v>DEC</v>
          </cell>
          <cell r="E251">
            <v>1.629614832397507</v>
          </cell>
        </row>
        <row r="252">
          <cell r="B252" t="str">
            <v>University of Konstanz</v>
          </cell>
          <cell r="C252">
            <v>31</v>
          </cell>
          <cell r="D252" t="str">
            <v>BAS</v>
          </cell>
          <cell r="E252">
            <v>1.629456773582151</v>
          </cell>
        </row>
        <row r="253">
          <cell r="B253" t="str">
            <v>University of Graz</v>
          </cell>
          <cell r="C253">
            <v>29</v>
          </cell>
          <cell r="D253" t="str">
            <v>DER</v>
          </cell>
          <cell r="E253">
            <v>1.6267533839001651</v>
          </cell>
        </row>
        <row r="254">
          <cell r="B254" t="str">
            <v>University of Strathclyde</v>
          </cell>
          <cell r="C254">
            <v>24</v>
          </cell>
          <cell r="D254" t="str">
            <v>BGM</v>
          </cell>
          <cell r="E254">
            <v>1.6246497679298859</v>
          </cell>
        </row>
        <row r="255">
          <cell r="B255" t="str">
            <v>Tinbergen Institute</v>
          </cell>
          <cell r="C255">
            <v>73</v>
          </cell>
          <cell r="D255" t="str">
            <v>CAI</v>
          </cell>
          <cell r="E255">
            <v>1.6242528499826321</v>
          </cell>
        </row>
        <row r="256">
          <cell r="B256" t="str">
            <v>University of Vienna</v>
          </cell>
          <cell r="C256">
            <v>48</v>
          </cell>
          <cell r="D256" t="str">
            <v>BGR</v>
          </cell>
          <cell r="E256">
            <v>1.620978227500139</v>
          </cell>
        </row>
        <row r="257">
          <cell r="B257" t="str">
            <v>Colorado State University</v>
          </cell>
          <cell r="C257">
            <v>40</v>
          </cell>
          <cell r="D257" t="str">
            <v>BHX</v>
          </cell>
          <cell r="E257">
            <v>1.6189881581446599</v>
          </cell>
        </row>
        <row r="258">
          <cell r="B258" t="str">
            <v>Organisation for Economic Co-operation &amp; Development (OECD)</v>
          </cell>
          <cell r="C258">
            <v>39</v>
          </cell>
          <cell r="D258" t="str">
            <v>AFG</v>
          </cell>
          <cell r="E258">
            <v>1.6188778345551389</v>
          </cell>
        </row>
        <row r="259">
          <cell r="B259" t="str">
            <v>University of Milan</v>
          </cell>
          <cell r="C259">
            <v>35</v>
          </cell>
          <cell r="D259" t="str">
            <v>BAD</v>
          </cell>
          <cell r="E259">
            <v>1.617257938461214</v>
          </cell>
        </row>
        <row r="260">
          <cell r="B260" t="str">
            <v>University of Rome Tor Vergata</v>
          </cell>
          <cell r="C260">
            <v>43</v>
          </cell>
          <cell r="D260" t="str">
            <v>CBH</v>
          </cell>
          <cell r="E260">
            <v>1.6054102398136869</v>
          </cell>
        </row>
        <row r="261">
          <cell r="B261" t="str">
            <v>University of Melbourne</v>
          </cell>
          <cell r="C261">
            <v>136</v>
          </cell>
          <cell r="D261" t="str">
            <v>ADD</v>
          </cell>
          <cell r="E261">
            <v>1.6047591926593561</v>
          </cell>
        </row>
        <row r="262">
          <cell r="B262" t="str">
            <v>Technische Universitat Dresden</v>
          </cell>
          <cell r="C262">
            <v>16</v>
          </cell>
          <cell r="D262" t="str">
            <v>BCV</v>
          </cell>
          <cell r="E262">
            <v>1.6037505449069069</v>
          </cell>
        </row>
        <row r="263">
          <cell r="B263" t="str">
            <v>Zentrum fur Europaische Wirtschaftsforschung (ZEW)</v>
          </cell>
          <cell r="C263">
            <v>44</v>
          </cell>
          <cell r="D263" t="str">
            <v>CHC</v>
          </cell>
          <cell r="E263">
            <v>1.602308619771023</v>
          </cell>
        </row>
        <row r="264">
          <cell r="B264" t="str">
            <v>Vrije Universiteit Amsterdam</v>
          </cell>
          <cell r="C264">
            <v>90</v>
          </cell>
          <cell r="D264" t="str">
            <v>ADV</v>
          </cell>
          <cell r="E264">
            <v>1.59223065133716</v>
          </cell>
        </row>
        <row r="265">
          <cell r="B265" t="str">
            <v>Shanghai University of Finance &amp; Economics</v>
          </cell>
          <cell r="C265">
            <v>106</v>
          </cell>
          <cell r="D265" t="str">
            <v>BDK</v>
          </cell>
          <cell r="E265">
            <v>1.59006116632359</v>
          </cell>
        </row>
        <row r="266">
          <cell r="B266" t="str">
            <v>University of Duisburg Essen</v>
          </cell>
          <cell r="C266">
            <v>40</v>
          </cell>
          <cell r="D266" t="str">
            <v>BAY</v>
          </cell>
          <cell r="E266">
            <v>1.587159681369565</v>
          </cell>
        </row>
        <row r="267">
          <cell r="B267" t="str">
            <v>Renmin University of China</v>
          </cell>
          <cell r="C267">
            <v>131</v>
          </cell>
          <cell r="D267" t="str">
            <v>AFK</v>
          </cell>
          <cell r="E267">
            <v>1.583129094708849</v>
          </cell>
        </row>
        <row r="268">
          <cell r="B268" t="str">
            <v>University of Southern Denmark</v>
          </cell>
          <cell r="C268">
            <v>28</v>
          </cell>
          <cell r="D268" t="str">
            <v>BGK</v>
          </cell>
          <cell r="E268">
            <v>1.574386408977311</v>
          </cell>
        </row>
        <row r="269">
          <cell r="B269" t="str">
            <v>American University</v>
          </cell>
          <cell r="C269">
            <v>43</v>
          </cell>
          <cell r="D269" t="str">
            <v>BEC</v>
          </cell>
          <cell r="E269">
            <v>1.5743231185208719</v>
          </cell>
        </row>
        <row r="270">
          <cell r="B270" t="str">
            <v>Simon Fraser University</v>
          </cell>
          <cell r="C270">
            <v>38</v>
          </cell>
          <cell r="D270" t="str">
            <v>AFO</v>
          </cell>
          <cell r="E270">
            <v>1.574048331619351</v>
          </cell>
        </row>
        <row r="271">
          <cell r="B271" t="str">
            <v>George Washington University</v>
          </cell>
          <cell r="C271">
            <v>39</v>
          </cell>
          <cell r="D271" t="str">
            <v>ACG</v>
          </cell>
          <cell r="E271">
            <v>1.5691572506916751</v>
          </cell>
        </row>
        <row r="272">
          <cell r="B272" t="str">
            <v>University of Kiel</v>
          </cell>
          <cell r="C272">
            <v>35</v>
          </cell>
          <cell r="D272" t="str">
            <v>CBI</v>
          </cell>
          <cell r="E272">
            <v>1.566852944969068</v>
          </cell>
        </row>
        <row r="273">
          <cell r="B273" t="str">
            <v>University of Wyoming</v>
          </cell>
          <cell r="C273">
            <v>22</v>
          </cell>
          <cell r="D273" t="str">
            <v>DEZ</v>
          </cell>
          <cell r="E273">
            <v>1.566592593844661</v>
          </cell>
        </row>
        <row r="274">
          <cell r="B274" t="str">
            <v>Shanghai Jiao Tong University</v>
          </cell>
          <cell r="C274">
            <v>52</v>
          </cell>
          <cell r="D274" t="str">
            <v>AFN</v>
          </cell>
          <cell r="E274">
            <v>1.561595917199591</v>
          </cell>
        </row>
        <row r="275">
          <cell r="B275" t="str">
            <v>Southwest Jiaotong University</v>
          </cell>
          <cell r="C275">
            <v>31</v>
          </cell>
          <cell r="D275" t="str">
            <v>BCX</v>
          </cell>
          <cell r="E275">
            <v>1.561510444288239</v>
          </cell>
        </row>
        <row r="276">
          <cell r="B276" t="str">
            <v>University of Erlangen Nuremberg</v>
          </cell>
          <cell r="C276">
            <v>35</v>
          </cell>
          <cell r="D276" t="str">
            <v>ABZ</v>
          </cell>
          <cell r="E276">
            <v>1.554818343450638</v>
          </cell>
        </row>
        <row r="277">
          <cell r="B277" t="str">
            <v>Scuola Superiore Sant'Anna</v>
          </cell>
          <cell r="C277">
            <v>26</v>
          </cell>
          <cell r="D277" t="str">
            <v>BDI</v>
          </cell>
          <cell r="E277">
            <v>1.5516314495762791</v>
          </cell>
        </row>
        <row r="278">
          <cell r="B278" t="str">
            <v>Central South University</v>
          </cell>
          <cell r="C278">
            <v>30</v>
          </cell>
          <cell r="D278" t="str">
            <v>BAG</v>
          </cell>
          <cell r="E278">
            <v>1.5515428851621389</v>
          </cell>
        </row>
        <row r="279">
          <cell r="B279" t="str">
            <v>University of Tennessee Knoxville</v>
          </cell>
          <cell r="C279">
            <v>33</v>
          </cell>
          <cell r="D279" t="str">
            <v>BGN</v>
          </cell>
          <cell r="E279">
            <v>1.5513119212822599</v>
          </cell>
        </row>
        <row r="280">
          <cell r="B280" t="str">
            <v>NEOMA Business School</v>
          </cell>
          <cell r="C280">
            <v>7</v>
          </cell>
          <cell r="D280" t="str">
            <v>DDN</v>
          </cell>
          <cell r="E280">
            <v>1.549341157324724</v>
          </cell>
        </row>
        <row r="281">
          <cell r="B281" t="str">
            <v>Universitat Ramon Llull</v>
          </cell>
          <cell r="C281">
            <v>12</v>
          </cell>
          <cell r="D281" t="str">
            <v>CAN</v>
          </cell>
          <cell r="E281">
            <v>1.5490260158866671</v>
          </cell>
        </row>
        <row r="282">
          <cell r="B282" t="str">
            <v>Zayed University</v>
          </cell>
          <cell r="C282">
            <v>13</v>
          </cell>
          <cell r="D282" t="str">
            <v>DCU</v>
          </cell>
          <cell r="E282">
            <v>1.5442289453351019</v>
          </cell>
        </row>
        <row r="283">
          <cell r="B283" t="str">
            <v>Macquarie University</v>
          </cell>
          <cell r="C283">
            <v>86</v>
          </cell>
          <cell r="D283" t="str">
            <v>BCE</v>
          </cell>
          <cell r="E283">
            <v>1.5438769412571911</v>
          </cell>
        </row>
        <row r="284">
          <cell r="B284" t="str">
            <v>Royal Melbourne Institute of Technology (RMIT)</v>
          </cell>
          <cell r="C284">
            <v>59</v>
          </cell>
          <cell r="D284" t="str">
            <v>BDD</v>
          </cell>
          <cell r="E284">
            <v>1.5417991360433969</v>
          </cell>
        </row>
        <row r="285">
          <cell r="B285" t="str">
            <v>Maastricht University</v>
          </cell>
          <cell r="C285">
            <v>86</v>
          </cell>
          <cell r="D285" t="str">
            <v>ABG</v>
          </cell>
          <cell r="E285">
            <v>1.5398916289910409</v>
          </cell>
        </row>
        <row r="286">
          <cell r="B286" t="str">
            <v>ETH Zurich</v>
          </cell>
          <cell r="C286">
            <v>97</v>
          </cell>
          <cell r="D286" t="str">
            <v>AFT</v>
          </cell>
          <cell r="E286">
            <v>1.5359725156713371</v>
          </cell>
        </row>
        <row r="287">
          <cell r="B287" t="str">
            <v>McMaster University</v>
          </cell>
          <cell r="C287">
            <v>31</v>
          </cell>
          <cell r="D287" t="str">
            <v>BCI</v>
          </cell>
          <cell r="E287">
            <v>1.532208716006825</v>
          </cell>
        </row>
        <row r="288">
          <cell r="B288" t="str">
            <v>University of Adelaide</v>
          </cell>
          <cell r="C288">
            <v>42</v>
          </cell>
          <cell r="D288" t="str">
            <v>BDZ</v>
          </cell>
          <cell r="E288">
            <v>1.5313528907438121</v>
          </cell>
        </row>
        <row r="289">
          <cell r="B289" t="str">
            <v>Louisiana State University</v>
          </cell>
          <cell r="C289">
            <v>26</v>
          </cell>
          <cell r="D289" t="str">
            <v>CAK</v>
          </cell>
          <cell r="E289">
            <v>1.526550253726914</v>
          </cell>
        </row>
        <row r="290">
          <cell r="B290" t="str">
            <v>George Mason University</v>
          </cell>
          <cell r="C290">
            <v>68</v>
          </cell>
          <cell r="D290" t="str">
            <v>ACF</v>
          </cell>
          <cell r="E290">
            <v>1.5225124832315311</v>
          </cell>
        </row>
        <row r="291">
          <cell r="B291" t="str">
            <v>INRAE</v>
          </cell>
          <cell r="C291">
            <v>94</v>
          </cell>
          <cell r="D291" t="str">
            <v>BBO</v>
          </cell>
          <cell r="E291">
            <v>1.5199932485253229</v>
          </cell>
        </row>
        <row r="292">
          <cell r="B292" t="str">
            <v>Nanyang Technological University</v>
          </cell>
          <cell r="C292">
            <v>48</v>
          </cell>
          <cell r="D292" t="str">
            <v>AFE</v>
          </cell>
          <cell r="E292">
            <v>1.519847615436271</v>
          </cell>
        </row>
        <row r="293">
          <cell r="B293" t="str">
            <v>University of Southampton</v>
          </cell>
          <cell r="C293">
            <v>45</v>
          </cell>
          <cell r="D293" t="str">
            <v>AHB</v>
          </cell>
          <cell r="E293">
            <v>1.518167430919062</v>
          </cell>
        </row>
        <row r="294">
          <cell r="B294" t="str">
            <v>emlyon business school</v>
          </cell>
          <cell r="C294">
            <v>10</v>
          </cell>
          <cell r="D294" t="str">
            <v>DBL</v>
          </cell>
          <cell r="E294">
            <v>1.517989318292484</v>
          </cell>
        </row>
        <row r="295">
          <cell r="B295" t="str">
            <v>University of Waikato</v>
          </cell>
          <cell r="C295">
            <v>30</v>
          </cell>
          <cell r="D295" t="str">
            <v>AHK</v>
          </cell>
          <cell r="E295">
            <v>1.5167304287229411</v>
          </cell>
        </row>
        <row r="296">
          <cell r="B296" t="str">
            <v>University Hohenheim</v>
          </cell>
          <cell r="C296">
            <v>32</v>
          </cell>
          <cell r="D296" t="str">
            <v>BEQ</v>
          </cell>
          <cell r="E296">
            <v>1.515647483315145</v>
          </cell>
        </row>
        <row r="297">
          <cell r="B297" t="str">
            <v>Beijing Institute of Technology</v>
          </cell>
          <cell r="C297">
            <v>38</v>
          </cell>
          <cell r="D297" t="str">
            <v>AED</v>
          </cell>
          <cell r="E297">
            <v>1.5148947416937411</v>
          </cell>
        </row>
        <row r="298">
          <cell r="B298" t="str">
            <v>Montpellier Business School</v>
          </cell>
          <cell r="C298">
            <v>48</v>
          </cell>
          <cell r="D298" t="str">
            <v>ABJ</v>
          </cell>
          <cell r="E298">
            <v>1.512033736461047</v>
          </cell>
        </row>
        <row r="299">
          <cell r="B299" t="str">
            <v>University of Sheffield</v>
          </cell>
          <cell r="C299">
            <v>63</v>
          </cell>
          <cell r="D299" t="str">
            <v>AHA</v>
          </cell>
          <cell r="E299">
            <v>1.5120226387997691</v>
          </cell>
        </row>
        <row r="300">
          <cell r="B300" t="str">
            <v>Tongji University</v>
          </cell>
          <cell r="C300">
            <v>18</v>
          </cell>
          <cell r="D300" t="str">
            <v>BDV</v>
          </cell>
          <cell r="E300">
            <v>1.511634540459093</v>
          </cell>
        </row>
        <row r="301">
          <cell r="B301" t="str">
            <v>Beijing Normal University</v>
          </cell>
          <cell r="C301">
            <v>50</v>
          </cell>
          <cell r="D301" t="str">
            <v>BBV</v>
          </cell>
          <cell r="E301">
            <v>1.5085541810752801</v>
          </cell>
        </row>
        <row r="302">
          <cell r="B302" t="str">
            <v>Kansas State University</v>
          </cell>
          <cell r="C302">
            <v>39</v>
          </cell>
          <cell r="D302" t="str">
            <v>CGU</v>
          </cell>
          <cell r="E302">
            <v>1.5074758524367851</v>
          </cell>
        </row>
        <row r="303">
          <cell r="B303" t="str">
            <v>Technical University of Munich</v>
          </cell>
          <cell r="C303">
            <v>49</v>
          </cell>
          <cell r="D303" t="str">
            <v>BDR</v>
          </cell>
          <cell r="E303">
            <v>1.504520583595746</v>
          </cell>
        </row>
        <row r="304">
          <cell r="B304" t="str">
            <v>University of Alabama Tuscaloosa</v>
          </cell>
          <cell r="C304">
            <v>40</v>
          </cell>
          <cell r="D304" t="str">
            <v>BEB</v>
          </cell>
          <cell r="E304">
            <v>1.5025909932714201</v>
          </cell>
        </row>
        <row r="305">
          <cell r="B305" t="str">
            <v>SKEMA Business School</v>
          </cell>
          <cell r="C305">
            <v>16</v>
          </cell>
          <cell r="D305" t="str">
            <v>DAV</v>
          </cell>
          <cell r="E305">
            <v>1.502075162594958</v>
          </cell>
        </row>
        <row r="306">
          <cell r="B306" t="str">
            <v>University of Auckland</v>
          </cell>
          <cell r="C306">
            <v>30</v>
          </cell>
          <cell r="D306" t="str">
            <v>ACV</v>
          </cell>
          <cell r="E306">
            <v>1.4972351432807121</v>
          </cell>
        </row>
        <row r="307">
          <cell r="B307" t="str">
            <v>University of Technology Sydney</v>
          </cell>
          <cell r="C307">
            <v>55</v>
          </cell>
          <cell r="D307" t="str">
            <v>AHE</v>
          </cell>
          <cell r="E307">
            <v>1.49666617304656</v>
          </cell>
        </row>
        <row r="308">
          <cell r="B308" t="str">
            <v>University of Queensland</v>
          </cell>
          <cell r="C308">
            <v>76</v>
          </cell>
          <cell r="D308" t="str">
            <v>ADM</v>
          </cell>
          <cell r="E308">
            <v>1.4945267007642149</v>
          </cell>
        </row>
        <row r="309">
          <cell r="B309" t="str">
            <v>Getulio Vargas Foundation</v>
          </cell>
          <cell r="C309">
            <v>35</v>
          </cell>
          <cell r="D309" t="str">
            <v>CBY</v>
          </cell>
          <cell r="E309">
            <v>1.4934904513473359</v>
          </cell>
        </row>
        <row r="310">
          <cell r="B310" t="str">
            <v>University of Wollongong</v>
          </cell>
          <cell r="C310">
            <v>26</v>
          </cell>
          <cell r="D310" t="str">
            <v>BFG</v>
          </cell>
          <cell r="E310">
            <v>1.491759567743526</v>
          </cell>
        </row>
        <row r="311">
          <cell r="B311" t="str">
            <v>Syracuse University</v>
          </cell>
          <cell r="C311">
            <v>37</v>
          </cell>
          <cell r="D311" t="str">
            <v>BDQ</v>
          </cell>
          <cell r="E311">
            <v>1.4866010148353881</v>
          </cell>
        </row>
        <row r="312">
          <cell r="B312" t="str">
            <v>University of Sydney</v>
          </cell>
          <cell r="C312">
            <v>118</v>
          </cell>
          <cell r="D312" t="str">
            <v>ADP</v>
          </cell>
          <cell r="E312">
            <v>1.4858947078472049</v>
          </cell>
        </row>
        <row r="313">
          <cell r="B313" t="str">
            <v>Miami University</v>
          </cell>
          <cell r="C313">
            <v>15</v>
          </cell>
          <cell r="D313" t="str">
            <v>BCO</v>
          </cell>
          <cell r="E313">
            <v>1.478471743272241</v>
          </cell>
        </row>
        <row r="314">
          <cell r="B314" t="str">
            <v>Beijing Jiaotong University</v>
          </cell>
          <cell r="C314">
            <v>17</v>
          </cell>
          <cell r="D314" t="str">
            <v>ABE</v>
          </cell>
          <cell r="E314">
            <v>1.4782549892597301</v>
          </cell>
        </row>
        <row r="315">
          <cell r="B315" t="str">
            <v>University of Stirling</v>
          </cell>
          <cell r="C315">
            <v>17</v>
          </cell>
          <cell r="D315" t="str">
            <v>DDF</v>
          </cell>
          <cell r="E315">
            <v>1.4747641785048711</v>
          </cell>
        </row>
        <row r="316">
          <cell r="B316" t="str">
            <v>Universita Ca Foscari Venezia</v>
          </cell>
          <cell r="C316">
            <v>51</v>
          </cell>
          <cell r="D316" t="str">
            <v>BHM</v>
          </cell>
          <cell r="E316">
            <v>1.4732971101952039</v>
          </cell>
        </row>
        <row r="317">
          <cell r="B317" t="str">
            <v>Aix-Marseille Universite</v>
          </cell>
          <cell r="C317">
            <v>58</v>
          </cell>
          <cell r="D317" t="str">
            <v>BHG</v>
          </cell>
          <cell r="E317">
            <v>1.4731024955744769</v>
          </cell>
        </row>
        <row r="318">
          <cell r="B318" t="str">
            <v>Dublin City University</v>
          </cell>
          <cell r="C318">
            <v>22</v>
          </cell>
          <cell r="D318" t="str">
            <v>AEL</v>
          </cell>
          <cell r="E318">
            <v>1.4703888689135649</v>
          </cell>
        </row>
        <row r="319">
          <cell r="B319" t="str">
            <v>Zhejiang University</v>
          </cell>
          <cell r="C319">
            <v>98</v>
          </cell>
          <cell r="D319" t="str">
            <v>BHD</v>
          </cell>
          <cell r="E319">
            <v>1.466482556028855</v>
          </cell>
        </row>
        <row r="320">
          <cell r="B320" t="str">
            <v>Centre National de la Recherche Scientifique (CNRS)</v>
          </cell>
          <cell r="C320">
            <v>313</v>
          </cell>
          <cell r="D320" t="str">
            <v>AEJ</v>
          </cell>
          <cell r="E320">
            <v>1.4651913504135869</v>
          </cell>
        </row>
        <row r="321">
          <cell r="B321" t="str">
            <v>Solent University</v>
          </cell>
          <cell r="C321">
            <v>14</v>
          </cell>
          <cell r="D321" t="str">
            <v>CBZ</v>
          </cell>
          <cell r="E321">
            <v>1.4649254626181369</v>
          </cell>
        </row>
        <row r="322">
          <cell r="B322" t="str">
            <v>University of Bath</v>
          </cell>
          <cell r="C322">
            <v>50</v>
          </cell>
          <cell r="D322" t="str">
            <v>AFZ</v>
          </cell>
          <cell r="E322">
            <v>1.4629467857657641</v>
          </cell>
        </row>
        <row r="323">
          <cell r="B323" t="str">
            <v>University of Nevada Las Vegas</v>
          </cell>
          <cell r="C323">
            <v>15</v>
          </cell>
          <cell r="D323" t="str">
            <v>DCM</v>
          </cell>
          <cell r="E323">
            <v>1.4625381412664991</v>
          </cell>
        </row>
        <row r="324">
          <cell r="B324" t="str">
            <v>University of Western Australia</v>
          </cell>
          <cell r="C324">
            <v>55</v>
          </cell>
          <cell r="D324" t="str">
            <v>AHL</v>
          </cell>
          <cell r="E324">
            <v>1.4625124047571161</v>
          </cell>
        </row>
        <row r="325">
          <cell r="B325" t="str">
            <v>Utrecht University</v>
          </cell>
          <cell r="C325">
            <v>60</v>
          </cell>
          <cell r="D325" t="str">
            <v>BGO</v>
          </cell>
          <cell r="E325">
            <v>1.4617287917694859</v>
          </cell>
        </row>
        <row r="326">
          <cell r="B326" t="str">
            <v>University of Birmingham</v>
          </cell>
          <cell r="C326">
            <v>56</v>
          </cell>
          <cell r="D326" t="str">
            <v>AGB</v>
          </cell>
          <cell r="E326">
            <v>1.4602989837783531</v>
          </cell>
        </row>
        <row r="327">
          <cell r="B327" t="str">
            <v>King's College London</v>
          </cell>
          <cell r="C327">
            <v>63</v>
          </cell>
          <cell r="D327" t="str">
            <v>BBX</v>
          </cell>
          <cell r="E327">
            <v>1.459241745905663</v>
          </cell>
        </row>
        <row r="328">
          <cell r="B328" t="str">
            <v>University of Groningen</v>
          </cell>
          <cell r="C328">
            <v>92</v>
          </cell>
          <cell r="D328" t="str">
            <v>ABM</v>
          </cell>
          <cell r="E328">
            <v>1.4569643181506291</v>
          </cell>
        </row>
        <row r="329">
          <cell r="B329" t="str">
            <v>University of Bielefeld</v>
          </cell>
          <cell r="C329">
            <v>36</v>
          </cell>
          <cell r="D329" t="str">
            <v>DBX</v>
          </cell>
          <cell r="E329">
            <v>1.455424587010526</v>
          </cell>
        </row>
        <row r="330">
          <cell r="B330" t="str">
            <v>Southern Illinois University</v>
          </cell>
          <cell r="C330">
            <v>27</v>
          </cell>
          <cell r="D330" t="str">
            <v>DBK</v>
          </cell>
          <cell r="E330">
            <v>1.451343821343837</v>
          </cell>
        </row>
        <row r="331">
          <cell r="B331" t="str">
            <v>Lehigh University</v>
          </cell>
          <cell r="C331">
            <v>23</v>
          </cell>
          <cell r="D331" t="str">
            <v>BCC</v>
          </cell>
          <cell r="E331">
            <v>1.448567387610131</v>
          </cell>
        </row>
        <row r="332">
          <cell r="B332" t="str">
            <v>Massey University</v>
          </cell>
          <cell r="C332">
            <v>25</v>
          </cell>
          <cell r="D332" t="str">
            <v>BCF</v>
          </cell>
          <cell r="E332">
            <v>1.4472176955933691</v>
          </cell>
        </row>
        <row r="333">
          <cell r="B333" t="str">
            <v>University of Leeds</v>
          </cell>
          <cell r="C333">
            <v>42</v>
          </cell>
          <cell r="D333" t="str">
            <v>AGQ</v>
          </cell>
          <cell r="E333">
            <v>1.4423332271225919</v>
          </cell>
        </row>
        <row r="334">
          <cell r="B334" t="str">
            <v>Ben Gurion University</v>
          </cell>
          <cell r="C334">
            <v>27</v>
          </cell>
          <cell r="D334" t="str">
            <v>DBU</v>
          </cell>
          <cell r="E334">
            <v>1.441837520344849</v>
          </cell>
        </row>
        <row r="335">
          <cell r="B335" t="str">
            <v>Durham University</v>
          </cell>
          <cell r="C335">
            <v>47</v>
          </cell>
          <cell r="D335" t="str">
            <v>BAR</v>
          </cell>
          <cell r="E335">
            <v>1.440898744687318</v>
          </cell>
        </row>
        <row r="336">
          <cell r="B336" t="str">
            <v>Wageningen University &amp; Research</v>
          </cell>
          <cell r="C336">
            <v>57</v>
          </cell>
          <cell r="D336" t="str">
            <v>BGZ</v>
          </cell>
          <cell r="E336">
            <v>1.435366942425027</v>
          </cell>
        </row>
        <row r="337">
          <cell r="B337" t="str">
            <v>University of Gottingen</v>
          </cell>
          <cell r="C337">
            <v>98</v>
          </cell>
          <cell r="D337" t="str">
            <v>BEX</v>
          </cell>
          <cell r="E337">
            <v>1.4338101163225569</v>
          </cell>
        </row>
        <row r="338">
          <cell r="B338" t="str">
            <v>University of Reading</v>
          </cell>
          <cell r="C338">
            <v>54</v>
          </cell>
          <cell r="D338" t="str">
            <v>AGY</v>
          </cell>
          <cell r="E338">
            <v>1.4331220212928439</v>
          </cell>
        </row>
        <row r="339">
          <cell r="B339" t="str">
            <v>Universite Libre de Bruxelles</v>
          </cell>
          <cell r="C339">
            <v>41</v>
          </cell>
          <cell r="D339" t="str">
            <v>BFJ</v>
          </cell>
          <cell r="E339">
            <v>1.432627216740713</v>
          </cell>
        </row>
        <row r="340">
          <cell r="B340" t="str">
            <v>Universite Paris Saclay</v>
          </cell>
          <cell r="C340">
            <v>56</v>
          </cell>
          <cell r="D340" t="str">
            <v>CBD</v>
          </cell>
          <cell r="E340">
            <v>1.430905043477787</v>
          </cell>
        </row>
        <row r="341">
          <cell r="B341" t="str">
            <v>University of Turku</v>
          </cell>
          <cell r="C341">
            <v>8</v>
          </cell>
          <cell r="D341" t="str">
            <v>CGK</v>
          </cell>
          <cell r="E341">
            <v>1.4274155631844641</v>
          </cell>
        </row>
        <row r="342">
          <cell r="B342" t="str">
            <v>West Virginia University</v>
          </cell>
          <cell r="C342">
            <v>24</v>
          </cell>
          <cell r="D342" t="str">
            <v>CGS</v>
          </cell>
          <cell r="E342">
            <v>1.4270151207381301</v>
          </cell>
        </row>
        <row r="343">
          <cell r="B343" t="str">
            <v>Academia Sinica - Taiwan</v>
          </cell>
          <cell r="C343">
            <v>37</v>
          </cell>
          <cell r="D343" t="str">
            <v>DDO</v>
          </cell>
          <cell r="E343">
            <v>1.424527754438484</v>
          </cell>
        </row>
        <row r="344">
          <cell r="B344" t="str">
            <v>Nankai University</v>
          </cell>
          <cell r="C344">
            <v>44</v>
          </cell>
          <cell r="D344" t="str">
            <v>BEL</v>
          </cell>
          <cell r="E344">
            <v>1.4221055990009059</v>
          </cell>
        </row>
        <row r="345">
          <cell r="B345" t="str">
            <v>Consejo Superior de Investigaciones Cientificas (CSIC)</v>
          </cell>
          <cell r="C345">
            <v>23</v>
          </cell>
          <cell r="D345" t="str">
            <v>AEV</v>
          </cell>
          <cell r="E345">
            <v>1.4218000314001999</v>
          </cell>
        </row>
        <row r="346">
          <cell r="B346" t="str">
            <v>Xiamen University</v>
          </cell>
          <cell r="C346">
            <v>92</v>
          </cell>
          <cell r="D346" t="str">
            <v>AHQ</v>
          </cell>
          <cell r="E346">
            <v>1.4210195208960079</v>
          </cell>
        </row>
        <row r="347">
          <cell r="B347" t="str">
            <v>Radboud University Nijmegen</v>
          </cell>
          <cell r="C347">
            <v>25</v>
          </cell>
          <cell r="D347" t="str">
            <v>BDB</v>
          </cell>
          <cell r="E347">
            <v>1.416350211530792</v>
          </cell>
        </row>
        <row r="348">
          <cell r="B348" t="str">
            <v>Capital University of Economics &amp; Business</v>
          </cell>
          <cell r="C348">
            <v>54</v>
          </cell>
          <cell r="D348" t="str">
            <v>BHQ</v>
          </cell>
          <cell r="E348">
            <v>1.415952102223033</v>
          </cell>
        </row>
        <row r="349">
          <cell r="B349" t="str">
            <v>University of Central Florida</v>
          </cell>
          <cell r="C349">
            <v>16</v>
          </cell>
          <cell r="D349" t="str">
            <v>BEA</v>
          </cell>
          <cell r="E349">
            <v>1.4138259156385291</v>
          </cell>
        </row>
        <row r="350">
          <cell r="B350" t="str">
            <v>IE University</v>
          </cell>
          <cell r="C350">
            <v>10</v>
          </cell>
          <cell r="D350" t="str">
            <v>BBM</v>
          </cell>
          <cell r="E350">
            <v>1.410744125958034</v>
          </cell>
        </row>
        <row r="351">
          <cell r="B351" t="str">
            <v>La Trobe University</v>
          </cell>
          <cell r="C351">
            <v>20</v>
          </cell>
          <cell r="D351" t="str">
            <v>CCA</v>
          </cell>
          <cell r="E351">
            <v>1.4104687545311829</v>
          </cell>
        </row>
        <row r="352">
          <cell r="B352" t="str">
            <v>Mississippi State University</v>
          </cell>
          <cell r="C352">
            <v>21</v>
          </cell>
          <cell r="D352" t="str">
            <v>AFD</v>
          </cell>
          <cell r="E352">
            <v>1.4082512632297191</v>
          </cell>
        </row>
        <row r="353">
          <cell r="B353" t="str">
            <v>University of Mississippi</v>
          </cell>
          <cell r="C353">
            <v>21</v>
          </cell>
          <cell r="D353" t="str">
            <v>DCF</v>
          </cell>
          <cell r="E353">
            <v>1.4082512632297191</v>
          </cell>
        </row>
        <row r="354">
          <cell r="B354" t="str">
            <v>Hunan University</v>
          </cell>
          <cell r="C354">
            <v>73</v>
          </cell>
          <cell r="D354" t="str">
            <v>BBK</v>
          </cell>
          <cell r="E354">
            <v>1.4080941027759231</v>
          </cell>
        </row>
        <row r="355">
          <cell r="B355" t="str">
            <v>University of Oklahoma - Norman</v>
          </cell>
          <cell r="C355">
            <v>28</v>
          </cell>
          <cell r="D355" t="str">
            <v>BFX</v>
          </cell>
          <cell r="E355">
            <v>1.407162151461431</v>
          </cell>
        </row>
        <row r="356">
          <cell r="B356" t="str">
            <v>Nanchang University</v>
          </cell>
          <cell r="C356">
            <v>45</v>
          </cell>
          <cell r="D356" t="str">
            <v>BCJ</v>
          </cell>
          <cell r="E356">
            <v>1.406642971475017</v>
          </cell>
        </row>
        <row r="357">
          <cell r="B357" t="str">
            <v>University of Bayreuth</v>
          </cell>
          <cell r="C357">
            <v>18</v>
          </cell>
          <cell r="D357" t="str">
            <v>DAI</v>
          </cell>
          <cell r="E357">
            <v>1.406413077489195</v>
          </cell>
        </row>
        <row r="358">
          <cell r="B358" t="str">
            <v>Southwestern University of Finance &amp; Economics - China</v>
          </cell>
          <cell r="C358">
            <v>156</v>
          </cell>
          <cell r="D358" t="str">
            <v>AFQ</v>
          </cell>
          <cell r="E358">
            <v>1.4057720695875631</v>
          </cell>
        </row>
        <row r="359">
          <cell r="B359" t="str">
            <v>Ho Chi Minh City University Economics</v>
          </cell>
          <cell r="C359">
            <v>46</v>
          </cell>
          <cell r="D359" t="str">
            <v>BBH</v>
          </cell>
          <cell r="E359">
            <v>1.405334995193968</v>
          </cell>
        </row>
        <row r="360">
          <cell r="B360" t="str">
            <v>Texas Tech University</v>
          </cell>
          <cell r="C360">
            <v>33</v>
          </cell>
          <cell r="D360" t="str">
            <v>BDU</v>
          </cell>
          <cell r="E360">
            <v>1.4049629047326579</v>
          </cell>
        </row>
        <row r="361">
          <cell r="B361" t="str">
            <v>Nanjing Audit University</v>
          </cell>
          <cell r="C361">
            <v>79</v>
          </cell>
          <cell r="D361" t="str">
            <v>CBW</v>
          </cell>
          <cell r="E361">
            <v>1.402227081334986</v>
          </cell>
        </row>
        <row r="362">
          <cell r="B362" t="str">
            <v>Yonsei University</v>
          </cell>
          <cell r="C362">
            <v>38</v>
          </cell>
          <cell r="D362" t="str">
            <v>BHC</v>
          </cell>
          <cell r="E362">
            <v>1.4019379260648679</v>
          </cell>
        </row>
        <row r="363">
          <cell r="B363" t="str">
            <v>Open University - UK</v>
          </cell>
          <cell r="C363">
            <v>15</v>
          </cell>
          <cell r="D363" t="str">
            <v>BHP</v>
          </cell>
          <cell r="E363">
            <v>1.400612855512726</v>
          </cell>
        </row>
        <row r="364">
          <cell r="B364" t="str">
            <v>University of Antwerp</v>
          </cell>
          <cell r="C364">
            <v>25</v>
          </cell>
          <cell r="D364" t="str">
            <v>BED</v>
          </cell>
          <cell r="E364">
            <v>1.400015947248654</v>
          </cell>
        </row>
        <row r="365">
          <cell r="B365" t="str">
            <v>China Agricultural University</v>
          </cell>
          <cell r="C365">
            <v>36</v>
          </cell>
          <cell r="D365" t="str">
            <v>CCC</v>
          </cell>
          <cell r="E365">
            <v>1.399953949300013</v>
          </cell>
        </row>
        <row r="366">
          <cell r="B366" t="str">
            <v>University of Portsmouth</v>
          </cell>
          <cell r="C366">
            <v>18</v>
          </cell>
          <cell r="D366" t="str">
            <v>BGE</v>
          </cell>
          <cell r="E366">
            <v>1.397403788955208</v>
          </cell>
        </row>
        <row r="367">
          <cell r="B367" t="str">
            <v>University of Huddersfield</v>
          </cell>
          <cell r="C367">
            <v>14</v>
          </cell>
          <cell r="D367" t="str">
            <v>CGR</v>
          </cell>
          <cell r="E367">
            <v>1.394741795134012</v>
          </cell>
        </row>
        <row r="368">
          <cell r="B368" t="str">
            <v>Free University of Bozen-Bolzano</v>
          </cell>
          <cell r="C368">
            <v>21</v>
          </cell>
          <cell r="D368" t="str">
            <v>AEP</v>
          </cell>
          <cell r="E368">
            <v>1.3937694230007851</v>
          </cell>
        </row>
        <row r="369">
          <cell r="B369" t="str">
            <v>University of Padua</v>
          </cell>
          <cell r="C369">
            <v>42</v>
          </cell>
          <cell r="D369" t="str">
            <v>BGB</v>
          </cell>
          <cell r="E369">
            <v>1.3935954208898489</v>
          </cell>
        </row>
        <row r="370">
          <cell r="B370" t="str">
            <v>University of Waterloo</v>
          </cell>
          <cell r="C370">
            <v>48</v>
          </cell>
          <cell r="D370" t="str">
            <v>BGS</v>
          </cell>
          <cell r="E370">
            <v>1.393389297504094</v>
          </cell>
        </row>
        <row r="371">
          <cell r="B371" t="str">
            <v>City St Georges, University of London</v>
          </cell>
          <cell r="C371">
            <v>55</v>
          </cell>
          <cell r="D371" t="str">
            <v>BBL</v>
          </cell>
          <cell r="E371">
            <v>1.3927274062251149</v>
          </cell>
        </row>
        <row r="372">
          <cell r="B372" t="str">
            <v>Universitetet i Stavanger</v>
          </cell>
          <cell r="C372">
            <v>32</v>
          </cell>
          <cell r="D372" t="str">
            <v>DBN</v>
          </cell>
          <cell r="E372">
            <v>1.392649403742481</v>
          </cell>
        </row>
        <row r="373">
          <cell r="B373" t="str">
            <v>University of Guelph</v>
          </cell>
          <cell r="C373">
            <v>43</v>
          </cell>
          <cell r="D373" t="str">
            <v>CGP</v>
          </cell>
          <cell r="E373">
            <v>1.391674263115255</v>
          </cell>
        </row>
        <row r="374">
          <cell r="B374" t="str">
            <v>University of Hamburg</v>
          </cell>
          <cell r="C374">
            <v>48</v>
          </cell>
          <cell r="D374" t="str">
            <v>ACI</v>
          </cell>
          <cell r="E374">
            <v>1.391510345973384</v>
          </cell>
        </row>
        <row r="375">
          <cell r="B375" t="str">
            <v>Cardiff University</v>
          </cell>
          <cell r="C375">
            <v>44</v>
          </cell>
          <cell r="D375" t="str">
            <v>BAE</v>
          </cell>
          <cell r="E375">
            <v>1.390815663270017</v>
          </cell>
        </row>
        <row r="376">
          <cell r="B376" t="str">
            <v>University of South Florida</v>
          </cell>
          <cell r="C376">
            <v>12</v>
          </cell>
          <cell r="D376" t="str">
            <v>CHB</v>
          </cell>
          <cell r="E376">
            <v>1.3907663643761849</v>
          </cell>
        </row>
        <row r="377">
          <cell r="B377" t="str">
            <v>University of Manitoba</v>
          </cell>
          <cell r="C377">
            <v>14</v>
          </cell>
          <cell r="D377" t="str">
            <v>DDZ</v>
          </cell>
          <cell r="E377">
            <v>1.390693705225341</v>
          </cell>
        </row>
        <row r="378">
          <cell r="B378" t="str">
            <v>University of South Australia</v>
          </cell>
          <cell r="C378">
            <v>17</v>
          </cell>
          <cell r="D378" t="str">
            <v>BGJ</v>
          </cell>
          <cell r="E378">
            <v>1.3890493866720981</v>
          </cell>
        </row>
        <row r="379">
          <cell r="B379" t="str">
            <v>Loughborough University</v>
          </cell>
          <cell r="C379">
            <v>53</v>
          </cell>
          <cell r="D379" t="str">
            <v>BFO</v>
          </cell>
          <cell r="E379">
            <v>1.3837381408402289</v>
          </cell>
        </row>
        <row r="380">
          <cell r="B380" t="str">
            <v>Heriot Watt University</v>
          </cell>
          <cell r="C380">
            <v>22</v>
          </cell>
          <cell r="D380" t="str">
            <v>AFC</v>
          </cell>
          <cell r="E380">
            <v>1.3836790370298491</v>
          </cell>
        </row>
        <row r="381">
          <cell r="B381" t="str">
            <v>Osaka University</v>
          </cell>
          <cell r="C381">
            <v>50</v>
          </cell>
          <cell r="D381" t="str">
            <v>AFA</v>
          </cell>
          <cell r="E381">
            <v>1.383367219339408</v>
          </cell>
        </row>
        <row r="382">
          <cell r="B382" t="str">
            <v>Universidad Pablo de Olavide</v>
          </cell>
          <cell r="C382">
            <v>19</v>
          </cell>
          <cell r="D382" t="str">
            <v>CBB</v>
          </cell>
          <cell r="E382">
            <v>1.381808755486311</v>
          </cell>
        </row>
        <row r="383">
          <cell r="B383" t="str">
            <v>Roma Tre University</v>
          </cell>
          <cell r="C383">
            <v>45</v>
          </cell>
          <cell r="D383" t="str">
            <v>BAI</v>
          </cell>
          <cell r="E383">
            <v>1.377432067895656</v>
          </cell>
        </row>
        <row r="384">
          <cell r="B384" t="str">
            <v>University of Liverpool</v>
          </cell>
          <cell r="C384">
            <v>40</v>
          </cell>
          <cell r="D384" t="str">
            <v>BFM</v>
          </cell>
          <cell r="E384">
            <v>1.3760697762986469</v>
          </cell>
        </row>
        <row r="385">
          <cell r="B385" t="str">
            <v>RWTH Aachen University</v>
          </cell>
          <cell r="C385">
            <v>17</v>
          </cell>
          <cell r="D385" t="str">
            <v>BDG</v>
          </cell>
          <cell r="E385">
            <v>1.3720622080069</v>
          </cell>
        </row>
        <row r="386">
          <cell r="B386" t="str">
            <v>University of Glasgow</v>
          </cell>
          <cell r="C386">
            <v>47</v>
          </cell>
          <cell r="D386" t="str">
            <v>BEV</v>
          </cell>
          <cell r="E386">
            <v>1.370431873798877</v>
          </cell>
        </row>
        <row r="387">
          <cell r="B387" t="str">
            <v>Universite de Lille</v>
          </cell>
          <cell r="C387">
            <v>37</v>
          </cell>
          <cell r="D387" t="str">
            <v>BHL</v>
          </cell>
          <cell r="E387">
            <v>1.3703305389871421</v>
          </cell>
        </row>
        <row r="388">
          <cell r="B388" t="str">
            <v>University of Barcelona</v>
          </cell>
          <cell r="C388">
            <v>58</v>
          </cell>
          <cell r="D388" t="str">
            <v>CAM</v>
          </cell>
          <cell r="E388">
            <v>1.368622815933118</v>
          </cell>
        </row>
        <row r="389">
          <cell r="B389" t="str">
            <v>Beihang University</v>
          </cell>
          <cell r="C389">
            <v>33</v>
          </cell>
          <cell r="D389" t="str">
            <v>CAG</v>
          </cell>
          <cell r="E389">
            <v>1.368567247887392</v>
          </cell>
        </row>
        <row r="390">
          <cell r="B390" t="str">
            <v>Catholic University of the Sacred Heart</v>
          </cell>
          <cell r="C390">
            <v>62</v>
          </cell>
          <cell r="D390" t="str">
            <v>BAT</v>
          </cell>
          <cell r="E390">
            <v>1.366137162267683</v>
          </cell>
        </row>
        <row r="391">
          <cell r="B391" t="str">
            <v>Universite Cote d'Azur</v>
          </cell>
          <cell r="C391">
            <v>34</v>
          </cell>
          <cell r="D391" t="str">
            <v>CAR</v>
          </cell>
          <cell r="E391">
            <v>1.362450367601399</v>
          </cell>
        </row>
        <row r="392">
          <cell r="B392" t="str">
            <v>Norwegian University of Science &amp; Technology (NTNU)</v>
          </cell>
          <cell r="C392">
            <v>26</v>
          </cell>
          <cell r="D392" t="str">
            <v>BCR</v>
          </cell>
          <cell r="E392">
            <v>1.3621474505000859</v>
          </cell>
        </row>
        <row r="393">
          <cell r="B393" t="str">
            <v>University of Florence</v>
          </cell>
          <cell r="C393">
            <v>41</v>
          </cell>
          <cell r="D393" t="str">
            <v>BAK</v>
          </cell>
          <cell r="E393">
            <v>1.3535402886855921</v>
          </cell>
        </row>
        <row r="394">
          <cell r="B394" t="str">
            <v>Universite de Strasbourg</v>
          </cell>
          <cell r="C394">
            <v>36</v>
          </cell>
          <cell r="D394" t="str">
            <v>AHS</v>
          </cell>
          <cell r="E394">
            <v>1.3498807753614439</v>
          </cell>
        </row>
        <row r="395">
          <cell r="B395" t="str">
            <v>Auckland University of Technology</v>
          </cell>
          <cell r="C395">
            <v>22</v>
          </cell>
          <cell r="D395" t="str">
            <v>AHW</v>
          </cell>
          <cell r="E395">
            <v>1.3461031249348729</v>
          </cell>
        </row>
        <row r="396">
          <cell r="B396" t="str">
            <v>University of Bergamo</v>
          </cell>
          <cell r="C396">
            <v>30</v>
          </cell>
          <cell r="D396" t="str">
            <v>AGA</v>
          </cell>
          <cell r="E396">
            <v>1.345585853191789</v>
          </cell>
        </row>
        <row r="397">
          <cell r="B397" t="str">
            <v>Northumbria University</v>
          </cell>
          <cell r="C397">
            <v>10</v>
          </cell>
          <cell r="D397" t="str">
            <v>CAT</v>
          </cell>
          <cell r="E397">
            <v>1.344617508452058</v>
          </cell>
        </row>
        <row r="398">
          <cell r="B398" t="str">
            <v>Waseda University</v>
          </cell>
          <cell r="C398">
            <v>67</v>
          </cell>
          <cell r="D398" t="str">
            <v>BAZ</v>
          </cell>
          <cell r="E398">
            <v>1.344121777930223</v>
          </cell>
        </row>
        <row r="399">
          <cell r="B399" t="str">
            <v>Korea Advanced Institute of Science &amp; Technology (KAIST)</v>
          </cell>
          <cell r="C399">
            <v>33</v>
          </cell>
          <cell r="D399" t="str">
            <v>CHM</v>
          </cell>
          <cell r="E399">
            <v>1.339925602314199</v>
          </cell>
        </row>
        <row r="400">
          <cell r="B400" t="str">
            <v>Seoul National University (SNU)</v>
          </cell>
          <cell r="C400">
            <v>66</v>
          </cell>
          <cell r="D400" t="str">
            <v>BDJ</v>
          </cell>
          <cell r="E400">
            <v>1.339811784195964</v>
          </cell>
        </row>
        <row r="401">
          <cell r="B401" t="str">
            <v>Parthenope University Naples</v>
          </cell>
          <cell r="C401">
            <v>24</v>
          </cell>
          <cell r="D401" t="str">
            <v>BCK</v>
          </cell>
          <cell r="E401">
            <v>1.338180941421905</v>
          </cell>
        </row>
        <row r="402">
          <cell r="B402" t="str">
            <v>Universidade de Santiago de Compostela</v>
          </cell>
          <cell r="C402">
            <v>17</v>
          </cell>
          <cell r="D402" t="str">
            <v>BHW</v>
          </cell>
          <cell r="E402">
            <v>1.337121450984905</v>
          </cell>
        </row>
        <row r="403">
          <cell r="B403" t="str">
            <v>Leuphana University Luneburg</v>
          </cell>
          <cell r="C403">
            <v>12</v>
          </cell>
          <cell r="D403" t="str">
            <v>DDL</v>
          </cell>
          <cell r="E403">
            <v>1.3370720158548111</v>
          </cell>
        </row>
        <row r="404">
          <cell r="B404" t="str">
            <v>California State University Fullerton</v>
          </cell>
          <cell r="C404">
            <v>17</v>
          </cell>
          <cell r="D404" t="str">
            <v>DAZ</v>
          </cell>
          <cell r="E404">
            <v>1.33307187074555</v>
          </cell>
        </row>
        <row r="405">
          <cell r="B405" t="str">
            <v>University of Salerno</v>
          </cell>
          <cell r="C405">
            <v>25</v>
          </cell>
          <cell r="D405" t="str">
            <v>DAF</v>
          </cell>
          <cell r="E405">
            <v>1.3319891829033099</v>
          </cell>
        </row>
        <row r="406">
          <cell r="B406" t="str">
            <v>Universite de Rennes</v>
          </cell>
          <cell r="C406">
            <v>41</v>
          </cell>
          <cell r="D406" t="str">
            <v>BBE</v>
          </cell>
          <cell r="E406">
            <v>1.331059323089081</v>
          </cell>
        </row>
        <row r="407">
          <cell r="B407" t="str">
            <v>Central University of Finance &amp; Economics</v>
          </cell>
          <cell r="C407">
            <v>99</v>
          </cell>
          <cell r="D407" t="str">
            <v>BAH</v>
          </cell>
          <cell r="E407">
            <v>1.3309553302822801</v>
          </cell>
        </row>
        <row r="408">
          <cell r="B408" t="str">
            <v>University of Siena</v>
          </cell>
          <cell r="C408">
            <v>34</v>
          </cell>
          <cell r="D408" t="str">
            <v>DCO</v>
          </cell>
          <cell r="E408">
            <v>1.33021511016878</v>
          </cell>
        </row>
        <row r="409">
          <cell r="B409" t="str">
            <v>University of Tokyo</v>
          </cell>
          <cell r="C409">
            <v>62</v>
          </cell>
          <cell r="D409" t="str">
            <v>CBT</v>
          </cell>
          <cell r="E409">
            <v>1.3301961718795281</v>
          </cell>
        </row>
        <row r="410">
          <cell r="B410" t="str">
            <v>University of Alberta</v>
          </cell>
          <cell r="C410">
            <v>56</v>
          </cell>
          <cell r="D410" t="str">
            <v>ABK</v>
          </cell>
          <cell r="E410">
            <v>1.329944354982322</v>
          </cell>
        </row>
        <row r="411">
          <cell r="B411" t="str">
            <v>Wuhan University</v>
          </cell>
          <cell r="C411">
            <v>51</v>
          </cell>
          <cell r="D411" t="str">
            <v>BHS</v>
          </cell>
          <cell r="E411">
            <v>1.3296363322156091</v>
          </cell>
        </row>
        <row r="412">
          <cell r="B412" t="str">
            <v>Huazhong University of Science &amp; Technology</v>
          </cell>
          <cell r="C412">
            <v>52</v>
          </cell>
          <cell r="D412" t="str">
            <v>BBJ</v>
          </cell>
          <cell r="E412">
            <v>1.328960657604344</v>
          </cell>
        </row>
        <row r="413">
          <cell r="B413" t="str">
            <v>University of Texas Rio Grande Valley</v>
          </cell>
          <cell r="C413">
            <v>13</v>
          </cell>
          <cell r="D413" t="str">
            <v>DCG</v>
          </cell>
          <cell r="E413">
            <v>1.3280780211603129</v>
          </cell>
        </row>
        <row r="414">
          <cell r="B414" t="str">
            <v>Auburn University</v>
          </cell>
          <cell r="C414">
            <v>28</v>
          </cell>
          <cell r="D414" t="str">
            <v>AHF</v>
          </cell>
          <cell r="E414">
            <v>1.3274919156863221</v>
          </cell>
        </row>
        <row r="415">
          <cell r="B415" t="str">
            <v>American University of Sharjah</v>
          </cell>
          <cell r="C415">
            <v>21</v>
          </cell>
          <cell r="D415" t="str">
            <v>CAV</v>
          </cell>
          <cell r="E415">
            <v>1.3253933748989091</v>
          </cell>
        </row>
        <row r="416">
          <cell r="B416" t="str">
            <v>University of Munster</v>
          </cell>
          <cell r="C416">
            <v>30</v>
          </cell>
          <cell r="D416" t="str">
            <v>DAC</v>
          </cell>
          <cell r="E416">
            <v>1.3240457892808351</v>
          </cell>
        </row>
        <row r="417">
          <cell r="B417" t="str">
            <v>Zhongnan University of Economics &amp; Law</v>
          </cell>
          <cell r="C417">
            <v>94</v>
          </cell>
          <cell r="D417" t="str">
            <v>BHT</v>
          </cell>
          <cell r="E417">
            <v>1.3214312512628641</v>
          </cell>
        </row>
        <row r="418">
          <cell r="B418" t="str">
            <v>University of Wisconsin Milwaukee</v>
          </cell>
          <cell r="C418">
            <v>29</v>
          </cell>
          <cell r="D418" t="str">
            <v>DDG</v>
          </cell>
          <cell r="E418">
            <v>1.3197454697925091</v>
          </cell>
        </row>
        <row r="419">
          <cell r="B419" t="str">
            <v>Manchester Metropolitan University</v>
          </cell>
          <cell r="C419">
            <v>7</v>
          </cell>
          <cell r="D419" t="str">
            <v>DBM</v>
          </cell>
          <cell r="E419">
            <v>1.318794204466567</v>
          </cell>
        </row>
        <row r="420">
          <cell r="B420" t="str">
            <v>Trinity College Dublin</v>
          </cell>
          <cell r="C420">
            <v>56</v>
          </cell>
          <cell r="D420" t="str">
            <v>AFW</v>
          </cell>
          <cell r="E420">
            <v>1.317866495828957</v>
          </cell>
        </row>
        <row r="421">
          <cell r="B421" t="str">
            <v>Sapienza University Rome</v>
          </cell>
          <cell r="C421">
            <v>73</v>
          </cell>
          <cell r="D421" t="str">
            <v>CBG</v>
          </cell>
          <cell r="E421">
            <v>1.317177455009606</v>
          </cell>
        </row>
        <row r="422">
          <cell r="B422" t="str">
            <v>University of Kansas</v>
          </cell>
          <cell r="C422">
            <v>18</v>
          </cell>
          <cell r="D422" t="str">
            <v>BFF</v>
          </cell>
          <cell r="E422">
            <v>1.316603284186274</v>
          </cell>
        </row>
        <row r="423">
          <cell r="B423" t="str">
            <v>Linkoping University</v>
          </cell>
          <cell r="C423">
            <v>30</v>
          </cell>
          <cell r="D423" t="str">
            <v>AEZ</v>
          </cell>
          <cell r="E423">
            <v>1.314856965503902</v>
          </cell>
        </row>
        <row r="424">
          <cell r="B424" t="str">
            <v>University of Cape Town</v>
          </cell>
          <cell r="C424">
            <v>34</v>
          </cell>
          <cell r="D424" t="str">
            <v>AGR</v>
          </cell>
          <cell r="E424">
            <v>1.312393537141916</v>
          </cell>
        </row>
        <row r="425">
          <cell r="B425" t="str">
            <v>G d'Annunzio University of Chieti-Pescara</v>
          </cell>
          <cell r="C425">
            <v>17</v>
          </cell>
          <cell r="D425" t="str">
            <v>DBV</v>
          </cell>
          <cell r="E425">
            <v>1.311500334899506</v>
          </cell>
        </row>
        <row r="426">
          <cell r="B426" t="str">
            <v>University of Salamanca</v>
          </cell>
          <cell r="C426">
            <v>12</v>
          </cell>
          <cell r="D426" t="str">
            <v>DDS</v>
          </cell>
          <cell r="E426">
            <v>1.3105987311020499</v>
          </cell>
        </row>
        <row r="427">
          <cell r="B427" t="str">
            <v>Fordham University</v>
          </cell>
          <cell r="C427">
            <v>22</v>
          </cell>
          <cell r="D427" t="str">
            <v>CGQ</v>
          </cell>
          <cell r="E427">
            <v>1.3077510510561989</v>
          </cell>
        </row>
        <row r="428">
          <cell r="B428" t="str">
            <v>University of East Anglia</v>
          </cell>
          <cell r="C428">
            <v>50</v>
          </cell>
          <cell r="D428" t="str">
            <v>AGH</v>
          </cell>
          <cell r="E428">
            <v>1.307031947900074</v>
          </cell>
        </row>
        <row r="429">
          <cell r="B429" t="str">
            <v>University of International Business &amp; Economics</v>
          </cell>
          <cell r="C429">
            <v>104</v>
          </cell>
          <cell r="D429" t="str">
            <v>BFD</v>
          </cell>
          <cell r="E429">
            <v>1.306257663290981</v>
          </cell>
        </row>
        <row r="430">
          <cell r="B430" t="str">
            <v>Texas Christian University</v>
          </cell>
          <cell r="C430">
            <v>7</v>
          </cell>
          <cell r="D430" t="str">
            <v>DAX</v>
          </cell>
          <cell r="E430">
            <v>1.305474393478139</v>
          </cell>
        </row>
        <row r="431">
          <cell r="B431" t="str">
            <v>Hong Kong Polytechnic University</v>
          </cell>
          <cell r="C431">
            <v>26</v>
          </cell>
          <cell r="D431" t="str">
            <v>ACK</v>
          </cell>
          <cell r="E431">
            <v>1.305212015669786</v>
          </cell>
        </row>
        <row r="432">
          <cell r="B432" t="str">
            <v>University of Helsinki</v>
          </cell>
          <cell r="C432">
            <v>33</v>
          </cell>
          <cell r="D432" t="str">
            <v>AGV</v>
          </cell>
          <cell r="E432">
            <v>1.303902711333887</v>
          </cell>
        </row>
        <row r="433">
          <cell r="B433" t="str">
            <v>University of Pisa</v>
          </cell>
          <cell r="C433">
            <v>32</v>
          </cell>
          <cell r="D433" t="str">
            <v>CHA</v>
          </cell>
          <cell r="E433">
            <v>1.3032595913399601</v>
          </cell>
        </row>
        <row r="434">
          <cell r="B434" t="str">
            <v>Keio University</v>
          </cell>
          <cell r="C434">
            <v>38</v>
          </cell>
          <cell r="D434" t="str">
            <v>BEZ</v>
          </cell>
          <cell r="E434">
            <v>1.3016949615405129</v>
          </cell>
        </row>
        <row r="435">
          <cell r="B435" t="str">
            <v>National Taiwan University</v>
          </cell>
          <cell r="C435">
            <v>48</v>
          </cell>
          <cell r="D435" t="str">
            <v>BCN</v>
          </cell>
          <cell r="E435">
            <v>1.300519050451882</v>
          </cell>
        </row>
        <row r="436">
          <cell r="B436" t="str">
            <v>Shanghai Lixin University of Accounting &amp; Finance</v>
          </cell>
          <cell r="C436">
            <v>26</v>
          </cell>
          <cell r="D436" t="str">
            <v>CGL</v>
          </cell>
          <cell r="E436">
            <v>1.2992743114080889</v>
          </cell>
        </row>
        <row r="437">
          <cell r="B437" t="str">
            <v>Universite de Lorraine</v>
          </cell>
          <cell r="C437">
            <v>36</v>
          </cell>
          <cell r="D437" t="str">
            <v>CBJ</v>
          </cell>
          <cell r="E437">
            <v>1.2990411422875059</v>
          </cell>
        </row>
        <row r="438">
          <cell r="B438" t="str">
            <v>Royal Institute of Technology</v>
          </cell>
          <cell r="C438">
            <v>12</v>
          </cell>
          <cell r="D438" t="str">
            <v>DCK</v>
          </cell>
          <cell r="E438">
            <v>1.2970129708792499</v>
          </cell>
        </row>
        <row r="439">
          <cell r="B439" t="str">
            <v>Hanyang University</v>
          </cell>
          <cell r="C439">
            <v>19</v>
          </cell>
          <cell r="D439" t="str">
            <v>CGJ</v>
          </cell>
          <cell r="E439">
            <v>1.295223556331091</v>
          </cell>
        </row>
        <row r="440">
          <cell r="B440" t="str">
            <v>Leibniz University Hannover</v>
          </cell>
          <cell r="C440">
            <v>40</v>
          </cell>
          <cell r="D440" t="str">
            <v>BAA</v>
          </cell>
          <cell r="E440">
            <v>1.2952144876859999</v>
          </cell>
        </row>
        <row r="441">
          <cell r="B441" t="str">
            <v>Aalborg University</v>
          </cell>
          <cell r="C441">
            <v>16</v>
          </cell>
          <cell r="D441" t="str">
            <v>BHF</v>
          </cell>
          <cell r="E441">
            <v>1.292628184500707</v>
          </cell>
        </row>
        <row r="442">
          <cell r="B442" t="str">
            <v>IPAG Business School</v>
          </cell>
          <cell r="C442">
            <v>40</v>
          </cell>
          <cell r="D442" t="str">
            <v>BBR</v>
          </cell>
          <cell r="E442">
            <v>1.292580834246797</v>
          </cell>
        </row>
        <row r="443">
          <cell r="B443" t="str">
            <v>Binghamton University, SUNY</v>
          </cell>
          <cell r="C443">
            <v>20</v>
          </cell>
          <cell r="D443" t="str">
            <v>DDI</v>
          </cell>
          <cell r="E443">
            <v>1.29227809426457</v>
          </cell>
        </row>
        <row r="444">
          <cell r="B444" t="str">
            <v>University of Luxembourg</v>
          </cell>
          <cell r="C444">
            <v>35</v>
          </cell>
          <cell r="D444" t="str">
            <v>CAX</v>
          </cell>
          <cell r="E444">
            <v>1.291571390300553</v>
          </cell>
        </row>
        <row r="445">
          <cell r="B445" t="str">
            <v>ESCP Business School</v>
          </cell>
          <cell r="C445">
            <v>11</v>
          </cell>
          <cell r="D445" t="str">
            <v>BHU</v>
          </cell>
          <cell r="E445">
            <v>1.2894380603597719</v>
          </cell>
        </row>
        <row r="446">
          <cell r="B446" t="str">
            <v>Nanjing University of Finance &amp; Economics</v>
          </cell>
          <cell r="C446">
            <v>42</v>
          </cell>
          <cell r="D446" t="str">
            <v>CAO</v>
          </cell>
          <cell r="E446">
            <v>1.2888552125276569</v>
          </cell>
        </row>
        <row r="447">
          <cell r="B447" t="str">
            <v>Texas State University San Marcos</v>
          </cell>
          <cell r="C447">
            <v>7</v>
          </cell>
          <cell r="D447" t="str">
            <v>DEW</v>
          </cell>
          <cell r="E447">
            <v>1.2883347293519249</v>
          </cell>
        </row>
        <row r="448">
          <cell r="B448" t="str">
            <v>Kedge Business School</v>
          </cell>
          <cell r="C448">
            <v>10</v>
          </cell>
          <cell r="D448" t="str">
            <v>BEP</v>
          </cell>
          <cell r="E448">
            <v>1.2869307499475491</v>
          </cell>
        </row>
        <row r="449">
          <cell r="B449" t="str">
            <v>University of Milano-Bicocca</v>
          </cell>
          <cell r="C449">
            <v>32</v>
          </cell>
          <cell r="D449" t="str">
            <v>CHH</v>
          </cell>
          <cell r="E449">
            <v>1.286743238842863</v>
          </cell>
        </row>
        <row r="450">
          <cell r="B450" t="str">
            <v>University of West England</v>
          </cell>
          <cell r="C450">
            <v>11</v>
          </cell>
          <cell r="D450" t="str">
            <v>DCP</v>
          </cell>
          <cell r="E450">
            <v>1.2822781760170019</v>
          </cell>
        </row>
        <row r="451">
          <cell r="B451" t="str">
            <v>Kobe University</v>
          </cell>
          <cell r="C451">
            <v>58</v>
          </cell>
          <cell r="D451" t="str">
            <v>ACJ</v>
          </cell>
          <cell r="E451">
            <v>1.2809499863221789</v>
          </cell>
        </row>
        <row r="452">
          <cell r="B452" t="str">
            <v>Universite Grenoble Alpes (UGA)</v>
          </cell>
          <cell r="C452">
            <v>23</v>
          </cell>
          <cell r="D452" t="str">
            <v>CHG</v>
          </cell>
          <cell r="E452">
            <v>1.2789417057032131</v>
          </cell>
        </row>
        <row r="453">
          <cell r="B453" t="str">
            <v>Marche Polytechnic University</v>
          </cell>
          <cell r="C453">
            <v>42</v>
          </cell>
          <cell r="D453" t="str">
            <v>BDH</v>
          </cell>
          <cell r="E453">
            <v>1.278790680319134</v>
          </cell>
        </row>
        <row r="454">
          <cell r="B454" t="str">
            <v>University of Trento</v>
          </cell>
          <cell r="C454">
            <v>33</v>
          </cell>
          <cell r="D454" t="str">
            <v>BBU</v>
          </cell>
          <cell r="E454">
            <v>1.2783933587454861</v>
          </cell>
        </row>
        <row r="455">
          <cell r="B455" t="str">
            <v>University of Otago</v>
          </cell>
          <cell r="C455">
            <v>22</v>
          </cell>
          <cell r="D455" t="str">
            <v>BFZ</v>
          </cell>
          <cell r="E455">
            <v>1.2777764820317219</v>
          </cell>
        </row>
        <row r="456">
          <cell r="B456" t="str">
            <v>Kyoto University</v>
          </cell>
          <cell r="C456">
            <v>26</v>
          </cell>
          <cell r="D456" t="str">
            <v>ADN</v>
          </cell>
          <cell r="E456">
            <v>1.2755659431183091</v>
          </cell>
        </row>
        <row r="457">
          <cell r="B457" t="str">
            <v>Universite PSL</v>
          </cell>
          <cell r="C457">
            <v>51</v>
          </cell>
          <cell r="D457" t="str">
            <v>BCW</v>
          </cell>
          <cell r="E457">
            <v>1.2723244649040879</v>
          </cell>
        </row>
        <row r="458">
          <cell r="B458" t="str">
            <v>University of Johannesburg</v>
          </cell>
          <cell r="C458">
            <v>38</v>
          </cell>
          <cell r="D458" t="str">
            <v>CAB</v>
          </cell>
          <cell r="E458">
            <v>1.270082434044105</v>
          </cell>
        </row>
        <row r="459">
          <cell r="B459" t="str">
            <v>Sun Yat Sen University</v>
          </cell>
          <cell r="C459">
            <v>54</v>
          </cell>
          <cell r="D459" t="str">
            <v>BDO</v>
          </cell>
          <cell r="E459">
            <v>1.2700433744201289</v>
          </cell>
        </row>
        <row r="460">
          <cell r="B460" t="str">
            <v>Sungkyunkwan University (SKKU)</v>
          </cell>
          <cell r="C460">
            <v>41</v>
          </cell>
          <cell r="D460" t="str">
            <v>BDS</v>
          </cell>
          <cell r="E460">
            <v>1.2699468827654059</v>
          </cell>
        </row>
        <row r="461">
          <cell r="B461" t="str">
            <v>Oklahoma State University - Stillwater</v>
          </cell>
          <cell r="C461">
            <v>31</v>
          </cell>
          <cell r="D461" t="str">
            <v>BCS</v>
          </cell>
          <cell r="E461">
            <v>1.2693860701795661</v>
          </cell>
        </row>
        <row r="462">
          <cell r="B462" t="str">
            <v>Complutense University of Madrid</v>
          </cell>
          <cell r="C462">
            <v>51</v>
          </cell>
          <cell r="D462" t="str">
            <v>CCF</v>
          </cell>
          <cell r="E462">
            <v>1.269105685054849</v>
          </cell>
        </row>
        <row r="463">
          <cell r="B463" t="str">
            <v>Illinois State University</v>
          </cell>
          <cell r="C463">
            <v>17</v>
          </cell>
          <cell r="D463" t="str">
            <v>DCJ</v>
          </cell>
          <cell r="E463">
            <v>1.2663983085449171</v>
          </cell>
        </row>
        <row r="464">
          <cell r="B464" t="str">
            <v>Chinese Academy of Sciences</v>
          </cell>
          <cell r="C464">
            <v>79</v>
          </cell>
          <cell r="D464" t="str">
            <v>ADY</v>
          </cell>
          <cell r="E464">
            <v>1.265978724759532</v>
          </cell>
        </row>
        <row r="465">
          <cell r="B465" t="str">
            <v>University of Pretoria</v>
          </cell>
          <cell r="C465">
            <v>70</v>
          </cell>
          <cell r="D465" t="str">
            <v>AGX</v>
          </cell>
          <cell r="E465">
            <v>1.264904650314518</v>
          </cell>
        </row>
        <row r="466">
          <cell r="B466" t="str">
            <v>Shandong University</v>
          </cell>
          <cell r="C466">
            <v>35</v>
          </cell>
          <cell r="D466" t="str">
            <v>BFQ</v>
          </cell>
          <cell r="E466">
            <v>1.26331815110891</v>
          </cell>
        </row>
        <row r="467">
          <cell r="B467" t="str">
            <v>Shenzhen University</v>
          </cell>
          <cell r="C467">
            <v>30</v>
          </cell>
          <cell r="D467" t="str">
            <v>CGM</v>
          </cell>
          <cell r="E467">
            <v>1.2621550372856489</v>
          </cell>
        </row>
        <row r="468">
          <cell r="B468" t="str">
            <v>University of Canterbury</v>
          </cell>
          <cell r="C468">
            <v>16</v>
          </cell>
          <cell r="D468" t="str">
            <v>BEI</v>
          </cell>
          <cell r="E468">
            <v>1.2609662936421639</v>
          </cell>
        </row>
        <row r="469">
          <cell r="B469" t="str">
            <v>East China University of Science &amp; Technology</v>
          </cell>
          <cell r="C469">
            <v>17</v>
          </cell>
          <cell r="D469" t="str">
            <v>BHH</v>
          </cell>
          <cell r="E469">
            <v>1.259962788190589</v>
          </cell>
        </row>
        <row r="470">
          <cell r="B470" t="str">
            <v>Florida International University</v>
          </cell>
          <cell r="C470">
            <v>30</v>
          </cell>
          <cell r="D470" t="str">
            <v>BBA</v>
          </cell>
          <cell r="E470">
            <v>1.259322793805048</v>
          </cell>
        </row>
        <row r="471">
          <cell r="B471" t="str">
            <v>Middlesex University</v>
          </cell>
          <cell r="C471">
            <v>11</v>
          </cell>
          <cell r="D471" t="str">
            <v>BFP</v>
          </cell>
          <cell r="E471">
            <v>1.2581631835216069</v>
          </cell>
        </row>
        <row r="472">
          <cell r="B472" t="str">
            <v>Florida Atlantic University</v>
          </cell>
          <cell r="C472">
            <v>27</v>
          </cell>
          <cell r="D472" t="str">
            <v>CBP</v>
          </cell>
          <cell r="E472">
            <v>1.2579605716426649</v>
          </cell>
        </row>
        <row r="473">
          <cell r="B473" t="str">
            <v>WHU - Otto Beisheim School of Management</v>
          </cell>
          <cell r="C473">
            <v>18</v>
          </cell>
          <cell r="D473" t="str">
            <v>AHO</v>
          </cell>
          <cell r="E473">
            <v>1.2562725097554981</v>
          </cell>
        </row>
        <row r="474">
          <cell r="B474" t="str">
            <v>Griffith University</v>
          </cell>
          <cell r="C474">
            <v>46</v>
          </cell>
          <cell r="D474" t="str">
            <v>BBF</v>
          </cell>
          <cell r="E474">
            <v>1.256006806660263</v>
          </cell>
        </row>
        <row r="475">
          <cell r="B475" t="str">
            <v>University of Newcastle</v>
          </cell>
          <cell r="C475">
            <v>14</v>
          </cell>
          <cell r="D475" t="str">
            <v>AGT</v>
          </cell>
          <cell r="E475">
            <v>1.2554103256973319</v>
          </cell>
        </row>
        <row r="476">
          <cell r="B476" t="str">
            <v>Newcastle University - UK</v>
          </cell>
          <cell r="C476">
            <v>27</v>
          </cell>
          <cell r="D476" t="str">
            <v>BCP</v>
          </cell>
          <cell r="E476">
            <v>1.254163305776189</v>
          </cell>
        </row>
        <row r="477">
          <cell r="B477" t="str">
            <v>Swansea University</v>
          </cell>
          <cell r="C477">
            <v>11</v>
          </cell>
          <cell r="D477" t="str">
            <v>CHQ</v>
          </cell>
          <cell r="E477">
            <v>1.25104046483968</v>
          </cell>
        </row>
        <row r="478">
          <cell r="B478" t="str">
            <v>Southeast University - China</v>
          </cell>
          <cell r="C478">
            <v>23</v>
          </cell>
          <cell r="D478" t="str">
            <v>BEJ</v>
          </cell>
          <cell r="E478">
            <v>1.250665681189751</v>
          </cell>
        </row>
        <row r="479">
          <cell r="B479" t="str">
            <v>National Central University</v>
          </cell>
          <cell r="C479">
            <v>33</v>
          </cell>
          <cell r="D479" t="str">
            <v>CGT</v>
          </cell>
          <cell r="E479">
            <v>1.249000325557639</v>
          </cell>
        </row>
        <row r="480">
          <cell r="B480" t="str">
            <v>Victoria University Wellington</v>
          </cell>
          <cell r="C480">
            <v>21</v>
          </cell>
          <cell r="D480" t="str">
            <v>BHZ</v>
          </cell>
          <cell r="E480">
            <v>1.2478195024942</v>
          </cell>
        </row>
        <row r="481">
          <cell r="B481" t="str">
            <v>University of Haifa</v>
          </cell>
          <cell r="C481">
            <v>27</v>
          </cell>
          <cell r="D481" t="str">
            <v>DDX</v>
          </cell>
          <cell r="E481">
            <v>1.247656540315899</v>
          </cell>
        </row>
        <row r="482">
          <cell r="B482" t="str">
            <v>Universidade de Lisboa</v>
          </cell>
          <cell r="C482">
            <v>53</v>
          </cell>
          <cell r="D482" t="str">
            <v>CAW</v>
          </cell>
          <cell r="E482">
            <v>1.2433906838470521</v>
          </cell>
        </row>
        <row r="483">
          <cell r="B483" t="str">
            <v>Tallinn University of Technology</v>
          </cell>
          <cell r="C483">
            <v>23</v>
          </cell>
          <cell r="D483" t="str">
            <v>DEV</v>
          </cell>
          <cell r="E483">
            <v>1.242814010319012</v>
          </cell>
        </row>
        <row r="484">
          <cell r="B484" t="str">
            <v>University at Albany, SUNY</v>
          </cell>
          <cell r="C484">
            <v>14</v>
          </cell>
          <cell r="D484" t="str">
            <v>DDH</v>
          </cell>
          <cell r="E484">
            <v>1.2412384352994279</v>
          </cell>
        </row>
        <row r="485">
          <cell r="B485" t="str">
            <v>Villanova University</v>
          </cell>
          <cell r="C485">
            <v>17</v>
          </cell>
          <cell r="D485" t="str">
            <v>AGM</v>
          </cell>
          <cell r="E485">
            <v>1.240945286551761</v>
          </cell>
        </row>
        <row r="486">
          <cell r="B486" t="str">
            <v>Nottingham Trent University</v>
          </cell>
          <cell r="C486">
            <v>22</v>
          </cell>
          <cell r="D486" t="str">
            <v>BDW</v>
          </cell>
          <cell r="E486">
            <v>1.2404933292379889</v>
          </cell>
        </row>
        <row r="487">
          <cell r="B487" t="str">
            <v>Queensland University of Technology (QUT)</v>
          </cell>
          <cell r="C487">
            <v>35</v>
          </cell>
          <cell r="D487" t="str">
            <v>AFJ</v>
          </cell>
          <cell r="E487">
            <v>1.237004000433003</v>
          </cell>
        </row>
        <row r="488">
          <cell r="B488" t="str">
            <v>University of New Mexico</v>
          </cell>
          <cell r="C488">
            <v>19</v>
          </cell>
          <cell r="D488" t="str">
            <v>DCN</v>
          </cell>
          <cell r="E488">
            <v>1.236058708298772</v>
          </cell>
        </row>
        <row r="489">
          <cell r="B489" t="str">
            <v>COMSATS University Islamabad (CUI)</v>
          </cell>
          <cell r="C489">
            <v>31</v>
          </cell>
          <cell r="D489" t="str">
            <v>BAL</v>
          </cell>
          <cell r="E489">
            <v>1.234703061613843</v>
          </cell>
        </row>
        <row r="490">
          <cell r="B490" t="str">
            <v>Universite de Montpellier</v>
          </cell>
          <cell r="C490">
            <v>39</v>
          </cell>
          <cell r="D490" t="str">
            <v>BFT</v>
          </cell>
          <cell r="E490">
            <v>1.2322268068400131</v>
          </cell>
        </row>
        <row r="491">
          <cell r="B491" t="str">
            <v>University of Witwatersrand</v>
          </cell>
          <cell r="C491">
            <v>22</v>
          </cell>
          <cell r="D491" t="str">
            <v>DBP</v>
          </cell>
          <cell r="E491">
            <v>1.231196209313218</v>
          </cell>
        </row>
        <row r="492">
          <cell r="B492" t="str">
            <v>Qatar University</v>
          </cell>
          <cell r="C492">
            <v>17</v>
          </cell>
          <cell r="D492" t="str">
            <v>BGG</v>
          </cell>
          <cell r="E492">
            <v>1.2273004071611939</v>
          </cell>
        </row>
        <row r="493">
          <cell r="B493" t="str">
            <v>Warsaw School of Economics</v>
          </cell>
          <cell r="C493">
            <v>41</v>
          </cell>
          <cell r="D493" t="str">
            <v>AGZ</v>
          </cell>
          <cell r="E493">
            <v>1.2260244769683351</v>
          </cell>
        </row>
        <row r="494">
          <cell r="B494" t="str">
            <v>Curtin University</v>
          </cell>
          <cell r="C494">
            <v>34</v>
          </cell>
          <cell r="D494" t="str">
            <v>BAP</v>
          </cell>
          <cell r="E494">
            <v>1.2248855996115211</v>
          </cell>
        </row>
        <row r="495">
          <cell r="B495" t="str">
            <v>Universiti Putra Malaysia</v>
          </cell>
          <cell r="C495">
            <v>16</v>
          </cell>
          <cell r="D495" t="str">
            <v>DBW</v>
          </cell>
          <cell r="E495">
            <v>1.2235091092182391</v>
          </cell>
        </row>
        <row r="496">
          <cell r="B496" t="str">
            <v>Aston University</v>
          </cell>
          <cell r="C496">
            <v>17</v>
          </cell>
          <cell r="D496" t="str">
            <v>AEB</v>
          </cell>
          <cell r="E496">
            <v>1.221373720908032</v>
          </cell>
        </row>
        <row r="497">
          <cell r="B497" t="str">
            <v>Universidad de Chile</v>
          </cell>
          <cell r="C497">
            <v>30</v>
          </cell>
          <cell r="D497" t="str">
            <v>CAQ</v>
          </cell>
          <cell r="E497">
            <v>1.2213579700518269</v>
          </cell>
        </row>
        <row r="498">
          <cell r="B498" t="str">
            <v>National Sun Yat Sen University</v>
          </cell>
          <cell r="C498">
            <v>26</v>
          </cell>
          <cell r="D498" t="str">
            <v>CHD</v>
          </cell>
          <cell r="E498">
            <v>1.2209513016547731</v>
          </cell>
        </row>
        <row r="499">
          <cell r="B499" t="str">
            <v>University of Granada</v>
          </cell>
          <cell r="C499">
            <v>39</v>
          </cell>
          <cell r="D499" t="str">
            <v>BEY</v>
          </cell>
          <cell r="E499">
            <v>1.2195137907720379</v>
          </cell>
        </row>
        <row r="500">
          <cell r="B500" t="str">
            <v>Jiangxi University of Finance &amp; Economics</v>
          </cell>
          <cell r="C500">
            <v>34</v>
          </cell>
          <cell r="D500" t="str">
            <v>CGW</v>
          </cell>
          <cell r="E500">
            <v>1.219100546525111</v>
          </cell>
        </row>
        <row r="501">
          <cell r="B501" t="str">
            <v>Universidad de Castilla-La Mancha</v>
          </cell>
          <cell r="C501">
            <v>26</v>
          </cell>
          <cell r="D501" t="str">
            <v>CAP</v>
          </cell>
          <cell r="E501">
            <v>1.2169784161108199</v>
          </cell>
        </row>
        <row r="502">
          <cell r="B502" t="str">
            <v>HSE University (National Research University Higher School of Economics)</v>
          </cell>
          <cell r="C502">
            <v>85</v>
          </cell>
          <cell r="D502" t="str">
            <v>CBQ</v>
          </cell>
          <cell r="E502">
            <v>1.215107946268366</v>
          </cell>
        </row>
        <row r="503">
          <cell r="B503" t="str">
            <v>Universidade de Coimbra</v>
          </cell>
          <cell r="C503">
            <v>20</v>
          </cell>
          <cell r="D503" t="str">
            <v>CCE</v>
          </cell>
          <cell r="E503">
            <v>1.2148961063540999</v>
          </cell>
        </row>
        <row r="504">
          <cell r="B504" t="str">
            <v>Edith Cowan University</v>
          </cell>
          <cell r="C504">
            <v>6</v>
          </cell>
          <cell r="D504" t="str">
            <v>DCI</v>
          </cell>
          <cell r="E504">
            <v>1.2137023989543301</v>
          </cell>
        </row>
        <row r="505">
          <cell r="B505" t="str">
            <v>University of Texas at San Antonio (UTSA)</v>
          </cell>
          <cell r="C505">
            <v>32</v>
          </cell>
          <cell r="D505" t="str">
            <v>BDP</v>
          </cell>
          <cell r="E505">
            <v>1.2130253660584791</v>
          </cell>
        </row>
        <row r="506">
          <cell r="B506" t="str">
            <v>Universita degli Studi di Bari Aldo Moro</v>
          </cell>
          <cell r="C506">
            <v>30</v>
          </cell>
          <cell r="D506" t="str">
            <v>CGN</v>
          </cell>
          <cell r="E506">
            <v>1.212305061405422</v>
          </cell>
        </row>
        <row r="507">
          <cell r="B507" t="str">
            <v>University of Valencia</v>
          </cell>
          <cell r="C507">
            <v>59</v>
          </cell>
          <cell r="D507" t="str">
            <v>BGP</v>
          </cell>
          <cell r="E507">
            <v>1.2117916262374111</v>
          </cell>
        </row>
        <row r="508">
          <cell r="B508" t="str">
            <v>Pusan National University</v>
          </cell>
          <cell r="C508">
            <v>24</v>
          </cell>
          <cell r="D508" t="str">
            <v>DEP</v>
          </cell>
          <cell r="E508">
            <v>1.2107646137316359</v>
          </cell>
        </row>
        <row r="509">
          <cell r="B509" t="str">
            <v>Sichuan University</v>
          </cell>
          <cell r="C509">
            <v>61</v>
          </cell>
          <cell r="D509" t="str">
            <v>BDL</v>
          </cell>
          <cell r="E509">
            <v>1.2085832086226891</v>
          </cell>
        </row>
        <row r="510">
          <cell r="B510" t="str">
            <v>University of Tasmania</v>
          </cell>
          <cell r="C510">
            <v>25</v>
          </cell>
          <cell r="D510" t="str">
            <v>AFP</v>
          </cell>
          <cell r="E510">
            <v>1.207251751745835</v>
          </cell>
        </row>
        <row r="511">
          <cell r="B511" t="str">
            <v>University of Sevilla</v>
          </cell>
          <cell r="C511">
            <v>28</v>
          </cell>
          <cell r="D511" t="str">
            <v>CBK</v>
          </cell>
          <cell r="E511">
            <v>1.207090590214152</v>
          </cell>
        </row>
        <row r="512">
          <cell r="B512" t="str">
            <v>Guangdong University of Foreign Studies</v>
          </cell>
          <cell r="C512">
            <v>26</v>
          </cell>
          <cell r="D512" t="str">
            <v>DCW</v>
          </cell>
          <cell r="E512">
            <v>1.2059000806345199</v>
          </cell>
        </row>
        <row r="513">
          <cell r="B513" t="str">
            <v>Northeastern University - China</v>
          </cell>
          <cell r="C513">
            <v>18</v>
          </cell>
          <cell r="D513" t="str">
            <v>DEN</v>
          </cell>
          <cell r="E513">
            <v>1.205259242536197</v>
          </cell>
        </row>
        <row r="514">
          <cell r="B514" t="str">
            <v>University of Derby</v>
          </cell>
          <cell r="C514">
            <v>15</v>
          </cell>
          <cell r="D514" t="str">
            <v>DDJ</v>
          </cell>
          <cell r="E514">
            <v>1.2052140112005261</v>
          </cell>
        </row>
        <row r="515">
          <cell r="B515" t="str">
            <v>Hang Seng University of Hong Kong</v>
          </cell>
          <cell r="C515">
            <v>15</v>
          </cell>
          <cell r="D515" t="str">
            <v>DDT</v>
          </cell>
          <cell r="E515">
            <v>1.2045318143363619</v>
          </cell>
        </row>
        <row r="516">
          <cell r="B516" t="str">
            <v>National Chengchi University</v>
          </cell>
          <cell r="C516">
            <v>50</v>
          </cell>
          <cell r="D516" t="str">
            <v>CAE</v>
          </cell>
          <cell r="E516">
            <v>1.2038175717531601</v>
          </cell>
        </row>
        <row r="517">
          <cell r="B517" t="str">
            <v>Athens University of Economics &amp; Business</v>
          </cell>
          <cell r="C517">
            <v>44</v>
          </cell>
          <cell r="D517" t="str">
            <v>AHV</v>
          </cell>
          <cell r="E517">
            <v>1.202112841958014</v>
          </cell>
        </row>
        <row r="518">
          <cell r="B518" t="str">
            <v>Universitat Jaume I</v>
          </cell>
          <cell r="C518">
            <v>40</v>
          </cell>
          <cell r="D518" t="str">
            <v>CAU</v>
          </cell>
          <cell r="E518">
            <v>1.2012576433625659</v>
          </cell>
        </row>
        <row r="519">
          <cell r="B519" t="str">
            <v>University of North Texas Denton</v>
          </cell>
          <cell r="C519">
            <v>9</v>
          </cell>
          <cell r="D519" t="str">
            <v>BAN</v>
          </cell>
          <cell r="E519">
            <v>1.198475646420015</v>
          </cell>
        </row>
        <row r="520">
          <cell r="B520" t="str">
            <v>Hefei University of Technology</v>
          </cell>
          <cell r="C520">
            <v>19</v>
          </cell>
          <cell r="D520" t="str">
            <v>DAN</v>
          </cell>
          <cell r="E520">
            <v>1.195878745077477</v>
          </cell>
        </row>
        <row r="521">
          <cell r="B521" t="str">
            <v>Universidad Publica de Navarra</v>
          </cell>
          <cell r="C521">
            <v>17</v>
          </cell>
          <cell r="D521" t="str">
            <v>DDC</v>
          </cell>
          <cell r="E521">
            <v>1.193333058625953</v>
          </cell>
        </row>
        <row r="522">
          <cell r="B522" t="str">
            <v>Poznan University of Economics &amp; Business</v>
          </cell>
          <cell r="C522">
            <v>24</v>
          </cell>
          <cell r="D522" t="str">
            <v>DBB</v>
          </cell>
          <cell r="E522">
            <v>1.1897768922414389</v>
          </cell>
        </row>
        <row r="523">
          <cell r="B523" t="str">
            <v>University of Vaasa</v>
          </cell>
          <cell r="C523">
            <v>12</v>
          </cell>
          <cell r="D523" t="str">
            <v>CBS</v>
          </cell>
          <cell r="E523">
            <v>1.1879695801177259</v>
          </cell>
        </row>
        <row r="524">
          <cell r="B524" t="str">
            <v>Universitat d'Alacant</v>
          </cell>
          <cell r="C524">
            <v>20</v>
          </cell>
          <cell r="D524" t="str">
            <v>CBX</v>
          </cell>
          <cell r="E524">
            <v>1.1878130540864389</v>
          </cell>
        </row>
        <row r="525">
          <cell r="B525" t="str">
            <v>Universidade de Sao Paulo</v>
          </cell>
          <cell r="C525">
            <v>44</v>
          </cell>
          <cell r="D525" t="str">
            <v>CCH</v>
          </cell>
          <cell r="E525">
            <v>1.186754057668211</v>
          </cell>
        </row>
        <row r="526">
          <cell r="B526" t="str">
            <v>Dongbei University of Finance &amp; Economics</v>
          </cell>
          <cell r="C526">
            <v>27</v>
          </cell>
          <cell r="D526" t="str">
            <v>CGY</v>
          </cell>
          <cell r="E526">
            <v>1.18518961998397</v>
          </cell>
        </row>
        <row r="527">
          <cell r="B527" t="str">
            <v>Brunel University</v>
          </cell>
          <cell r="C527">
            <v>29</v>
          </cell>
          <cell r="D527" t="str">
            <v>BAB</v>
          </cell>
          <cell r="E527">
            <v>1.1847598224258979</v>
          </cell>
        </row>
        <row r="528">
          <cell r="B528" t="str">
            <v>Korea University</v>
          </cell>
          <cell r="C528">
            <v>51</v>
          </cell>
          <cell r="D528" t="str">
            <v>BBZ</v>
          </cell>
          <cell r="E528">
            <v>1.1844294920099201</v>
          </cell>
        </row>
        <row r="529">
          <cell r="B529" t="str">
            <v>Autonomous University of Madrid</v>
          </cell>
          <cell r="C529">
            <v>29</v>
          </cell>
          <cell r="D529" t="str">
            <v>CAJ</v>
          </cell>
          <cell r="E529">
            <v>1.1826542549656489</v>
          </cell>
        </row>
        <row r="530">
          <cell r="B530" t="str">
            <v>Toronto Metropolitan University</v>
          </cell>
          <cell r="C530">
            <v>23</v>
          </cell>
          <cell r="D530" t="str">
            <v>ADE</v>
          </cell>
          <cell r="E530">
            <v>1.1823438081581681</v>
          </cell>
        </row>
        <row r="531">
          <cell r="B531" t="str">
            <v>Universidade do Minho</v>
          </cell>
          <cell r="C531">
            <v>30</v>
          </cell>
          <cell r="D531" t="str">
            <v>CAY</v>
          </cell>
          <cell r="E531">
            <v>1.175635699139423</v>
          </cell>
        </row>
        <row r="532">
          <cell r="B532" t="str">
            <v>University of Warsaw</v>
          </cell>
          <cell r="C532">
            <v>45</v>
          </cell>
          <cell r="D532" t="str">
            <v>BHR</v>
          </cell>
          <cell r="E532">
            <v>1.1743174016517981</v>
          </cell>
        </row>
        <row r="533">
          <cell r="B533" t="str">
            <v>Universidade da Beira Interior</v>
          </cell>
          <cell r="C533">
            <v>19</v>
          </cell>
          <cell r="D533" t="str">
            <v>DCE</v>
          </cell>
          <cell r="E533">
            <v>1.172985353291276</v>
          </cell>
        </row>
        <row r="534">
          <cell r="B534" t="str">
            <v>University of Murcia</v>
          </cell>
          <cell r="C534">
            <v>18</v>
          </cell>
          <cell r="D534" t="str">
            <v>CAZ</v>
          </cell>
          <cell r="E534">
            <v>1.172090692450964</v>
          </cell>
        </row>
        <row r="535">
          <cell r="B535" t="str">
            <v>Ton Duc Thang University</v>
          </cell>
          <cell r="C535">
            <v>23</v>
          </cell>
          <cell r="D535" t="str">
            <v>DDA</v>
          </cell>
          <cell r="E535">
            <v>1.1704186119914159</v>
          </cell>
        </row>
        <row r="536">
          <cell r="B536" t="str">
            <v>Audencia</v>
          </cell>
          <cell r="C536">
            <v>22</v>
          </cell>
          <cell r="D536" t="str">
            <v>BBW</v>
          </cell>
          <cell r="E536">
            <v>1.1662258274687101</v>
          </cell>
        </row>
        <row r="537">
          <cell r="B537" t="str">
            <v>Universiti Malaya</v>
          </cell>
          <cell r="C537">
            <v>22</v>
          </cell>
          <cell r="D537" t="str">
            <v>BDY</v>
          </cell>
          <cell r="E537">
            <v>1.164642039472727</v>
          </cell>
        </row>
        <row r="538">
          <cell r="B538" t="str">
            <v>Xi'an Jiaotong-Liverpool University</v>
          </cell>
          <cell r="C538">
            <v>18</v>
          </cell>
          <cell r="D538" t="str">
            <v>DBT</v>
          </cell>
          <cell r="E538">
            <v>1.1631609847910349</v>
          </cell>
        </row>
        <row r="539">
          <cell r="B539" t="str">
            <v>Universidad de Malaga</v>
          </cell>
          <cell r="C539">
            <v>26</v>
          </cell>
          <cell r="D539" t="str">
            <v>CHN</v>
          </cell>
          <cell r="E539">
            <v>1.158899697564169</v>
          </cell>
        </row>
        <row r="540">
          <cell r="B540" t="str">
            <v>Polytechnic University of Milan</v>
          </cell>
          <cell r="C540">
            <v>20</v>
          </cell>
          <cell r="D540" t="str">
            <v>AFH</v>
          </cell>
          <cell r="E540">
            <v>1.1582628040253971</v>
          </cell>
        </row>
        <row r="541">
          <cell r="B541" t="str">
            <v>Jilin University</v>
          </cell>
          <cell r="C541">
            <v>27</v>
          </cell>
          <cell r="D541" t="str">
            <v>BHE</v>
          </cell>
          <cell r="E541">
            <v>1.1581402697326559</v>
          </cell>
        </row>
        <row r="542">
          <cell r="B542" t="str">
            <v>Tamkang University</v>
          </cell>
          <cell r="C542">
            <v>22</v>
          </cell>
          <cell r="D542" t="str">
            <v>DCZ</v>
          </cell>
          <cell r="E542">
            <v>1.152064511966699</v>
          </cell>
        </row>
        <row r="543">
          <cell r="B543" t="str">
            <v>University of Macau</v>
          </cell>
          <cell r="C543">
            <v>32</v>
          </cell>
          <cell r="D543" t="str">
            <v>CHJ</v>
          </cell>
          <cell r="E543">
            <v>1.150705933672346</v>
          </cell>
        </row>
        <row r="544">
          <cell r="B544" t="str">
            <v>Old Dominion University</v>
          </cell>
          <cell r="C544">
            <v>16</v>
          </cell>
          <cell r="D544" t="str">
            <v>CHF</v>
          </cell>
          <cell r="E544">
            <v>1.150307317267159</v>
          </cell>
        </row>
        <row r="545">
          <cell r="B545" t="str">
            <v>Zhejiang University of Finance &amp; Economics</v>
          </cell>
          <cell r="C545">
            <v>39</v>
          </cell>
          <cell r="D545" t="str">
            <v>CGZ</v>
          </cell>
          <cell r="E545">
            <v>1.147866036557835</v>
          </cell>
        </row>
        <row r="546">
          <cell r="B546" t="str">
            <v>Eastern Mediterranean University</v>
          </cell>
          <cell r="C546">
            <v>23</v>
          </cell>
          <cell r="D546" t="str">
            <v>DAD</v>
          </cell>
          <cell r="E546">
            <v>1.146894517608595</v>
          </cell>
        </row>
        <row r="547">
          <cell r="B547" t="str">
            <v>Jonkoping University</v>
          </cell>
          <cell r="C547">
            <v>16</v>
          </cell>
          <cell r="D547" t="str">
            <v>BBT</v>
          </cell>
          <cell r="E547">
            <v>1.1457454959061319</v>
          </cell>
        </row>
        <row r="548">
          <cell r="B548" t="str">
            <v>South China University of Technology</v>
          </cell>
          <cell r="C548">
            <v>32</v>
          </cell>
          <cell r="D548" t="str">
            <v>CCG</v>
          </cell>
          <cell r="E548">
            <v>1.14558538704458</v>
          </cell>
        </row>
        <row r="549">
          <cell r="B549" t="str">
            <v>Lappeenranta-Lahti University of Technology LUT</v>
          </cell>
          <cell r="C549">
            <v>6</v>
          </cell>
          <cell r="D549" t="str">
            <v>BCA</v>
          </cell>
          <cell r="E549">
            <v>1.1449669193502749</v>
          </cell>
        </row>
        <row r="550">
          <cell r="B550" t="str">
            <v>University of Aberdeen</v>
          </cell>
          <cell r="C550">
            <v>16</v>
          </cell>
          <cell r="D550" t="str">
            <v>BEM</v>
          </cell>
          <cell r="E550">
            <v>1.1427413703453231</v>
          </cell>
        </row>
        <row r="551">
          <cell r="B551" t="str">
            <v>Universite de Sfax</v>
          </cell>
          <cell r="C551">
            <v>30</v>
          </cell>
          <cell r="D551" t="str">
            <v>BAF</v>
          </cell>
          <cell r="E551">
            <v>1.141833134969809</v>
          </cell>
        </row>
        <row r="552">
          <cell r="B552" t="str">
            <v>Kozminski University</v>
          </cell>
          <cell r="C552">
            <v>18</v>
          </cell>
          <cell r="D552" t="str">
            <v>DFE</v>
          </cell>
          <cell r="E552">
            <v>1.1416604064040989</v>
          </cell>
        </row>
        <row r="553">
          <cell r="B553" t="str">
            <v>Guangdong University of Finance &amp; Economics</v>
          </cell>
          <cell r="C553">
            <v>24</v>
          </cell>
          <cell r="D553" t="str">
            <v>DCA</v>
          </cell>
          <cell r="E553">
            <v>1.1408476956275111</v>
          </cell>
        </row>
        <row r="554">
          <cell r="B554" t="str">
            <v>Kyung Hee University</v>
          </cell>
          <cell r="C554">
            <v>20</v>
          </cell>
          <cell r="D554" t="str">
            <v>CGX</v>
          </cell>
          <cell r="E554">
            <v>1.1399634018402689</v>
          </cell>
        </row>
        <row r="555">
          <cell r="B555" t="str">
            <v>Universidade de Vigo</v>
          </cell>
          <cell r="C555">
            <v>22</v>
          </cell>
          <cell r="D555" t="str">
            <v>CCI</v>
          </cell>
          <cell r="E555">
            <v>1.1373747263626901</v>
          </cell>
        </row>
        <row r="556">
          <cell r="B556" t="str">
            <v>Shanghai University</v>
          </cell>
          <cell r="C556">
            <v>35</v>
          </cell>
          <cell r="D556" t="str">
            <v>BDM</v>
          </cell>
          <cell r="E556">
            <v>1.1336911897526101</v>
          </cell>
        </row>
        <row r="557">
          <cell r="B557" t="str">
            <v>University of Nottingham Ningbo China</v>
          </cell>
          <cell r="C557">
            <v>22</v>
          </cell>
          <cell r="D557" t="str">
            <v>BGU</v>
          </cell>
          <cell r="E557">
            <v>1.133026688962826</v>
          </cell>
        </row>
        <row r="558">
          <cell r="B558" t="str">
            <v>Universiti Sains Malaysia</v>
          </cell>
          <cell r="C558">
            <v>21</v>
          </cell>
          <cell r="D558" t="str">
            <v>AHU</v>
          </cell>
          <cell r="E558">
            <v>1.1324997226298319</v>
          </cell>
        </row>
        <row r="559">
          <cell r="B559" t="str">
            <v>Chongqing University</v>
          </cell>
          <cell r="C559">
            <v>26</v>
          </cell>
          <cell r="D559" t="str">
            <v>BFN</v>
          </cell>
          <cell r="E559">
            <v>1.1278169023302209</v>
          </cell>
        </row>
        <row r="560">
          <cell r="B560" t="str">
            <v>King Abdulaziz University</v>
          </cell>
          <cell r="C560">
            <v>13</v>
          </cell>
          <cell r="D560" t="str">
            <v>DBJ</v>
          </cell>
          <cell r="E560">
            <v>1.1265210389592419</v>
          </cell>
        </row>
        <row r="561">
          <cell r="B561" t="str">
            <v>Dalian University of Technology</v>
          </cell>
          <cell r="C561">
            <v>18</v>
          </cell>
          <cell r="D561" t="str">
            <v>CGO</v>
          </cell>
          <cell r="E561">
            <v>1.1232506895751651</v>
          </cell>
        </row>
        <row r="562">
          <cell r="B562" t="str">
            <v>Marquette University</v>
          </cell>
          <cell r="C562">
            <v>12</v>
          </cell>
          <cell r="D562" t="str">
            <v>DDV</v>
          </cell>
          <cell r="E562">
            <v>1.1223910959601671</v>
          </cell>
        </row>
        <row r="563">
          <cell r="B563" t="str">
            <v>University of Piraeus</v>
          </cell>
          <cell r="C563">
            <v>26</v>
          </cell>
          <cell r="D563" t="str">
            <v>BGC</v>
          </cell>
          <cell r="E563">
            <v>1.121727770808626</v>
          </cell>
        </row>
        <row r="564">
          <cell r="B564" t="str">
            <v>National Kaohsiung University of Science &amp; Technology</v>
          </cell>
          <cell r="C564">
            <v>16</v>
          </cell>
          <cell r="D564" t="str">
            <v>DCB</v>
          </cell>
          <cell r="E564">
            <v>1.121272871154587</v>
          </cell>
        </row>
        <row r="565">
          <cell r="B565" t="str">
            <v>Coventry University</v>
          </cell>
          <cell r="C565">
            <v>20</v>
          </cell>
          <cell r="D565" t="str">
            <v>BDC</v>
          </cell>
          <cell r="E565">
            <v>1.117015274701598</v>
          </cell>
        </row>
        <row r="566">
          <cell r="B566" t="str">
            <v>Tianjin University</v>
          </cell>
          <cell r="C566">
            <v>45</v>
          </cell>
          <cell r="D566" t="str">
            <v>AHH</v>
          </cell>
          <cell r="E566">
            <v>1.111527127511748</v>
          </cell>
        </row>
        <row r="567">
          <cell r="B567" t="str">
            <v>National Taipei University</v>
          </cell>
          <cell r="C567">
            <v>21</v>
          </cell>
          <cell r="D567" t="str">
            <v>DCY</v>
          </cell>
          <cell r="E567">
            <v>1.11098835882701</v>
          </cell>
        </row>
        <row r="568">
          <cell r="B568" t="str">
            <v>Delft University of Technology</v>
          </cell>
          <cell r="C568">
            <v>19</v>
          </cell>
          <cell r="D568" t="str">
            <v>BAQ</v>
          </cell>
          <cell r="E568">
            <v>1.110877203915497</v>
          </cell>
        </row>
        <row r="569">
          <cell r="B569" t="str">
            <v>University of Economics Bratislava</v>
          </cell>
          <cell r="C569">
            <v>39</v>
          </cell>
          <cell r="D569" t="str">
            <v>AFV</v>
          </cell>
          <cell r="E569">
            <v>1.109001101508996</v>
          </cell>
        </row>
        <row r="570">
          <cell r="B570" t="str">
            <v>Feng Chia University</v>
          </cell>
          <cell r="C570">
            <v>26</v>
          </cell>
          <cell r="D570" t="str">
            <v>DDU</v>
          </cell>
          <cell r="E570">
            <v>1.108738128335675</v>
          </cell>
        </row>
        <row r="571">
          <cell r="B571" t="str">
            <v>Universidad Rey Juan Carlos</v>
          </cell>
          <cell r="C571">
            <v>12</v>
          </cell>
          <cell r="D571" t="str">
            <v>DCD</v>
          </cell>
          <cell r="E571">
            <v>1.1051932130243991</v>
          </cell>
        </row>
        <row r="572">
          <cell r="B572" t="str">
            <v>Prague University of Economics &amp; Business</v>
          </cell>
          <cell r="C572">
            <v>50</v>
          </cell>
          <cell r="D572" t="str">
            <v>BHV</v>
          </cell>
          <cell r="E572">
            <v>1.1051211753859329</v>
          </cell>
        </row>
        <row r="573">
          <cell r="B573" t="str">
            <v>Zhejiang Gongshang University</v>
          </cell>
          <cell r="C573">
            <v>33</v>
          </cell>
          <cell r="D573" t="str">
            <v>BGH</v>
          </cell>
          <cell r="E573">
            <v>1.1024284614597031</v>
          </cell>
        </row>
        <row r="574">
          <cell r="B574" t="str">
            <v>University of Salento</v>
          </cell>
          <cell r="C574">
            <v>15</v>
          </cell>
          <cell r="D574" t="str">
            <v>DBH</v>
          </cell>
          <cell r="E574">
            <v>1.0977148799386689</v>
          </cell>
        </row>
        <row r="575">
          <cell r="B575" t="str">
            <v>Harbin Institute of Technology</v>
          </cell>
          <cell r="C575">
            <v>19</v>
          </cell>
          <cell r="D575" t="str">
            <v>CAF</v>
          </cell>
          <cell r="E575">
            <v>1.0903558297185969</v>
          </cell>
        </row>
        <row r="576">
          <cell r="B576" t="str">
            <v>Islamic Azad University</v>
          </cell>
          <cell r="C576">
            <v>19</v>
          </cell>
          <cell r="D576" t="str">
            <v>DEY</v>
          </cell>
          <cell r="E576">
            <v>1.085397477948111</v>
          </cell>
        </row>
        <row r="577">
          <cell r="B577" t="str">
            <v>Corvinus University Budapest</v>
          </cell>
          <cell r="C577">
            <v>20</v>
          </cell>
          <cell r="D577" t="str">
            <v>DEJ</v>
          </cell>
          <cell r="E577">
            <v>1.085186883453515</v>
          </cell>
        </row>
        <row r="578">
          <cell r="B578" t="str">
            <v>University of Twente</v>
          </cell>
          <cell r="C578">
            <v>8</v>
          </cell>
          <cell r="D578" t="str">
            <v>ADS</v>
          </cell>
          <cell r="E578">
            <v>1.084231537393761</v>
          </cell>
        </row>
        <row r="579">
          <cell r="B579" t="str">
            <v>University of Tehran</v>
          </cell>
          <cell r="C579">
            <v>16</v>
          </cell>
          <cell r="D579" t="str">
            <v>DED</v>
          </cell>
          <cell r="E579">
            <v>1.0827279042856459</v>
          </cell>
        </row>
        <row r="580">
          <cell r="B580" t="str">
            <v>Northwestern Polytechnical University</v>
          </cell>
          <cell r="C580">
            <v>9</v>
          </cell>
          <cell r="D580" t="str">
            <v>DAP</v>
          </cell>
          <cell r="E580">
            <v>1.082519333366081</v>
          </cell>
        </row>
        <row r="581">
          <cell r="B581" t="str">
            <v>Tecnologico de Monterrey</v>
          </cell>
          <cell r="C581">
            <v>17</v>
          </cell>
          <cell r="D581" t="str">
            <v>CAH</v>
          </cell>
          <cell r="E581">
            <v>1.080595686548026</v>
          </cell>
        </row>
        <row r="582">
          <cell r="B582" t="str">
            <v>Universitat Politecnica de Valencia</v>
          </cell>
          <cell r="C582">
            <v>20</v>
          </cell>
          <cell r="D582" t="str">
            <v>CBE</v>
          </cell>
          <cell r="E582">
            <v>1.0790299143060851</v>
          </cell>
        </row>
        <row r="583">
          <cell r="B583" t="str">
            <v>Eindhoven University of Technology</v>
          </cell>
          <cell r="C583">
            <v>11</v>
          </cell>
          <cell r="D583" t="str">
            <v>BAU</v>
          </cell>
          <cell r="E583">
            <v>1.0657798271705341</v>
          </cell>
        </row>
        <row r="584">
          <cell r="B584" t="str">
            <v>National Cheng Kung University</v>
          </cell>
          <cell r="C584">
            <v>16</v>
          </cell>
          <cell r="D584" t="str">
            <v>DEM</v>
          </cell>
          <cell r="E584">
            <v>1.0574576891275149</v>
          </cell>
        </row>
        <row r="585">
          <cell r="B585" t="str">
            <v>Brock University</v>
          </cell>
          <cell r="C585">
            <v>7</v>
          </cell>
          <cell r="D585" t="str">
            <v>DEG</v>
          </cell>
          <cell r="E585">
            <v>1.0541705904418439</v>
          </cell>
        </row>
        <row r="586">
          <cell r="B586" t="str">
            <v>Swinburne University of Technology</v>
          </cell>
          <cell r="C586">
            <v>6</v>
          </cell>
          <cell r="D586" t="str">
            <v>BCD</v>
          </cell>
          <cell r="E586">
            <v>1.0516136166039189</v>
          </cell>
        </row>
        <row r="587">
          <cell r="B587" t="str">
            <v>University of Zagreb</v>
          </cell>
          <cell r="C587">
            <v>22</v>
          </cell>
          <cell r="D587" t="str">
            <v>CBR</v>
          </cell>
          <cell r="E587">
            <v>1.045813261326993</v>
          </cell>
        </row>
        <row r="588">
          <cell r="B588" t="str">
            <v>University of Novi Sad</v>
          </cell>
          <cell r="C588">
            <v>30</v>
          </cell>
          <cell r="D588" t="str">
            <v>DEB</v>
          </cell>
          <cell r="E588">
            <v>1.043634715620384</v>
          </cell>
        </row>
        <row r="589">
          <cell r="B589" t="str">
            <v>De Montfort University</v>
          </cell>
          <cell r="C589">
            <v>8</v>
          </cell>
          <cell r="D589" t="str">
            <v>CCD</v>
          </cell>
          <cell r="E589">
            <v>1.0429960156613021</v>
          </cell>
        </row>
        <row r="590">
          <cell r="B590" t="str">
            <v>Chung Ang University</v>
          </cell>
          <cell r="C590">
            <v>24</v>
          </cell>
          <cell r="D590" t="str">
            <v>DAR</v>
          </cell>
          <cell r="E590">
            <v>1.0349150953843129</v>
          </cell>
        </row>
        <row r="591">
          <cell r="B591" t="str">
            <v>Universidade Federal do Rio Grande do Sul</v>
          </cell>
          <cell r="C591">
            <v>14</v>
          </cell>
          <cell r="D591" t="str">
            <v>AHN</v>
          </cell>
          <cell r="E591">
            <v>1.032725348621073</v>
          </cell>
        </row>
        <row r="592">
          <cell r="B592" t="str">
            <v>University of Belgrade</v>
          </cell>
          <cell r="C592">
            <v>30</v>
          </cell>
          <cell r="D592" t="str">
            <v>DDE</v>
          </cell>
          <cell r="E592">
            <v>1.0317005699510049</v>
          </cell>
        </row>
        <row r="593">
          <cell r="B593" t="str">
            <v>Xi'an Jiaotong University</v>
          </cell>
          <cell r="C593">
            <v>67</v>
          </cell>
          <cell r="D593" t="str">
            <v>BHB</v>
          </cell>
          <cell r="E593">
            <v>1.030600741083477</v>
          </cell>
        </row>
        <row r="594">
          <cell r="B594" t="str">
            <v>National Yang Ming Chiao Tung University</v>
          </cell>
          <cell r="C594">
            <v>14</v>
          </cell>
          <cell r="D594" t="str">
            <v>DDM</v>
          </cell>
          <cell r="E594">
            <v>1.0304042783102201</v>
          </cell>
        </row>
        <row r="595">
          <cell r="B595" t="str">
            <v>University of Massachusetts Lowell</v>
          </cell>
          <cell r="C595">
            <v>6</v>
          </cell>
          <cell r="D595" t="str">
            <v>DDP</v>
          </cell>
          <cell r="E595">
            <v>1.029619812901615</v>
          </cell>
        </row>
        <row r="596">
          <cell r="B596" t="str">
            <v>Bucharest University of Economic Studies</v>
          </cell>
          <cell r="C596">
            <v>97</v>
          </cell>
          <cell r="D596" t="str">
            <v>CBO</v>
          </cell>
          <cell r="E596">
            <v>1.0291596251974009</v>
          </cell>
        </row>
        <row r="597">
          <cell r="B597" t="str">
            <v>Vilnius Gediminas Technical University</v>
          </cell>
          <cell r="C597">
            <v>41</v>
          </cell>
          <cell r="D597" t="str">
            <v>BGX</v>
          </cell>
          <cell r="E597">
            <v>1.019002732245923</v>
          </cell>
        </row>
        <row r="598">
          <cell r="B598" t="str">
            <v>Cranfield University</v>
          </cell>
          <cell r="C598">
            <v>7</v>
          </cell>
          <cell r="D598" t="str">
            <v>DBZ</v>
          </cell>
          <cell r="E598">
            <v>1.0022287795961631</v>
          </cell>
        </row>
        <row r="599">
          <cell r="B599" t="str">
            <v>Ming Chuan University</v>
          </cell>
          <cell r="C599">
            <v>10</v>
          </cell>
          <cell r="D599" t="str">
            <v>DEK</v>
          </cell>
          <cell r="E599">
            <v>1</v>
          </cell>
        </row>
      </sheetData>
      <sheetData sheetId="8">
        <row r="1">
          <cell r="B1" t="str">
            <v>journal</v>
          </cell>
          <cell r="C1" t="str">
            <v>acr</v>
          </cell>
          <cell r="D1" t="str">
            <v>pub</v>
          </cell>
          <cell r="E1" t="str">
            <v>journal_score</v>
          </cell>
        </row>
        <row r="2">
          <cell r="B2" t="str">
            <v>JOURNAL OF FINANCE</v>
          </cell>
          <cell r="C2" t="str">
            <v>ADN</v>
          </cell>
          <cell r="D2">
            <v>73</v>
          </cell>
          <cell r="E2">
            <v>10</v>
          </cell>
        </row>
        <row r="3">
          <cell r="B3" t="str">
            <v>JOURNAL OF ACCOUNTING &amp; ECONOMICS</v>
          </cell>
          <cell r="C3" t="str">
            <v>BDJ</v>
          </cell>
          <cell r="D3">
            <v>35</v>
          </cell>
          <cell r="E3">
            <v>9.3621041899833255</v>
          </cell>
        </row>
        <row r="4">
          <cell r="B4" t="str">
            <v>REVIEW OF FINANCIAL STUDIES</v>
          </cell>
          <cell r="C4" t="str">
            <v>ABS</v>
          </cell>
          <cell r="D4">
            <v>141</v>
          </cell>
          <cell r="E4">
            <v>9.1522360935591198</v>
          </cell>
        </row>
        <row r="5">
          <cell r="B5" t="str">
            <v>JOURNAL OF ACCOUNTING RESEARCH</v>
          </cell>
          <cell r="C5" t="str">
            <v>DDL</v>
          </cell>
          <cell r="D5">
            <v>34</v>
          </cell>
          <cell r="E5">
            <v>8.6445253822655381</v>
          </cell>
        </row>
        <row r="6">
          <cell r="B6" t="str">
            <v>JOURNAL OF FINANCIAL ECONOMICS</v>
          </cell>
          <cell r="C6" t="str">
            <v>ABL</v>
          </cell>
          <cell r="D6">
            <v>152</v>
          </cell>
          <cell r="E6">
            <v>7.8081909963416836</v>
          </cell>
        </row>
        <row r="7">
          <cell r="B7" t="str">
            <v>REVIEW OF ACCOUNTING STUDIES</v>
          </cell>
          <cell r="C7" t="str">
            <v>DCZ</v>
          </cell>
          <cell r="D7">
            <v>51</v>
          </cell>
          <cell r="E7">
            <v>6.3171155569197657</v>
          </cell>
        </row>
        <row r="8">
          <cell r="B8" t="str">
            <v>ACCOUNTING REVIEW</v>
          </cell>
          <cell r="C8" t="str">
            <v>DCO</v>
          </cell>
          <cell r="D8">
            <v>92</v>
          </cell>
          <cell r="E8">
            <v>5.8441539224884522</v>
          </cell>
        </row>
        <row r="9">
          <cell r="B9" t="str">
            <v>JOURNAL OF FINANCIAL INTERMEDIATION</v>
          </cell>
          <cell r="C9" t="str">
            <v>DEB</v>
          </cell>
          <cell r="D9">
            <v>26</v>
          </cell>
          <cell r="E9">
            <v>4.9653575789305284</v>
          </cell>
        </row>
        <row r="10">
          <cell r="B10" t="str">
            <v>REVIEW OF FINANCE</v>
          </cell>
          <cell r="C10" t="str">
            <v>BDY</v>
          </cell>
          <cell r="D10">
            <v>17</v>
          </cell>
          <cell r="E10">
            <v>4.3640231600626436</v>
          </cell>
        </row>
        <row r="11">
          <cell r="B11" t="str">
            <v>CONTEMPORARY ACCOUNTING RESEARCH</v>
          </cell>
          <cell r="C11" t="str">
            <v>DCL</v>
          </cell>
          <cell r="D11">
            <v>113</v>
          </cell>
          <cell r="E11">
            <v>3.796381125732831</v>
          </cell>
        </row>
        <row r="12">
          <cell r="B12" t="str">
            <v>ANNUAL REVIEW OF FINANCIAL ECONOMICS</v>
          </cell>
          <cell r="C12" t="str">
            <v>HCB</v>
          </cell>
          <cell r="D12">
            <v>15</v>
          </cell>
          <cell r="E12">
            <v>3.4852447177401591</v>
          </cell>
        </row>
        <row r="13">
          <cell r="B13" t="str">
            <v>JOURNAL OF FINANCIAL AND QUANTITATIVE ANALYSIS</v>
          </cell>
          <cell r="C13" t="str">
            <v>AEI</v>
          </cell>
          <cell r="D13">
            <v>82</v>
          </cell>
          <cell r="E13">
            <v>3.4240728666699112</v>
          </cell>
        </row>
        <row r="14">
          <cell r="B14" t="str">
            <v>ACCOUNTING ORGANIZATIONS AND SOCIETY</v>
          </cell>
          <cell r="C14" t="str">
            <v>DAF</v>
          </cell>
          <cell r="D14">
            <v>42</v>
          </cell>
          <cell r="E14">
            <v>3.2753897497594719</v>
          </cell>
        </row>
        <row r="15">
          <cell r="B15" t="str">
            <v>IMF ECONOMIC REVIEW</v>
          </cell>
          <cell r="C15" t="str">
            <v>CAM</v>
          </cell>
          <cell r="D15">
            <v>21</v>
          </cell>
          <cell r="E15">
            <v>2.2325114257939132</v>
          </cell>
        </row>
        <row r="16">
          <cell r="B16" t="str">
            <v>JOURNAL OF MONETARY ECONOMICS</v>
          </cell>
          <cell r="C16" t="str">
            <v>ACY</v>
          </cell>
          <cell r="D16">
            <v>102</v>
          </cell>
          <cell r="E16">
            <v>2.174169448348366</v>
          </cell>
        </row>
        <row r="17">
          <cell r="B17" t="str">
            <v>AUDITING-A JOURNAL OF PRACTICE &amp; THEORY</v>
          </cell>
          <cell r="C17" t="str">
            <v>DDH</v>
          </cell>
          <cell r="D17">
            <v>39</v>
          </cell>
          <cell r="E17">
            <v>1.890019352299853</v>
          </cell>
        </row>
        <row r="18">
          <cell r="B18" t="str">
            <v>JOURNAL OF CORPORATE FINANCE</v>
          </cell>
          <cell r="C18" t="str">
            <v>DCF</v>
          </cell>
          <cell r="D18">
            <v>234</v>
          </cell>
          <cell r="E18">
            <v>1.8692249941597789</v>
          </cell>
        </row>
        <row r="19">
          <cell r="B19" t="str">
            <v>MANAGEMENT ACCOUNTING RESEARCH</v>
          </cell>
          <cell r="C19" t="str">
            <v>DFF</v>
          </cell>
          <cell r="D19">
            <v>16</v>
          </cell>
          <cell r="E19">
            <v>1.74743635362661</v>
          </cell>
        </row>
        <row r="20">
          <cell r="B20" t="str">
            <v>MATHEMATICAL FINANCE</v>
          </cell>
          <cell r="C20" t="str">
            <v>AGL</v>
          </cell>
          <cell r="D20">
            <v>43</v>
          </cell>
          <cell r="E20">
            <v>1.7381168373736631</v>
          </cell>
        </row>
        <row r="21">
          <cell r="B21" t="str">
            <v>FINANCIAL MANAGEMENT</v>
          </cell>
          <cell r="C21" t="str">
            <v>DDZ</v>
          </cell>
          <cell r="D21">
            <v>48</v>
          </cell>
          <cell r="E21">
            <v>1.611254109196723</v>
          </cell>
        </row>
        <row r="22">
          <cell r="B22" t="str">
            <v>EUROPEAN ACCOUNTING REVIEW</v>
          </cell>
          <cell r="C22" t="str">
            <v>DCX</v>
          </cell>
          <cell r="D22">
            <v>57</v>
          </cell>
          <cell r="E22">
            <v>1.527573015168413</v>
          </cell>
        </row>
        <row r="23">
          <cell r="B23" t="str">
            <v>JOURNAL OF FINANCIAL ECONOMETRICS</v>
          </cell>
          <cell r="C23" t="str">
            <v>CBI</v>
          </cell>
          <cell r="D23">
            <v>21</v>
          </cell>
          <cell r="E23">
            <v>1.507990862067786</v>
          </cell>
        </row>
        <row r="24">
          <cell r="B24" t="str">
            <v>ACCOUNTING HORIZONS</v>
          </cell>
          <cell r="C24" t="str">
            <v>DDI</v>
          </cell>
          <cell r="D24">
            <v>36</v>
          </cell>
          <cell r="E24">
            <v>1.5076606811140869</v>
          </cell>
        </row>
        <row r="25">
          <cell r="B25" t="str">
            <v>FINANCIAL ANALYSTS JOURNAL</v>
          </cell>
          <cell r="C25" t="str">
            <v>DDT</v>
          </cell>
          <cell r="D25">
            <v>28</v>
          </cell>
          <cell r="E25">
            <v>1.4921176619514169</v>
          </cell>
        </row>
        <row r="26">
          <cell r="B26" t="str">
            <v>JOURNAL OF BUSINESS FINANCE &amp; ACCOUNTING</v>
          </cell>
          <cell r="C26" t="str">
            <v>DCW</v>
          </cell>
          <cell r="D26">
            <v>66</v>
          </cell>
          <cell r="E26">
            <v>1.4337047319932119</v>
          </cell>
        </row>
        <row r="27">
          <cell r="B27" t="str">
            <v>REAL ESTATE ECONOMICS</v>
          </cell>
          <cell r="C27" t="str">
            <v>AGK</v>
          </cell>
          <cell r="D27">
            <v>63</v>
          </cell>
          <cell r="E27">
            <v>1.3524914393003129</v>
          </cell>
        </row>
        <row r="28">
          <cell r="B28" t="str">
            <v>JOURNAL OF RISK AND UNCERTAINTY</v>
          </cell>
          <cell r="C28" t="str">
            <v>BGY</v>
          </cell>
          <cell r="D28">
            <v>24</v>
          </cell>
          <cell r="E28">
            <v>1.3382784310549749</v>
          </cell>
        </row>
        <row r="29">
          <cell r="B29" t="str">
            <v>JOURNAL OF FINANCIAL MARKETS</v>
          </cell>
          <cell r="C29" t="str">
            <v>DDO</v>
          </cell>
          <cell r="D29">
            <v>33</v>
          </cell>
          <cell r="E29">
            <v>1.327328415142276</v>
          </cell>
        </row>
        <row r="30">
          <cell r="B30" t="str">
            <v>CRITICAL PERSPECTIVES ON ACCOUNTING</v>
          </cell>
          <cell r="C30" t="str">
            <v>DDS</v>
          </cell>
          <cell r="D30">
            <v>31</v>
          </cell>
          <cell r="E30">
            <v>1.2491542847122981</v>
          </cell>
        </row>
        <row r="31">
          <cell r="B31" t="str">
            <v>JOURNAL OF BANKING &amp; FINANCE</v>
          </cell>
          <cell r="C31" t="str">
            <v>AAR</v>
          </cell>
          <cell r="D31">
            <v>220</v>
          </cell>
          <cell r="E31">
            <v>1.245200609569701</v>
          </cell>
        </row>
        <row r="32">
          <cell r="B32" t="str">
            <v>FINANCE AND STOCHASTICS</v>
          </cell>
          <cell r="C32" t="str">
            <v>DFJ</v>
          </cell>
          <cell r="D32">
            <v>27</v>
          </cell>
          <cell r="E32">
            <v>1.244366484287122</v>
          </cell>
        </row>
        <row r="33">
          <cell r="B33" t="str">
            <v>INTERNATIONAL JOURNAL OF CENTRAL BANKING</v>
          </cell>
          <cell r="C33" t="str">
            <v>DDD</v>
          </cell>
          <cell r="D33">
            <v>44</v>
          </cell>
          <cell r="E33">
            <v>1.24403761254316</v>
          </cell>
        </row>
        <row r="34">
          <cell r="B34" t="str">
            <v>INTERNATIONAL REVIEW OF FINANCIAL ANALYSIS</v>
          </cell>
          <cell r="C34" t="str">
            <v>DCJ</v>
          </cell>
          <cell r="D34">
            <v>164</v>
          </cell>
          <cell r="E34">
            <v>1.1410853417040081</v>
          </cell>
        </row>
        <row r="35">
          <cell r="B35" t="str">
            <v>JOURNAL OF FINANCIAL STABILITY</v>
          </cell>
          <cell r="C35" t="str">
            <v>BBD</v>
          </cell>
          <cell r="D35">
            <v>45</v>
          </cell>
          <cell r="E35">
            <v>1.095950531500901</v>
          </cell>
        </row>
        <row r="36">
          <cell r="B36" t="str">
            <v>BRITISH ACCOUNTING REVIEW</v>
          </cell>
          <cell r="C36" t="str">
            <v>DDJ</v>
          </cell>
          <cell r="D36">
            <v>36</v>
          </cell>
          <cell r="E36">
            <v>0.99231215201361334</v>
          </cell>
        </row>
        <row r="37">
          <cell r="B37" t="str">
            <v>NATIONAL TAX JOURNAL</v>
          </cell>
          <cell r="C37" t="str">
            <v>BBP</v>
          </cell>
          <cell r="D37">
            <v>44</v>
          </cell>
          <cell r="E37">
            <v>0.99101246385517394</v>
          </cell>
        </row>
        <row r="38">
          <cell r="B38" t="str">
            <v>EUROPEAN FINANCIAL MANAGEMENT</v>
          </cell>
          <cell r="C38" t="str">
            <v>DCY</v>
          </cell>
          <cell r="D38">
            <v>54</v>
          </cell>
          <cell r="E38">
            <v>0.99085944289422356</v>
          </cell>
        </row>
        <row r="39">
          <cell r="B39" t="str">
            <v>SIAM JOURNAL ON FINANCIAL MATHEMATICS</v>
          </cell>
          <cell r="C39" t="str">
            <v>DFG</v>
          </cell>
          <cell r="D39">
            <v>41</v>
          </cell>
          <cell r="E39">
            <v>0.98959432669623715</v>
          </cell>
        </row>
        <row r="40">
          <cell r="B40" t="str">
            <v>JOURNAL OF MONEY CREDIT AND BANKING</v>
          </cell>
          <cell r="C40" t="str">
            <v>ADL</v>
          </cell>
          <cell r="D40">
            <v>73</v>
          </cell>
          <cell r="E40">
            <v>0.96985748622622259</v>
          </cell>
        </row>
        <row r="41">
          <cell r="B41" t="str">
            <v>JOURNAL OF RISK AND INSURANCE</v>
          </cell>
          <cell r="C41" t="str">
            <v>AHD</v>
          </cell>
          <cell r="D41">
            <v>53</v>
          </cell>
          <cell r="E41">
            <v>0.89120737634382163</v>
          </cell>
        </row>
        <row r="42">
          <cell r="B42" t="str">
            <v>ACCOUNTING AND BUSINESS RESEARCH</v>
          </cell>
          <cell r="C42" t="str">
            <v>DDC</v>
          </cell>
          <cell r="D42">
            <v>46</v>
          </cell>
          <cell r="E42">
            <v>0.87457795183196174</v>
          </cell>
        </row>
        <row r="43">
          <cell r="B43" t="str">
            <v>GENEVA RISK AND INSURANCE REVIEW</v>
          </cell>
          <cell r="C43" t="str">
            <v>CEK</v>
          </cell>
          <cell r="D43">
            <v>14</v>
          </cell>
          <cell r="E43">
            <v>0.87153774954032925</v>
          </cell>
        </row>
        <row r="44">
          <cell r="B44" t="str">
            <v>JOURNAL OF FINANCIAL SERVICES RESEARCH</v>
          </cell>
          <cell r="C44" t="str">
            <v>DAR</v>
          </cell>
          <cell r="D44">
            <v>34</v>
          </cell>
          <cell r="E44">
            <v>0.8004622598953447</v>
          </cell>
        </row>
        <row r="45">
          <cell r="B45" t="str">
            <v>ABACUS-A JOURNAL OF ACCOUNTING FINANCE AND BUSINESS STUDIES</v>
          </cell>
          <cell r="C45" t="str">
            <v>DED</v>
          </cell>
          <cell r="D45">
            <v>24</v>
          </cell>
          <cell r="E45">
            <v>0.79824737513408206</v>
          </cell>
        </row>
        <row r="46">
          <cell r="B46" t="str">
            <v>FINANCE RESEARCH LETTERS</v>
          </cell>
          <cell r="C46" t="str">
            <v>DCE</v>
          </cell>
          <cell r="D46">
            <v>299</v>
          </cell>
          <cell r="E46">
            <v>0.7817651039285396</v>
          </cell>
        </row>
        <row r="47">
          <cell r="B47" t="str">
            <v>ACCOUNTING AUDITING &amp; ACCOUNTABILITY JOURNAL</v>
          </cell>
          <cell r="C47" t="str">
            <v>DCN</v>
          </cell>
          <cell r="D47">
            <v>96</v>
          </cell>
          <cell r="E47">
            <v>0.75596621045386447</v>
          </cell>
        </row>
        <row r="48">
          <cell r="B48" t="str">
            <v>JOURNAL OF FINANCIAL RESEARCH</v>
          </cell>
          <cell r="C48" t="str">
            <v>DEG</v>
          </cell>
          <cell r="D48">
            <v>24</v>
          </cell>
          <cell r="E48">
            <v>0.75144620095958981</v>
          </cell>
        </row>
        <row r="49">
          <cell r="B49" t="str">
            <v>JOURNAL OF PORTFOLIO MANAGEMENT</v>
          </cell>
          <cell r="C49" t="str">
            <v>DCV</v>
          </cell>
          <cell r="D49">
            <v>75</v>
          </cell>
          <cell r="E49">
            <v>0.74677680314799555</v>
          </cell>
        </row>
        <row r="50">
          <cell r="B50" t="str">
            <v>INTERNATIONAL JOURNAL OF AUDITING</v>
          </cell>
          <cell r="C50" t="str">
            <v>DAZ</v>
          </cell>
          <cell r="D50">
            <v>31</v>
          </cell>
          <cell r="E50">
            <v>0.72564066264931926</v>
          </cell>
        </row>
        <row r="51">
          <cell r="B51" t="str">
            <v>INTERNATIONAL JOURNAL OF ACCOUNTING INFORMATION SYSTEMS</v>
          </cell>
          <cell r="C51" t="str">
            <v>DFP</v>
          </cell>
          <cell r="D51">
            <v>20</v>
          </cell>
          <cell r="E51">
            <v>0.71732425173644965</v>
          </cell>
        </row>
        <row r="52">
          <cell r="B52" t="str">
            <v>JOURNAL OF REAL ESTATE FINANCE AND ECONOMICS</v>
          </cell>
          <cell r="C52" t="str">
            <v>ACW</v>
          </cell>
          <cell r="D52">
            <v>98</v>
          </cell>
          <cell r="E52">
            <v>0.71377623892707776</v>
          </cell>
        </row>
        <row r="53">
          <cell r="B53" t="str">
            <v>CORPORATE GOVERNANCE-AN INTERNATIONAL REVIEW</v>
          </cell>
          <cell r="C53" t="str">
            <v>DFM</v>
          </cell>
          <cell r="D53">
            <v>26</v>
          </cell>
          <cell r="E53">
            <v>0.6729166005076358</v>
          </cell>
        </row>
        <row r="54">
          <cell r="B54" t="str">
            <v>JOURNAL OF INFORMATION SYSTEMS</v>
          </cell>
          <cell r="C54" t="str">
            <v>DAN</v>
          </cell>
          <cell r="D54">
            <v>33</v>
          </cell>
          <cell r="E54">
            <v>0.66910258041717918</v>
          </cell>
        </row>
        <row r="55">
          <cell r="B55" t="str">
            <v>JOURNAL OF COMPUTATIONAL FINANCE</v>
          </cell>
          <cell r="C55" t="str">
            <v>DEP</v>
          </cell>
          <cell r="D55">
            <v>16</v>
          </cell>
          <cell r="E55">
            <v>0.66787427554566514</v>
          </cell>
        </row>
        <row r="56">
          <cell r="B56" t="str">
            <v>ASIA-PACIFIC JOURNAL OF FINANCIAL STUDIES</v>
          </cell>
          <cell r="C56" t="str">
            <v>DAV</v>
          </cell>
          <cell r="D56">
            <v>29</v>
          </cell>
          <cell r="E56">
            <v>0.65292460075861869</v>
          </cell>
        </row>
        <row r="57">
          <cell r="B57" t="str">
            <v>JOURNAL OF EMPIRICAL FINANCE</v>
          </cell>
          <cell r="C57" t="str">
            <v>AGT</v>
          </cell>
          <cell r="D57">
            <v>61</v>
          </cell>
          <cell r="E57">
            <v>0.627424598094247</v>
          </cell>
        </row>
        <row r="58">
          <cell r="B58" t="str">
            <v>JOURNAL OF BEHAVIORAL AND EXPERIMENTAL FINANCE</v>
          </cell>
          <cell r="C58" t="str">
            <v>AEH</v>
          </cell>
          <cell r="D58">
            <v>80</v>
          </cell>
          <cell r="E58">
            <v>0.62215042390286568</v>
          </cell>
        </row>
        <row r="59">
          <cell r="B59" t="str">
            <v>RESEARCH IN INTERNATIONAL BUSINESS AND FINANCE</v>
          </cell>
          <cell r="C59" t="str">
            <v>DCH</v>
          </cell>
          <cell r="D59">
            <v>204</v>
          </cell>
          <cell r="E59">
            <v>0.61067426955682513</v>
          </cell>
        </row>
        <row r="60">
          <cell r="B60" t="str">
            <v>JOURNAL OF INTERNATIONAL MONEY AND FINANCE</v>
          </cell>
          <cell r="C60" t="str">
            <v>DCM</v>
          </cell>
          <cell r="D60">
            <v>99</v>
          </cell>
          <cell r="E60">
            <v>0.59473445802131952</v>
          </cell>
        </row>
        <row r="61">
          <cell r="B61" t="str">
            <v>JOURNAL OF REAL ESTATE RESEARCH</v>
          </cell>
          <cell r="C61" t="str">
            <v>CCA</v>
          </cell>
          <cell r="D61">
            <v>20</v>
          </cell>
          <cell r="E61">
            <v>0.56427718827288942</v>
          </cell>
        </row>
        <row r="62">
          <cell r="B62" t="str">
            <v>JOURNAL OF FUTURES MARKETS</v>
          </cell>
          <cell r="C62" t="str">
            <v>DCU</v>
          </cell>
          <cell r="D62">
            <v>80</v>
          </cell>
          <cell r="E62">
            <v>0.55961081968303583</v>
          </cell>
        </row>
        <row r="63">
          <cell r="B63" t="str">
            <v>MATHEMATICS AND FINANCIAL ECONOMICS</v>
          </cell>
          <cell r="C63" t="str">
            <v>BCQ</v>
          </cell>
          <cell r="D63">
            <v>38</v>
          </cell>
          <cell r="E63">
            <v>0.55312332653447105</v>
          </cell>
        </row>
        <row r="64">
          <cell r="B64" t="str">
            <v>JOURNAL OF INTERNATIONAL FINANCIAL MARKETS INSTITUTIONS &amp; MONEY</v>
          </cell>
          <cell r="C64" t="str">
            <v>AGN</v>
          </cell>
          <cell r="D64">
            <v>62</v>
          </cell>
          <cell r="E64">
            <v>0.55175554272334282</v>
          </cell>
        </row>
        <row r="65">
          <cell r="B65" t="str">
            <v>ACCOUNTING FORUM</v>
          </cell>
          <cell r="C65" t="str">
            <v>DEJ</v>
          </cell>
          <cell r="D65">
            <v>20</v>
          </cell>
          <cell r="E65">
            <v>0.53973684485596107</v>
          </cell>
        </row>
        <row r="66">
          <cell r="B66" t="str">
            <v>QUANTITATIVE FINANCE</v>
          </cell>
          <cell r="C66" t="str">
            <v>ABG</v>
          </cell>
          <cell r="D66">
            <v>132</v>
          </cell>
          <cell r="E66">
            <v>0.51441434165683775</v>
          </cell>
        </row>
        <row r="67">
          <cell r="B67" t="str">
            <v>JOURNAL OF MULTINATIONAL FINANCIAL MANAGEMENT</v>
          </cell>
          <cell r="C67" t="str">
            <v>DDW</v>
          </cell>
          <cell r="D67">
            <v>28</v>
          </cell>
          <cell r="E67">
            <v>0.48278824645963059</v>
          </cell>
        </row>
        <row r="68">
          <cell r="B68" t="str">
            <v>PACIFIC-BASIN FINANCE JOURNAL</v>
          </cell>
          <cell r="C68" t="str">
            <v>DCI</v>
          </cell>
          <cell r="D68">
            <v>166</v>
          </cell>
          <cell r="E68">
            <v>0.47664420986884459</v>
          </cell>
        </row>
        <row r="69">
          <cell r="B69" t="str">
            <v>EMERGING MARKETS REVIEW</v>
          </cell>
          <cell r="C69" t="str">
            <v>AHK</v>
          </cell>
          <cell r="D69">
            <v>57</v>
          </cell>
          <cell r="E69">
            <v>0.4678226704787331</v>
          </cell>
        </row>
        <row r="70">
          <cell r="B70" t="str">
            <v>JOURNAL OF COMMODITY MARKETS</v>
          </cell>
          <cell r="C70" t="str">
            <v>CBF</v>
          </cell>
          <cell r="D70">
            <v>21</v>
          </cell>
          <cell r="E70">
            <v>0.46501411675975052</v>
          </cell>
        </row>
        <row r="71">
          <cell r="B71" t="str">
            <v>EUROPEAN JOURNAL OF FINANCE</v>
          </cell>
          <cell r="C71" t="str">
            <v>DCK</v>
          </cell>
          <cell r="D71">
            <v>114</v>
          </cell>
          <cell r="E71">
            <v>0.46183864653206952</v>
          </cell>
        </row>
        <row r="72">
          <cell r="B72" t="str">
            <v>VENTURE CAPITAL</v>
          </cell>
          <cell r="C72" t="str">
            <v>DEN</v>
          </cell>
          <cell r="D72">
            <v>17</v>
          </cell>
          <cell r="E72">
            <v>0.41931078454706111</v>
          </cell>
        </row>
        <row r="73">
          <cell r="B73" t="str">
            <v>INTERNATIONAL REVIEW OF ECONOMICS &amp; FINANCE</v>
          </cell>
          <cell r="C73" t="str">
            <v>AAZ</v>
          </cell>
          <cell r="D73">
            <v>178</v>
          </cell>
          <cell r="E73">
            <v>0.40031574039700152</v>
          </cell>
        </row>
        <row r="74">
          <cell r="B74" t="str">
            <v>MANAGERIAL AUDITING JOURNAL</v>
          </cell>
          <cell r="C74" t="str">
            <v>DFD</v>
          </cell>
          <cell r="D74">
            <v>49</v>
          </cell>
          <cell r="E74">
            <v>0.39557294302377222</v>
          </cell>
        </row>
        <row r="75">
          <cell r="B75" t="str">
            <v>JOURNAL OF INTERNATIONAL FINANCIAL MANAGEMENT &amp; ACCOUNTING</v>
          </cell>
          <cell r="C75" t="str">
            <v>DEU</v>
          </cell>
          <cell r="D75">
            <v>11</v>
          </cell>
          <cell r="E75">
            <v>0.39241622438478502</v>
          </cell>
        </row>
        <row r="76">
          <cell r="B76" t="str">
            <v>JOURNAL OF PENSION ECONOMICS &amp; FINANCE</v>
          </cell>
          <cell r="C76" t="str">
            <v>BHB</v>
          </cell>
          <cell r="D76">
            <v>27</v>
          </cell>
          <cell r="E76">
            <v>0.37688920924164299</v>
          </cell>
        </row>
        <row r="77">
          <cell r="B77" t="str">
            <v>JOURNAL OF CONTEMPORARY ACCOUNTING &amp; ECONOMICS</v>
          </cell>
          <cell r="C77" t="str">
            <v>BFS</v>
          </cell>
          <cell r="D77">
            <v>30</v>
          </cell>
          <cell r="E77">
            <v>0.3758820211820792</v>
          </cell>
        </row>
        <row r="78">
          <cell r="B78" t="str">
            <v>ACCOUNTING AND FINANCE</v>
          </cell>
          <cell r="C78" t="str">
            <v>DCG</v>
          </cell>
          <cell r="D78">
            <v>229</v>
          </cell>
          <cell r="E78">
            <v>0.37163495475997932</v>
          </cell>
        </row>
        <row r="79">
          <cell r="B79" t="str">
            <v>SPANISH JOURNAL OF FINANCE AND ACCOUNTING-REVISTA ESPANOLA DE FINANCIACION Y CONTABILIDAD</v>
          </cell>
          <cell r="C79" t="str">
            <v>DEW</v>
          </cell>
          <cell r="D79">
            <v>7</v>
          </cell>
          <cell r="E79">
            <v>0.36336053501555482</v>
          </cell>
        </row>
        <row r="80">
          <cell r="B80" t="str">
            <v>JOURNAL OF DERIVATIVES</v>
          </cell>
          <cell r="C80" t="str">
            <v>DEC</v>
          </cell>
          <cell r="D80">
            <v>25</v>
          </cell>
          <cell r="E80">
            <v>0.36117611895570251</v>
          </cell>
        </row>
        <row r="81">
          <cell r="B81" t="str">
            <v>GLOBAL FINANCE JOURNAL</v>
          </cell>
          <cell r="C81" t="str">
            <v>DAP</v>
          </cell>
          <cell r="D81">
            <v>32</v>
          </cell>
          <cell r="E81">
            <v>0.35933725212376422</v>
          </cell>
        </row>
        <row r="82">
          <cell r="B82" t="str">
            <v>JOURNAL OF ACCOUNTING AND PUBLIC POLICY</v>
          </cell>
          <cell r="C82" t="str">
            <v>DFK</v>
          </cell>
          <cell r="D82">
            <v>40</v>
          </cell>
          <cell r="E82">
            <v>0.35676410580747497</v>
          </cell>
        </row>
        <row r="83">
          <cell r="B83" t="str">
            <v>WORLD BANK ECONOMIC REVIEW</v>
          </cell>
          <cell r="C83" t="str">
            <v>AHY</v>
          </cell>
          <cell r="D83">
            <v>54</v>
          </cell>
          <cell r="E83">
            <v>0.33390506729787761</v>
          </cell>
        </row>
        <row r="84">
          <cell r="B84" t="str">
            <v>AUSTRALIAN ACCOUNTING REVIEW</v>
          </cell>
          <cell r="C84" t="str">
            <v>DDX</v>
          </cell>
          <cell r="D84">
            <v>27</v>
          </cell>
          <cell r="E84">
            <v>0.32735683309216701</v>
          </cell>
        </row>
        <row r="85">
          <cell r="B85" t="str">
            <v>SUSTAINABILITY ACCOUNTING MANAGEMENT AND POLICY JOURNAL</v>
          </cell>
          <cell r="C85" t="str">
            <v>DEY</v>
          </cell>
          <cell r="D85">
            <v>74</v>
          </cell>
          <cell r="E85">
            <v>0.32714450897854869</v>
          </cell>
        </row>
        <row r="86">
          <cell r="B86" t="str">
            <v>FISCAL STUDIES</v>
          </cell>
          <cell r="C86" t="str">
            <v>BDZ</v>
          </cell>
          <cell r="D86">
            <v>34</v>
          </cell>
          <cell r="E86">
            <v>0.31778735324908558</v>
          </cell>
        </row>
        <row r="87">
          <cell r="B87" t="str">
            <v>JOURNAL OF CREDIT RISK</v>
          </cell>
          <cell r="C87" t="str">
            <v>DET</v>
          </cell>
          <cell r="D87">
            <v>13</v>
          </cell>
          <cell r="E87">
            <v>0.30788381623214339</v>
          </cell>
        </row>
        <row r="88">
          <cell r="B88" t="str">
            <v>QUARTERLY REVIEW OF ECONOMICS AND FINANCE</v>
          </cell>
          <cell r="C88" t="str">
            <v>ACA</v>
          </cell>
          <cell r="D88">
            <v>119</v>
          </cell>
          <cell r="E88">
            <v>0.3068232598273683</v>
          </cell>
        </row>
        <row r="89">
          <cell r="B89" t="str">
            <v>NORTH AMERICAN JOURNAL OF ECONOMICS AND FINANCE</v>
          </cell>
          <cell r="C89" t="str">
            <v>AAM</v>
          </cell>
          <cell r="D89">
            <v>267</v>
          </cell>
          <cell r="E89">
            <v>0.30314957526467601</v>
          </cell>
        </row>
        <row r="90">
          <cell r="B90" t="str">
            <v>COMPTABILITE CONTROLE AUDIT</v>
          </cell>
          <cell r="C90" t="str">
            <v>DEV</v>
          </cell>
          <cell r="D90">
            <v>10</v>
          </cell>
          <cell r="E90">
            <v>0.29323555954433711</v>
          </cell>
        </row>
        <row r="91">
          <cell r="B91" t="str">
            <v>QUALITATIVE RESEARCH IN ACCOUNTING AND MANAGEMENT</v>
          </cell>
          <cell r="C91" t="str">
            <v>DFE</v>
          </cell>
          <cell r="D91">
            <v>29</v>
          </cell>
          <cell r="E91">
            <v>0.26527360304540121</v>
          </cell>
        </row>
        <row r="92">
          <cell r="B92" t="str">
            <v>FINANCIAL INNOVATION</v>
          </cell>
          <cell r="C92" t="str">
            <v>DFL</v>
          </cell>
          <cell r="D92">
            <v>45</v>
          </cell>
          <cell r="E92">
            <v>0.2619065808419167</v>
          </cell>
        </row>
        <row r="93">
          <cell r="B93" t="str">
            <v>JOURNAL OF INDUSTRIAL ECONOMICS</v>
          </cell>
          <cell r="C93" t="str">
            <v>BHK</v>
          </cell>
          <cell r="D93">
            <v>26</v>
          </cell>
          <cell r="E93">
            <v>0.25627351876785881</v>
          </cell>
        </row>
        <row r="94">
          <cell r="B94" t="str">
            <v>JOURNAL OF BEHAVIORAL FINANCE</v>
          </cell>
          <cell r="C94" t="str">
            <v>ADV</v>
          </cell>
          <cell r="D94">
            <v>58</v>
          </cell>
          <cell r="E94">
            <v>0.2548408530316319</v>
          </cell>
        </row>
        <row r="95">
          <cell r="B95" t="str">
            <v>OXFORD REVIEW OF ECONOMIC POLICY</v>
          </cell>
          <cell r="C95" t="str">
            <v>AGQ</v>
          </cell>
          <cell r="D95">
            <v>62</v>
          </cell>
          <cell r="E95">
            <v>0.20547287075314569</v>
          </cell>
        </row>
        <row r="96">
          <cell r="B96" t="str">
            <v>INTERNATIONAL REVIEW OF FINANCE</v>
          </cell>
          <cell r="C96" t="str">
            <v>DCP</v>
          </cell>
          <cell r="D96">
            <v>86</v>
          </cell>
          <cell r="E96">
            <v>0.204254566908077</v>
          </cell>
        </row>
        <row r="97">
          <cell r="B97" t="str">
            <v>BORSA ISTANBUL REVIEW</v>
          </cell>
          <cell r="C97" t="str">
            <v>BCL</v>
          </cell>
          <cell r="D97">
            <v>39</v>
          </cell>
          <cell r="E97">
            <v>0.18677026295217941</v>
          </cell>
        </row>
        <row r="98">
          <cell r="B98" t="str">
            <v>GENEVA PAPERS ON RISK AND INSURANCE-ISSUES AND PRACTICE</v>
          </cell>
          <cell r="C98" t="str">
            <v>DDB</v>
          </cell>
          <cell r="D98">
            <v>47</v>
          </cell>
          <cell r="E98">
            <v>0.16596563712210191</v>
          </cell>
        </row>
        <row r="99">
          <cell r="B99" t="str">
            <v>INTERNATIONAL TAX AND PUBLIC FINANCE</v>
          </cell>
          <cell r="C99" t="str">
            <v>AEG</v>
          </cell>
          <cell r="D99">
            <v>74</v>
          </cell>
          <cell r="E99">
            <v>0.1644556261298151</v>
          </cell>
        </row>
        <row r="100">
          <cell r="B100" t="str">
            <v>FEDERAL RESERVE BANK OF ST LOUIS REVIEW</v>
          </cell>
          <cell r="C100" t="str">
            <v>CCW</v>
          </cell>
          <cell r="D100">
            <v>17</v>
          </cell>
          <cell r="E100">
            <v>0.1558380991599797</v>
          </cell>
        </row>
        <row r="101">
          <cell r="B101" t="str">
            <v>WORLD ECONOMY</v>
          </cell>
          <cell r="C101" t="str">
            <v>AAU</v>
          </cell>
          <cell r="D101">
            <v>159</v>
          </cell>
          <cell r="E101">
            <v>0.15094502692656039</v>
          </cell>
        </row>
        <row r="102">
          <cell r="B102" t="str">
            <v>INTERNATIONAL JOURNAL OF FINANCE &amp; ECONOMICS</v>
          </cell>
          <cell r="C102" t="str">
            <v>DCD</v>
          </cell>
          <cell r="D102">
            <v>602</v>
          </cell>
          <cell r="E102">
            <v>0.1488230165844153</v>
          </cell>
        </row>
        <row r="103">
          <cell r="B103" t="str">
            <v>REVIEW OF DERIVATIVES RESEARCH</v>
          </cell>
          <cell r="C103" t="str">
            <v>CDC</v>
          </cell>
          <cell r="D103">
            <v>18</v>
          </cell>
          <cell r="E103">
            <v>0.12958838393672689</v>
          </cell>
        </row>
        <row r="104">
          <cell r="B104" t="str">
            <v>ASIA-PACIFIC JOURNAL OF ACCOUNTING &amp; ECONOMICS</v>
          </cell>
          <cell r="C104" t="str">
            <v>ADA</v>
          </cell>
          <cell r="D104">
            <v>92</v>
          </cell>
          <cell r="E104">
            <v>0.12693160982356319</v>
          </cell>
        </row>
        <row r="105">
          <cell r="B105" t="str">
            <v>INTERNATIONAL JOURNAL OF ISLAMIC AND MIDDLE EASTERN FINANCE AND MANAGEMENT</v>
          </cell>
          <cell r="C105" t="str">
            <v>DEZ</v>
          </cell>
          <cell r="D105">
            <v>62</v>
          </cell>
          <cell r="E105">
            <v>0.1097389913747243</v>
          </cell>
        </row>
        <row r="106">
          <cell r="B106" t="str">
            <v>INTERNATIONAL FINANCE</v>
          </cell>
          <cell r="C106" t="str">
            <v>BFN</v>
          </cell>
          <cell r="D106">
            <v>20</v>
          </cell>
          <cell r="E106">
            <v>0.1044072561196704</v>
          </cell>
        </row>
        <row r="107">
          <cell r="B107" t="str">
            <v>INVESTMENT ANALYSTS JOURNAL</v>
          </cell>
          <cell r="C107" t="str">
            <v>DEI</v>
          </cell>
          <cell r="D107">
            <v>21</v>
          </cell>
          <cell r="E107">
            <v>8.9215396112379372E-2</v>
          </cell>
        </row>
        <row r="108">
          <cell r="B108" t="str">
            <v>JOURNAL OF RISK MODEL VALIDATION</v>
          </cell>
          <cell r="C108" t="str">
            <v>DEQ</v>
          </cell>
          <cell r="D108">
            <v>16</v>
          </cell>
          <cell r="E108">
            <v>8.6569088827500834E-2</v>
          </cell>
        </row>
        <row r="109">
          <cell r="B109" t="str">
            <v>JOURNAL OF RISK</v>
          </cell>
          <cell r="C109" t="str">
            <v>DEH</v>
          </cell>
          <cell r="D109">
            <v>23</v>
          </cell>
          <cell r="E109">
            <v>7.9767730520144187E-2</v>
          </cell>
        </row>
        <row r="110">
          <cell r="B110" t="str">
            <v>JOURNAL OF OPERATIONAL RISK</v>
          </cell>
          <cell r="C110" t="str">
            <v>DER</v>
          </cell>
          <cell r="D110">
            <v>15</v>
          </cell>
          <cell r="E110">
            <v>7.0926270822759263E-2</v>
          </cell>
        </row>
        <row r="111">
          <cell r="B111" t="str">
            <v>FINANCE A UVER-CZECH JOURNAL OF ECONOMICS AND FINANCE</v>
          </cell>
          <cell r="C111" t="str">
            <v>DEF</v>
          </cell>
          <cell r="D111">
            <v>24</v>
          </cell>
          <cell r="E111">
            <v>6.0013156713582788E-2</v>
          </cell>
        </row>
        <row r="112">
          <cell r="B112" t="str">
            <v>REVISTA DE CONTABILIDAD-SPANISH ACCOUNTING REVIEW</v>
          </cell>
          <cell r="C112" t="str">
            <v>DEK</v>
          </cell>
          <cell r="D112">
            <v>19</v>
          </cell>
          <cell r="E112">
            <v>4.8599683646089693E-2</v>
          </cell>
        </row>
        <row r="113">
          <cell r="B113" t="str">
            <v>INTERNATIONAL JOURNAL OF HEALTH ECONOMICS AND MANAGEMENT</v>
          </cell>
          <cell r="C113" t="str">
            <v>CAF</v>
          </cell>
          <cell r="D113">
            <v>22</v>
          </cell>
          <cell r="E113">
            <v>4.7020823215041301E-2</v>
          </cell>
        </row>
        <row r="114">
          <cell r="B114" t="str">
            <v>FINANZARCHIV</v>
          </cell>
          <cell r="C114" t="str">
            <v>DEX</v>
          </cell>
          <cell r="D114">
            <v>12</v>
          </cell>
          <cell r="E114">
            <v>1.8135459537024109E-2</v>
          </cell>
        </row>
        <row r="115">
          <cell r="B115" t="str">
            <v>SPANISH JOURNAL OF FINANCE AND ACCOUNTING-REVISTA ESPANOLA DE FINANCIACION Y CONTABILIDA</v>
          </cell>
          <cell r="C115" t="str">
            <v>DEM</v>
          </cell>
          <cell r="D115">
            <v>18</v>
          </cell>
          <cell r="E115">
            <v>0.01</v>
          </cell>
        </row>
      </sheetData>
      <sheetData sheetId="9">
        <row r="1">
          <cell r="B1" t="str">
            <v>institution</v>
          </cell>
          <cell r="C1" t="str">
            <v>pub</v>
          </cell>
          <cell r="D1" t="str">
            <v>acr</v>
          </cell>
          <cell r="E1" t="str">
            <v>iscore</v>
          </cell>
        </row>
        <row r="2">
          <cell r="B2" t="str">
            <v>Ohio State University</v>
          </cell>
          <cell r="C2">
            <v>16</v>
          </cell>
          <cell r="D2" t="str">
            <v>ACO</v>
          </cell>
          <cell r="E2">
            <v>8</v>
          </cell>
        </row>
        <row r="3">
          <cell r="B3" t="str">
            <v>Yale University</v>
          </cell>
          <cell r="C3">
            <v>27</v>
          </cell>
          <cell r="D3" t="str">
            <v>AAY</v>
          </cell>
          <cell r="E3">
            <v>7.5523197236165753</v>
          </cell>
        </row>
        <row r="4">
          <cell r="B4" t="str">
            <v>University of Chicago</v>
          </cell>
          <cell r="C4">
            <v>49</v>
          </cell>
          <cell r="D4" t="str">
            <v>AAU</v>
          </cell>
          <cell r="E4">
            <v>6.8858103915022131</v>
          </cell>
        </row>
        <row r="5">
          <cell r="B5" t="str">
            <v>Stanford University</v>
          </cell>
          <cell r="C5">
            <v>44</v>
          </cell>
          <cell r="D5" t="str">
            <v>AAO</v>
          </cell>
          <cell r="E5">
            <v>6.3582140353265606</v>
          </cell>
        </row>
        <row r="6">
          <cell r="B6" t="str">
            <v>University of Cincinnati</v>
          </cell>
          <cell r="C6">
            <v>16</v>
          </cell>
          <cell r="D6" t="str">
            <v>DCL</v>
          </cell>
          <cell r="E6">
            <v>6.1855433108977547</v>
          </cell>
        </row>
        <row r="7">
          <cell r="B7" t="str">
            <v>Center for Economic &amp; Policy Research (CEPR)</v>
          </cell>
          <cell r="C7">
            <v>43</v>
          </cell>
          <cell r="D7" t="str">
            <v>CBM</v>
          </cell>
          <cell r="E7">
            <v>5.909833908466493</v>
          </cell>
        </row>
        <row r="8">
          <cell r="B8" t="str">
            <v>University of Geneva</v>
          </cell>
          <cell r="C8">
            <v>15</v>
          </cell>
          <cell r="D8" t="str">
            <v>BEU</v>
          </cell>
          <cell r="E8">
            <v>5.8481869011237588</v>
          </cell>
        </row>
        <row r="9">
          <cell r="B9" t="str">
            <v>Northwestern University</v>
          </cell>
          <cell r="C9">
            <v>9</v>
          </cell>
          <cell r="D9" t="str">
            <v>AAL</v>
          </cell>
          <cell r="E9">
            <v>5.6655085552305282</v>
          </cell>
        </row>
        <row r="10">
          <cell r="B10" t="str">
            <v>Boston College</v>
          </cell>
          <cell r="C10">
            <v>32</v>
          </cell>
          <cell r="D10" t="str">
            <v>ACA</v>
          </cell>
          <cell r="E10">
            <v>5.588968987165301</v>
          </cell>
        </row>
        <row r="11">
          <cell r="B11" t="str">
            <v>University of Washington Seattle</v>
          </cell>
          <cell r="C11">
            <v>22</v>
          </cell>
          <cell r="D11" t="str">
            <v>ADU</v>
          </cell>
          <cell r="E11">
            <v>5.5291886478584393</v>
          </cell>
        </row>
        <row r="12">
          <cell r="B12" t="str">
            <v>University of Colorado Boulder</v>
          </cell>
          <cell r="C12">
            <v>15</v>
          </cell>
          <cell r="D12" t="str">
            <v>AGE</v>
          </cell>
          <cell r="E12">
            <v>5.4906634212061416</v>
          </cell>
        </row>
        <row r="13">
          <cell r="B13" t="str">
            <v>University of California Irvine</v>
          </cell>
          <cell r="C13">
            <v>18</v>
          </cell>
          <cell r="D13" t="str">
            <v>AGC</v>
          </cell>
          <cell r="E13">
            <v>5.1228078340390306</v>
          </cell>
        </row>
        <row r="14">
          <cell r="B14" t="str">
            <v>London Business School</v>
          </cell>
          <cell r="C14">
            <v>16</v>
          </cell>
          <cell r="D14" t="str">
            <v>ABF</v>
          </cell>
          <cell r="E14">
            <v>5.043986007285957</v>
          </cell>
        </row>
        <row r="15">
          <cell r="B15" t="str">
            <v>University of Texas Austin</v>
          </cell>
          <cell r="C15">
            <v>32</v>
          </cell>
          <cell r="D15" t="str">
            <v>ADQ</v>
          </cell>
          <cell r="E15">
            <v>5.033412011086015</v>
          </cell>
        </row>
        <row r="16">
          <cell r="B16" t="str">
            <v>University of Delaware</v>
          </cell>
          <cell r="C16">
            <v>12</v>
          </cell>
          <cell r="D16" t="str">
            <v>AGG</v>
          </cell>
          <cell r="E16">
            <v>4.9886799764523371</v>
          </cell>
        </row>
        <row r="17">
          <cell r="B17" t="str">
            <v>University of California San Diego</v>
          </cell>
          <cell r="C17">
            <v>18</v>
          </cell>
          <cell r="D17" t="str">
            <v>AAS</v>
          </cell>
          <cell r="E17">
            <v>4.8241011107127791</v>
          </cell>
        </row>
        <row r="18">
          <cell r="B18" t="str">
            <v>Swiss Finance Institute (SFI)</v>
          </cell>
          <cell r="C18">
            <v>28</v>
          </cell>
          <cell r="D18" t="str">
            <v>DEU</v>
          </cell>
          <cell r="E18">
            <v>4.7617702250038203</v>
          </cell>
        </row>
        <row r="19">
          <cell r="B19" t="str">
            <v>Washington University (WUSTL)</v>
          </cell>
          <cell r="C19">
            <v>29</v>
          </cell>
          <cell r="D19" t="str">
            <v>AAX</v>
          </cell>
          <cell r="E19">
            <v>4.7518944327795971</v>
          </cell>
        </row>
        <row r="20">
          <cell r="B20" t="str">
            <v>Columbia University</v>
          </cell>
          <cell r="C20">
            <v>61</v>
          </cell>
          <cell r="D20" t="str">
            <v>AAB</v>
          </cell>
          <cell r="E20">
            <v>4.6779708327209724</v>
          </cell>
        </row>
        <row r="21">
          <cell r="B21" t="str">
            <v>Duke University</v>
          </cell>
          <cell r="C21">
            <v>26</v>
          </cell>
          <cell r="D21" t="str">
            <v>ABC</v>
          </cell>
          <cell r="E21">
            <v>4.6181542948732854</v>
          </cell>
        </row>
        <row r="22">
          <cell r="B22" t="str">
            <v>George Mason University</v>
          </cell>
          <cell r="C22">
            <v>11</v>
          </cell>
          <cell r="D22" t="str">
            <v>ACF</v>
          </cell>
          <cell r="E22">
            <v>4.5419466288051664</v>
          </cell>
        </row>
        <row r="23">
          <cell r="B23" t="str">
            <v>Southern Methodist University</v>
          </cell>
          <cell r="C23">
            <v>10</v>
          </cell>
          <cell r="D23" t="str">
            <v>BDN</v>
          </cell>
          <cell r="E23">
            <v>4.4736248851526828</v>
          </cell>
        </row>
        <row r="24">
          <cell r="B24" t="str">
            <v>University of British Columbia</v>
          </cell>
          <cell r="C24">
            <v>20</v>
          </cell>
          <cell r="D24" t="str">
            <v>ACW</v>
          </cell>
          <cell r="E24">
            <v>4.4446866494102171</v>
          </cell>
        </row>
        <row r="25">
          <cell r="B25" t="str">
            <v>University of Lausanne</v>
          </cell>
          <cell r="C25">
            <v>7</v>
          </cell>
          <cell r="D25" t="str">
            <v>AGO</v>
          </cell>
          <cell r="E25">
            <v>4.3499508181634816</v>
          </cell>
        </row>
        <row r="26">
          <cell r="B26" t="str">
            <v>Dartmouth College</v>
          </cell>
          <cell r="C26">
            <v>12</v>
          </cell>
          <cell r="D26" t="str">
            <v>AAD</v>
          </cell>
          <cell r="E26">
            <v>4.3209509150782353</v>
          </cell>
        </row>
        <row r="27">
          <cell r="B27" t="str">
            <v>University of Maryland College Park</v>
          </cell>
          <cell r="C27">
            <v>22</v>
          </cell>
          <cell r="D27" t="str">
            <v>ABO</v>
          </cell>
          <cell r="E27">
            <v>4.2410630491155139</v>
          </cell>
        </row>
        <row r="28">
          <cell r="B28" t="str">
            <v>Emory University</v>
          </cell>
          <cell r="C28">
            <v>12</v>
          </cell>
          <cell r="D28" t="str">
            <v>AEN</v>
          </cell>
          <cell r="E28">
            <v>4.2004490983342846</v>
          </cell>
        </row>
        <row r="29">
          <cell r="B29" t="str">
            <v>University of California Berkeley</v>
          </cell>
          <cell r="C29">
            <v>28</v>
          </cell>
          <cell r="D29" t="str">
            <v>AAQ</v>
          </cell>
          <cell r="E29">
            <v>4.1640943039222078</v>
          </cell>
        </row>
        <row r="30">
          <cell r="B30" t="str">
            <v>University of Tennessee Knoxville</v>
          </cell>
          <cell r="C30">
            <v>9</v>
          </cell>
          <cell r="D30" t="str">
            <v>BGN</v>
          </cell>
          <cell r="E30">
            <v>4.1528936697467627</v>
          </cell>
        </row>
        <row r="31">
          <cell r="B31" t="str">
            <v>Harvard University</v>
          </cell>
          <cell r="C31">
            <v>52</v>
          </cell>
          <cell r="D31" t="str">
            <v>AAF</v>
          </cell>
          <cell r="E31">
            <v>4.1362221824191892</v>
          </cell>
        </row>
        <row r="32">
          <cell r="B32" t="str">
            <v>INSEAD Business School</v>
          </cell>
          <cell r="C32">
            <v>11</v>
          </cell>
          <cell r="D32" t="str">
            <v>CAA</v>
          </cell>
          <cell r="E32">
            <v>4.1206038605977016</v>
          </cell>
        </row>
        <row r="33">
          <cell r="B33" t="str">
            <v>Michigan State University</v>
          </cell>
          <cell r="C33">
            <v>23</v>
          </cell>
          <cell r="D33" t="str">
            <v>ABH</v>
          </cell>
          <cell r="E33">
            <v>4.020311241656624</v>
          </cell>
        </row>
        <row r="34">
          <cell r="B34" t="str">
            <v>University of Notre Dame</v>
          </cell>
          <cell r="C34">
            <v>24</v>
          </cell>
          <cell r="D34" t="str">
            <v>ADK</v>
          </cell>
          <cell r="E34">
            <v>4.0061767802613044</v>
          </cell>
        </row>
        <row r="35">
          <cell r="B35" t="str">
            <v>University of Pennsylvania</v>
          </cell>
          <cell r="C35">
            <v>52</v>
          </cell>
          <cell r="D35" t="str">
            <v>AAW</v>
          </cell>
          <cell r="E35">
            <v>3.9903357720702388</v>
          </cell>
        </row>
        <row r="36">
          <cell r="B36" t="str">
            <v>University of Illinois Urbana-Champaign</v>
          </cell>
          <cell r="C36">
            <v>46</v>
          </cell>
          <cell r="D36" t="str">
            <v>ADB</v>
          </cell>
          <cell r="E36">
            <v>3.9393811759661559</v>
          </cell>
        </row>
        <row r="37">
          <cell r="B37" t="str">
            <v>Princeton University</v>
          </cell>
          <cell r="C37">
            <v>18</v>
          </cell>
          <cell r="D37" t="str">
            <v>AAN</v>
          </cell>
          <cell r="E37">
            <v>3.9390817567704501</v>
          </cell>
        </row>
        <row r="38">
          <cell r="B38" t="str">
            <v>University of Illinois Chicago</v>
          </cell>
          <cell r="C38">
            <v>30</v>
          </cell>
          <cell r="D38" t="str">
            <v>AGN</v>
          </cell>
          <cell r="E38">
            <v>3.9220493988705911</v>
          </cell>
        </row>
        <row r="39">
          <cell r="B39" t="str">
            <v>Hautes Etudes Commerciales (HEC) Paris</v>
          </cell>
          <cell r="C39">
            <v>25</v>
          </cell>
          <cell r="D39" t="str">
            <v>AEU</v>
          </cell>
          <cell r="E39">
            <v>3.853434329285979</v>
          </cell>
        </row>
        <row r="40">
          <cell r="B40" t="str">
            <v>Babson College</v>
          </cell>
          <cell r="C40">
            <v>8</v>
          </cell>
          <cell r="D40" t="str">
            <v>CHL</v>
          </cell>
          <cell r="E40">
            <v>3.835375219198828</v>
          </cell>
        </row>
        <row r="41">
          <cell r="B41" t="str">
            <v>University of North Carolina Chapel Hill</v>
          </cell>
          <cell r="C41">
            <v>27</v>
          </cell>
          <cell r="D41" t="str">
            <v>ADJ</v>
          </cell>
          <cell r="E41">
            <v>3.783653767979386</v>
          </cell>
        </row>
        <row r="42">
          <cell r="B42" t="str">
            <v>Northeastern University</v>
          </cell>
          <cell r="C42">
            <v>15</v>
          </cell>
          <cell r="D42" t="str">
            <v>ACN</v>
          </cell>
          <cell r="E42">
            <v>3.783164972240431</v>
          </cell>
        </row>
        <row r="43">
          <cell r="B43" t="str">
            <v>Virginia Polytechnic Institute &amp; State University</v>
          </cell>
          <cell r="C43">
            <v>19</v>
          </cell>
          <cell r="D43" t="str">
            <v>BGY</v>
          </cell>
          <cell r="E43">
            <v>3.7298361393618622</v>
          </cell>
        </row>
        <row r="44">
          <cell r="B44" t="str">
            <v>University of Utah</v>
          </cell>
          <cell r="C44">
            <v>18</v>
          </cell>
          <cell r="D44" t="str">
            <v>AHG</v>
          </cell>
          <cell r="E44">
            <v>3.6719474624745061</v>
          </cell>
        </row>
        <row r="45">
          <cell r="B45" t="str">
            <v>University of Florida</v>
          </cell>
          <cell r="C45">
            <v>28</v>
          </cell>
          <cell r="D45" t="str">
            <v>AGK</v>
          </cell>
          <cell r="E45">
            <v>3.6434417685997418</v>
          </cell>
        </row>
        <row r="46">
          <cell r="B46" t="str">
            <v>Indiana University Bloomington</v>
          </cell>
          <cell r="C46">
            <v>34</v>
          </cell>
          <cell r="D46" t="str">
            <v>AAG</v>
          </cell>
          <cell r="E46">
            <v>3.622663509445013</v>
          </cell>
        </row>
        <row r="47">
          <cell r="B47" t="str">
            <v>Humboldt University of Berlin</v>
          </cell>
          <cell r="C47">
            <v>12</v>
          </cell>
          <cell r="D47" t="str">
            <v>BHY</v>
          </cell>
          <cell r="E47">
            <v>3.5846024937392391</v>
          </cell>
        </row>
        <row r="48">
          <cell r="B48" t="str">
            <v>University of Pittsburgh</v>
          </cell>
          <cell r="C48">
            <v>6</v>
          </cell>
          <cell r="D48" t="str">
            <v>BGD</v>
          </cell>
          <cell r="E48">
            <v>3.5638793208132449</v>
          </cell>
        </row>
        <row r="49">
          <cell r="B49" t="str">
            <v>Georgetown University</v>
          </cell>
          <cell r="C49">
            <v>12</v>
          </cell>
          <cell r="D49" t="str">
            <v>AEQ</v>
          </cell>
          <cell r="E49">
            <v>3.514587456332662</v>
          </cell>
        </row>
        <row r="50">
          <cell r="B50" t="str">
            <v>Universite Catholique Louvain</v>
          </cell>
          <cell r="C50">
            <v>21</v>
          </cell>
          <cell r="D50" t="str">
            <v>AEG</v>
          </cell>
          <cell r="E50">
            <v>3.5140172735859299</v>
          </cell>
        </row>
        <row r="51">
          <cell r="B51" t="str">
            <v>University of Texas Dallas</v>
          </cell>
          <cell r="C51">
            <v>21</v>
          </cell>
          <cell r="D51" t="str">
            <v>ADR</v>
          </cell>
          <cell r="E51">
            <v>3.5140172735859299</v>
          </cell>
        </row>
        <row r="52">
          <cell r="B52" t="str">
            <v>University of Southern California</v>
          </cell>
          <cell r="C52">
            <v>44</v>
          </cell>
          <cell r="D52" t="str">
            <v>ABS</v>
          </cell>
          <cell r="E52">
            <v>3.5097199300887318</v>
          </cell>
        </row>
        <row r="53">
          <cell r="B53" t="str">
            <v>BI Norwegian Business School</v>
          </cell>
          <cell r="C53">
            <v>13</v>
          </cell>
          <cell r="D53" t="str">
            <v>AEE</v>
          </cell>
          <cell r="E53">
            <v>3.490876664974365</v>
          </cell>
        </row>
        <row r="54">
          <cell r="B54" t="str">
            <v>University of Virginia</v>
          </cell>
          <cell r="C54">
            <v>19</v>
          </cell>
          <cell r="D54" t="str">
            <v>AHJ</v>
          </cell>
          <cell r="E54">
            <v>3.46869081208999</v>
          </cell>
        </row>
        <row r="55">
          <cell r="B55" t="str">
            <v>University of Miami</v>
          </cell>
          <cell r="C55">
            <v>15</v>
          </cell>
          <cell r="D55" t="str">
            <v>DAA</v>
          </cell>
          <cell r="E55">
            <v>3.4547005925431371</v>
          </cell>
        </row>
        <row r="56">
          <cell r="B56" t="str">
            <v>Rice University</v>
          </cell>
          <cell r="C56">
            <v>16</v>
          </cell>
          <cell r="D56" t="str">
            <v>AFL</v>
          </cell>
          <cell r="E56">
            <v>3.3802058349446509</v>
          </cell>
        </row>
        <row r="57">
          <cell r="B57" t="str">
            <v>University of Wisconsin Madison</v>
          </cell>
          <cell r="C57">
            <v>34</v>
          </cell>
          <cell r="D57" t="str">
            <v>AHM</v>
          </cell>
          <cell r="E57">
            <v>3.3711042907665201</v>
          </cell>
        </row>
        <row r="58">
          <cell r="B58" t="str">
            <v>University of Iowa</v>
          </cell>
          <cell r="C58">
            <v>15</v>
          </cell>
          <cell r="D58" t="str">
            <v>BFE</v>
          </cell>
          <cell r="E58">
            <v>3.3597079176782341</v>
          </cell>
        </row>
        <row r="59">
          <cell r="B59" t="str">
            <v>University of Minnesota Twin Cities</v>
          </cell>
          <cell r="C59">
            <v>19</v>
          </cell>
          <cell r="D59" t="str">
            <v>ABP</v>
          </cell>
          <cell r="E59">
            <v>3.3524999597057068</v>
          </cell>
        </row>
        <row r="60">
          <cell r="B60" t="str">
            <v>University of Toronto</v>
          </cell>
          <cell r="C60">
            <v>44</v>
          </cell>
          <cell r="D60" t="str">
            <v>ABT</v>
          </cell>
          <cell r="E60">
            <v>3.3259678338478471</v>
          </cell>
        </row>
        <row r="61">
          <cell r="B61" t="str">
            <v>Massachusetts Institute of Technology (MIT)</v>
          </cell>
          <cell r="C61">
            <v>49</v>
          </cell>
          <cell r="D61" t="str">
            <v>AAI</v>
          </cell>
          <cell r="E61">
            <v>3.322530482725877</v>
          </cell>
        </row>
        <row r="62">
          <cell r="B62" t="str">
            <v>University of Kentucky</v>
          </cell>
          <cell r="C62">
            <v>11</v>
          </cell>
          <cell r="D62" t="str">
            <v>AEH</v>
          </cell>
          <cell r="E62">
            <v>3.2469366197398291</v>
          </cell>
        </row>
        <row r="63">
          <cell r="B63" t="str">
            <v>University of Massachusetts Amherst</v>
          </cell>
          <cell r="C63">
            <v>12</v>
          </cell>
          <cell r="D63" t="str">
            <v>BFR</v>
          </cell>
          <cell r="E63">
            <v>3.221924367736491</v>
          </cell>
        </row>
        <row r="64">
          <cell r="B64" t="str">
            <v>Cornell University</v>
          </cell>
          <cell r="C64">
            <v>37</v>
          </cell>
          <cell r="D64" t="str">
            <v>ABB</v>
          </cell>
          <cell r="E64">
            <v>3.1820396361181711</v>
          </cell>
        </row>
        <row r="65">
          <cell r="B65" t="str">
            <v>Hong Kong University of Science &amp; Technology</v>
          </cell>
          <cell r="C65">
            <v>21</v>
          </cell>
          <cell r="D65" t="str">
            <v>ACL</v>
          </cell>
          <cell r="E65">
            <v>3.1725165922770948</v>
          </cell>
        </row>
        <row r="66">
          <cell r="B66" t="str">
            <v>Norwegian School of Economics (NHH)</v>
          </cell>
          <cell r="C66">
            <v>10</v>
          </cell>
          <cell r="D66" t="str">
            <v>BCQ</v>
          </cell>
          <cell r="E66">
            <v>3.159888217560014</v>
          </cell>
        </row>
        <row r="67">
          <cell r="B67" t="str">
            <v>University of Arizona</v>
          </cell>
          <cell r="C67">
            <v>15</v>
          </cell>
          <cell r="D67" t="str">
            <v>ACU</v>
          </cell>
          <cell r="E67">
            <v>3.1434514857921019</v>
          </cell>
        </row>
        <row r="68">
          <cell r="B68" t="str">
            <v>Arizona State University-Tempe</v>
          </cell>
          <cell r="C68">
            <v>29</v>
          </cell>
          <cell r="D68" t="str">
            <v>AAA</v>
          </cell>
          <cell r="E68">
            <v>3.0933774450265261</v>
          </cell>
        </row>
        <row r="69">
          <cell r="B69" t="str">
            <v>University of Oregon</v>
          </cell>
          <cell r="C69">
            <v>16</v>
          </cell>
          <cell r="D69" t="str">
            <v>BFY</v>
          </cell>
          <cell r="E69">
            <v>3.080309335030452</v>
          </cell>
        </row>
        <row r="70">
          <cell r="B70" t="str">
            <v>University of California Los Angeles</v>
          </cell>
          <cell r="C70">
            <v>37</v>
          </cell>
          <cell r="D70" t="str">
            <v>AAR</v>
          </cell>
          <cell r="E70">
            <v>3.0514621944822871</v>
          </cell>
        </row>
        <row r="71">
          <cell r="B71" t="str">
            <v>University of Duisburg Essen</v>
          </cell>
          <cell r="C71">
            <v>7</v>
          </cell>
          <cell r="D71" t="str">
            <v>BAY</v>
          </cell>
          <cell r="E71">
            <v>3.0506549345511171</v>
          </cell>
        </row>
        <row r="72">
          <cell r="B72" t="str">
            <v>University of Georgia</v>
          </cell>
          <cell r="C72">
            <v>29</v>
          </cell>
          <cell r="D72" t="str">
            <v>AGL</v>
          </cell>
          <cell r="E72">
            <v>3.0501459392536909</v>
          </cell>
        </row>
        <row r="73">
          <cell r="B73" t="str">
            <v>Texas A&amp;M University College Station</v>
          </cell>
          <cell r="C73">
            <v>37</v>
          </cell>
          <cell r="D73" t="str">
            <v>AAP</v>
          </cell>
          <cell r="E73">
            <v>3.0482476137096648</v>
          </cell>
        </row>
        <row r="74">
          <cell r="B74" t="str">
            <v>Nanyang Technological University</v>
          </cell>
          <cell r="C74">
            <v>22</v>
          </cell>
          <cell r="D74" t="str">
            <v>AFE</v>
          </cell>
          <cell r="E74">
            <v>2.901981575412488</v>
          </cell>
        </row>
        <row r="75">
          <cell r="B75" t="str">
            <v>Centre for Economic Policy Research - UK</v>
          </cell>
          <cell r="C75">
            <v>63</v>
          </cell>
          <cell r="D75" t="str">
            <v>ACC</v>
          </cell>
          <cell r="E75">
            <v>2.8826172911789931</v>
          </cell>
        </row>
        <row r="76">
          <cell r="B76" t="str">
            <v>Singapore Management University</v>
          </cell>
          <cell r="C76">
            <v>36</v>
          </cell>
          <cell r="D76" t="str">
            <v>ACQ</v>
          </cell>
          <cell r="E76">
            <v>2.8650086970790531</v>
          </cell>
        </row>
        <row r="77">
          <cell r="B77" t="str">
            <v>Brigham Young University</v>
          </cell>
          <cell r="C77">
            <v>19</v>
          </cell>
          <cell r="D77" t="str">
            <v>AHZ</v>
          </cell>
          <cell r="E77">
            <v>2.8512674040374781</v>
          </cell>
        </row>
        <row r="78">
          <cell r="B78" t="str">
            <v>University of South Carolina Columbia</v>
          </cell>
          <cell r="C78">
            <v>25</v>
          </cell>
          <cell r="D78" t="str">
            <v>ABR</v>
          </cell>
          <cell r="E78">
            <v>2.8376623099971048</v>
          </cell>
        </row>
        <row r="79">
          <cell r="B79" t="str">
            <v>Boston University</v>
          </cell>
          <cell r="C79">
            <v>23</v>
          </cell>
          <cell r="D79" t="str">
            <v>ABA</v>
          </cell>
          <cell r="E79">
            <v>2.82321077389927</v>
          </cell>
        </row>
        <row r="80">
          <cell r="B80" t="str">
            <v>Purdue University</v>
          </cell>
          <cell r="C80">
            <v>11</v>
          </cell>
          <cell r="D80" t="str">
            <v>ACP</v>
          </cell>
          <cell r="E80">
            <v>2.7724862787433868</v>
          </cell>
        </row>
        <row r="81">
          <cell r="B81" t="str">
            <v>City University of Hong Kong</v>
          </cell>
          <cell r="C81">
            <v>37</v>
          </cell>
          <cell r="D81" t="str">
            <v>AEI</v>
          </cell>
          <cell r="E81">
            <v>2.7637498495851589</v>
          </cell>
        </row>
        <row r="82">
          <cell r="B82" t="str">
            <v>University of Kansas</v>
          </cell>
          <cell r="C82">
            <v>13</v>
          </cell>
          <cell r="D82" t="str">
            <v>BFF</v>
          </cell>
          <cell r="E82">
            <v>2.75645067931096</v>
          </cell>
        </row>
        <row r="83">
          <cell r="B83" t="str">
            <v>Imperial College London</v>
          </cell>
          <cell r="C83">
            <v>37</v>
          </cell>
          <cell r="D83" t="str">
            <v>ABD</v>
          </cell>
          <cell r="E83">
            <v>2.7554870658385902</v>
          </cell>
        </row>
        <row r="84">
          <cell r="B84" t="str">
            <v>Villanova University</v>
          </cell>
          <cell r="C84">
            <v>9</v>
          </cell>
          <cell r="D84" t="str">
            <v>AGM</v>
          </cell>
          <cell r="E84">
            <v>2.7498292642085711</v>
          </cell>
        </row>
        <row r="85">
          <cell r="B85" t="str">
            <v>Chinese University of Hong Kong</v>
          </cell>
          <cell r="C85">
            <v>40</v>
          </cell>
          <cell r="D85" t="str">
            <v>ACD</v>
          </cell>
          <cell r="E85">
            <v>2.7473701212769708</v>
          </cell>
        </row>
        <row r="86">
          <cell r="B86" t="str">
            <v>Oregon State University</v>
          </cell>
          <cell r="C86">
            <v>12</v>
          </cell>
          <cell r="D86" t="str">
            <v>BCU</v>
          </cell>
          <cell r="E86">
            <v>2.705721454823387</v>
          </cell>
        </row>
        <row r="87">
          <cell r="B87" t="str">
            <v>Tampere University</v>
          </cell>
          <cell r="C87">
            <v>12</v>
          </cell>
          <cell r="D87" t="str">
            <v>DBG</v>
          </cell>
          <cell r="E87">
            <v>2.705721454823387</v>
          </cell>
        </row>
        <row r="88">
          <cell r="B88" t="str">
            <v>University of Colorado Denver</v>
          </cell>
          <cell r="C88">
            <v>8</v>
          </cell>
          <cell r="D88" t="str">
            <v>DEQ</v>
          </cell>
          <cell r="E88">
            <v>2.6931995456752258</v>
          </cell>
        </row>
        <row r="89">
          <cell r="B89" t="str">
            <v>Ghent University</v>
          </cell>
          <cell r="C89">
            <v>16</v>
          </cell>
          <cell r="D89" t="str">
            <v>AES</v>
          </cell>
          <cell r="E89">
            <v>2.6892506814564028</v>
          </cell>
        </row>
        <row r="90">
          <cell r="B90" t="str">
            <v>Colorado State University</v>
          </cell>
          <cell r="C90">
            <v>6</v>
          </cell>
          <cell r="D90" t="str">
            <v>BHX</v>
          </cell>
          <cell r="E90">
            <v>2.6865174022132519</v>
          </cell>
        </row>
        <row r="91">
          <cell r="B91" t="str">
            <v>University of Amsterdam</v>
          </cell>
          <cell r="C91">
            <v>27</v>
          </cell>
          <cell r="D91" t="str">
            <v>ACS</v>
          </cell>
          <cell r="E91">
            <v>2.6663796018252119</v>
          </cell>
        </row>
        <row r="92">
          <cell r="B92" t="str">
            <v>University of Michigan</v>
          </cell>
          <cell r="C92">
            <v>41</v>
          </cell>
          <cell r="D92" t="str">
            <v>AAV</v>
          </cell>
          <cell r="E92">
            <v>2.6506042178063169</v>
          </cell>
        </row>
        <row r="93">
          <cell r="B93" t="str">
            <v>New York University</v>
          </cell>
          <cell r="C93">
            <v>53</v>
          </cell>
          <cell r="D93" t="str">
            <v>AAM</v>
          </cell>
          <cell r="E93">
            <v>2.6381349092564061</v>
          </cell>
        </row>
        <row r="94">
          <cell r="B94" t="str">
            <v>University of Bonn</v>
          </cell>
          <cell r="C94">
            <v>9</v>
          </cell>
          <cell r="D94" t="str">
            <v>ABL</v>
          </cell>
          <cell r="E94">
            <v>2.63700556999129</v>
          </cell>
        </row>
        <row r="95">
          <cell r="B95" t="str">
            <v>Drexel University</v>
          </cell>
          <cell r="C95">
            <v>21</v>
          </cell>
          <cell r="D95" t="str">
            <v>AEK</v>
          </cell>
          <cell r="E95">
            <v>2.6128144709703389</v>
          </cell>
        </row>
        <row r="96">
          <cell r="B96" t="str">
            <v>Carnegie Mellon University</v>
          </cell>
          <cell r="C96">
            <v>10</v>
          </cell>
          <cell r="D96" t="str">
            <v>ACB</v>
          </cell>
          <cell r="E96">
            <v>2.590619219245653</v>
          </cell>
        </row>
        <row r="97">
          <cell r="B97" t="str">
            <v>McGill University</v>
          </cell>
          <cell r="C97">
            <v>13</v>
          </cell>
          <cell r="D97" t="str">
            <v>QEQ</v>
          </cell>
          <cell r="E97">
            <v>2.5690138032581271</v>
          </cell>
        </row>
        <row r="98">
          <cell r="B98" t="str">
            <v>The Chinese University of Hong Kong, Shenzhen</v>
          </cell>
          <cell r="C98">
            <v>14</v>
          </cell>
          <cell r="D98" t="str">
            <v>DEF</v>
          </cell>
          <cell r="E98">
            <v>2.5579283073563568</v>
          </cell>
        </row>
        <row r="99">
          <cell r="B99" t="str">
            <v>University of Mannheim</v>
          </cell>
          <cell r="C99">
            <v>10</v>
          </cell>
          <cell r="D99" t="str">
            <v>AGS</v>
          </cell>
          <cell r="E99">
            <v>2.554432661341496</v>
          </cell>
        </row>
        <row r="100">
          <cell r="B100" t="str">
            <v>Max Planck Society</v>
          </cell>
          <cell r="C100">
            <v>6</v>
          </cell>
          <cell r="D100" t="str">
            <v>BCH</v>
          </cell>
          <cell r="E100">
            <v>2.5469871718219439</v>
          </cell>
        </row>
        <row r="101">
          <cell r="B101" t="str">
            <v>Federal Reserve System - USA</v>
          </cell>
          <cell r="C101">
            <v>152</v>
          </cell>
          <cell r="D101" t="str">
            <v>CBN</v>
          </cell>
          <cell r="E101">
            <v>2.5360662704232788</v>
          </cell>
        </row>
        <row r="102">
          <cell r="B102" t="str">
            <v>San Diego State University</v>
          </cell>
          <cell r="C102">
            <v>7</v>
          </cell>
          <cell r="D102" t="str">
            <v>BHN</v>
          </cell>
          <cell r="E102">
            <v>2.515910979475386</v>
          </cell>
        </row>
        <row r="103">
          <cell r="B103" t="str">
            <v>Aalto University</v>
          </cell>
          <cell r="C103">
            <v>18</v>
          </cell>
          <cell r="D103" t="str">
            <v>AEA</v>
          </cell>
          <cell r="E103">
            <v>2.5148682349900562</v>
          </cell>
        </row>
        <row r="104">
          <cell r="B104" t="str">
            <v>University of Connecticut</v>
          </cell>
          <cell r="C104">
            <v>26</v>
          </cell>
          <cell r="D104" t="str">
            <v>BEO</v>
          </cell>
          <cell r="E104">
            <v>2.4891745712453499</v>
          </cell>
        </row>
        <row r="105">
          <cell r="B105" t="str">
            <v>Baylor University</v>
          </cell>
          <cell r="C105">
            <v>5</v>
          </cell>
          <cell r="D105" t="str">
            <v>DBY</v>
          </cell>
          <cell r="E105">
            <v>2.480062936430691</v>
          </cell>
        </row>
        <row r="106">
          <cell r="B106" t="str">
            <v>University of Missouri Columbia</v>
          </cell>
          <cell r="C106">
            <v>20</v>
          </cell>
          <cell r="D106" t="str">
            <v>BFS</v>
          </cell>
          <cell r="E106">
            <v>2.4641481673583279</v>
          </cell>
        </row>
        <row r="107">
          <cell r="B107" t="str">
            <v>IZA Institute Labor Economics</v>
          </cell>
          <cell r="C107">
            <v>20</v>
          </cell>
          <cell r="D107" t="str">
            <v>ACM</v>
          </cell>
          <cell r="E107">
            <v>2.431629964169725</v>
          </cell>
        </row>
        <row r="108">
          <cell r="B108" t="str">
            <v>Universite Toulouse 1 Capitole</v>
          </cell>
          <cell r="C108">
            <v>10</v>
          </cell>
          <cell r="D108" t="str">
            <v>ABU</v>
          </cell>
          <cell r="E108">
            <v>2.4314635593224558</v>
          </cell>
        </row>
        <row r="109">
          <cell r="B109" t="str">
            <v>Texas Christian University</v>
          </cell>
          <cell r="C109">
            <v>15</v>
          </cell>
          <cell r="D109" t="str">
            <v>DAX</v>
          </cell>
          <cell r="E109">
            <v>2.4292003295562679</v>
          </cell>
        </row>
        <row r="110">
          <cell r="B110" t="str">
            <v>Rutgers University Newark</v>
          </cell>
          <cell r="C110">
            <v>14</v>
          </cell>
          <cell r="D110" t="str">
            <v>DBD</v>
          </cell>
          <cell r="E110">
            <v>2.3742187105410761</v>
          </cell>
        </row>
        <row r="111">
          <cell r="B111" t="str">
            <v>Bentley University</v>
          </cell>
          <cell r="C111">
            <v>18</v>
          </cell>
          <cell r="D111" t="str">
            <v>DAJ</v>
          </cell>
          <cell r="E111">
            <v>2.3622385718709591</v>
          </cell>
        </row>
        <row r="112">
          <cell r="B112" t="str">
            <v>University of Hong Kong</v>
          </cell>
          <cell r="C112">
            <v>34</v>
          </cell>
          <cell r="D112" t="str">
            <v>ABN</v>
          </cell>
          <cell r="E112">
            <v>2.3434074452587739</v>
          </cell>
        </row>
        <row r="113">
          <cell r="B113" t="str">
            <v>Stockholm School of Economics</v>
          </cell>
          <cell r="C113">
            <v>26</v>
          </cell>
          <cell r="D113" t="str">
            <v>AFR</v>
          </cell>
          <cell r="E113">
            <v>2.342837542944268</v>
          </cell>
        </row>
        <row r="114">
          <cell r="B114" t="str">
            <v>IE University</v>
          </cell>
          <cell r="C114">
            <v>10</v>
          </cell>
          <cell r="D114" t="str">
            <v>BBM</v>
          </cell>
          <cell r="E114">
            <v>2.3422231450500299</v>
          </cell>
        </row>
        <row r="115">
          <cell r="B115" t="str">
            <v>University of New South Wales Sydney</v>
          </cell>
          <cell r="C115">
            <v>54</v>
          </cell>
          <cell r="D115" t="str">
            <v>ADI</v>
          </cell>
          <cell r="E115">
            <v>2.340784446081515</v>
          </cell>
        </row>
        <row r="116">
          <cell r="B116" t="str">
            <v>Washington State University</v>
          </cell>
          <cell r="C116">
            <v>12</v>
          </cell>
          <cell r="D116" t="str">
            <v>CAD</v>
          </cell>
          <cell r="E116">
            <v>2.322132026273438</v>
          </cell>
        </row>
        <row r="117">
          <cell r="B117" t="str">
            <v>University of California Davis</v>
          </cell>
          <cell r="C117">
            <v>10</v>
          </cell>
          <cell r="D117" t="str">
            <v>ACY</v>
          </cell>
          <cell r="E117">
            <v>2.3165772203312889</v>
          </cell>
        </row>
        <row r="118">
          <cell r="B118" t="str">
            <v>Concordia University - Canada</v>
          </cell>
          <cell r="C118">
            <v>26</v>
          </cell>
          <cell r="D118" t="str">
            <v>BAM</v>
          </cell>
          <cell r="E118">
            <v>2.3143553844705549</v>
          </cell>
        </row>
        <row r="119">
          <cell r="B119" t="str">
            <v>Johns Hopkins University</v>
          </cell>
          <cell r="C119">
            <v>10</v>
          </cell>
          <cell r="D119" t="str">
            <v>BBS</v>
          </cell>
          <cell r="E119">
            <v>2.3080088350868739</v>
          </cell>
        </row>
        <row r="120">
          <cell r="B120" t="str">
            <v>University of Copenhagen</v>
          </cell>
          <cell r="C120">
            <v>8</v>
          </cell>
          <cell r="D120" t="str">
            <v>AGF</v>
          </cell>
          <cell r="E120">
            <v>2.304745188862344</v>
          </cell>
        </row>
        <row r="121">
          <cell r="B121" t="str">
            <v>Iowa State University</v>
          </cell>
          <cell r="C121">
            <v>19</v>
          </cell>
          <cell r="D121" t="str">
            <v>BBQ</v>
          </cell>
          <cell r="E121">
            <v>2.3033802209935712</v>
          </cell>
        </row>
        <row r="122">
          <cell r="B122" t="str">
            <v>University of Waterloo</v>
          </cell>
          <cell r="C122">
            <v>22</v>
          </cell>
          <cell r="D122" t="str">
            <v>BGS</v>
          </cell>
          <cell r="E122">
            <v>2.2905243683693279</v>
          </cell>
        </row>
        <row r="123">
          <cell r="B123" t="str">
            <v>Temple University</v>
          </cell>
          <cell r="C123">
            <v>25</v>
          </cell>
          <cell r="D123" t="str">
            <v>AFU</v>
          </cell>
          <cell r="E123">
            <v>2.2794524297480092</v>
          </cell>
        </row>
        <row r="124">
          <cell r="B124" t="str">
            <v>Tilburg University</v>
          </cell>
          <cell r="C124">
            <v>43</v>
          </cell>
          <cell r="D124" t="str">
            <v>ACR</v>
          </cell>
          <cell r="E124">
            <v>2.2782316455276401</v>
          </cell>
        </row>
        <row r="125">
          <cell r="B125" t="str">
            <v>Florida State University</v>
          </cell>
          <cell r="C125">
            <v>19</v>
          </cell>
          <cell r="D125" t="str">
            <v>BBB</v>
          </cell>
          <cell r="E125">
            <v>2.267065587608093</v>
          </cell>
        </row>
        <row r="126">
          <cell r="B126" t="str">
            <v>Georgia Institute of Technology</v>
          </cell>
          <cell r="C126">
            <v>15</v>
          </cell>
          <cell r="D126" t="str">
            <v>AER</v>
          </cell>
          <cell r="E126">
            <v>2.2430584147864132</v>
          </cell>
        </row>
        <row r="127">
          <cell r="B127" t="str">
            <v>Rutgers University New Brunswick</v>
          </cell>
          <cell r="C127">
            <v>36</v>
          </cell>
          <cell r="D127" t="str">
            <v>AFM</v>
          </cell>
          <cell r="E127">
            <v>2.219409339239669</v>
          </cell>
        </row>
        <row r="128">
          <cell r="B128" t="str">
            <v>California State University Fullerton</v>
          </cell>
          <cell r="C128">
            <v>12</v>
          </cell>
          <cell r="D128" t="str">
            <v>DAZ</v>
          </cell>
          <cell r="E128">
            <v>2.2041629564306229</v>
          </cell>
        </row>
        <row r="129">
          <cell r="B129" t="str">
            <v>University College Dublin</v>
          </cell>
          <cell r="C129">
            <v>18</v>
          </cell>
          <cell r="D129" t="str">
            <v>AGD</v>
          </cell>
          <cell r="E129">
            <v>2.198036352998594</v>
          </cell>
        </row>
        <row r="130">
          <cell r="B130" t="str">
            <v>London School Economics &amp; Political Science</v>
          </cell>
          <cell r="C130">
            <v>76</v>
          </cell>
          <cell r="D130" t="str">
            <v>AAH</v>
          </cell>
          <cell r="E130">
            <v>2.1963168022579369</v>
          </cell>
        </row>
        <row r="131">
          <cell r="B131" t="str">
            <v>Tulane University</v>
          </cell>
          <cell r="C131">
            <v>11</v>
          </cell>
          <cell r="D131" t="str">
            <v>CHR</v>
          </cell>
          <cell r="E131">
            <v>2.1836496834798562</v>
          </cell>
        </row>
        <row r="132">
          <cell r="B132" t="str">
            <v>University of Warwick</v>
          </cell>
          <cell r="C132">
            <v>25</v>
          </cell>
          <cell r="D132" t="str">
            <v>ADT</v>
          </cell>
          <cell r="E132">
            <v>2.142199811035947</v>
          </cell>
        </row>
        <row r="133">
          <cell r="B133" t="str">
            <v>Shanghai University of Finance &amp; Economics</v>
          </cell>
          <cell r="C133">
            <v>43</v>
          </cell>
          <cell r="D133" t="str">
            <v>BDK</v>
          </cell>
          <cell r="E133">
            <v>2.1393674597870409</v>
          </cell>
        </row>
        <row r="134">
          <cell r="B134" t="str">
            <v>University of Zurich</v>
          </cell>
          <cell r="C134">
            <v>43</v>
          </cell>
          <cell r="D134" t="str">
            <v>ABV</v>
          </cell>
          <cell r="E134">
            <v>2.131029842767826</v>
          </cell>
        </row>
        <row r="135">
          <cell r="B135" t="str">
            <v>George Washington University</v>
          </cell>
          <cell r="C135">
            <v>14</v>
          </cell>
          <cell r="D135" t="str">
            <v>ACG</v>
          </cell>
          <cell r="E135">
            <v>2.1290261229383911</v>
          </cell>
        </row>
        <row r="136">
          <cell r="B136" t="str">
            <v>University of Oxford</v>
          </cell>
          <cell r="C136">
            <v>38</v>
          </cell>
          <cell r="D136" t="str">
            <v>ABQ</v>
          </cell>
          <cell r="E136">
            <v>2.127641245347784</v>
          </cell>
        </row>
        <row r="137">
          <cell r="B137" t="str">
            <v>University of Houston</v>
          </cell>
          <cell r="C137">
            <v>32</v>
          </cell>
          <cell r="D137" t="str">
            <v>BFA</v>
          </cell>
          <cell r="E137">
            <v>2.119517125646786</v>
          </cell>
        </row>
        <row r="138">
          <cell r="B138" t="str">
            <v>West Virginia University</v>
          </cell>
          <cell r="C138">
            <v>16</v>
          </cell>
          <cell r="D138" t="str">
            <v>CGS</v>
          </cell>
          <cell r="E138">
            <v>2.1101224208199101</v>
          </cell>
        </row>
        <row r="139">
          <cell r="B139" t="str">
            <v>University of Melbourne</v>
          </cell>
          <cell r="C139">
            <v>40</v>
          </cell>
          <cell r="D139" t="str">
            <v>ADD</v>
          </cell>
          <cell r="E139">
            <v>2.103359499502679</v>
          </cell>
        </row>
        <row r="140">
          <cell r="B140" t="str">
            <v>University of Bern</v>
          </cell>
          <cell r="C140">
            <v>12</v>
          </cell>
          <cell r="D140" t="str">
            <v>BEF</v>
          </cell>
          <cell r="E140">
            <v>2.098954936514152</v>
          </cell>
        </row>
        <row r="141">
          <cell r="B141" t="str">
            <v>Erasmus University Rotterdam</v>
          </cell>
          <cell r="C141">
            <v>37</v>
          </cell>
          <cell r="D141" t="str">
            <v>AAE</v>
          </cell>
          <cell r="E141">
            <v>2.0941805675650511</v>
          </cell>
        </row>
        <row r="142">
          <cell r="B142" t="str">
            <v>National University of Singapore</v>
          </cell>
          <cell r="C142">
            <v>27</v>
          </cell>
          <cell r="D142" t="str">
            <v>AAJ</v>
          </cell>
          <cell r="E142">
            <v>2.0853329561599709</v>
          </cell>
        </row>
        <row r="143">
          <cell r="B143" t="str">
            <v>Queens University - Canada</v>
          </cell>
          <cell r="C143">
            <v>12</v>
          </cell>
          <cell r="D143" t="str">
            <v>BDA</v>
          </cell>
          <cell r="E143">
            <v>2.0838796922034168</v>
          </cell>
        </row>
        <row r="144">
          <cell r="B144" t="str">
            <v>Wuhan University</v>
          </cell>
          <cell r="C144">
            <v>12</v>
          </cell>
          <cell r="D144" t="str">
            <v>BHS</v>
          </cell>
          <cell r="E144">
            <v>2.0808165462177719</v>
          </cell>
        </row>
        <row r="145">
          <cell r="B145" t="str">
            <v>Vienna University of Economics &amp; Business</v>
          </cell>
          <cell r="C145">
            <v>18</v>
          </cell>
          <cell r="D145" t="str">
            <v>AHP</v>
          </cell>
          <cell r="E145">
            <v>2.0720278847751761</v>
          </cell>
        </row>
        <row r="146">
          <cell r="B146" t="str">
            <v>Goethe University Frankfurt</v>
          </cell>
          <cell r="C146">
            <v>20</v>
          </cell>
          <cell r="D146" t="str">
            <v>BET</v>
          </cell>
          <cell r="E146">
            <v>2.0626116359415549</v>
          </cell>
        </row>
        <row r="147">
          <cell r="B147" t="str">
            <v>Yonsei University</v>
          </cell>
          <cell r="C147">
            <v>18</v>
          </cell>
          <cell r="D147" t="str">
            <v>BHC</v>
          </cell>
          <cell r="E147">
            <v>2.0569090076851051</v>
          </cell>
        </row>
        <row r="148">
          <cell r="B148" t="str">
            <v>University of Konstanz</v>
          </cell>
          <cell r="C148">
            <v>8</v>
          </cell>
          <cell r="D148" t="str">
            <v>BAS</v>
          </cell>
          <cell r="E148">
            <v>2.0558619134363112</v>
          </cell>
        </row>
        <row r="149">
          <cell r="B149" t="str">
            <v>University of Nebraska Lincoln</v>
          </cell>
          <cell r="C149">
            <v>19</v>
          </cell>
          <cell r="D149" t="str">
            <v>BFU</v>
          </cell>
          <cell r="E149">
            <v>2.0496186988471208</v>
          </cell>
        </row>
        <row r="150">
          <cell r="B150" t="str">
            <v>Tel Aviv University</v>
          </cell>
          <cell r="C150">
            <v>13</v>
          </cell>
          <cell r="D150" t="str">
            <v>BDT</v>
          </cell>
          <cell r="E150">
            <v>2.0454727330088449</v>
          </cell>
        </row>
        <row r="151">
          <cell r="B151" t="str">
            <v>University of Massachusetts Lowell</v>
          </cell>
          <cell r="C151">
            <v>12</v>
          </cell>
          <cell r="D151" t="str">
            <v>DDP</v>
          </cell>
          <cell r="E151">
            <v>2.038635837371999</v>
          </cell>
        </row>
        <row r="152">
          <cell r="B152" t="str">
            <v>University of Graz</v>
          </cell>
          <cell r="C152">
            <v>5</v>
          </cell>
          <cell r="D152" t="str">
            <v>DER</v>
          </cell>
          <cell r="E152">
            <v>2.0384611139654258</v>
          </cell>
        </row>
        <row r="153">
          <cell r="B153" t="str">
            <v>Universidade Nova de Lisboa</v>
          </cell>
          <cell r="C153">
            <v>11</v>
          </cell>
          <cell r="D153" t="str">
            <v>AGU</v>
          </cell>
          <cell r="E153">
            <v>2.032124320761266</v>
          </cell>
        </row>
        <row r="154">
          <cell r="B154" t="str">
            <v>Universidad Carlos III de Madrid</v>
          </cell>
          <cell r="C154">
            <v>16</v>
          </cell>
          <cell r="D154" t="str">
            <v>BDX</v>
          </cell>
          <cell r="E154">
            <v>2.0194404264902199</v>
          </cell>
        </row>
        <row r="155">
          <cell r="B155" t="str">
            <v>Lund University</v>
          </cell>
          <cell r="C155">
            <v>18</v>
          </cell>
          <cell r="D155" t="str">
            <v>AFB</v>
          </cell>
          <cell r="E155">
            <v>2.0093584274248668</v>
          </cell>
        </row>
        <row r="156">
          <cell r="B156" t="str">
            <v>WHU - Otto Beisheim School of Management</v>
          </cell>
          <cell r="C156">
            <v>13</v>
          </cell>
          <cell r="D156" t="str">
            <v>AHO</v>
          </cell>
          <cell r="E156">
            <v>1.9966852055813711</v>
          </cell>
        </row>
        <row r="157">
          <cell r="B157" t="str">
            <v>Clemson University</v>
          </cell>
          <cell r="C157">
            <v>11</v>
          </cell>
          <cell r="D157" t="str">
            <v>BAJ</v>
          </cell>
          <cell r="E157">
            <v>1.985076163248098</v>
          </cell>
        </row>
        <row r="158">
          <cell r="B158" t="str">
            <v>KU Leuven</v>
          </cell>
          <cell r="C158">
            <v>20</v>
          </cell>
          <cell r="D158" t="str">
            <v>AEX</v>
          </cell>
          <cell r="E158">
            <v>1.972424456456406</v>
          </cell>
        </row>
        <row r="159">
          <cell r="B159" t="str">
            <v>Hong Kong Polytechnic University</v>
          </cell>
          <cell r="C159">
            <v>45</v>
          </cell>
          <cell r="D159" t="str">
            <v>ACK</v>
          </cell>
          <cell r="E159">
            <v>1.971467065022517</v>
          </cell>
        </row>
        <row r="160">
          <cell r="B160" t="str">
            <v>HSE University (National Research University Higher School of Economics)</v>
          </cell>
          <cell r="C160">
            <v>13</v>
          </cell>
          <cell r="D160" t="str">
            <v>CBQ</v>
          </cell>
          <cell r="E160">
            <v>1.9709506404380519</v>
          </cell>
        </row>
        <row r="161">
          <cell r="B161" t="str">
            <v>University of Mississippi</v>
          </cell>
          <cell r="C161">
            <v>10</v>
          </cell>
          <cell r="D161" t="str">
            <v>DCF</v>
          </cell>
          <cell r="E161">
            <v>1.9702796300096641</v>
          </cell>
        </row>
        <row r="162">
          <cell r="B162" t="str">
            <v>Mississippi State University</v>
          </cell>
          <cell r="C162">
            <v>10</v>
          </cell>
          <cell r="D162" t="str">
            <v>AFD</v>
          </cell>
          <cell r="E162">
            <v>1.9702796300096641</v>
          </cell>
        </row>
        <row r="163">
          <cell r="B163" t="str">
            <v>North Carolina State University</v>
          </cell>
          <cell r="C163">
            <v>13</v>
          </cell>
          <cell r="D163" t="str">
            <v>BCL</v>
          </cell>
          <cell r="E163">
            <v>1.968548710764638</v>
          </cell>
        </row>
        <row r="164">
          <cell r="B164" t="str">
            <v>University of Navarra</v>
          </cell>
          <cell r="C164">
            <v>28</v>
          </cell>
          <cell r="D164" t="str">
            <v>ADH</v>
          </cell>
          <cell r="E164">
            <v>1.9628951763413121</v>
          </cell>
        </row>
        <row r="165">
          <cell r="B165" t="str">
            <v>Lancaster University</v>
          </cell>
          <cell r="C165">
            <v>27</v>
          </cell>
          <cell r="D165" t="str">
            <v>AEY</v>
          </cell>
          <cell r="E165">
            <v>1.96071881425532</v>
          </cell>
        </row>
        <row r="166">
          <cell r="B166" t="str">
            <v>University of Arkansas Fayetteville</v>
          </cell>
          <cell r="C166">
            <v>13</v>
          </cell>
          <cell r="D166" t="str">
            <v>BEE</v>
          </cell>
          <cell r="E166">
            <v>1.959973825151778</v>
          </cell>
        </row>
        <row r="167">
          <cell r="B167" t="str">
            <v>Miami University</v>
          </cell>
          <cell r="C167">
            <v>25</v>
          </cell>
          <cell r="D167" t="str">
            <v>BCO</v>
          </cell>
          <cell r="E167">
            <v>1.9597100455455461</v>
          </cell>
        </row>
        <row r="168">
          <cell r="B168" t="str">
            <v>Baruch College (CUNY)</v>
          </cell>
          <cell r="C168">
            <v>13</v>
          </cell>
          <cell r="D168" t="str">
            <v>BFK</v>
          </cell>
          <cell r="E168">
            <v>1.957230096187383</v>
          </cell>
        </row>
        <row r="169">
          <cell r="B169" t="str">
            <v>University of Verona</v>
          </cell>
          <cell r="C169">
            <v>13</v>
          </cell>
          <cell r="D169" t="str">
            <v>BAV</v>
          </cell>
          <cell r="E169">
            <v>1.957230096187383</v>
          </cell>
        </row>
        <row r="170">
          <cell r="B170" t="str">
            <v>King's College London</v>
          </cell>
          <cell r="C170">
            <v>17</v>
          </cell>
          <cell r="D170" t="str">
            <v>BBX</v>
          </cell>
          <cell r="E170">
            <v>1.952571195394369</v>
          </cell>
        </row>
        <row r="171">
          <cell r="B171" t="str">
            <v>University of California Santa Barbara</v>
          </cell>
          <cell r="C171">
            <v>6</v>
          </cell>
          <cell r="D171" t="str">
            <v>ACZ</v>
          </cell>
          <cell r="E171">
            <v>1.950129069525619</v>
          </cell>
        </row>
        <row r="172">
          <cell r="B172" t="str">
            <v>Renmin University of China</v>
          </cell>
          <cell r="C172">
            <v>58</v>
          </cell>
          <cell r="D172" t="str">
            <v>AFK</v>
          </cell>
          <cell r="E172">
            <v>1.948871710877619</v>
          </cell>
        </row>
        <row r="173">
          <cell r="B173" t="str">
            <v>University of Oklahoma - Norman</v>
          </cell>
          <cell r="C173">
            <v>20</v>
          </cell>
          <cell r="D173" t="str">
            <v>BFX</v>
          </cell>
          <cell r="E173">
            <v>1.948062470856097</v>
          </cell>
        </row>
        <row r="174">
          <cell r="B174" t="str">
            <v>University of Alabama Tuscaloosa</v>
          </cell>
          <cell r="C174">
            <v>14</v>
          </cell>
          <cell r="D174" t="str">
            <v>BEB</v>
          </cell>
          <cell r="E174">
            <v>1.9430699217843781</v>
          </cell>
        </row>
        <row r="175">
          <cell r="B175" t="str">
            <v>University of North Carolina Charlotte</v>
          </cell>
          <cell r="C175">
            <v>19</v>
          </cell>
          <cell r="D175" t="str">
            <v>CHP</v>
          </cell>
          <cell r="E175">
            <v>1.922319949278672</v>
          </cell>
        </row>
        <row r="176">
          <cell r="B176" t="str">
            <v>Pompeu Fabra University</v>
          </cell>
          <cell r="C176">
            <v>16</v>
          </cell>
          <cell r="D176" t="str">
            <v>AGW</v>
          </cell>
          <cell r="E176">
            <v>1.920815633120101</v>
          </cell>
        </row>
        <row r="177">
          <cell r="B177" t="str">
            <v>Copenhagen Business School</v>
          </cell>
          <cell r="C177">
            <v>29</v>
          </cell>
          <cell r="D177" t="str">
            <v>AAC</v>
          </cell>
          <cell r="E177">
            <v>1.9164398958325299</v>
          </cell>
        </row>
        <row r="178">
          <cell r="B178" t="str">
            <v>Universidade Catolica Portuguesa</v>
          </cell>
          <cell r="C178">
            <v>7</v>
          </cell>
          <cell r="D178" t="str">
            <v>BEK</v>
          </cell>
          <cell r="E178">
            <v>1.900467064215708</v>
          </cell>
        </row>
        <row r="179">
          <cell r="B179" t="str">
            <v>Hong Kong Baptist University</v>
          </cell>
          <cell r="C179">
            <v>26</v>
          </cell>
          <cell r="D179" t="str">
            <v>BBI</v>
          </cell>
          <cell r="E179">
            <v>1.893928121833498</v>
          </cell>
        </row>
        <row r="180">
          <cell r="B180" t="str">
            <v>York University - Canada</v>
          </cell>
          <cell r="C180">
            <v>25</v>
          </cell>
          <cell r="D180" t="str">
            <v>ABX</v>
          </cell>
          <cell r="E180">
            <v>1.8936062005293739</v>
          </cell>
        </row>
        <row r="181">
          <cell r="B181" t="str">
            <v>Lehigh University</v>
          </cell>
          <cell r="C181">
            <v>14</v>
          </cell>
          <cell r="D181" t="str">
            <v>BCC</v>
          </cell>
          <cell r="E181">
            <v>1.876789662781092</v>
          </cell>
        </row>
        <row r="182">
          <cell r="B182" t="str">
            <v>University of Alberta</v>
          </cell>
          <cell r="C182">
            <v>16</v>
          </cell>
          <cell r="D182" t="str">
            <v>ABK</v>
          </cell>
          <cell r="E182">
            <v>1.876047023830274</v>
          </cell>
        </row>
        <row r="183">
          <cell r="B183" t="str">
            <v>Hebrew University of Jerusalem</v>
          </cell>
          <cell r="C183">
            <v>10</v>
          </cell>
          <cell r="D183" t="str">
            <v>AET</v>
          </cell>
          <cell r="E183">
            <v>1.874168579892187</v>
          </cell>
        </row>
        <row r="184">
          <cell r="B184" t="str">
            <v>University of St Andrews</v>
          </cell>
          <cell r="C184">
            <v>11</v>
          </cell>
          <cell r="D184" t="str">
            <v>BGL</v>
          </cell>
          <cell r="E184">
            <v>1.8640925289225629</v>
          </cell>
        </row>
        <row r="185">
          <cell r="B185" t="str">
            <v>Deutsche Bundesbank</v>
          </cell>
          <cell r="C185">
            <v>23</v>
          </cell>
          <cell r="D185" t="str">
            <v>CHK</v>
          </cell>
          <cell r="E185">
            <v>1.8591660771262231</v>
          </cell>
        </row>
        <row r="186">
          <cell r="B186" t="str">
            <v>Bank of England</v>
          </cell>
          <cell r="C186">
            <v>24</v>
          </cell>
          <cell r="D186" t="str">
            <v>BHK</v>
          </cell>
          <cell r="E186">
            <v>1.8577708754518181</v>
          </cell>
        </row>
        <row r="187">
          <cell r="B187" t="str">
            <v>Maastricht University</v>
          </cell>
          <cell r="C187">
            <v>12</v>
          </cell>
          <cell r="D187" t="str">
            <v>ABG</v>
          </cell>
          <cell r="E187">
            <v>1.852118660057795</v>
          </cell>
        </row>
        <row r="188">
          <cell r="B188" t="str">
            <v>Shanghai Jiao Tong University</v>
          </cell>
          <cell r="C188">
            <v>29</v>
          </cell>
          <cell r="D188" t="str">
            <v>AFN</v>
          </cell>
          <cell r="E188">
            <v>1.8476336089370029</v>
          </cell>
        </row>
        <row r="189">
          <cell r="B189" t="str">
            <v>Auburn University</v>
          </cell>
          <cell r="C189">
            <v>12</v>
          </cell>
          <cell r="D189" t="str">
            <v>AHF</v>
          </cell>
          <cell r="E189">
            <v>1.8254392757766751</v>
          </cell>
        </row>
        <row r="190">
          <cell r="B190" t="str">
            <v>China Europe International Business School</v>
          </cell>
          <cell r="C190">
            <v>4</v>
          </cell>
          <cell r="D190" t="str">
            <v>DET</v>
          </cell>
          <cell r="E190">
            <v>1.819175740664827</v>
          </cell>
        </row>
        <row r="191">
          <cell r="B191" t="str">
            <v>Technical University of Munich</v>
          </cell>
          <cell r="C191">
            <v>12</v>
          </cell>
          <cell r="D191" t="str">
            <v>BDR</v>
          </cell>
          <cell r="E191">
            <v>1.816231699983651</v>
          </cell>
        </row>
        <row r="192">
          <cell r="B192" t="str">
            <v>Bocconi University</v>
          </cell>
          <cell r="C192">
            <v>21</v>
          </cell>
          <cell r="D192" t="str">
            <v>AAZ</v>
          </cell>
          <cell r="E192">
            <v>1.81521378997473</v>
          </cell>
        </row>
        <row r="193">
          <cell r="B193" t="str">
            <v>Monash University</v>
          </cell>
          <cell r="C193">
            <v>97</v>
          </cell>
          <cell r="D193" t="str">
            <v>ABI</v>
          </cell>
          <cell r="E193">
            <v>1.812761603620324</v>
          </cell>
        </row>
        <row r="194">
          <cell r="B194" t="str">
            <v>EDHEC Business School</v>
          </cell>
          <cell r="C194">
            <v>18</v>
          </cell>
          <cell r="D194" t="str">
            <v>DCV</v>
          </cell>
          <cell r="E194">
            <v>1.803875422052672</v>
          </cell>
        </row>
        <row r="195">
          <cell r="B195" t="str">
            <v>Universite Cote d'Azur</v>
          </cell>
          <cell r="C195">
            <v>5</v>
          </cell>
          <cell r="D195" t="str">
            <v>CAR</v>
          </cell>
          <cell r="E195">
            <v>1.7935014244041469</v>
          </cell>
        </row>
        <row r="196">
          <cell r="B196" t="str">
            <v>University of Innsbruck</v>
          </cell>
          <cell r="C196">
            <v>11</v>
          </cell>
          <cell r="D196" t="str">
            <v>BFC</v>
          </cell>
          <cell r="E196">
            <v>1.7867828129505361</v>
          </cell>
        </row>
        <row r="197">
          <cell r="B197" t="str">
            <v>Chinese Academy of Sciences</v>
          </cell>
          <cell r="C197">
            <v>40</v>
          </cell>
          <cell r="D197" t="str">
            <v>ADY</v>
          </cell>
          <cell r="E197">
            <v>1.781278968152646</v>
          </cell>
        </row>
        <row r="198">
          <cell r="B198" t="str">
            <v>Hanken School of Economics</v>
          </cell>
          <cell r="C198">
            <v>9</v>
          </cell>
          <cell r="D198" t="str">
            <v>CHE</v>
          </cell>
          <cell r="E198">
            <v>1.761430019589562</v>
          </cell>
        </row>
        <row r="199">
          <cell r="B199" t="str">
            <v>Solent University</v>
          </cell>
          <cell r="C199">
            <v>36</v>
          </cell>
          <cell r="D199" t="str">
            <v>CBZ</v>
          </cell>
          <cell r="E199">
            <v>1.7534167826718119</v>
          </cell>
        </row>
        <row r="200">
          <cell r="B200" t="str">
            <v>University of Central Florida</v>
          </cell>
          <cell r="C200">
            <v>26</v>
          </cell>
          <cell r="D200" t="str">
            <v>BEA</v>
          </cell>
          <cell r="E200">
            <v>1.7528260465048811</v>
          </cell>
        </row>
        <row r="201">
          <cell r="B201" t="str">
            <v>Dublin City University</v>
          </cell>
          <cell r="C201">
            <v>28</v>
          </cell>
          <cell r="D201" t="str">
            <v>AEL</v>
          </cell>
          <cell r="E201">
            <v>1.747686620032862</v>
          </cell>
        </row>
        <row r="202">
          <cell r="B202" t="str">
            <v>Florida International University</v>
          </cell>
          <cell r="C202">
            <v>31</v>
          </cell>
          <cell r="D202" t="str">
            <v>BBA</v>
          </cell>
          <cell r="E202">
            <v>1.7461316540180709</v>
          </cell>
        </row>
        <row r="203">
          <cell r="B203" t="str">
            <v>Pennsylvania State University</v>
          </cell>
          <cell r="C203">
            <v>39</v>
          </cell>
          <cell r="D203" t="str">
            <v>ADZ</v>
          </cell>
          <cell r="E203">
            <v>1.746010653213814</v>
          </cell>
        </row>
        <row r="204">
          <cell r="B204" t="str">
            <v>Fudan University</v>
          </cell>
          <cell r="C204">
            <v>41</v>
          </cell>
          <cell r="D204" t="str">
            <v>BBD</v>
          </cell>
          <cell r="E204">
            <v>1.7447955564946529</v>
          </cell>
        </row>
        <row r="205">
          <cell r="B205" t="str">
            <v>Radboud University Nijmegen</v>
          </cell>
          <cell r="C205">
            <v>6</v>
          </cell>
          <cell r="D205" t="str">
            <v>BDB</v>
          </cell>
          <cell r="E205">
            <v>1.7388919696293901</v>
          </cell>
        </row>
        <row r="206">
          <cell r="B206" t="str">
            <v>University of Texas Rio Grande Valley</v>
          </cell>
          <cell r="C206">
            <v>13</v>
          </cell>
          <cell r="D206" t="str">
            <v>DCG</v>
          </cell>
          <cell r="E206">
            <v>1.738546367027695</v>
          </cell>
        </row>
        <row r="207">
          <cell r="B207" t="str">
            <v>Karlsruhe Institute of Technology</v>
          </cell>
          <cell r="C207">
            <v>7</v>
          </cell>
          <cell r="D207" t="str">
            <v>AEM</v>
          </cell>
          <cell r="E207">
            <v>1.738435365098455</v>
          </cell>
        </row>
        <row r="208">
          <cell r="B208" t="str">
            <v>International Monetary Fund</v>
          </cell>
          <cell r="C208">
            <v>62</v>
          </cell>
          <cell r="D208" t="str">
            <v>AEW</v>
          </cell>
          <cell r="E208">
            <v>1.735041515303871</v>
          </cell>
        </row>
        <row r="209">
          <cell r="B209" t="str">
            <v>Seoul National University (SNU)</v>
          </cell>
          <cell r="C209">
            <v>23</v>
          </cell>
          <cell r="D209" t="str">
            <v>BDJ</v>
          </cell>
          <cell r="E209">
            <v>1.734985719193793</v>
          </cell>
        </row>
        <row r="210">
          <cell r="B210" t="str">
            <v>European Central Bank</v>
          </cell>
          <cell r="C210">
            <v>92</v>
          </cell>
          <cell r="D210" t="str">
            <v>AEO</v>
          </cell>
          <cell r="E210">
            <v>1.734546721787622</v>
          </cell>
        </row>
        <row r="211">
          <cell r="B211" t="str">
            <v>University of Memphis</v>
          </cell>
          <cell r="C211">
            <v>21</v>
          </cell>
          <cell r="D211" t="str">
            <v>DBO</v>
          </cell>
          <cell r="E211">
            <v>1.7334928513732151</v>
          </cell>
        </row>
        <row r="212">
          <cell r="B212" t="str">
            <v>Korea Advanced Institute of Science &amp; Technology (KAIST)</v>
          </cell>
          <cell r="C212">
            <v>27</v>
          </cell>
          <cell r="D212" t="str">
            <v>CHM</v>
          </cell>
          <cell r="E212">
            <v>1.729346945998061</v>
          </cell>
        </row>
        <row r="213">
          <cell r="B213" t="str">
            <v>Institut Polytechnique de Paris</v>
          </cell>
          <cell r="C213">
            <v>22</v>
          </cell>
          <cell r="D213" t="str">
            <v>BFW</v>
          </cell>
          <cell r="E213">
            <v>1.725117349489705</v>
          </cell>
        </row>
        <row r="214">
          <cell r="B214" t="str">
            <v>University of North Texas Denton</v>
          </cell>
          <cell r="C214">
            <v>13</v>
          </cell>
          <cell r="D214" t="str">
            <v>BAN</v>
          </cell>
          <cell r="E214">
            <v>1.723168105319473</v>
          </cell>
        </row>
        <row r="215">
          <cell r="B215" t="str">
            <v>Vanderbilt University</v>
          </cell>
          <cell r="C215">
            <v>13</v>
          </cell>
          <cell r="D215" t="str">
            <v>BGW</v>
          </cell>
          <cell r="E215">
            <v>1.7144598201569781</v>
          </cell>
        </row>
        <row r="216">
          <cell r="B216" t="str">
            <v>Huazhong University of Science &amp; Technology</v>
          </cell>
          <cell r="C216">
            <v>19</v>
          </cell>
          <cell r="D216" t="str">
            <v>BBJ</v>
          </cell>
          <cell r="E216">
            <v>1.7129287027111579</v>
          </cell>
        </row>
        <row r="217">
          <cell r="B217" t="str">
            <v>Free University of Bozen-Bolzano</v>
          </cell>
          <cell r="C217">
            <v>4</v>
          </cell>
          <cell r="D217" t="str">
            <v>AEP</v>
          </cell>
          <cell r="E217">
            <v>1.7129085941660009</v>
          </cell>
        </row>
        <row r="218">
          <cell r="B218" t="str">
            <v>University of Sydney</v>
          </cell>
          <cell r="C218">
            <v>61</v>
          </cell>
          <cell r="D218" t="str">
            <v>ADP</v>
          </cell>
          <cell r="E218">
            <v>1.711873451183799</v>
          </cell>
        </row>
        <row r="219">
          <cell r="B219" t="str">
            <v>University of Groningen</v>
          </cell>
          <cell r="C219">
            <v>23</v>
          </cell>
          <cell r="D219" t="str">
            <v>ABM</v>
          </cell>
          <cell r="E219">
            <v>1.70942904052601</v>
          </cell>
        </row>
        <row r="220">
          <cell r="B220" t="str">
            <v>Fordham University</v>
          </cell>
          <cell r="C220">
            <v>25</v>
          </cell>
          <cell r="D220" t="str">
            <v>CGQ</v>
          </cell>
          <cell r="E220">
            <v>1.708715517327162</v>
          </cell>
        </row>
        <row r="221">
          <cell r="B221" t="str">
            <v>University of Bath</v>
          </cell>
          <cell r="C221">
            <v>24</v>
          </cell>
          <cell r="D221" t="str">
            <v>AFZ</v>
          </cell>
          <cell r="E221">
            <v>1.706864207927284</v>
          </cell>
        </row>
        <row r="222">
          <cell r="B222" t="str">
            <v>University of South Florida</v>
          </cell>
          <cell r="C222">
            <v>15</v>
          </cell>
          <cell r="D222" t="str">
            <v>CHB</v>
          </cell>
          <cell r="E222">
            <v>1.698376341713522</v>
          </cell>
        </row>
        <row r="223">
          <cell r="B223" t="str">
            <v>Peking University</v>
          </cell>
          <cell r="C223">
            <v>40</v>
          </cell>
          <cell r="D223" t="str">
            <v>AFF</v>
          </cell>
          <cell r="E223">
            <v>1.697287807440486</v>
          </cell>
        </row>
        <row r="224">
          <cell r="B224" t="str">
            <v>University of Southampton</v>
          </cell>
          <cell r="C224">
            <v>46</v>
          </cell>
          <cell r="D224" t="str">
            <v>AHB</v>
          </cell>
          <cell r="E224">
            <v>1.6928517696473571</v>
          </cell>
        </row>
        <row r="225">
          <cell r="B225" t="str">
            <v>Georgia State University</v>
          </cell>
          <cell r="C225">
            <v>20</v>
          </cell>
          <cell r="D225" t="str">
            <v>ACH</v>
          </cell>
          <cell r="E225">
            <v>1.6917599445725799</v>
          </cell>
        </row>
        <row r="226">
          <cell r="B226" t="str">
            <v>University of Milan</v>
          </cell>
          <cell r="C226">
            <v>4</v>
          </cell>
          <cell r="D226" t="str">
            <v>BAD</v>
          </cell>
          <cell r="E226">
            <v>1.689124415792266</v>
          </cell>
        </row>
        <row r="227">
          <cell r="B227" t="str">
            <v>Virginia Commonwealth University</v>
          </cell>
          <cell r="C227">
            <v>10</v>
          </cell>
          <cell r="D227" t="str">
            <v>DFD</v>
          </cell>
          <cell r="E227">
            <v>1.6683004476655721</v>
          </cell>
        </row>
        <row r="228">
          <cell r="B228" t="str">
            <v>Western University (University of Western Ontario)</v>
          </cell>
          <cell r="C228">
            <v>13</v>
          </cell>
          <cell r="D228" t="str">
            <v>ABW</v>
          </cell>
          <cell r="E228">
            <v>1.665060758973665</v>
          </cell>
        </row>
        <row r="229">
          <cell r="B229" t="str">
            <v>University of Manchester</v>
          </cell>
          <cell r="C229">
            <v>43</v>
          </cell>
          <cell r="D229" t="str">
            <v>ADC</v>
          </cell>
          <cell r="E229">
            <v>1.66421353520452</v>
          </cell>
        </row>
        <row r="230">
          <cell r="B230" t="str">
            <v>Shandong University</v>
          </cell>
          <cell r="C230">
            <v>12</v>
          </cell>
          <cell r="D230" t="str">
            <v>BFQ</v>
          </cell>
          <cell r="E230">
            <v>1.6568647111703181</v>
          </cell>
        </row>
        <row r="231">
          <cell r="B231" t="str">
            <v>Victoria University Wellington</v>
          </cell>
          <cell r="C231">
            <v>28</v>
          </cell>
          <cell r="D231" t="str">
            <v>BHZ</v>
          </cell>
          <cell r="E231">
            <v>1.6506584332888079</v>
          </cell>
        </row>
        <row r="232">
          <cell r="B232" t="str">
            <v>University College London</v>
          </cell>
          <cell r="C232">
            <v>32</v>
          </cell>
          <cell r="D232" t="str">
            <v>ADA</v>
          </cell>
          <cell r="E232">
            <v>1.64720942832567</v>
          </cell>
        </row>
        <row r="233">
          <cell r="B233" t="str">
            <v>Autonomous University of Madrid</v>
          </cell>
          <cell r="C233">
            <v>5</v>
          </cell>
          <cell r="D233" t="str">
            <v>CAJ</v>
          </cell>
          <cell r="E233">
            <v>1.6467774992275419</v>
          </cell>
        </row>
        <row r="234">
          <cell r="B234" t="str">
            <v>Universitat Ramon Llull</v>
          </cell>
          <cell r="C234">
            <v>13</v>
          </cell>
          <cell r="D234" t="str">
            <v>CAN</v>
          </cell>
          <cell r="E234">
            <v>1.6316126323720579</v>
          </cell>
        </row>
        <row r="235">
          <cell r="B235" t="str">
            <v>Binghamton University, SUNY</v>
          </cell>
          <cell r="C235">
            <v>6</v>
          </cell>
          <cell r="D235" t="str">
            <v>DDI</v>
          </cell>
          <cell r="E235">
            <v>1.627753691428603</v>
          </cell>
        </row>
        <row r="236">
          <cell r="B236" t="str">
            <v>Trinity College Dublin</v>
          </cell>
          <cell r="C236">
            <v>28</v>
          </cell>
          <cell r="D236" t="str">
            <v>AFW</v>
          </cell>
          <cell r="E236">
            <v>1.626614080905495</v>
          </cell>
        </row>
        <row r="237">
          <cell r="B237" t="str">
            <v>Aarhus University</v>
          </cell>
          <cell r="C237">
            <v>21</v>
          </cell>
          <cell r="D237" t="str">
            <v>ABY</v>
          </cell>
          <cell r="E237">
            <v>1.6196606041817929</v>
          </cell>
        </row>
        <row r="238">
          <cell r="B238" t="str">
            <v>Vrije Universiteit Amsterdam</v>
          </cell>
          <cell r="C238">
            <v>24</v>
          </cell>
          <cell r="D238" t="str">
            <v>ADV</v>
          </cell>
          <cell r="E238">
            <v>1.6195586161280151</v>
          </cell>
        </row>
        <row r="239">
          <cell r="B239" t="str">
            <v>University of Surrey</v>
          </cell>
          <cell r="C239">
            <v>12</v>
          </cell>
          <cell r="D239" t="str">
            <v>AHC</v>
          </cell>
          <cell r="E239">
            <v>1.6131332157939531</v>
          </cell>
        </row>
        <row r="240">
          <cell r="B240" t="str">
            <v>ETH Zurich</v>
          </cell>
          <cell r="C240">
            <v>17</v>
          </cell>
          <cell r="D240" t="str">
            <v>AFT</v>
          </cell>
          <cell r="E240">
            <v>1.6106869546851701</v>
          </cell>
        </row>
        <row r="241">
          <cell r="B241" t="str">
            <v>Louisiana State University</v>
          </cell>
          <cell r="C241">
            <v>11</v>
          </cell>
          <cell r="D241" t="str">
            <v>CAK</v>
          </cell>
          <cell r="E241">
            <v>1.606398230759092</v>
          </cell>
        </row>
        <row r="242">
          <cell r="B242" t="str">
            <v>City St Georges, University of London</v>
          </cell>
          <cell r="C242">
            <v>29</v>
          </cell>
          <cell r="D242" t="str">
            <v>BBL</v>
          </cell>
          <cell r="E242">
            <v>1.603195228068903</v>
          </cell>
        </row>
        <row r="243">
          <cell r="B243" t="str">
            <v>Ho Chi Minh City University Economics</v>
          </cell>
          <cell r="C243">
            <v>44</v>
          </cell>
          <cell r="D243" t="str">
            <v>BBH</v>
          </cell>
          <cell r="E243">
            <v>1.6028230346981771</v>
          </cell>
        </row>
        <row r="244">
          <cell r="B244" t="str">
            <v>University of Southern Denmark</v>
          </cell>
          <cell r="C244">
            <v>8</v>
          </cell>
          <cell r="D244" t="str">
            <v>BGK</v>
          </cell>
          <cell r="E244">
            <v>1.602358788127477</v>
          </cell>
        </row>
        <row r="245">
          <cell r="B245" t="str">
            <v>Ihsan Dogramaci Bilkent University</v>
          </cell>
          <cell r="C245">
            <v>12</v>
          </cell>
          <cell r="D245" t="str">
            <v>DCX</v>
          </cell>
          <cell r="E245">
            <v>1.600264259559568</v>
          </cell>
        </row>
        <row r="246">
          <cell r="B246" t="str">
            <v>Bank of Canada</v>
          </cell>
          <cell r="C246">
            <v>21</v>
          </cell>
          <cell r="D246" t="str">
            <v>BHJ</v>
          </cell>
          <cell r="E246">
            <v>1.599984866659133</v>
          </cell>
        </row>
        <row r="247">
          <cell r="B247" t="str">
            <v>Universidad de Chile</v>
          </cell>
          <cell r="C247">
            <v>7</v>
          </cell>
          <cell r="D247" t="str">
            <v>CAQ</v>
          </cell>
          <cell r="E247">
            <v>1.594167645338973</v>
          </cell>
        </row>
        <row r="248">
          <cell r="B248" t="str">
            <v>Simon Fraser University</v>
          </cell>
          <cell r="C248">
            <v>17</v>
          </cell>
          <cell r="D248" t="str">
            <v>AFO</v>
          </cell>
          <cell r="E248">
            <v>1.5940198483938439</v>
          </cell>
        </row>
        <row r="249">
          <cell r="B249" t="str">
            <v>University of Calgary</v>
          </cell>
          <cell r="C249">
            <v>9</v>
          </cell>
          <cell r="D249" t="str">
            <v>ACX</v>
          </cell>
          <cell r="E249">
            <v>1.592188649227823</v>
          </cell>
        </row>
        <row r="250">
          <cell r="B250" t="str">
            <v>South China University of Technology</v>
          </cell>
          <cell r="C250">
            <v>6</v>
          </cell>
          <cell r="D250" t="str">
            <v>CCG</v>
          </cell>
          <cell r="E250">
            <v>1.5915721354874059</v>
          </cell>
        </row>
        <row r="251">
          <cell r="B251" t="str">
            <v>Universite de Montreal</v>
          </cell>
          <cell r="C251">
            <v>27</v>
          </cell>
          <cell r="D251" t="str">
            <v>ADF</v>
          </cell>
          <cell r="E251">
            <v>1.5879115631302669</v>
          </cell>
        </row>
        <row r="252">
          <cell r="B252" t="str">
            <v>University of Turku</v>
          </cell>
          <cell r="C252">
            <v>7</v>
          </cell>
          <cell r="D252" t="str">
            <v>CGK</v>
          </cell>
          <cell r="E252">
            <v>1.587250806655145</v>
          </cell>
        </row>
        <row r="253">
          <cell r="B253" t="str">
            <v>Royal Holloway University London</v>
          </cell>
          <cell r="C253">
            <v>8</v>
          </cell>
          <cell r="D253" t="str">
            <v>BDE</v>
          </cell>
          <cell r="E253">
            <v>1.58601594243888</v>
          </cell>
        </row>
        <row r="254">
          <cell r="B254" t="str">
            <v>University of Tasmania</v>
          </cell>
          <cell r="C254">
            <v>15</v>
          </cell>
          <cell r="D254" t="str">
            <v>AFP</v>
          </cell>
          <cell r="E254">
            <v>1.585830814407134</v>
          </cell>
        </row>
        <row r="255">
          <cell r="B255" t="str">
            <v>Wilfrid Laurier University</v>
          </cell>
          <cell r="C255">
            <v>17</v>
          </cell>
          <cell r="D255" t="str">
            <v>BHA</v>
          </cell>
          <cell r="E255">
            <v>1.58181108653069</v>
          </cell>
        </row>
        <row r="256">
          <cell r="B256" t="str">
            <v>RWTH Aachen University</v>
          </cell>
          <cell r="C256">
            <v>6</v>
          </cell>
          <cell r="D256" t="str">
            <v>BDG</v>
          </cell>
          <cell r="E256">
            <v>1.5809413439341731</v>
          </cell>
        </row>
        <row r="257">
          <cell r="B257" t="str">
            <v>University of St Gallen</v>
          </cell>
          <cell r="C257">
            <v>22</v>
          </cell>
          <cell r="D257" t="str">
            <v>ADO</v>
          </cell>
          <cell r="E257">
            <v>1.57745128555146</v>
          </cell>
        </row>
        <row r="258">
          <cell r="B258" t="str">
            <v>University of Technology Sydney</v>
          </cell>
          <cell r="C258">
            <v>43</v>
          </cell>
          <cell r="D258" t="str">
            <v>AHE</v>
          </cell>
          <cell r="E258">
            <v>1.5762307784930689</v>
          </cell>
        </row>
        <row r="259">
          <cell r="B259" t="str">
            <v>University of Cambridge</v>
          </cell>
          <cell r="C259">
            <v>54</v>
          </cell>
          <cell r="D259" t="str">
            <v>AAT</v>
          </cell>
          <cell r="E259">
            <v>1.5758778913714571</v>
          </cell>
        </row>
        <row r="260">
          <cell r="B260" t="str">
            <v>University of Strathclyde</v>
          </cell>
          <cell r="C260">
            <v>14</v>
          </cell>
          <cell r="D260" t="str">
            <v>BGM</v>
          </cell>
          <cell r="E260">
            <v>1.575015567502339</v>
          </cell>
        </row>
        <row r="261">
          <cell r="B261" t="str">
            <v>Kansas State University</v>
          </cell>
          <cell r="C261">
            <v>10</v>
          </cell>
          <cell r="D261" t="str">
            <v>CGU</v>
          </cell>
          <cell r="E261">
            <v>1.573628435223605</v>
          </cell>
        </row>
        <row r="262">
          <cell r="B262" t="str">
            <v>University of Exeter</v>
          </cell>
          <cell r="C262">
            <v>11</v>
          </cell>
          <cell r="D262" t="str">
            <v>BES</v>
          </cell>
          <cell r="E262">
            <v>1.572216873285704</v>
          </cell>
        </row>
        <row r="263">
          <cell r="B263" t="str">
            <v>University of Leeds</v>
          </cell>
          <cell r="C263">
            <v>15</v>
          </cell>
          <cell r="D263" t="str">
            <v>AGQ</v>
          </cell>
          <cell r="E263">
            <v>1.568568588434226</v>
          </cell>
        </row>
        <row r="264">
          <cell r="B264" t="str">
            <v>Beijing Jiaotong University</v>
          </cell>
          <cell r="C264">
            <v>9</v>
          </cell>
          <cell r="D264" t="str">
            <v>ABE</v>
          </cell>
          <cell r="E264">
            <v>1.563058568552073</v>
          </cell>
        </row>
        <row r="265">
          <cell r="B265" t="str">
            <v>Stockholm University</v>
          </cell>
          <cell r="C265">
            <v>11</v>
          </cell>
          <cell r="D265" t="str">
            <v>AFS</v>
          </cell>
          <cell r="E265">
            <v>1.5582090736587371</v>
          </cell>
        </row>
        <row r="266">
          <cell r="B266" t="str">
            <v>University of Adelaide</v>
          </cell>
          <cell r="C266">
            <v>25</v>
          </cell>
          <cell r="D266" t="str">
            <v>BDZ</v>
          </cell>
          <cell r="E266">
            <v>1.5473567330246469</v>
          </cell>
        </row>
        <row r="267">
          <cell r="B267" t="str">
            <v>Laval University</v>
          </cell>
          <cell r="C267">
            <v>17</v>
          </cell>
          <cell r="D267" t="str">
            <v>AGP</v>
          </cell>
          <cell r="E267">
            <v>1.5459954724077449</v>
          </cell>
        </row>
        <row r="268">
          <cell r="B268" t="str">
            <v>Royal Institute of Technology</v>
          </cell>
          <cell r="C268">
            <v>5</v>
          </cell>
          <cell r="D268" t="str">
            <v>DCK</v>
          </cell>
          <cell r="E268">
            <v>1.54309413232646</v>
          </cell>
        </row>
        <row r="269">
          <cell r="B269" t="str">
            <v>Southern Illinois University</v>
          </cell>
          <cell r="C269">
            <v>14</v>
          </cell>
          <cell r="D269" t="str">
            <v>DBK</v>
          </cell>
          <cell r="E269">
            <v>1.5405182527476149</v>
          </cell>
        </row>
        <row r="270">
          <cell r="B270" t="str">
            <v>Central University of Finance &amp; Economics</v>
          </cell>
          <cell r="C270">
            <v>69</v>
          </cell>
          <cell r="D270" t="str">
            <v>BAH</v>
          </cell>
          <cell r="E270">
            <v>1.5370254215101351</v>
          </cell>
        </row>
        <row r="271">
          <cell r="B271" t="str">
            <v>Chapman University</v>
          </cell>
          <cell r="C271">
            <v>5</v>
          </cell>
          <cell r="D271" t="str">
            <v>DEI</v>
          </cell>
          <cell r="E271">
            <v>1.533078385107385</v>
          </cell>
        </row>
        <row r="272">
          <cell r="B272" t="str">
            <v>University of Vienna</v>
          </cell>
          <cell r="C272">
            <v>12</v>
          </cell>
          <cell r="D272" t="str">
            <v>BGR</v>
          </cell>
          <cell r="E272">
            <v>1.5302951716130699</v>
          </cell>
        </row>
        <row r="273">
          <cell r="B273" t="str">
            <v>American University</v>
          </cell>
          <cell r="C273">
            <v>14</v>
          </cell>
          <cell r="D273" t="str">
            <v>BEC</v>
          </cell>
          <cell r="E273">
            <v>1.5285486857060959</v>
          </cell>
        </row>
        <row r="274">
          <cell r="B274" t="str">
            <v>University of Waikato</v>
          </cell>
          <cell r="C274">
            <v>39</v>
          </cell>
          <cell r="D274" t="str">
            <v>AHK</v>
          </cell>
          <cell r="E274">
            <v>1.528343987504019</v>
          </cell>
        </row>
        <row r="275">
          <cell r="B275" t="str">
            <v>University of Birmingham</v>
          </cell>
          <cell r="C275">
            <v>37</v>
          </cell>
          <cell r="D275" t="str">
            <v>AGB</v>
          </cell>
          <cell r="E275">
            <v>1.527121632989594</v>
          </cell>
        </row>
        <row r="276">
          <cell r="B276" t="str">
            <v>Universite Claude Bernard Lyon 1</v>
          </cell>
          <cell r="C276">
            <v>4</v>
          </cell>
          <cell r="D276" t="str">
            <v>DDD</v>
          </cell>
          <cell r="E276">
            <v>1.524657007972452</v>
          </cell>
        </row>
        <row r="277">
          <cell r="B277" t="str">
            <v>University of North Carolina Greensboro</v>
          </cell>
          <cell r="C277">
            <v>7</v>
          </cell>
          <cell r="D277" t="str">
            <v>CAS</v>
          </cell>
          <cell r="E277">
            <v>1.519944213948198</v>
          </cell>
        </row>
        <row r="278">
          <cell r="B278" t="str">
            <v>Xiamen University</v>
          </cell>
          <cell r="C278">
            <v>67</v>
          </cell>
          <cell r="D278" t="str">
            <v>AHQ</v>
          </cell>
          <cell r="E278">
            <v>1.5170432178262669</v>
          </cell>
        </row>
        <row r="279">
          <cell r="B279" t="str">
            <v>University of Reading</v>
          </cell>
          <cell r="C279">
            <v>24</v>
          </cell>
          <cell r="D279" t="str">
            <v>AGY</v>
          </cell>
          <cell r="E279">
            <v>1.5169112772420821</v>
          </cell>
        </row>
        <row r="280">
          <cell r="B280" t="str">
            <v>University of Nevada Las Vegas</v>
          </cell>
          <cell r="C280">
            <v>9</v>
          </cell>
          <cell r="D280" t="str">
            <v>DCM</v>
          </cell>
          <cell r="E280">
            <v>1.516896391010736</v>
          </cell>
        </row>
        <row r="281">
          <cell r="B281" t="str">
            <v>Chongqing University</v>
          </cell>
          <cell r="C281">
            <v>18</v>
          </cell>
          <cell r="D281" t="str">
            <v>BFN</v>
          </cell>
          <cell r="E281">
            <v>1.5165375514468</v>
          </cell>
        </row>
        <row r="282">
          <cell r="B282" t="str">
            <v>University of Essex</v>
          </cell>
          <cell r="C282">
            <v>35</v>
          </cell>
          <cell r="D282" t="str">
            <v>BER</v>
          </cell>
          <cell r="E282">
            <v>1.514569724821154</v>
          </cell>
        </row>
        <row r="283">
          <cell r="B283" t="str">
            <v>Florida Atlantic University</v>
          </cell>
          <cell r="C283">
            <v>31</v>
          </cell>
          <cell r="D283" t="str">
            <v>CBP</v>
          </cell>
          <cell r="E283">
            <v>1.5091931964036771</v>
          </cell>
        </row>
        <row r="284">
          <cell r="B284" t="str">
            <v>Bucharest University of Economic Studies</v>
          </cell>
          <cell r="C284">
            <v>7</v>
          </cell>
          <cell r="D284" t="str">
            <v>CBO</v>
          </cell>
          <cell r="E284">
            <v>1.5074605321335111</v>
          </cell>
        </row>
        <row r="285">
          <cell r="B285" t="str">
            <v>Royal Melbourne Institute of Technology (RMIT)</v>
          </cell>
          <cell r="C285">
            <v>54</v>
          </cell>
          <cell r="D285" t="str">
            <v>BDD</v>
          </cell>
          <cell r="E285">
            <v>1.5060288842655001</v>
          </cell>
        </row>
        <row r="286">
          <cell r="B286" t="str">
            <v>University of Queensland</v>
          </cell>
          <cell r="C286">
            <v>52</v>
          </cell>
          <cell r="D286" t="str">
            <v>ADM</v>
          </cell>
          <cell r="E286">
            <v>1.5034489826332891</v>
          </cell>
        </row>
        <row r="287">
          <cell r="B287" t="str">
            <v>Hitotsubashi University</v>
          </cell>
          <cell r="C287">
            <v>11</v>
          </cell>
          <cell r="D287" t="str">
            <v>ADX</v>
          </cell>
          <cell r="E287">
            <v>1.5027179259334409</v>
          </cell>
        </row>
        <row r="288">
          <cell r="B288" t="str">
            <v>University of Western Australia</v>
          </cell>
          <cell r="C288">
            <v>31</v>
          </cell>
          <cell r="D288" t="str">
            <v>AHL</v>
          </cell>
          <cell r="E288">
            <v>1.5026548713791441</v>
          </cell>
        </row>
        <row r="289">
          <cell r="B289" t="str">
            <v>National Taiwan University</v>
          </cell>
          <cell r="C289">
            <v>24</v>
          </cell>
          <cell r="D289" t="str">
            <v>BCN</v>
          </cell>
          <cell r="E289">
            <v>1.5023942206186081</v>
          </cell>
        </row>
        <row r="290">
          <cell r="B290" t="str">
            <v>INRAE</v>
          </cell>
          <cell r="C290">
            <v>4</v>
          </cell>
          <cell r="D290" t="str">
            <v>BBO</v>
          </cell>
          <cell r="E290">
            <v>1.5008291571025669</v>
          </cell>
        </row>
        <row r="291">
          <cell r="B291" t="str">
            <v>University of Wollongong</v>
          </cell>
          <cell r="C291">
            <v>30</v>
          </cell>
          <cell r="D291" t="str">
            <v>BFG</v>
          </cell>
          <cell r="E291">
            <v>1.494663638297794</v>
          </cell>
        </row>
        <row r="292">
          <cell r="B292" t="str">
            <v>G d'Annunzio University of Chieti-Pescara</v>
          </cell>
          <cell r="C292">
            <v>10</v>
          </cell>
          <cell r="D292" t="str">
            <v>DBV</v>
          </cell>
          <cell r="E292">
            <v>1.4945618951477391</v>
          </cell>
        </row>
        <row r="293">
          <cell r="B293" t="str">
            <v>Poznan University of Economics &amp; Business</v>
          </cell>
          <cell r="C293">
            <v>21</v>
          </cell>
          <cell r="D293" t="str">
            <v>DBB</v>
          </cell>
          <cell r="E293">
            <v>1.4919296858381019</v>
          </cell>
        </row>
        <row r="294">
          <cell r="B294" t="str">
            <v>Osaka University</v>
          </cell>
          <cell r="C294">
            <v>10</v>
          </cell>
          <cell r="D294" t="str">
            <v>AFA</v>
          </cell>
          <cell r="E294">
            <v>1.4919197122980301</v>
          </cell>
        </row>
        <row r="295">
          <cell r="B295" t="str">
            <v>Utah State University</v>
          </cell>
          <cell r="C295">
            <v>15</v>
          </cell>
          <cell r="D295" t="str">
            <v>AEF</v>
          </cell>
          <cell r="E295">
            <v>1.491306260714043</v>
          </cell>
        </row>
        <row r="296">
          <cell r="B296" t="str">
            <v>University of Gothenburg</v>
          </cell>
          <cell r="C296">
            <v>9</v>
          </cell>
          <cell r="D296" t="str">
            <v>BEW</v>
          </cell>
          <cell r="E296">
            <v>1.488257421836682</v>
          </cell>
        </row>
        <row r="297">
          <cell r="B297" t="str">
            <v>Bank of Italy</v>
          </cell>
          <cell r="C297">
            <v>22</v>
          </cell>
          <cell r="D297" t="str">
            <v>CBL</v>
          </cell>
          <cell r="E297">
            <v>1.485348394464806</v>
          </cell>
        </row>
        <row r="298">
          <cell r="B298" t="str">
            <v>Lahore University of Management Sciences</v>
          </cell>
          <cell r="C298">
            <v>13</v>
          </cell>
          <cell r="D298" t="str">
            <v>DDK</v>
          </cell>
          <cell r="E298">
            <v>1.484599614148979</v>
          </cell>
        </row>
        <row r="299">
          <cell r="B299" t="str">
            <v>Capital University of Economics &amp; Business</v>
          </cell>
          <cell r="C299">
            <v>16</v>
          </cell>
          <cell r="D299" t="str">
            <v>BHQ</v>
          </cell>
          <cell r="E299">
            <v>1.4841593498383101</v>
          </cell>
        </row>
        <row r="300">
          <cell r="B300" t="str">
            <v>Instituto Universitario de Lisboa</v>
          </cell>
          <cell r="C300">
            <v>14</v>
          </cell>
          <cell r="D300" t="str">
            <v>BBP</v>
          </cell>
          <cell r="E300">
            <v>1.481819265790548</v>
          </cell>
        </row>
        <row r="301">
          <cell r="B301" t="str">
            <v>Southwest Jiaotong University</v>
          </cell>
          <cell r="C301">
            <v>28</v>
          </cell>
          <cell r="D301" t="str">
            <v>BCX</v>
          </cell>
          <cell r="E301">
            <v>1.481719088311132</v>
          </cell>
        </row>
        <row r="302">
          <cell r="B302" t="str">
            <v>University of Padua</v>
          </cell>
          <cell r="C302">
            <v>14</v>
          </cell>
          <cell r="D302" t="str">
            <v>BGB</v>
          </cell>
          <cell r="E302">
            <v>1.4807516262070679</v>
          </cell>
        </row>
        <row r="303">
          <cell r="B303" t="str">
            <v>SKEMA Business School</v>
          </cell>
          <cell r="C303">
            <v>6</v>
          </cell>
          <cell r="D303" t="str">
            <v>DAV</v>
          </cell>
          <cell r="E303">
            <v>1.4718391410174141</v>
          </cell>
        </row>
        <row r="304">
          <cell r="B304" t="str">
            <v>Southwestern University of Finance &amp; Economics - China</v>
          </cell>
          <cell r="C304">
            <v>75</v>
          </cell>
          <cell r="D304" t="str">
            <v>AFQ</v>
          </cell>
          <cell r="E304">
            <v>1.471455441665003</v>
          </cell>
        </row>
        <row r="305">
          <cell r="B305" t="str">
            <v>University of Florence</v>
          </cell>
          <cell r="C305">
            <v>7</v>
          </cell>
          <cell r="D305" t="str">
            <v>BAK</v>
          </cell>
          <cell r="E305">
            <v>1.471005280719083</v>
          </cell>
        </row>
        <row r="306">
          <cell r="B306" t="str">
            <v>Sungkyunkwan University (SKKU)</v>
          </cell>
          <cell r="C306">
            <v>21</v>
          </cell>
          <cell r="D306" t="str">
            <v>BDS</v>
          </cell>
          <cell r="E306">
            <v>1.4697631914066549</v>
          </cell>
        </row>
        <row r="307">
          <cell r="B307" t="str">
            <v>Universite de Strasbourg</v>
          </cell>
          <cell r="C307">
            <v>6</v>
          </cell>
          <cell r="D307" t="str">
            <v>AHS</v>
          </cell>
          <cell r="E307">
            <v>1.466161293668315</v>
          </cell>
        </row>
        <row r="308">
          <cell r="B308" t="str">
            <v>University of Luxembourg</v>
          </cell>
          <cell r="C308">
            <v>8</v>
          </cell>
          <cell r="D308" t="str">
            <v>CAX</v>
          </cell>
          <cell r="E308">
            <v>1.4655959733827451</v>
          </cell>
        </row>
        <row r="309">
          <cell r="B309" t="str">
            <v>University of Glasgow</v>
          </cell>
          <cell r="C309">
            <v>34</v>
          </cell>
          <cell r="D309" t="str">
            <v>BEV</v>
          </cell>
          <cell r="E309">
            <v>1.45618937532596</v>
          </cell>
        </row>
        <row r="310">
          <cell r="B310" t="str">
            <v>Queensland University of Technology (QUT)</v>
          </cell>
          <cell r="C310">
            <v>27</v>
          </cell>
          <cell r="D310" t="str">
            <v>AFJ</v>
          </cell>
          <cell r="E310">
            <v>1.4556739976205331</v>
          </cell>
        </row>
        <row r="311">
          <cell r="B311" t="str">
            <v>University of Cologne</v>
          </cell>
          <cell r="C311">
            <v>15</v>
          </cell>
          <cell r="D311" t="str">
            <v>BEN</v>
          </cell>
          <cell r="E311">
            <v>1.45271440699272</v>
          </cell>
        </row>
        <row r="312">
          <cell r="B312" t="str">
            <v>McMaster University</v>
          </cell>
          <cell r="C312">
            <v>10</v>
          </cell>
          <cell r="D312" t="str">
            <v>BCI</v>
          </cell>
          <cell r="E312">
            <v>1.45057454618299</v>
          </cell>
        </row>
        <row r="313">
          <cell r="B313" t="str">
            <v>Getulio Vargas Foundation</v>
          </cell>
          <cell r="C313">
            <v>17</v>
          </cell>
          <cell r="D313" t="str">
            <v>CBY</v>
          </cell>
          <cell r="E313">
            <v>1.4464811570313589</v>
          </cell>
        </row>
        <row r="314">
          <cell r="B314" t="str">
            <v>ESCP Business School</v>
          </cell>
          <cell r="C314">
            <v>11</v>
          </cell>
          <cell r="D314" t="str">
            <v>BHU</v>
          </cell>
          <cell r="E314">
            <v>1.4446666550031011</v>
          </cell>
        </row>
        <row r="315">
          <cell r="B315" t="str">
            <v>Beihang University</v>
          </cell>
          <cell r="C315">
            <v>23</v>
          </cell>
          <cell r="D315" t="str">
            <v>CAG</v>
          </cell>
          <cell r="E315">
            <v>1.44352662038493</v>
          </cell>
        </row>
        <row r="316">
          <cell r="B316" t="str">
            <v>Utrecht University</v>
          </cell>
          <cell r="C316">
            <v>10</v>
          </cell>
          <cell r="D316" t="str">
            <v>BGO</v>
          </cell>
          <cell r="E316">
            <v>1.443366339711013</v>
          </cell>
        </row>
        <row r="317">
          <cell r="B317" t="str">
            <v>Cranfield University</v>
          </cell>
          <cell r="C317">
            <v>5</v>
          </cell>
          <cell r="D317" t="str">
            <v>DBZ</v>
          </cell>
          <cell r="E317">
            <v>1.436677510820261</v>
          </cell>
        </row>
        <row r="318">
          <cell r="B318" t="str">
            <v>Syracuse University</v>
          </cell>
          <cell r="C318">
            <v>14</v>
          </cell>
          <cell r="D318" t="str">
            <v>BDQ</v>
          </cell>
          <cell r="E318">
            <v>1.432259425988375</v>
          </cell>
        </row>
        <row r="319">
          <cell r="B319" t="str">
            <v>Dongbei University of Finance &amp; Economics</v>
          </cell>
          <cell r="C319">
            <v>13</v>
          </cell>
          <cell r="D319" t="str">
            <v>CGY</v>
          </cell>
          <cell r="E319">
            <v>1.431888519811255</v>
          </cell>
        </row>
        <row r="320">
          <cell r="B320" t="str">
            <v>University of Aberdeen</v>
          </cell>
          <cell r="C320">
            <v>13</v>
          </cell>
          <cell r="D320" t="str">
            <v>BEM</v>
          </cell>
          <cell r="E320">
            <v>1.431500663260749</v>
          </cell>
        </row>
        <row r="321">
          <cell r="B321" t="str">
            <v>University of Ottawa</v>
          </cell>
          <cell r="C321">
            <v>13</v>
          </cell>
          <cell r="D321" t="str">
            <v>BGA</v>
          </cell>
          <cell r="E321">
            <v>1.430908432395132</v>
          </cell>
        </row>
        <row r="322">
          <cell r="B322" t="str">
            <v>Zhongnan University of Economics &amp; Law</v>
          </cell>
          <cell r="C322">
            <v>43</v>
          </cell>
          <cell r="D322" t="str">
            <v>BHT</v>
          </cell>
          <cell r="E322">
            <v>1.429826369067863</v>
          </cell>
        </row>
        <row r="323">
          <cell r="B323" t="str">
            <v>University of Otago</v>
          </cell>
          <cell r="C323">
            <v>32</v>
          </cell>
          <cell r="D323" t="str">
            <v>BFZ</v>
          </cell>
          <cell r="E323">
            <v>1.4293629871571101</v>
          </cell>
        </row>
        <row r="324">
          <cell r="B324" t="str">
            <v>Australian National University</v>
          </cell>
          <cell r="C324">
            <v>54</v>
          </cell>
          <cell r="D324" t="str">
            <v>AEC</v>
          </cell>
          <cell r="E324">
            <v>1.42685037451034</v>
          </cell>
        </row>
        <row r="325">
          <cell r="B325" t="str">
            <v>University of International Business &amp; Economics</v>
          </cell>
          <cell r="C325">
            <v>58</v>
          </cell>
          <cell r="D325" t="str">
            <v>BFD</v>
          </cell>
          <cell r="E325">
            <v>1.426231873524165</v>
          </cell>
        </row>
        <row r="326">
          <cell r="B326" t="str">
            <v>University of Auckland</v>
          </cell>
          <cell r="C326">
            <v>22</v>
          </cell>
          <cell r="D326" t="str">
            <v>ACV</v>
          </cell>
          <cell r="E326">
            <v>1.4251201377426199</v>
          </cell>
        </row>
        <row r="327">
          <cell r="B327" t="str">
            <v>Zayed University</v>
          </cell>
          <cell r="C327">
            <v>15</v>
          </cell>
          <cell r="D327" t="str">
            <v>DCU</v>
          </cell>
          <cell r="E327">
            <v>1.424710729296595</v>
          </cell>
        </row>
        <row r="328">
          <cell r="B328" t="str">
            <v>University of Liverpool</v>
          </cell>
          <cell r="C328">
            <v>29</v>
          </cell>
          <cell r="D328" t="str">
            <v>BFM</v>
          </cell>
          <cell r="E328">
            <v>1.4219550192899311</v>
          </cell>
        </row>
        <row r="329">
          <cell r="B329" t="str">
            <v>National Chengchi University</v>
          </cell>
          <cell r="C329">
            <v>36</v>
          </cell>
          <cell r="D329" t="str">
            <v>CAE</v>
          </cell>
          <cell r="E329">
            <v>1.418812709394369</v>
          </cell>
        </row>
        <row r="330">
          <cell r="B330" t="str">
            <v>University of Texas at San Antonio (UTSA)</v>
          </cell>
          <cell r="C330">
            <v>21</v>
          </cell>
          <cell r="D330" t="str">
            <v>BDP</v>
          </cell>
          <cell r="E330">
            <v>1.413849409107143</v>
          </cell>
        </row>
        <row r="331">
          <cell r="B331" t="str">
            <v>heSam Universite</v>
          </cell>
          <cell r="C331">
            <v>12</v>
          </cell>
          <cell r="D331" t="str">
            <v>BBG</v>
          </cell>
          <cell r="E331">
            <v>1.4076111004195091</v>
          </cell>
        </row>
        <row r="332">
          <cell r="B332" t="str">
            <v>Guangdong University of Foreign Studies</v>
          </cell>
          <cell r="C332">
            <v>7</v>
          </cell>
          <cell r="D332" t="str">
            <v>DCW</v>
          </cell>
          <cell r="E332">
            <v>1.4075556390218891</v>
          </cell>
        </row>
        <row r="333">
          <cell r="B333" t="str">
            <v>Montpellier Business School</v>
          </cell>
          <cell r="C333">
            <v>39</v>
          </cell>
          <cell r="D333" t="str">
            <v>ABJ</v>
          </cell>
          <cell r="E333">
            <v>1.4066165124223731</v>
          </cell>
        </row>
        <row r="334">
          <cell r="B334" t="str">
            <v>University of York - UK</v>
          </cell>
          <cell r="C334">
            <v>16</v>
          </cell>
          <cell r="D334" t="str">
            <v>BGT</v>
          </cell>
          <cell r="E334">
            <v>1.406594394963359</v>
          </cell>
        </row>
        <row r="335">
          <cell r="B335" t="str">
            <v>Texas Tech University</v>
          </cell>
          <cell r="C335">
            <v>14</v>
          </cell>
          <cell r="D335" t="str">
            <v>BDU</v>
          </cell>
          <cell r="E335">
            <v>1.4065250379105081</v>
          </cell>
        </row>
        <row r="336">
          <cell r="B336" t="str">
            <v>ESSEC Business School</v>
          </cell>
          <cell r="C336">
            <v>16</v>
          </cell>
          <cell r="D336" t="str">
            <v>BAW</v>
          </cell>
          <cell r="E336">
            <v>1.406351111657133</v>
          </cell>
        </row>
        <row r="337">
          <cell r="B337" t="str">
            <v>Macquarie University</v>
          </cell>
          <cell r="C337">
            <v>98</v>
          </cell>
          <cell r="D337" t="str">
            <v>BCE</v>
          </cell>
          <cell r="E337">
            <v>1.405158140548799</v>
          </cell>
        </row>
        <row r="338">
          <cell r="B338" t="str">
            <v>Audencia</v>
          </cell>
          <cell r="C338">
            <v>20</v>
          </cell>
          <cell r="D338" t="str">
            <v>BBW</v>
          </cell>
          <cell r="E338">
            <v>1.4036893035579201</v>
          </cell>
        </row>
        <row r="339">
          <cell r="B339" t="str">
            <v>Leuphana University Luneburg</v>
          </cell>
          <cell r="C339">
            <v>3</v>
          </cell>
          <cell r="D339" t="str">
            <v>DDL</v>
          </cell>
          <cell r="E339">
            <v>1.4024722410436601</v>
          </cell>
        </row>
        <row r="340">
          <cell r="B340" t="str">
            <v>Roma Tre University</v>
          </cell>
          <cell r="C340">
            <v>8</v>
          </cell>
          <cell r="D340" t="str">
            <v>BAI</v>
          </cell>
          <cell r="E340">
            <v>1.4021420822953881</v>
          </cell>
        </row>
        <row r="341">
          <cell r="B341" t="str">
            <v>Northeastern University - China</v>
          </cell>
          <cell r="C341">
            <v>9</v>
          </cell>
          <cell r="D341" t="str">
            <v>DEN</v>
          </cell>
          <cell r="E341">
            <v>1.394420679523924</v>
          </cell>
        </row>
        <row r="342">
          <cell r="B342" t="str">
            <v>University Hohenheim</v>
          </cell>
          <cell r="C342">
            <v>8</v>
          </cell>
          <cell r="D342" t="str">
            <v>BEQ</v>
          </cell>
          <cell r="E342">
            <v>1.3938553921633561</v>
          </cell>
        </row>
        <row r="343">
          <cell r="B343" t="str">
            <v>University of Munich</v>
          </cell>
          <cell r="C343">
            <v>19</v>
          </cell>
          <cell r="D343" t="str">
            <v>ADG</v>
          </cell>
          <cell r="E343">
            <v>1.3919310774363569</v>
          </cell>
        </row>
        <row r="344">
          <cell r="B344" t="str">
            <v>Curtin University</v>
          </cell>
          <cell r="C344">
            <v>24</v>
          </cell>
          <cell r="D344" t="str">
            <v>BAP</v>
          </cell>
          <cell r="E344">
            <v>1.385875205920877</v>
          </cell>
        </row>
        <row r="345">
          <cell r="B345" t="str">
            <v>DIW Berlin - Deutsches Institut fur Wirtschaftsforschung</v>
          </cell>
          <cell r="C345">
            <v>7</v>
          </cell>
          <cell r="D345" t="str">
            <v>DBS</v>
          </cell>
          <cell r="E345">
            <v>1.385023840674843</v>
          </cell>
        </row>
        <row r="346">
          <cell r="B346" t="str">
            <v>Universite Paris Saclay</v>
          </cell>
          <cell r="C346">
            <v>15</v>
          </cell>
          <cell r="D346" t="str">
            <v>CBD</v>
          </cell>
          <cell r="E346">
            <v>1.383560845398411</v>
          </cell>
        </row>
        <row r="347">
          <cell r="B347" t="str">
            <v>Nanjing University</v>
          </cell>
          <cell r="C347">
            <v>20</v>
          </cell>
          <cell r="D347" t="str">
            <v>BCM</v>
          </cell>
          <cell r="E347">
            <v>1.38170499909518</v>
          </cell>
        </row>
        <row r="348">
          <cell r="B348" t="str">
            <v>Kiel Institute for the World Economy</v>
          </cell>
          <cell r="C348">
            <v>10</v>
          </cell>
          <cell r="D348" t="str">
            <v>DAH</v>
          </cell>
          <cell r="E348">
            <v>1.377886514761351</v>
          </cell>
        </row>
        <row r="349">
          <cell r="B349" t="str">
            <v>Xi'an Jiaotong University</v>
          </cell>
          <cell r="C349">
            <v>29</v>
          </cell>
          <cell r="D349" t="str">
            <v>BHB</v>
          </cell>
          <cell r="E349">
            <v>1.3704536628868369</v>
          </cell>
        </row>
        <row r="350">
          <cell r="B350" t="str">
            <v>Nankai University</v>
          </cell>
          <cell r="C350">
            <v>22</v>
          </cell>
          <cell r="D350" t="str">
            <v>BEL</v>
          </cell>
          <cell r="E350">
            <v>1.3703302459782849</v>
          </cell>
        </row>
        <row r="351">
          <cell r="B351" t="str">
            <v>IPAG Business School</v>
          </cell>
          <cell r="C351">
            <v>16</v>
          </cell>
          <cell r="D351" t="str">
            <v>BBR</v>
          </cell>
          <cell r="E351">
            <v>1.3700629569105409</v>
          </cell>
        </row>
        <row r="352">
          <cell r="B352" t="str">
            <v>Jiangxi University of Finance &amp; Economics</v>
          </cell>
          <cell r="C352">
            <v>25</v>
          </cell>
          <cell r="D352" t="str">
            <v>CGW</v>
          </cell>
          <cell r="E352">
            <v>1.3674830236121001</v>
          </cell>
        </row>
        <row r="353">
          <cell r="B353" t="str">
            <v>Paris School of Economics</v>
          </cell>
          <cell r="C353">
            <v>7</v>
          </cell>
          <cell r="D353" t="str">
            <v>AHR</v>
          </cell>
          <cell r="E353">
            <v>1.3674021238784619</v>
          </cell>
        </row>
        <row r="354">
          <cell r="B354" t="str">
            <v>Ifo Institut</v>
          </cell>
          <cell r="C354">
            <v>37</v>
          </cell>
          <cell r="D354" t="str">
            <v>AHT</v>
          </cell>
          <cell r="E354">
            <v>1.36519826442331</v>
          </cell>
        </row>
        <row r="355">
          <cell r="B355" t="str">
            <v>University of Wisconsin Milwaukee</v>
          </cell>
          <cell r="C355">
            <v>8</v>
          </cell>
          <cell r="D355" t="str">
            <v>DDG</v>
          </cell>
          <cell r="E355">
            <v>1.3648013492757349</v>
          </cell>
        </row>
        <row r="356">
          <cell r="B356" t="str">
            <v>Nanjing Audit University</v>
          </cell>
          <cell r="C356">
            <v>22</v>
          </cell>
          <cell r="D356" t="str">
            <v>CBW</v>
          </cell>
          <cell r="E356">
            <v>1.363519291123179</v>
          </cell>
        </row>
        <row r="357">
          <cell r="B357" t="str">
            <v>The World Bank</v>
          </cell>
          <cell r="C357">
            <v>32</v>
          </cell>
          <cell r="D357" t="str">
            <v>ADW</v>
          </cell>
          <cell r="E357">
            <v>1.362975745905421</v>
          </cell>
        </row>
        <row r="358">
          <cell r="B358" t="str">
            <v>emlyon business school</v>
          </cell>
          <cell r="C358">
            <v>5</v>
          </cell>
          <cell r="D358" t="str">
            <v>DBL</v>
          </cell>
          <cell r="E358">
            <v>1.3600550705502019</v>
          </cell>
        </row>
        <row r="359">
          <cell r="B359" t="str">
            <v>La Trobe University</v>
          </cell>
          <cell r="C359">
            <v>38</v>
          </cell>
          <cell r="D359" t="str">
            <v>CCA</v>
          </cell>
          <cell r="E359">
            <v>1.3575988091223701</v>
          </cell>
        </row>
        <row r="360">
          <cell r="B360" t="str">
            <v>Kyung Hee University</v>
          </cell>
          <cell r="C360">
            <v>10</v>
          </cell>
          <cell r="D360" t="str">
            <v>CGX</v>
          </cell>
          <cell r="E360">
            <v>1.355722634444684</v>
          </cell>
        </row>
        <row r="361">
          <cell r="B361" t="str">
            <v>Sichuan University</v>
          </cell>
          <cell r="C361">
            <v>10</v>
          </cell>
          <cell r="D361" t="str">
            <v>BDL</v>
          </cell>
          <cell r="E361">
            <v>1.354915285139207</v>
          </cell>
        </row>
        <row r="362">
          <cell r="B362" t="str">
            <v>University of Rhode Island</v>
          </cell>
          <cell r="C362">
            <v>9</v>
          </cell>
          <cell r="D362" t="str">
            <v>DDR</v>
          </cell>
          <cell r="E362">
            <v>1.352637756804328</v>
          </cell>
        </row>
        <row r="363">
          <cell r="B363" t="str">
            <v>University of Oslo</v>
          </cell>
          <cell r="C363">
            <v>7</v>
          </cell>
          <cell r="D363" t="str">
            <v>CBV</v>
          </cell>
          <cell r="E363">
            <v>1.3525766530620369</v>
          </cell>
        </row>
        <row r="364">
          <cell r="B364" t="str">
            <v>University of Granada</v>
          </cell>
          <cell r="C364">
            <v>6</v>
          </cell>
          <cell r="D364" t="str">
            <v>BEY</v>
          </cell>
          <cell r="E364">
            <v>1.3524287657147629</v>
          </cell>
        </row>
        <row r="365">
          <cell r="B365" t="str">
            <v>King Abdulaziz University</v>
          </cell>
          <cell r="C365">
            <v>8</v>
          </cell>
          <cell r="D365" t="str">
            <v>DBJ</v>
          </cell>
          <cell r="E365">
            <v>1.3491361422520349</v>
          </cell>
        </row>
        <row r="366">
          <cell r="B366" t="str">
            <v>Queen Mary University London</v>
          </cell>
          <cell r="C366">
            <v>17</v>
          </cell>
          <cell r="D366" t="str">
            <v>BCY</v>
          </cell>
          <cell r="E366">
            <v>1.3474559214995649</v>
          </cell>
        </row>
        <row r="367">
          <cell r="B367" t="str">
            <v>Universite PSL</v>
          </cell>
          <cell r="C367">
            <v>12</v>
          </cell>
          <cell r="D367" t="str">
            <v>BCW</v>
          </cell>
          <cell r="E367">
            <v>1.3465146171512421</v>
          </cell>
        </row>
        <row r="368">
          <cell r="B368" t="str">
            <v>University of Trento</v>
          </cell>
          <cell r="C368">
            <v>11</v>
          </cell>
          <cell r="D368" t="str">
            <v>BBU</v>
          </cell>
          <cell r="E368">
            <v>1.34433731627154</v>
          </cell>
        </row>
        <row r="369">
          <cell r="B369" t="str">
            <v>University of Nottingham</v>
          </cell>
          <cell r="C369">
            <v>32</v>
          </cell>
          <cell r="D369" t="str">
            <v>ADL</v>
          </cell>
          <cell r="E369">
            <v>1.340191369968265</v>
          </cell>
        </row>
        <row r="370">
          <cell r="B370" t="str">
            <v>Johannes Kepler University Linz</v>
          </cell>
          <cell r="C370">
            <v>10</v>
          </cell>
          <cell r="D370" t="str">
            <v>BFL</v>
          </cell>
          <cell r="E370">
            <v>1.337513322197216</v>
          </cell>
        </row>
        <row r="371">
          <cell r="B371" t="str">
            <v>Hunan University</v>
          </cell>
          <cell r="C371">
            <v>40</v>
          </cell>
          <cell r="D371" t="str">
            <v>BBK</v>
          </cell>
          <cell r="E371">
            <v>1.3365725882881789</v>
          </cell>
        </row>
        <row r="372">
          <cell r="B372" t="str">
            <v>University of Edinburgh</v>
          </cell>
          <cell r="C372">
            <v>40</v>
          </cell>
          <cell r="D372" t="str">
            <v>AGJ</v>
          </cell>
          <cell r="E372">
            <v>1.3363164006176149</v>
          </cell>
        </row>
        <row r="373">
          <cell r="B373" t="str">
            <v>Massey University</v>
          </cell>
          <cell r="C373">
            <v>42</v>
          </cell>
          <cell r="D373" t="str">
            <v>BCF</v>
          </cell>
          <cell r="E373">
            <v>1.3346011253154011</v>
          </cell>
        </row>
        <row r="374">
          <cell r="B374" t="str">
            <v>Sun Yat Sen University</v>
          </cell>
          <cell r="C374">
            <v>40</v>
          </cell>
          <cell r="D374" t="str">
            <v>BDO</v>
          </cell>
          <cell r="E374">
            <v>1.333491159175126</v>
          </cell>
        </row>
        <row r="375">
          <cell r="B375" t="str">
            <v>Zhejiang University</v>
          </cell>
          <cell r="C375">
            <v>40</v>
          </cell>
          <cell r="D375" t="str">
            <v>BHD</v>
          </cell>
          <cell r="E375">
            <v>1.3328352363238181</v>
          </cell>
        </row>
        <row r="376">
          <cell r="B376" t="str">
            <v>University of Hamburg</v>
          </cell>
          <cell r="C376">
            <v>13</v>
          </cell>
          <cell r="D376" t="str">
            <v>ACI</v>
          </cell>
          <cell r="E376">
            <v>1.3325626456209181</v>
          </cell>
        </row>
        <row r="377">
          <cell r="B377" t="str">
            <v>Old Dominion University</v>
          </cell>
          <cell r="C377">
            <v>17</v>
          </cell>
          <cell r="D377" t="str">
            <v>CHF</v>
          </cell>
          <cell r="E377">
            <v>1.330100119944569</v>
          </cell>
        </row>
        <row r="378">
          <cell r="B378" t="str">
            <v>Oklahoma State University - Stillwater</v>
          </cell>
          <cell r="C378">
            <v>16</v>
          </cell>
          <cell r="D378" t="str">
            <v>BCS</v>
          </cell>
          <cell r="E378">
            <v>1.3287701007665571</v>
          </cell>
        </row>
        <row r="379">
          <cell r="B379" t="str">
            <v>Universidade do Porto</v>
          </cell>
          <cell r="C379">
            <v>16</v>
          </cell>
          <cell r="D379" t="str">
            <v>CBF</v>
          </cell>
          <cell r="E379">
            <v>1.3274097916308021</v>
          </cell>
        </row>
        <row r="380">
          <cell r="B380" t="str">
            <v>University of Bristol</v>
          </cell>
          <cell r="C380">
            <v>23</v>
          </cell>
          <cell r="D380" t="str">
            <v>BEH</v>
          </cell>
          <cell r="E380">
            <v>1.32706318970142</v>
          </cell>
        </row>
        <row r="381">
          <cell r="B381" t="str">
            <v>University of Vaasa</v>
          </cell>
          <cell r="C381">
            <v>10</v>
          </cell>
          <cell r="D381" t="str">
            <v>CBS</v>
          </cell>
          <cell r="E381">
            <v>1.3261709742154</v>
          </cell>
        </row>
        <row r="382">
          <cell r="B382" t="str">
            <v>Universitetet i Stavanger</v>
          </cell>
          <cell r="C382">
            <v>10</v>
          </cell>
          <cell r="D382" t="str">
            <v>DBN</v>
          </cell>
          <cell r="E382">
            <v>1.3256055563165741</v>
          </cell>
        </row>
        <row r="383">
          <cell r="B383" t="str">
            <v>Sapienza University Rome</v>
          </cell>
          <cell r="C383">
            <v>17</v>
          </cell>
          <cell r="D383" t="str">
            <v>CBG</v>
          </cell>
          <cell r="E383">
            <v>1.324871975772026</v>
          </cell>
        </row>
        <row r="384">
          <cell r="B384" t="str">
            <v>Autonomous University of Barcelona</v>
          </cell>
          <cell r="C384">
            <v>8</v>
          </cell>
          <cell r="D384" t="str">
            <v>AFY</v>
          </cell>
          <cell r="E384">
            <v>1.321407051227047</v>
          </cell>
        </row>
        <row r="385">
          <cell r="B385" t="str">
            <v>Edith Cowan University</v>
          </cell>
          <cell r="C385">
            <v>11</v>
          </cell>
          <cell r="D385" t="str">
            <v>DCI</v>
          </cell>
          <cell r="E385">
            <v>1.3204279461857049</v>
          </cell>
        </row>
        <row r="386">
          <cell r="B386" t="str">
            <v>Deakin University</v>
          </cell>
          <cell r="C386">
            <v>47</v>
          </cell>
          <cell r="D386" t="str">
            <v>ACE</v>
          </cell>
          <cell r="E386">
            <v>1.319068884066654</v>
          </cell>
        </row>
        <row r="387">
          <cell r="B387" t="str">
            <v>University of Erlangen Nuremberg</v>
          </cell>
          <cell r="C387">
            <v>9</v>
          </cell>
          <cell r="D387" t="str">
            <v>ABZ</v>
          </cell>
          <cell r="E387">
            <v>1.316246341844743</v>
          </cell>
        </row>
        <row r="388">
          <cell r="B388" t="str">
            <v>Tinbergen Institute</v>
          </cell>
          <cell r="C388">
            <v>11</v>
          </cell>
          <cell r="D388" t="str">
            <v>CAI</v>
          </cell>
          <cell r="E388">
            <v>1.3097240583409111</v>
          </cell>
        </row>
        <row r="389">
          <cell r="B389" t="str">
            <v>University of Bergamo</v>
          </cell>
          <cell r="C389">
            <v>6</v>
          </cell>
          <cell r="D389" t="str">
            <v>AGA</v>
          </cell>
          <cell r="E389">
            <v>1.3091205905700289</v>
          </cell>
        </row>
        <row r="390">
          <cell r="B390" t="str">
            <v>University of Milano-Bicocca</v>
          </cell>
          <cell r="C390">
            <v>18</v>
          </cell>
          <cell r="D390" t="str">
            <v>CHH</v>
          </cell>
          <cell r="E390">
            <v>1.308811126613018</v>
          </cell>
        </row>
        <row r="391">
          <cell r="B391" t="str">
            <v>Marche Polytechnic University</v>
          </cell>
          <cell r="C391">
            <v>6</v>
          </cell>
          <cell r="D391" t="str">
            <v>BDH</v>
          </cell>
          <cell r="E391">
            <v>1.3085883246115579</v>
          </cell>
        </row>
        <row r="392">
          <cell r="B392" t="str">
            <v>Shenzhen University</v>
          </cell>
          <cell r="C392">
            <v>19</v>
          </cell>
          <cell r="D392" t="str">
            <v>CGM</v>
          </cell>
          <cell r="E392">
            <v>1.3080516898401491</v>
          </cell>
        </row>
        <row r="393">
          <cell r="B393" t="str">
            <v>University of Huddersfield</v>
          </cell>
          <cell r="C393">
            <v>21</v>
          </cell>
          <cell r="D393" t="str">
            <v>CGR</v>
          </cell>
          <cell r="E393">
            <v>1.3073252660399279</v>
          </cell>
        </row>
        <row r="394">
          <cell r="B394" t="str">
            <v>Pusan National University</v>
          </cell>
          <cell r="C394">
            <v>16</v>
          </cell>
          <cell r="D394" t="str">
            <v>DEP</v>
          </cell>
          <cell r="E394">
            <v>1.303191326055479</v>
          </cell>
        </row>
        <row r="395">
          <cell r="B395" t="str">
            <v>University of South Australia</v>
          </cell>
          <cell r="C395">
            <v>27</v>
          </cell>
          <cell r="D395" t="str">
            <v>BGJ</v>
          </cell>
          <cell r="E395">
            <v>1.301321571680732</v>
          </cell>
        </row>
        <row r="396">
          <cell r="B396" t="str">
            <v>Durham University</v>
          </cell>
          <cell r="C396">
            <v>25</v>
          </cell>
          <cell r="D396" t="str">
            <v>BAR</v>
          </cell>
          <cell r="E396">
            <v>1.297790759107776</v>
          </cell>
        </row>
        <row r="397">
          <cell r="B397" t="str">
            <v>South Ural State University</v>
          </cell>
          <cell r="C397">
            <v>27</v>
          </cell>
          <cell r="D397" t="str">
            <v>DAW</v>
          </cell>
          <cell r="E397">
            <v>1.297696135852535</v>
          </cell>
        </row>
        <row r="398">
          <cell r="B398" t="str">
            <v>Illinois State University</v>
          </cell>
          <cell r="C398">
            <v>12</v>
          </cell>
          <cell r="D398" t="str">
            <v>DCJ</v>
          </cell>
          <cell r="E398">
            <v>1.2972115259624311</v>
          </cell>
        </row>
        <row r="399">
          <cell r="B399" t="str">
            <v>Jinan University</v>
          </cell>
          <cell r="C399">
            <v>36</v>
          </cell>
          <cell r="D399" t="str">
            <v>CBU</v>
          </cell>
          <cell r="E399">
            <v>1.29443746992565</v>
          </cell>
        </row>
        <row r="400">
          <cell r="B400" t="str">
            <v>University of Pretoria</v>
          </cell>
          <cell r="C400">
            <v>43</v>
          </cell>
          <cell r="D400" t="str">
            <v>AGX</v>
          </cell>
          <cell r="E400">
            <v>1.293543216876621</v>
          </cell>
        </row>
        <row r="401">
          <cell r="B401" t="str">
            <v>Claremont Colleges</v>
          </cell>
          <cell r="C401">
            <v>11</v>
          </cell>
          <cell r="D401" t="str">
            <v>DCH</v>
          </cell>
          <cell r="E401">
            <v>1.288502007500161</v>
          </cell>
        </row>
        <row r="402">
          <cell r="B402" t="str">
            <v>Prague University of Economics &amp; Business</v>
          </cell>
          <cell r="C402">
            <v>5</v>
          </cell>
          <cell r="D402" t="str">
            <v>BHV</v>
          </cell>
          <cell r="E402">
            <v>1.2873467797189859</v>
          </cell>
        </row>
        <row r="403">
          <cell r="B403" t="str">
            <v>Aalborg University</v>
          </cell>
          <cell r="C403">
            <v>8</v>
          </cell>
          <cell r="D403" t="str">
            <v>BHF</v>
          </cell>
          <cell r="E403">
            <v>1.285573073235212</v>
          </cell>
        </row>
        <row r="404">
          <cell r="B404" t="str">
            <v>Beijing Normal University</v>
          </cell>
          <cell r="C404">
            <v>19</v>
          </cell>
          <cell r="D404" t="str">
            <v>BBV</v>
          </cell>
          <cell r="E404">
            <v>1.285117129755263</v>
          </cell>
        </row>
        <row r="405">
          <cell r="B405" t="str">
            <v>Leibniz University Hannover</v>
          </cell>
          <cell r="C405">
            <v>11</v>
          </cell>
          <cell r="D405" t="str">
            <v>BAA</v>
          </cell>
          <cell r="E405">
            <v>1.284437573324728</v>
          </cell>
        </row>
        <row r="406">
          <cell r="B406" t="str">
            <v>Charles University Prague</v>
          </cell>
          <cell r="C406">
            <v>20</v>
          </cell>
          <cell r="D406" t="str">
            <v>BGF</v>
          </cell>
          <cell r="E406">
            <v>1.282925866304405</v>
          </cell>
        </row>
        <row r="407">
          <cell r="B407" t="str">
            <v>Hang Seng University of Hong Kong</v>
          </cell>
          <cell r="C407">
            <v>11</v>
          </cell>
          <cell r="D407" t="str">
            <v>DDT</v>
          </cell>
          <cell r="E407">
            <v>1.280587891257241</v>
          </cell>
        </row>
        <row r="408">
          <cell r="B408" t="str">
            <v>University of Kent</v>
          </cell>
          <cell r="C408">
            <v>16</v>
          </cell>
          <cell r="D408" t="str">
            <v>BFH</v>
          </cell>
          <cell r="E408">
            <v>1.278565352366039</v>
          </cell>
        </row>
        <row r="409">
          <cell r="B409" t="str">
            <v>University of Sussex</v>
          </cell>
          <cell r="C409">
            <v>19</v>
          </cell>
          <cell r="D409" t="str">
            <v>AHD</v>
          </cell>
          <cell r="E409">
            <v>1.276273945193811</v>
          </cell>
        </row>
        <row r="410">
          <cell r="B410" t="str">
            <v>Tianjin University</v>
          </cell>
          <cell r="C410">
            <v>42</v>
          </cell>
          <cell r="D410" t="str">
            <v>AHH</v>
          </cell>
          <cell r="E410">
            <v>1.2757533042880751</v>
          </cell>
        </row>
        <row r="411">
          <cell r="B411" t="str">
            <v>American University of Sharjah</v>
          </cell>
          <cell r="C411">
            <v>15</v>
          </cell>
          <cell r="D411" t="str">
            <v>CAV</v>
          </cell>
          <cell r="E411">
            <v>1.2706992209651291</v>
          </cell>
        </row>
        <row r="412">
          <cell r="B412" t="str">
            <v>Auckland University of Technology</v>
          </cell>
          <cell r="C412">
            <v>25</v>
          </cell>
          <cell r="D412" t="str">
            <v>AHW</v>
          </cell>
          <cell r="E412">
            <v>1.2693115143853471</v>
          </cell>
        </row>
        <row r="413">
          <cell r="B413" t="str">
            <v>Northwestern Polytechnical University</v>
          </cell>
          <cell r="C413">
            <v>4</v>
          </cell>
          <cell r="D413" t="str">
            <v>DAP</v>
          </cell>
          <cell r="E413">
            <v>1.2675360925663579</v>
          </cell>
        </row>
        <row r="414">
          <cell r="B414" t="str">
            <v>Guangdong University of Finance &amp; Economics</v>
          </cell>
          <cell r="C414">
            <v>6</v>
          </cell>
          <cell r="D414" t="str">
            <v>DCA</v>
          </cell>
          <cell r="E414">
            <v>1.2650579385109439</v>
          </cell>
        </row>
        <row r="415">
          <cell r="B415" t="str">
            <v>Universite de Montpellier</v>
          </cell>
          <cell r="C415">
            <v>11</v>
          </cell>
          <cell r="D415" t="str">
            <v>BFT</v>
          </cell>
          <cell r="E415">
            <v>1.2642458073675129</v>
          </cell>
        </row>
        <row r="416">
          <cell r="B416" t="str">
            <v>Nanjing University of Science &amp; Technology</v>
          </cell>
          <cell r="C416">
            <v>11</v>
          </cell>
          <cell r="D416" t="str">
            <v>DDW</v>
          </cell>
          <cell r="E416">
            <v>1.263998031583504</v>
          </cell>
        </row>
        <row r="417">
          <cell r="B417" t="str">
            <v>Universita Ca Foscari Venezia</v>
          </cell>
          <cell r="C417">
            <v>10</v>
          </cell>
          <cell r="D417" t="str">
            <v>BHM</v>
          </cell>
          <cell r="E417">
            <v>1.2631604569131629</v>
          </cell>
        </row>
        <row r="418">
          <cell r="B418" t="str">
            <v>Queens University Belfast</v>
          </cell>
          <cell r="C418">
            <v>10</v>
          </cell>
          <cell r="D418" t="str">
            <v>BCZ</v>
          </cell>
          <cell r="E418">
            <v>1.262216704619328</v>
          </cell>
        </row>
        <row r="419">
          <cell r="B419" t="str">
            <v>University of Sheffield</v>
          </cell>
          <cell r="C419">
            <v>25</v>
          </cell>
          <cell r="D419" t="str">
            <v>AHA</v>
          </cell>
          <cell r="E419">
            <v>1.2603420565857351</v>
          </cell>
        </row>
        <row r="420">
          <cell r="B420" t="str">
            <v>University of Manitoba</v>
          </cell>
          <cell r="C420">
            <v>9</v>
          </cell>
          <cell r="D420" t="str">
            <v>DDZ</v>
          </cell>
          <cell r="E420">
            <v>1.2602115177945841</v>
          </cell>
        </row>
        <row r="421">
          <cell r="B421" t="str">
            <v>Athens University of Economics &amp; Business</v>
          </cell>
          <cell r="C421">
            <v>18</v>
          </cell>
          <cell r="D421" t="str">
            <v>AHV</v>
          </cell>
          <cell r="E421">
            <v>1.259821328101929</v>
          </cell>
        </row>
        <row r="422">
          <cell r="B422" t="str">
            <v>Swinburne University of Technology</v>
          </cell>
          <cell r="C422">
            <v>12</v>
          </cell>
          <cell r="D422" t="str">
            <v>BCD</v>
          </cell>
          <cell r="E422">
            <v>1.2572686782469611</v>
          </cell>
        </row>
        <row r="423">
          <cell r="B423" t="str">
            <v>Universitat d'Alacant</v>
          </cell>
          <cell r="C423">
            <v>3</v>
          </cell>
          <cell r="D423" t="str">
            <v>CBX</v>
          </cell>
          <cell r="E423">
            <v>1.255815779668346</v>
          </cell>
        </row>
        <row r="424">
          <cell r="B424" t="str">
            <v>Heriot Watt University</v>
          </cell>
          <cell r="C424">
            <v>13</v>
          </cell>
          <cell r="D424" t="str">
            <v>AFC</v>
          </cell>
          <cell r="E424">
            <v>1.2547634217194139</v>
          </cell>
        </row>
        <row r="425">
          <cell r="B425" t="str">
            <v>University of Munster</v>
          </cell>
          <cell r="C425">
            <v>10</v>
          </cell>
          <cell r="D425" t="str">
            <v>DAC</v>
          </cell>
          <cell r="E425">
            <v>1.2544719072952799</v>
          </cell>
        </row>
        <row r="426">
          <cell r="B426" t="str">
            <v>University of Helsinki</v>
          </cell>
          <cell r="C426">
            <v>5</v>
          </cell>
          <cell r="D426" t="str">
            <v>AGV</v>
          </cell>
          <cell r="E426">
            <v>1.2530804061359091</v>
          </cell>
        </row>
        <row r="427">
          <cell r="B427" t="str">
            <v>University of Belgrade</v>
          </cell>
          <cell r="C427">
            <v>3</v>
          </cell>
          <cell r="D427" t="str">
            <v>DDE</v>
          </cell>
          <cell r="E427">
            <v>1.2528110145956519</v>
          </cell>
        </row>
        <row r="428">
          <cell r="B428" t="str">
            <v>University of Bologna</v>
          </cell>
          <cell r="C428">
            <v>18</v>
          </cell>
          <cell r="D428" t="str">
            <v>BEG</v>
          </cell>
          <cell r="E428">
            <v>1.251270487977505</v>
          </cell>
        </row>
        <row r="429">
          <cell r="B429" t="str">
            <v>Korea University</v>
          </cell>
          <cell r="C429">
            <v>18</v>
          </cell>
          <cell r="D429" t="str">
            <v>BBZ</v>
          </cell>
          <cell r="E429">
            <v>1.2493930979667811</v>
          </cell>
        </row>
        <row r="430">
          <cell r="B430" t="str">
            <v>Texas State University San Marcos</v>
          </cell>
          <cell r="C430">
            <v>7</v>
          </cell>
          <cell r="D430" t="str">
            <v>DEW</v>
          </cell>
          <cell r="E430">
            <v>1.2482772889690299</v>
          </cell>
        </row>
        <row r="431">
          <cell r="B431" t="str">
            <v>University of Economics Bratislava</v>
          </cell>
          <cell r="C431">
            <v>5</v>
          </cell>
          <cell r="D431" t="str">
            <v>AFV</v>
          </cell>
          <cell r="E431">
            <v>1.247652896688026</v>
          </cell>
        </row>
        <row r="432">
          <cell r="B432" t="str">
            <v>Newcastle University - UK</v>
          </cell>
          <cell r="C432">
            <v>25</v>
          </cell>
          <cell r="D432" t="str">
            <v>BCP</v>
          </cell>
          <cell r="E432">
            <v>1.2468192753783709</v>
          </cell>
        </row>
        <row r="433">
          <cell r="B433" t="str">
            <v>Central South University</v>
          </cell>
          <cell r="C433">
            <v>14</v>
          </cell>
          <cell r="D433" t="str">
            <v>BAG</v>
          </cell>
          <cell r="E433">
            <v>1.2461416797985501</v>
          </cell>
        </row>
        <row r="434">
          <cell r="B434" t="str">
            <v>Middlesex University</v>
          </cell>
          <cell r="C434">
            <v>9</v>
          </cell>
          <cell r="D434" t="str">
            <v>BFP</v>
          </cell>
          <cell r="E434">
            <v>1.245103609169993</v>
          </cell>
        </row>
        <row r="435">
          <cell r="B435" t="str">
            <v>Zentrum fur Europaische Wirtschaftsforschung (ZEW)</v>
          </cell>
          <cell r="C435">
            <v>8</v>
          </cell>
          <cell r="D435" t="str">
            <v>CHC</v>
          </cell>
          <cell r="E435">
            <v>1.243312877189511</v>
          </cell>
        </row>
        <row r="436">
          <cell r="B436" t="str">
            <v>Aston University</v>
          </cell>
          <cell r="C436">
            <v>10</v>
          </cell>
          <cell r="D436" t="str">
            <v>AEB</v>
          </cell>
          <cell r="E436">
            <v>1.240972781414067</v>
          </cell>
        </row>
        <row r="437">
          <cell r="B437" t="str">
            <v>Universite Libre de Bruxelles</v>
          </cell>
          <cell r="C437">
            <v>5</v>
          </cell>
          <cell r="D437" t="str">
            <v>BFJ</v>
          </cell>
          <cell r="E437">
            <v>1.240501855213155</v>
          </cell>
        </row>
        <row r="438">
          <cell r="B438" t="str">
            <v>Catholic University of the Sacred Heart</v>
          </cell>
          <cell r="C438">
            <v>11</v>
          </cell>
          <cell r="D438" t="str">
            <v>BAT</v>
          </cell>
          <cell r="E438">
            <v>1.239229722471263</v>
          </cell>
        </row>
        <row r="439">
          <cell r="B439" t="str">
            <v>University of Guelph</v>
          </cell>
          <cell r="C439">
            <v>10</v>
          </cell>
          <cell r="D439" t="str">
            <v>CGP</v>
          </cell>
          <cell r="E439">
            <v>1.2389321169638381</v>
          </cell>
        </row>
        <row r="440">
          <cell r="B440" t="str">
            <v>Universite de Sfax</v>
          </cell>
          <cell r="C440">
            <v>16</v>
          </cell>
          <cell r="D440" t="str">
            <v>BAF</v>
          </cell>
          <cell r="E440">
            <v>1.2368767132322229</v>
          </cell>
        </row>
        <row r="441">
          <cell r="B441" t="str">
            <v>Universite de Lorraine</v>
          </cell>
          <cell r="C441">
            <v>3</v>
          </cell>
          <cell r="D441" t="str">
            <v>CBJ</v>
          </cell>
          <cell r="E441">
            <v>1.2318745148842969</v>
          </cell>
        </row>
        <row r="442">
          <cell r="B442" t="str">
            <v>Carleton University</v>
          </cell>
          <cell r="C442">
            <v>9</v>
          </cell>
          <cell r="D442" t="str">
            <v>AHX</v>
          </cell>
          <cell r="E442">
            <v>1.2318512081926749</v>
          </cell>
        </row>
        <row r="443">
          <cell r="B443" t="str">
            <v>Southeast University - China</v>
          </cell>
          <cell r="C443">
            <v>9</v>
          </cell>
          <cell r="D443" t="str">
            <v>BEJ</v>
          </cell>
          <cell r="E443">
            <v>1.231674706737137</v>
          </cell>
        </row>
        <row r="444">
          <cell r="B444" t="str">
            <v>University of Wyoming</v>
          </cell>
          <cell r="C444">
            <v>4</v>
          </cell>
          <cell r="D444" t="str">
            <v>DEZ</v>
          </cell>
          <cell r="E444">
            <v>1.231333554609306</v>
          </cell>
        </row>
        <row r="445">
          <cell r="B445" t="str">
            <v>Luiss Guido Carli University</v>
          </cell>
          <cell r="C445">
            <v>12</v>
          </cell>
          <cell r="D445" t="str">
            <v>AHY</v>
          </cell>
          <cell r="E445">
            <v>1.231067181417689</v>
          </cell>
        </row>
        <row r="446">
          <cell r="B446" t="str">
            <v>University of Portsmouth</v>
          </cell>
          <cell r="C446">
            <v>24</v>
          </cell>
          <cell r="D446" t="str">
            <v>BGE</v>
          </cell>
          <cell r="E446">
            <v>1.2276917196764621</v>
          </cell>
        </row>
        <row r="447">
          <cell r="B447" t="str">
            <v>Griffith University</v>
          </cell>
          <cell r="C447">
            <v>22</v>
          </cell>
          <cell r="D447" t="str">
            <v>BBF</v>
          </cell>
          <cell r="E447">
            <v>1.226639067091394</v>
          </cell>
        </row>
        <row r="448">
          <cell r="B448" t="str">
            <v>Shanghai University</v>
          </cell>
          <cell r="C448">
            <v>16</v>
          </cell>
          <cell r="D448" t="str">
            <v>BDM</v>
          </cell>
          <cell r="E448">
            <v>1.2263637807285619</v>
          </cell>
        </row>
        <row r="449">
          <cell r="B449" t="str">
            <v>Hanyang University</v>
          </cell>
          <cell r="C449">
            <v>5</v>
          </cell>
          <cell r="D449" t="str">
            <v>CGJ</v>
          </cell>
          <cell r="E449">
            <v>1.225110042037679</v>
          </cell>
        </row>
        <row r="450">
          <cell r="B450" t="str">
            <v>National Central University</v>
          </cell>
          <cell r="C450">
            <v>18</v>
          </cell>
          <cell r="D450" t="str">
            <v>CGT</v>
          </cell>
          <cell r="E450">
            <v>1.2247818664771619</v>
          </cell>
        </row>
        <row r="451">
          <cell r="B451" t="str">
            <v>Linkoping University</v>
          </cell>
          <cell r="C451">
            <v>8</v>
          </cell>
          <cell r="D451" t="str">
            <v>AEZ</v>
          </cell>
          <cell r="E451">
            <v>1.218963015281153</v>
          </cell>
        </row>
        <row r="452">
          <cell r="B452" t="str">
            <v>University of Antwerp</v>
          </cell>
          <cell r="C452">
            <v>7</v>
          </cell>
          <cell r="D452" t="str">
            <v>BED</v>
          </cell>
          <cell r="E452">
            <v>1.218789195038763</v>
          </cell>
        </row>
        <row r="453">
          <cell r="B453" t="str">
            <v>Loughborough University</v>
          </cell>
          <cell r="C453">
            <v>34</v>
          </cell>
          <cell r="D453" t="str">
            <v>BFO</v>
          </cell>
          <cell r="E453">
            <v>1.2158239638145709</v>
          </cell>
        </row>
        <row r="454">
          <cell r="B454" t="str">
            <v>University of Valencia</v>
          </cell>
          <cell r="C454">
            <v>9</v>
          </cell>
          <cell r="D454" t="str">
            <v>BGP</v>
          </cell>
          <cell r="E454">
            <v>1.215735792754236</v>
          </cell>
        </row>
        <row r="455">
          <cell r="B455" t="str">
            <v>De Montfort University</v>
          </cell>
          <cell r="C455">
            <v>23</v>
          </cell>
          <cell r="D455" t="str">
            <v>CCD</v>
          </cell>
          <cell r="E455">
            <v>1.213849778171967</v>
          </cell>
        </row>
        <row r="456">
          <cell r="B456" t="str">
            <v>Qatar University</v>
          </cell>
          <cell r="C456">
            <v>19</v>
          </cell>
          <cell r="D456" t="str">
            <v>BGG</v>
          </cell>
          <cell r="E456">
            <v>1.2121611039444271</v>
          </cell>
        </row>
        <row r="457">
          <cell r="B457" t="str">
            <v>Tsinghua University</v>
          </cell>
          <cell r="C457">
            <v>43</v>
          </cell>
          <cell r="D457" t="str">
            <v>AFX</v>
          </cell>
          <cell r="E457">
            <v>1.21195740798463</v>
          </cell>
        </row>
        <row r="458">
          <cell r="B458" t="str">
            <v>National Taipei University</v>
          </cell>
          <cell r="C458">
            <v>13</v>
          </cell>
          <cell r="D458" t="str">
            <v>DCY</v>
          </cell>
          <cell r="E458">
            <v>1.208003940861065</v>
          </cell>
        </row>
        <row r="459">
          <cell r="B459" t="str">
            <v>University of Tokyo</v>
          </cell>
          <cell r="C459">
            <v>10</v>
          </cell>
          <cell r="D459" t="str">
            <v>CBT</v>
          </cell>
          <cell r="E459">
            <v>1.207756797030775</v>
          </cell>
        </row>
        <row r="460">
          <cell r="B460" t="str">
            <v>University of Newcastle</v>
          </cell>
          <cell r="C460">
            <v>21</v>
          </cell>
          <cell r="D460" t="str">
            <v>AGT</v>
          </cell>
          <cell r="E460">
            <v>1.207089422454505</v>
          </cell>
        </row>
        <row r="461">
          <cell r="B461" t="str">
            <v>University of Leicester</v>
          </cell>
          <cell r="C461">
            <v>17</v>
          </cell>
          <cell r="D461" t="str">
            <v>CHO</v>
          </cell>
          <cell r="E461">
            <v>1.205905223429723</v>
          </cell>
        </row>
        <row r="462">
          <cell r="B462" t="str">
            <v>National Yang Ming Chiao Tung University</v>
          </cell>
          <cell r="C462">
            <v>17</v>
          </cell>
          <cell r="D462" t="str">
            <v>DDM</v>
          </cell>
          <cell r="E462">
            <v>1.205894481806012</v>
          </cell>
        </row>
        <row r="463">
          <cell r="B463" t="str">
            <v>Pontificia Universidad Catolica de Chile</v>
          </cell>
          <cell r="C463">
            <v>6</v>
          </cell>
          <cell r="D463" t="str">
            <v>CAC</v>
          </cell>
          <cell r="E463">
            <v>1.2053210943444701</v>
          </cell>
        </row>
        <row r="464">
          <cell r="B464" t="str">
            <v>Chung Ang University</v>
          </cell>
          <cell r="C464">
            <v>17</v>
          </cell>
          <cell r="D464" t="str">
            <v>DAR</v>
          </cell>
          <cell r="E464">
            <v>1.20267339443038</v>
          </cell>
        </row>
        <row r="465">
          <cell r="B465" t="str">
            <v>Beijing Institute of Technology</v>
          </cell>
          <cell r="C465">
            <v>12</v>
          </cell>
          <cell r="D465" t="str">
            <v>AED</v>
          </cell>
          <cell r="E465">
            <v>1.202526063553409</v>
          </cell>
        </row>
        <row r="466">
          <cell r="B466" t="str">
            <v>Toronto Metropolitan University</v>
          </cell>
          <cell r="C466">
            <v>16</v>
          </cell>
          <cell r="D466" t="str">
            <v>ADE</v>
          </cell>
          <cell r="E466">
            <v>1.2015260934441621</v>
          </cell>
        </row>
        <row r="467">
          <cell r="B467" t="str">
            <v>Northumbria University</v>
          </cell>
          <cell r="C467">
            <v>8</v>
          </cell>
          <cell r="D467" t="str">
            <v>CAT</v>
          </cell>
          <cell r="E467">
            <v>1.199979757328697</v>
          </cell>
        </row>
        <row r="468">
          <cell r="B468" t="str">
            <v>Universidad de Castilla-La Mancha</v>
          </cell>
          <cell r="C468">
            <v>12</v>
          </cell>
          <cell r="D468" t="str">
            <v>CAP</v>
          </cell>
          <cell r="E468">
            <v>1.1970380597966079</v>
          </cell>
        </row>
        <row r="469">
          <cell r="B469" t="str">
            <v>Centre National de la Recherche Scientifique (CNRS)</v>
          </cell>
          <cell r="C469">
            <v>34</v>
          </cell>
          <cell r="D469" t="str">
            <v>AEJ</v>
          </cell>
          <cell r="E469">
            <v>1.195100565800969</v>
          </cell>
        </row>
        <row r="470">
          <cell r="B470" t="str">
            <v>Marquette University</v>
          </cell>
          <cell r="C470">
            <v>12</v>
          </cell>
          <cell r="D470" t="str">
            <v>DDV</v>
          </cell>
          <cell r="E470">
            <v>1.194984335934139</v>
          </cell>
        </row>
        <row r="471">
          <cell r="B471" t="str">
            <v>University of Witwatersrand</v>
          </cell>
          <cell r="C471">
            <v>19</v>
          </cell>
          <cell r="D471" t="str">
            <v>DBP</v>
          </cell>
          <cell r="E471">
            <v>1.1944614862373779</v>
          </cell>
        </row>
        <row r="472">
          <cell r="B472" t="str">
            <v>Universidad Publica de Navarra</v>
          </cell>
          <cell r="C472">
            <v>7</v>
          </cell>
          <cell r="D472" t="str">
            <v>DDC</v>
          </cell>
          <cell r="E472">
            <v>1.193705995463862</v>
          </cell>
        </row>
        <row r="473">
          <cell r="B473" t="str">
            <v>Zhejiang Gongshang University</v>
          </cell>
          <cell r="C473">
            <v>5</v>
          </cell>
          <cell r="D473" t="str">
            <v>BGH</v>
          </cell>
          <cell r="E473">
            <v>1.1911902969870729</v>
          </cell>
        </row>
        <row r="474">
          <cell r="B474" t="str">
            <v>University of Warsaw</v>
          </cell>
          <cell r="C474">
            <v>4</v>
          </cell>
          <cell r="D474" t="str">
            <v>BHR</v>
          </cell>
          <cell r="E474">
            <v>1.190705072968544</v>
          </cell>
        </row>
        <row r="475">
          <cell r="B475" t="str">
            <v>Nanjing University of Finance &amp; Economics</v>
          </cell>
          <cell r="C475">
            <v>19</v>
          </cell>
          <cell r="D475" t="str">
            <v>CAO</v>
          </cell>
          <cell r="E475">
            <v>1.190011066416828</v>
          </cell>
        </row>
        <row r="476">
          <cell r="B476" t="str">
            <v>Universita degli Studi di Bari Aldo Moro</v>
          </cell>
          <cell r="C476">
            <v>5</v>
          </cell>
          <cell r="D476" t="str">
            <v>CGN</v>
          </cell>
          <cell r="E476">
            <v>1.1878969334119049</v>
          </cell>
        </row>
        <row r="477">
          <cell r="B477" t="str">
            <v>Nanchang University</v>
          </cell>
          <cell r="C477">
            <v>21</v>
          </cell>
          <cell r="D477" t="str">
            <v>BCJ</v>
          </cell>
          <cell r="E477">
            <v>1.187506329837513</v>
          </cell>
        </row>
        <row r="478">
          <cell r="B478" t="str">
            <v>Coventry University</v>
          </cell>
          <cell r="C478">
            <v>22</v>
          </cell>
          <cell r="D478" t="str">
            <v>BDC</v>
          </cell>
          <cell r="E478">
            <v>1.187051940386012</v>
          </cell>
        </row>
        <row r="479">
          <cell r="B479" t="str">
            <v>University of Nottingham Ningbo China</v>
          </cell>
          <cell r="C479">
            <v>14</v>
          </cell>
          <cell r="D479" t="str">
            <v>BGU</v>
          </cell>
          <cell r="E479">
            <v>1.1858155832919419</v>
          </cell>
        </row>
        <row r="480">
          <cell r="B480" t="str">
            <v>University of Canterbury</v>
          </cell>
          <cell r="C480">
            <v>6</v>
          </cell>
          <cell r="D480" t="str">
            <v>BEI</v>
          </cell>
          <cell r="E480">
            <v>1.1856537405934939</v>
          </cell>
        </row>
        <row r="481">
          <cell r="B481" t="str">
            <v>Open University - UK</v>
          </cell>
          <cell r="C481">
            <v>5</v>
          </cell>
          <cell r="D481" t="str">
            <v>BHP</v>
          </cell>
          <cell r="E481">
            <v>1.182745668936491</v>
          </cell>
        </row>
        <row r="482">
          <cell r="B482" t="str">
            <v>Nottingham Trent University</v>
          </cell>
          <cell r="C482">
            <v>11</v>
          </cell>
          <cell r="D482" t="str">
            <v>BDW</v>
          </cell>
          <cell r="E482">
            <v>1.1795857977817259</v>
          </cell>
        </row>
        <row r="483">
          <cell r="B483" t="str">
            <v>Dalian University of Technology</v>
          </cell>
          <cell r="C483">
            <v>11</v>
          </cell>
          <cell r="D483" t="str">
            <v>CGO</v>
          </cell>
          <cell r="E483">
            <v>1.178258448617439</v>
          </cell>
        </row>
        <row r="484">
          <cell r="B484" t="str">
            <v>National Kaohsiung University of Science &amp; Technology</v>
          </cell>
          <cell r="C484">
            <v>8</v>
          </cell>
          <cell r="D484" t="str">
            <v>DCB</v>
          </cell>
          <cell r="E484">
            <v>1.177551935191582</v>
          </cell>
        </row>
        <row r="485">
          <cell r="B485" t="str">
            <v>Swansea University</v>
          </cell>
          <cell r="C485">
            <v>13</v>
          </cell>
          <cell r="D485" t="str">
            <v>CHQ</v>
          </cell>
          <cell r="E485">
            <v>1.175505262178175</v>
          </cell>
        </row>
        <row r="486">
          <cell r="B486" t="str">
            <v>IESEG School of Management</v>
          </cell>
          <cell r="C486">
            <v>11</v>
          </cell>
          <cell r="D486" t="str">
            <v>BBN</v>
          </cell>
          <cell r="E486">
            <v>1.1724315148184361</v>
          </cell>
        </row>
        <row r="487">
          <cell r="B487" t="str">
            <v>Ton Duc Thang University</v>
          </cell>
          <cell r="C487">
            <v>18</v>
          </cell>
          <cell r="D487" t="str">
            <v>DDA</v>
          </cell>
          <cell r="E487">
            <v>1.1722059545893131</v>
          </cell>
        </row>
        <row r="488">
          <cell r="B488" t="str">
            <v>University of Macau</v>
          </cell>
          <cell r="C488">
            <v>20</v>
          </cell>
          <cell r="D488" t="str">
            <v>CHJ</v>
          </cell>
          <cell r="E488">
            <v>1.1717254735682741</v>
          </cell>
        </row>
        <row r="489">
          <cell r="B489" t="str">
            <v>Technische Universitat Dresden</v>
          </cell>
          <cell r="C489">
            <v>5</v>
          </cell>
          <cell r="D489" t="str">
            <v>BCV</v>
          </cell>
          <cell r="E489">
            <v>1.1674604141296001</v>
          </cell>
        </row>
        <row r="490">
          <cell r="B490" t="str">
            <v>Universidade do Minho</v>
          </cell>
          <cell r="C490">
            <v>10</v>
          </cell>
          <cell r="D490" t="str">
            <v>CAY</v>
          </cell>
          <cell r="E490">
            <v>1.1642773496176271</v>
          </cell>
        </row>
        <row r="491">
          <cell r="B491" t="str">
            <v>Brunel University</v>
          </cell>
          <cell r="C491">
            <v>32</v>
          </cell>
          <cell r="D491" t="str">
            <v>BAB</v>
          </cell>
          <cell r="E491">
            <v>1.16265173300571</v>
          </cell>
        </row>
        <row r="492">
          <cell r="B492" t="str">
            <v>University of Barcelona</v>
          </cell>
          <cell r="C492">
            <v>7</v>
          </cell>
          <cell r="D492" t="str">
            <v>CAM</v>
          </cell>
          <cell r="E492">
            <v>1.162542747288104</v>
          </cell>
        </row>
        <row r="493">
          <cell r="B493" t="str">
            <v>University of Turin</v>
          </cell>
          <cell r="C493">
            <v>6</v>
          </cell>
          <cell r="D493" t="str">
            <v>CCB</v>
          </cell>
          <cell r="E493">
            <v>1.1610175377359651</v>
          </cell>
        </row>
        <row r="494">
          <cell r="B494" t="str">
            <v>University at Albany, SUNY</v>
          </cell>
          <cell r="C494">
            <v>8</v>
          </cell>
          <cell r="D494" t="str">
            <v>DDH</v>
          </cell>
          <cell r="E494">
            <v>1.1601005097678849</v>
          </cell>
        </row>
        <row r="495">
          <cell r="B495" t="str">
            <v>Aix-Marseille Universite</v>
          </cell>
          <cell r="C495">
            <v>7</v>
          </cell>
          <cell r="D495" t="str">
            <v>BHG</v>
          </cell>
          <cell r="E495">
            <v>1.1592978342796361</v>
          </cell>
        </row>
        <row r="496">
          <cell r="B496" t="str">
            <v>Cardiff University</v>
          </cell>
          <cell r="C496">
            <v>16</v>
          </cell>
          <cell r="D496" t="str">
            <v>BAE</v>
          </cell>
          <cell r="E496">
            <v>1.158254568982205</v>
          </cell>
        </row>
        <row r="497">
          <cell r="B497" t="str">
            <v>University of Stirling</v>
          </cell>
          <cell r="C497">
            <v>8</v>
          </cell>
          <cell r="D497" t="str">
            <v>DDF</v>
          </cell>
          <cell r="E497">
            <v>1.1581728096963171</v>
          </cell>
        </row>
        <row r="498">
          <cell r="B498" t="str">
            <v>Jonkoping University</v>
          </cell>
          <cell r="C498">
            <v>5</v>
          </cell>
          <cell r="D498" t="str">
            <v>BBT</v>
          </cell>
          <cell r="E498">
            <v>1.1573117783501949</v>
          </cell>
        </row>
        <row r="499">
          <cell r="B499" t="str">
            <v>Zhejiang University of Finance &amp; Economics</v>
          </cell>
          <cell r="C499">
            <v>14</v>
          </cell>
          <cell r="D499" t="str">
            <v>CGZ</v>
          </cell>
          <cell r="E499">
            <v>1.156054774699649</v>
          </cell>
        </row>
        <row r="500">
          <cell r="B500" t="str">
            <v>University of New Mexico</v>
          </cell>
          <cell r="C500">
            <v>6</v>
          </cell>
          <cell r="D500" t="str">
            <v>DCN</v>
          </cell>
          <cell r="E500">
            <v>1.1542635498100919</v>
          </cell>
        </row>
        <row r="501">
          <cell r="B501" t="str">
            <v>National Sun Yat Sen University</v>
          </cell>
          <cell r="C501">
            <v>20</v>
          </cell>
          <cell r="D501" t="str">
            <v>CHD</v>
          </cell>
          <cell r="E501">
            <v>1.153361017257986</v>
          </cell>
        </row>
        <row r="502">
          <cell r="B502" t="str">
            <v>Universiti Malaya</v>
          </cell>
          <cell r="C502">
            <v>13</v>
          </cell>
          <cell r="D502" t="str">
            <v>BDY</v>
          </cell>
          <cell r="E502">
            <v>1.1530617960228151</v>
          </cell>
        </row>
        <row r="503">
          <cell r="B503" t="str">
            <v>Hefei University of Technology</v>
          </cell>
          <cell r="C503">
            <v>7</v>
          </cell>
          <cell r="D503" t="str">
            <v>DAN</v>
          </cell>
          <cell r="E503">
            <v>1.1516413867423549</v>
          </cell>
        </row>
        <row r="504">
          <cell r="B504" t="str">
            <v>Xi'an Jiaotong-Liverpool University</v>
          </cell>
          <cell r="C504">
            <v>11</v>
          </cell>
          <cell r="D504" t="str">
            <v>DBT</v>
          </cell>
          <cell r="E504">
            <v>1.1491777073744129</v>
          </cell>
        </row>
        <row r="505">
          <cell r="B505" t="str">
            <v>University of Sevilla</v>
          </cell>
          <cell r="C505">
            <v>7</v>
          </cell>
          <cell r="D505" t="str">
            <v>CBK</v>
          </cell>
          <cell r="E505">
            <v>1.148300111711331</v>
          </cell>
        </row>
        <row r="506">
          <cell r="B506" t="str">
            <v>Tallinn University of Technology</v>
          </cell>
          <cell r="C506">
            <v>13</v>
          </cell>
          <cell r="D506" t="str">
            <v>DEV</v>
          </cell>
          <cell r="E506">
            <v>1.148078410083738</v>
          </cell>
        </row>
        <row r="507">
          <cell r="B507" t="str">
            <v>University of Gottingen</v>
          </cell>
          <cell r="C507">
            <v>12</v>
          </cell>
          <cell r="D507" t="str">
            <v>BEX</v>
          </cell>
          <cell r="E507">
            <v>1.145234721824149</v>
          </cell>
        </row>
        <row r="508">
          <cell r="B508" t="str">
            <v>East China University of Science &amp; Technology</v>
          </cell>
          <cell r="C508">
            <v>11</v>
          </cell>
          <cell r="D508" t="str">
            <v>BHH</v>
          </cell>
          <cell r="E508">
            <v>1.143419372338826</v>
          </cell>
        </row>
        <row r="509">
          <cell r="B509" t="str">
            <v>Universidade de Coimbra</v>
          </cell>
          <cell r="C509">
            <v>8</v>
          </cell>
          <cell r="D509" t="str">
            <v>CCE</v>
          </cell>
          <cell r="E509">
            <v>1.142376355991944</v>
          </cell>
        </row>
        <row r="510">
          <cell r="B510" t="str">
            <v>University of Salamanca</v>
          </cell>
          <cell r="C510">
            <v>7</v>
          </cell>
          <cell r="D510" t="str">
            <v>DDS</v>
          </cell>
          <cell r="E510">
            <v>1.1420837938218591</v>
          </cell>
        </row>
        <row r="511">
          <cell r="B511" t="str">
            <v>Academia Sinica - Taiwan</v>
          </cell>
          <cell r="C511">
            <v>5</v>
          </cell>
          <cell r="D511" t="str">
            <v>DDO</v>
          </cell>
          <cell r="E511">
            <v>1.1395494498656189</v>
          </cell>
        </row>
        <row r="512">
          <cell r="B512" t="str">
            <v>Universidad de los Andes (Colombia)</v>
          </cell>
          <cell r="C512">
            <v>6</v>
          </cell>
          <cell r="D512" t="str">
            <v>DDB</v>
          </cell>
          <cell r="E512">
            <v>1.1393373834737059</v>
          </cell>
        </row>
        <row r="513">
          <cell r="B513" t="str">
            <v>University of Cape Town</v>
          </cell>
          <cell r="C513">
            <v>15</v>
          </cell>
          <cell r="D513" t="str">
            <v>AGR</v>
          </cell>
          <cell r="E513">
            <v>1.138653298081753</v>
          </cell>
        </row>
        <row r="514">
          <cell r="B514" t="str">
            <v>University of Pisa</v>
          </cell>
          <cell r="C514">
            <v>5</v>
          </cell>
          <cell r="D514" t="str">
            <v>CHA</v>
          </cell>
          <cell r="E514">
            <v>1.138059435650258</v>
          </cell>
        </row>
        <row r="515">
          <cell r="B515" t="str">
            <v>University of Zaragoza</v>
          </cell>
          <cell r="C515">
            <v>16</v>
          </cell>
          <cell r="D515" t="str">
            <v>BFB</v>
          </cell>
          <cell r="E515">
            <v>1.1377112702342469</v>
          </cell>
        </row>
        <row r="516">
          <cell r="B516" t="str">
            <v>Organisation for Economic Co-operation &amp; Development (OECD)</v>
          </cell>
          <cell r="C516">
            <v>10</v>
          </cell>
          <cell r="D516" t="str">
            <v>AFG</v>
          </cell>
          <cell r="E516">
            <v>1.1318553916878891</v>
          </cell>
        </row>
        <row r="517">
          <cell r="B517" t="str">
            <v>Jilin University</v>
          </cell>
          <cell r="C517">
            <v>9</v>
          </cell>
          <cell r="D517" t="str">
            <v>BHE</v>
          </cell>
          <cell r="E517">
            <v>1.131473419654538</v>
          </cell>
        </row>
        <row r="518">
          <cell r="B518" t="str">
            <v>European University Institute</v>
          </cell>
          <cell r="C518">
            <v>8</v>
          </cell>
          <cell r="D518" t="str">
            <v>BAX</v>
          </cell>
          <cell r="E518">
            <v>1.1307494870594219</v>
          </cell>
        </row>
        <row r="519">
          <cell r="B519" t="str">
            <v>University of Salerno</v>
          </cell>
          <cell r="C519">
            <v>5</v>
          </cell>
          <cell r="D519" t="str">
            <v>DAF</v>
          </cell>
          <cell r="E519">
            <v>1.1264635424641329</v>
          </cell>
        </row>
        <row r="520">
          <cell r="B520" t="str">
            <v>University of Rome Tor Vergata</v>
          </cell>
          <cell r="C520">
            <v>6</v>
          </cell>
          <cell r="D520" t="str">
            <v>CBH</v>
          </cell>
          <cell r="E520">
            <v>1.12508488706457</v>
          </cell>
        </row>
        <row r="521">
          <cell r="B521" t="str">
            <v>University of Derby</v>
          </cell>
          <cell r="C521">
            <v>9</v>
          </cell>
          <cell r="D521" t="str">
            <v>DDJ</v>
          </cell>
          <cell r="E521">
            <v>1.124485368706247</v>
          </cell>
        </row>
        <row r="522">
          <cell r="B522" t="str">
            <v>COMSATS University Islamabad (CUI)</v>
          </cell>
          <cell r="C522">
            <v>20</v>
          </cell>
          <cell r="D522" t="str">
            <v>BAL</v>
          </cell>
          <cell r="E522">
            <v>1.124156931884827</v>
          </cell>
        </row>
        <row r="523">
          <cell r="B523" t="str">
            <v>University of Tehran</v>
          </cell>
          <cell r="C523">
            <v>6</v>
          </cell>
          <cell r="D523" t="str">
            <v>DED</v>
          </cell>
          <cell r="E523">
            <v>1.123189862261331</v>
          </cell>
        </row>
        <row r="524">
          <cell r="B524" t="str">
            <v>Kozminski University</v>
          </cell>
          <cell r="C524">
            <v>6</v>
          </cell>
          <cell r="D524" t="str">
            <v>DFE</v>
          </cell>
          <cell r="E524">
            <v>1.118341205087525</v>
          </cell>
        </row>
        <row r="525">
          <cell r="B525" t="str">
            <v>Waseda University</v>
          </cell>
          <cell r="C525">
            <v>13</v>
          </cell>
          <cell r="D525" t="str">
            <v>BAZ</v>
          </cell>
          <cell r="E525">
            <v>1.115249848606056</v>
          </cell>
        </row>
        <row r="526">
          <cell r="B526" t="str">
            <v>Eastern Mediterranean University</v>
          </cell>
          <cell r="C526">
            <v>22</v>
          </cell>
          <cell r="D526" t="str">
            <v>DAD</v>
          </cell>
          <cell r="E526">
            <v>1.102588823437116</v>
          </cell>
        </row>
        <row r="527">
          <cell r="B527" t="str">
            <v>University of Piraeus</v>
          </cell>
          <cell r="C527">
            <v>16</v>
          </cell>
          <cell r="D527" t="str">
            <v>BGC</v>
          </cell>
          <cell r="E527">
            <v>1.1019880988958619</v>
          </cell>
        </row>
        <row r="528">
          <cell r="B528" t="str">
            <v>Brock University</v>
          </cell>
          <cell r="C528">
            <v>5</v>
          </cell>
          <cell r="D528" t="str">
            <v>DEG</v>
          </cell>
          <cell r="E528">
            <v>1.0974396426102579</v>
          </cell>
        </row>
        <row r="529">
          <cell r="B529" t="str">
            <v>Uppsala University</v>
          </cell>
          <cell r="C529">
            <v>8</v>
          </cell>
          <cell r="D529" t="str">
            <v>BGV</v>
          </cell>
          <cell r="E529">
            <v>1.096453522687042</v>
          </cell>
        </row>
        <row r="530">
          <cell r="B530" t="str">
            <v>University of Johannesburg</v>
          </cell>
          <cell r="C530">
            <v>6</v>
          </cell>
          <cell r="D530" t="str">
            <v>CAB</v>
          </cell>
          <cell r="E530">
            <v>1.095783430674623</v>
          </cell>
        </row>
        <row r="531">
          <cell r="B531" t="str">
            <v>Universidade Federal do Rio Grande do Sul</v>
          </cell>
          <cell r="C531">
            <v>5</v>
          </cell>
          <cell r="D531" t="str">
            <v>AHN</v>
          </cell>
          <cell r="E531">
            <v>1.0914168455932529</v>
          </cell>
        </row>
        <row r="532">
          <cell r="B532" t="str">
            <v>Kedge Business School</v>
          </cell>
          <cell r="C532">
            <v>4</v>
          </cell>
          <cell r="D532" t="str">
            <v>BEP</v>
          </cell>
          <cell r="E532">
            <v>1.091116753476298</v>
          </cell>
        </row>
        <row r="533">
          <cell r="B533" t="str">
            <v>Stellenbosch University</v>
          </cell>
          <cell r="C533">
            <v>8</v>
          </cell>
          <cell r="D533" t="str">
            <v>BBY</v>
          </cell>
          <cell r="E533">
            <v>1.0910486819818781</v>
          </cell>
        </row>
        <row r="534">
          <cell r="B534" t="str">
            <v>Universiti Putra Malaysia</v>
          </cell>
          <cell r="C534">
            <v>4</v>
          </cell>
          <cell r="D534" t="str">
            <v>DBW</v>
          </cell>
          <cell r="E534">
            <v>1.090960898860335</v>
          </cell>
        </row>
        <row r="535">
          <cell r="B535" t="str">
            <v>Harbin Institute of Technology</v>
          </cell>
          <cell r="C535">
            <v>7</v>
          </cell>
          <cell r="D535" t="str">
            <v>CAF</v>
          </cell>
          <cell r="E535">
            <v>1.090150210570747</v>
          </cell>
        </row>
        <row r="536">
          <cell r="B536" t="str">
            <v>Warsaw School of Economics</v>
          </cell>
          <cell r="C536">
            <v>11</v>
          </cell>
          <cell r="D536" t="str">
            <v>AGZ</v>
          </cell>
          <cell r="E536">
            <v>1.0862101955435279</v>
          </cell>
        </row>
        <row r="537">
          <cell r="B537" t="str">
            <v>University of Basque Country</v>
          </cell>
          <cell r="C537">
            <v>8</v>
          </cell>
          <cell r="D537" t="str">
            <v>CBC</v>
          </cell>
          <cell r="E537">
            <v>1.0861715976658179</v>
          </cell>
        </row>
        <row r="538">
          <cell r="B538" t="str">
            <v>Universite de Rennes</v>
          </cell>
          <cell r="C538">
            <v>17</v>
          </cell>
          <cell r="D538" t="str">
            <v>BBE</v>
          </cell>
          <cell r="E538">
            <v>1.0829987925502711</v>
          </cell>
        </row>
        <row r="539">
          <cell r="B539" t="str">
            <v>University of Kiel</v>
          </cell>
          <cell r="C539">
            <v>6</v>
          </cell>
          <cell r="D539" t="str">
            <v>CBI</v>
          </cell>
          <cell r="E539">
            <v>1.080426876429359</v>
          </cell>
        </row>
        <row r="540">
          <cell r="B540" t="str">
            <v>University of East Anglia</v>
          </cell>
          <cell r="C540">
            <v>12</v>
          </cell>
          <cell r="D540" t="str">
            <v>AGH</v>
          </cell>
          <cell r="E540">
            <v>1.078867610965025</v>
          </cell>
        </row>
        <row r="541">
          <cell r="B541" t="str">
            <v>University of Haifa</v>
          </cell>
          <cell r="C541">
            <v>6</v>
          </cell>
          <cell r="D541" t="str">
            <v>DDX</v>
          </cell>
          <cell r="E541">
            <v>1.0773175963745889</v>
          </cell>
        </row>
        <row r="542">
          <cell r="B542" t="str">
            <v>Universiti Sains Malaysia</v>
          </cell>
          <cell r="C542">
            <v>9</v>
          </cell>
          <cell r="D542" t="str">
            <v>AHU</v>
          </cell>
          <cell r="E542">
            <v>1.0744779487149549</v>
          </cell>
        </row>
        <row r="543">
          <cell r="B543" t="str">
            <v>Kobe University</v>
          </cell>
          <cell r="C543">
            <v>10</v>
          </cell>
          <cell r="D543" t="str">
            <v>ACJ</v>
          </cell>
          <cell r="E543">
            <v>1.073826470424333</v>
          </cell>
        </row>
        <row r="544">
          <cell r="B544" t="str">
            <v>Manchester Metropolitan University</v>
          </cell>
          <cell r="C544">
            <v>3</v>
          </cell>
          <cell r="D544" t="str">
            <v>DBM</v>
          </cell>
          <cell r="E544">
            <v>1.071104102288869</v>
          </cell>
        </row>
        <row r="545">
          <cell r="B545" t="str">
            <v>Islamic Azad University</v>
          </cell>
          <cell r="C545">
            <v>11</v>
          </cell>
          <cell r="D545" t="str">
            <v>DEY</v>
          </cell>
          <cell r="E545">
            <v>1.069849439432939</v>
          </cell>
        </row>
        <row r="546">
          <cell r="B546" t="str">
            <v>Shanghai Lixin University of Accounting &amp; Finance</v>
          </cell>
          <cell r="C546">
            <v>14</v>
          </cell>
          <cell r="D546" t="str">
            <v>CGL</v>
          </cell>
          <cell r="E546">
            <v>1.068917714758906</v>
          </cell>
        </row>
        <row r="547">
          <cell r="B547" t="str">
            <v>Feng Chia University</v>
          </cell>
          <cell r="C547">
            <v>14</v>
          </cell>
          <cell r="D547" t="str">
            <v>DDU</v>
          </cell>
          <cell r="E547">
            <v>1.0677328905884831</v>
          </cell>
        </row>
        <row r="548">
          <cell r="B548" t="str">
            <v>Universidade de Sao Paulo</v>
          </cell>
          <cell r="C548">
            <v>9</v>
          </cell>
          <cell r="D548" t="str">
            <v>CCH</v>
          </cell>
          <cell r="E548">
            <v>1.0631599919927579</v>
          </cell>
        </row>
        <row r="549">
          <cell r="B549" t="str">
            <v>Complutense University of Madrid</v>
          </cell>
          <cell r="C549">
            <v>13</v>
          </cell>
          <cell r="D549" t="str">
            <v>CCF</v>
          </cell>
          <cell r="E549">
            <v>1.0611304707025739</v>
          </cell>
        </row>
        <row r="550">
          <cell r="B550" t="str">
            <v>University of Quebec Montreal</v>
          </cell>
          <cell r="C550">
            <v>12</v>
          </cell>
          <cell r="D550" t="str">
            <v>BCB</v>
          </cell>
          <cell r="E550">
            <v>1.060966313595582</v>
          </cell>
        </row>
        <row r="551">
          <cell r="B551" t="str">
            <v>Parthenope University Naples</v>
          </cell>
          <cell r="C551">
            <v>7</v>
          </cell>
          <cell r="D551" t="str">
            <v>BCK</v>
          </cell>
          <cell r="E551">
            <v>1.0591839657800139</v>
          </cell>
        </row>
        <row r="552">
          <cell r="B552" t="str">
            <v>University of Novi Sad</v>
          </cell>
          <cell r="C552">
            <v>4</v>
          </cell>
          <cell r="D552" t="str">
            <v>DEB</v>
          </cell>
          <cell r="E552">
            <v>1.057104178889658</v>
          </cell>
        </row>
        <row r="553">
          <cell r="B553" t="str">
            <v>Ben Gurion University</v>
          </cell>
          <cell r="C553">
            <v>6</v>
          </cell>
          <cell r="D553" t="str">
            <v>DBU</v>
          </cell>
          <cell r="E553">
            <v>1.0570319350276089</v>
          </cell>
        </row>
        <row r="554">
          <cell r="B554" t="str">
            <v>Delft University of Technology</v>
          </cell>
          <cell r="C554">
            <v>4</v>
          </cell>
          <cell r="D554" t="str">
            <v>BAQ</v>
          </cell>
          <cell r="E554">
            <v>1.054899311883897</v>
          </cell>
        </row>
        <row r="555">
          <cell r="B555" t="str">
            <v>Tamkang University</v>
          </cell>
          <cell r="C555">
            <v>9</v>
          </cell>
          <cell r="D555" t="str">
            <v>DCZ</v>
          </cell>
          <cell r="E555">
            <v>1.0513334485356209</v>
          </cell>
        </row>
        <row r="556">
          <cell r="B556" t="str">
            <v>National Cheng Kung University</v>
          </cell>
          <cell r="C556">
            <v>6</v>
          </cell>
          <cell r="D556" t="str">
            <v>DEM</v>
          </cell>
          <cell r="E556">
            <v>1.049700704141689</v>
          </cell>
        </row>
        <row r="557">
          <cell r="B557" t="str">
            <v>Universidade de Santiago de Compostela</v>
          </cell>
          <cell r="C557">
            <v>3</v>
          </cell>
          <cell r="D557" t="str">
            <v>BHW</v>
          </cell>
          <cell r="E557">
            <v>1.0479165800366781</v>
          </cell>
        </row>
        <row r="558">
          <cell r="B558" t="str">
            <v>Keio University</v>
          </cell>
          <cell r="C558">
            <v>7</v>
          </cell>
          <cell r="D558" t="str">
            <v>BEZ</v>
          </cell>
          <cell r="E558">
            <v>1.046504506825733</v>
          </cell>
        </row>
        <row r="559">
          <cell r="B559" t="str">
            <v>Universite de Lille</v>
          </cell>
          <cell r="C559">
            <v>9</v>
          </cell>
          <cell r="D559" t="str">
            <v>BHL</v>
          </cell>
          <cell r="E559">
            <v>1.0445636274067569</v>
          </cell>
        </row>
        <row r="560">
          <cell r="B560" t="str">
            <v>Universitat Jaume I</v>
          </cell>
          <cell r="C560">
            <v>15</v>
          </cell>
          <cell r="D560" t="str">
            <v>CAU</v>
          </cell>
          <cell r="E560">
            <v>1.0354834547947931</v>
          </cell>
        </row>
        <row r="561">
          <cell r="B561" t="str">
            <v>Universidade de Lisboa</v>
          </cell>
          <cell r="C561">
            <v>19</v>
          </cell>
          <cell r="D561" t="str">
            <v>CAW</v>
          </cell>
          <cell r="E561">
            <v>1.033284655252227</v>
          </cell>
        </row>
        <row r="562">
          <cell r="B562" t="str">
            <v>Universidad Rey Juan Carlos</v>
          </cell>
          <cell r="C562">
            <v>8</v>
          </cell>
          <cell r="D562" t="str">
            <v>DCD</v>
          </cell>
          <cell r="E562">
            <v>1.031073991457959</v>
          </cell>
        </row>
        <row r="563">
          <cell r="B563" t="str">
            <v>Ming Chuan University</v>
          </cell>
          <cell r="C563">
            <v>9</v>
          </cell>
          <cell r="D563" t="str">
            <v>DEK</v>
          </cell>
          <cell r="E563">
            <v>1.0303081477418981</v>
          </cell>
        </row>
        <row r="564">
          <cell r="B564" t="str">
            <v>Kyoto University</v>
          </cell>
          <cell r="C564">
            <v>4</v>
          </cell>
          <cell r="D564" t="str">
            <v>ADN</v>
          </cell>
          <cell r="E564">
            <v>1.0161450161726251</v>
          </cell>
        </row>
        <row r="565">
          <cell r="B565" t="str">
            <v>University of Zagreb</v>
          </cell>
          <cell r="C565">
            <v>3</v>
          </cell>
          <cell r="D565" t="str">
            <v>CBR</v>
          </cell>
          <cell r="E565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5"/>
  <sheetViews>
    <sheetView workbookViewId="0">
      <selection activeCell="A2" sqref="A2:XFD615"/>
    </sheetView>
  </sheetViews>
  <sheetFormatPr baseColWidth="10" defaultColWidth="9.140625" defaultRowHeight="15" x14ac:dyDescent="0.25"/>
  <cols>
    <col min="1" max="1" width="60" customWidth="1"/>
    <col min="2" max="2" width="31.5703125" customWidth="1"/>
    <col min="3" max="3" width="4.28515625" bestFit="1" customWidth="1"/>
    <col min="4" max="4" width="7.140625" customWidth="1"/>
    <col min="5" max="5" width="4.7109375" bestFit="1" customWidth="1"/>
    <col min="6" max="6" width="5.42578125" bestFit="1" customWidth="1"/>
    <col min="7" max="7" width="4.7109375" bestFit="1" customWidth="1"/>
    <col min="8" max="8" width="5.7109375" bestFit="1" customWidth="1"/>
    <col min="9" max="9" width="4.85546875" bestFit="1" customWidth="1"/>
    <col min="10" max="10" width="5.7109375" bestFit="1" customWidth="1"/>
    <col min="11" max="11" width="4.85546875" bestFit="1" customWidth="1"/>
    <col min="12" max="12" width="5.7109375" bestFit="1" customWidth="1"/>
    <col min="13" max="13" width="4.85546875" bestFit="1" customWidth="1"/>
    <col min="14" max="16" width="14.85546875" customWidth="1"/>
    <col min="17" max="19" width="6.5703125" customWidth="1"/>
  </cols>
  <sheetData>
    <row r="1" spans="1:19" x14ac:dyDescent="0.25">
      <c r="C1" s="79" t="s">
        <v>1340</v>
      </c>
      <c r="D1" s="79"/>
      <c r="E1" s="79"/>
      <c r="F1" s="79" t="s">
        <v>1342</v>
      </c>
      <c r="G1" s="79"/>
      <c r="H1" s="79" t="s">
        <v>1343</v>
      </c>
      <c r="I1" s="79"/>
      <c r="J1" s="79" t="s">
        <v>1344</v>
      </c>
      <c r="K1" s="79"/>
      <c r="L1" s="79" t="s">
        <v>1345</v>
      </c>
      <c r="M1" s="79"/>
    </row>
    <row r="2" spans="1:19" x14ac:dyDescent="0.25">
      <c r="A2" s="39" t="s">
        <v>0</v>
      </c>
      <c r="B2" s="39" t="s">
        <v>1347</v>
      </c>
      <c r="C2" s="38" t="s">
        <v>1</v>
      </c>
      <c r="D2" s="38" t="s">
        <v>1341</v>
      </c>
      <c r="E2" s="38" t="s">
        <v>1339</v>
      </c>
      <c r="F2" s="48" t="s">
        <v>1341</v>
      </c>
      <c r="G2" s="48" t="s">
        <v>1339</v>
      </c>
      <c r="H2" s="49" t="s">
        <v>1341</v>
      </c>
      <c r="I2" s="49" t="s">
        <v>1339</v>
      </c>
      <c r="J2" s="50" t="s">
        <v>1341</v>
      </c>
      <c r="K2" s="50" t="s">
        <v>1339</v>
      </c>
      <c r="L2" s="51" t="s">
        <v>1341</v>
      </c>
      <c r="M2" s="51" t="s">
        <v>1339</v>
      </c>
      <c r="N2" s="48" t="s">
        <v>1350</v>
      </c>
      <c r="O2" s="38" t="s">
        <v>1348</v>
      </c>
      <c r="P2" s="38" t="s">
        <v>1349</v>
      </c>
      <c r="Q2" s="38" t="s">
        <v>1351</v>
      </c>
      <c r="R2" s="38" t="s">
        <v>1352</v>
      </c>
      <c r="S2" s="38" t="s">
        <v>1353</v>
      </c>
    </row>
    <row r="3" spans="1:19" x14ac:dyDescent="0.25">
      <c r="A3" s="38" t="s">
        <v>2</v>
      </c>
      <c r="B3" s="6" t="s">
        <v>1355</v>
      </c>
      <c r="C3" s="6">
        <f>IFERROR(VLOOKUP(A3,[1]eco_bus_journals!$B:$D,3,0),"")</f>
        <v>40</v>
      </c>
      <c r="D3" s="37">
        <f>IFERROR(ROUND(VLOOKUP(A3,[1]eco_bus_journals!$B:$X,4,0),2),"")</f>
        <v>10</v>
      </c>
      <c r="E3" s="37">
        <f>_xlfn.RANK.EQ(D3,D:D)</f>
        <v>1</v>
      </c>
      <c r="F3" s="44">
        <f>IFERROR(ROUND(VLOOKUP(A3,[1]eco_journals!B:E,4,0),2),"")</f>
        <v>10</v>
      </c>
      <c r="G3" s="40">
        <f>IFERROR(_xlfn.RANK.EQ(F3,F:F),"")</f>
        <v>1</v>
      </c>
      <c r="H3" s="46" t="str">
        <f>IFERROR(ROUND(VLOOKUP(A3,[1]fin_journals!B:E,4,0),2),"")</f>
        <v/>
      </c>
      <c r="I3" s="18" t="str">
        <f>IFERROR(_xlfn.RANK.EQ(H3,H:H),"")</f>
        <v/>
      </c>
      <c r="J3" s="42" t="str">
        <f>IFERROR(ROUND(VLOOKUP(A3,[1]bus_journals!B:E,4,0),2),"")</f>
        <v/>
      </c>
      <c r="K3" s="23" t="str">
        <f>IFERROR(_xlfn.RANK.EQ(J3,J:J),"")</f>
        <v/>
      </c>
      <c r="L3" s="43" t="str">
        <f>IFERROR(ROUND(VLOOKUP(A3,[1]man_journals!B:E,4,0),2),"")</f>
        <v/>
      </c>
      <c r="M3" s="26" t="str">
        <f>IFERROR(_xlfn.RANK.EQ(L3,L:L),"")</f>
        <v/>
      </c>
      <c r="N3" s="40" t="s">
        <v>1272</v>
      </c>
      <c r="O3" s="37"/>
      <c r="P3" s="37"/>
      <c r="Q3" s="37"/>
      <c r="R3" s="37"/>
      <c r="S3" s="37"/>
    </row>
    <row r="4" spans="1:19" x14ac:dyDescent="0.25">
      <c r="A4" t="s">
        <v>5</v>
      </c>
      <c r="B4" t="s">
        <v>1357</v>
      </c>
      <c r="C4" s="6">
        <f>IFERROR(VLOOKUP(A4,[1]eco_bus_journals!$B:$D,3,0),"")</f>
        <v>116</v>
      </c>
      <c r="D4" s="37">
        <f>IFERROR(ROUND(VLOOKUP(A4,[1]eco_bus_journals!$B:$X,4,0),2),"")</f>
        <v>6.51</v>
      </c>
      <c r="E4" s="37">
        <f>_xlfn.RANK.EQ(D4,D:D)</f>
        <v>2</v>
      </c>
      <c r="F4" s="44">
        <f>IFERROR(ROUND(VLOOKUP(A4,[1]eco_journals!B:E,4,0),2),"")</f>
        <v>6.48</v>
      </c>
      <c r="G4" s="40">
        <f>IFERROR(_xlfn.RANK.EQ(F4,F:F),"")</f>
        <v>2</v>
      </c>
      <c r="H4" s="46" t="str">
        <f>IFERROR(ROUND(VLOOKUP(A4,[1]fin_journals!B:E,4,0),2),"")</f>
        <v/>
      </c>
      <c r="I4" s="18" t="str">
        <f>IFERROR(_xlfn.RANK.EQ(H4,H:H),"")</f>
        <v/>
      </c>
      <c r="J4" s="42" t="str">
        <f>IFERROR(ROUND(VLOOKUP(A4,[1]bus_journals!B:E,4,0),2),"")</f>
        <v/>
      </c>
      <c r="K4" s="23" t="str">
        <f>IFERROR(_xlfn.RANK.EQ(J4,J:J),"")</f>
        <v/>
      </c>
      <c r="L4" s="43" t="str">
        <f>IFERROR(ROUND(VLOOKUP(A4,[1]man_journals!B:E,4,0),2),"")</f>
        <v/>
      </c>
      <c r="M4" s="26" t="str">
        <f>IFERROR(_xlfn.RANK.EQ(L4,L:L),"")</f>
        <v/>
      </c>
      <c r="N4" s="1" t="s">
        <v>1272</v>
      </c>
    </row>
    <row r="5" spans="1:19" x14ac:dyDescent="0.25">
      <c r="A5" t="s">
        <v>11</v>
      </c>
      <c r="B5" t="s">
        <v>1359</v>
      </c>
      <c r="C5" s="6">
        <f>IFERROR(VLOOKUP(A5,[1]eco_bus_journals!$B:$D,3,0),"")</f>
        <v>110</v>
      </c>
      <c r="D5" s="37">
        <f>IFERROR(ROUND(VLOOKUP(A5,[1]eco_bus_journals!$B:$X,4,0),2),"")</f>
        <v>4.6500000000000004</v>
      </c>
      <c r="E5" s="37">
        <f>_xlfn.RANK.EQ(D5,D:D)</f>
        <v>4</v>
      </c>
      <c r="F5" s="44">
        <f>IFERROR(ROUND(VLOOKUP(A5,[1]eco_journals!B:E,4,0),2),"")</f>
        <v>4.67</v>
      </c>
      <c r="G5" s="40">
        <f>IFERROR(_xlfn.RANK.EQ(F5,F:F),"")</f>
        <v>3</v>
      </c>
      <c r="H5" s="46" t="str">
        <f>IFERROR(ROUND(VLOOKUP(A5,[1]fin_journals!B:E,4,0),2),"")</f>
        <v/>
      </c>
      <c r="I5" s="18" t="str">
        <f>IFERROR(_xlfn.RANK.EQ(H5,H:H),"")</f>
        <v/>
      </c>
      <c r="J5" s="42" t="str">
        <f>IFERROR(ROUND(VLOOKUP(A5,[1]bus_journals!B:E,4,0),2),"")</f>
        <v/>
      </c>
      <c r="K5" s="23" t="str">
        <f>IFERROR(_xlfn.RANK.EQ(J5,J:J),"")</f>
        <v/>
      </c>
      <c r="L5" s="43" t="str">
        <f>IFERROR(ROUND(VLOOKUP(A5,[1]man_journals!B:E,4,0),2),"")</f>
        <v/>
      </c>
      <c r="M5" s="26" t="str">
        <f>IFERROR(_xlfn.RANK.EQ(L5,L:L),"")</f>
        <v/>
      </c>
      <c r="N5" s="1" t="s">
        <v>1272</v>
      </c>
    </row>
    <row r="6" spans="1:19" x14ac:dyDescent="0.25">
      <c r="A6" t="s">
        <v>9</v>
      </c>
      <c r="B6" t="s">
        <v>1361</v>
      </c>
      <c r="C6" s="6">
        <f>IFERROR(VLOOKUP(A6,[1]eco_bus_journals!$B:$D,3,0),"")</f>
        <v>80</v>
      </c>
      <c r="D6" s="37">
        <f>IFERROR(ROUND(VLOOKUP(A6,[1]eco_bus_journals!$B:$X,4,0),2),"")</f>
        <v>4.32</v>
      </c>
      <c r="E6" s="37">
        <f>_xlfn.RANK.EQ(D6,D:D)</f>
        <v>6</v>
      </c>
      <c r="F6" s="44">
        <f>IFERROR(ROUND(VLOOKUP(A6,[1]eco_journals!B:E,4,0),2),"")</f>
        <v>4.38</v>
      </c>
      <c r="G6" s="40">
        <f>IFERROR(_xlfn.RANK.EQ(F6,F:F),"")</f>
        <v>4</v>
      </c>
      <c r="H6" s="46" t="str">
        <f>IFERROR(ROUND(VLOOKUP(A6,[1]fin_journals!B:E,4,0),2),"")</f>
        <v/>
      </c>
      <c r="I6" s="18" t="str">
        <f>IFERROR(_xlfn.RANK.EQ(H6,H:H),"")</f>
        <v/>
      </c>
      <c r="J6" s="42" t="str">
        <f>IFERROR(ROUND(VLOOKUP(A6,[1]bus_journals!B:E,4,0),2),"")</f>
        <v/>
      </c>
      <c r="K6" s="23" t="str">
        <f>IFERROR(_xlfn.RANK.EQ(J6,J:J),"")</f>
        <v/>
      </c>
      <c r="L6" s="43" t="str">
        <f>IFERROR(ROUND(VLOOKUP(A6,[1]man_journals!B:E,4,0),2),"")</f>
        <v/>
      </c>
      <c r="M6" s="26" t="str">
        <f>IFERROR(_xlfn.RANK.EQ(L6,L:L),"")</f>
        <v/>
      </c>
      <c r="N6" s="1" t="s">
        <v>1272</v>
      </c>
    </row>
    <row r="7" spans="1:19" x14ac:dyDescent="0.25">
      <c r="A7" t="s">
        <v>19</v>
      </c>
      <c r="B7" t="s">
        <v>1360</v>
      </c>
      <c r="C7" s="6">
        <f>IFERROR(VLOOKUP(A7,[1]eco_bus_journals!$B:$D,3,0),"")</f>
        <v>76</v>
      </c>
      <c r="D7" s="37">
        <f>IFERROR(ROUND(VLOOKUP(A7,[1]eco_bus_journals!$B:$X,4,0),2),"")</f>
        <v>4.53</v>
      </c>
      <c r="E7" s="37">
        <f>_xlfn.RANK.EQ(D7,D:D)</f>
        <v>5</v>
      </c>
      <c r="F7" s="44">
        <f>IFERROR(ROUND(VLOOKUP(A7,[1]eco_journals!B:E,4,0),2),"")</f>
        <v>4.38</v>
      </c>
      <c r="G7" s="40">
        <f>IFERROR(_xlfn.RANK.EQ(F7,F:F),"")</f>
        <v>4</v>
      </c>
      <c r="H7" s="46" t="str">
        <f>IFERROR(ROUND(VLOOKUP(A7,[1]fin_journals!B:E,4,0),2),"")</f>
        <v/>
      </c>
      <c r="I7" s="18" t="str">
        <f>IFERROR(_xlfn.RANK.EQ(H7,H:H),"")</f>
        <v/>
      </c>
      <c r="J7" s="42" t="str">
        <f>IFERROR(ROUND(VLOOKUP(A7,[1]bus_journals!B:E,4,0),2),"")</f>
        <v/>
      </c>
      <c r="K7" s="23" t="str">
        <f>IFERROR(_xlfn.RANK.EQ(J7,J:J),"")</f>
        <v/>
      </c>
      <c r="L7" s="43" t="str">
        <f>IFERROR(ROUND(VLOOKUP(A7,[1]man_journals!B:E,4,0),2),"")</f>
        <v/>
      </c>
      <c r="M7" s="26" t="str">
        <f>IFERROR(_xlfn.RANK.EQ(L7,L:L),"")</f>
        <v/>
      </c>
      <c r="N7" s="1" t="s">
        <v>1272</v>
      </c>
      <c r="O7" t="s">
        <v>1279</v>
      </c>
      <c r="P7" t="s">
        <v>1280</v>
      </c>
      <c r="Q7" t="s">
        <v>1281</v>
      </c>
    </row>
    <row r="8" spans="1:19" x14ac:dyDescent="0.25">
      <c r="A8" t="s">
        <v>13</v>
      </c>
      <c r="B8" t="s">
        <v>1359</v>
      </c>
      <c r="C8" s="6">
        <f>IFERROR(VLOOKUP(A8,[1]eco_bus_journals!$B:$D,3,0),"")</f>
        <v>7</v>
      </c>
      <c r="D8" s="37">
        <f>IFERROR(ROUND(VLOOKUP(A8,[1]eco_bus_journals!$B:$X,4,0),2),"")</f>
        <v>4.25</v>
      </c>
      <c r="E8" s="37">
        <f>_xlfn.RANK.EQ(D8,D:D)</f>
        <v>7</v>
      </c>
      <c r="F8" s="44">
        <f>IFERROR(ROUND(VLOOKUP(A8,[1]eco_journals!B:E,4,0),2),"")</f>
        <v>4.3600000000000003</v>
      </c>
      <c r="G8" s="40">
        <f>IFERROR(_xlfn.RANK.EQ(F8,F:F),"")</f>
        <v>6</v>
      </c>
      <c r="H8" s="46" t="str">
        <f>IFERROR(ROUND(VLOOKUP(A8,[1]fin_journals!B:E,4,0),2),"")</f>
        <v/>
      </c>
      <c r="I8" s="18" t="str">
        <f>IFERROR(_xlfn.RANK.EQ(H8,H:H),"")</f>
        <v/>
      </c>
      <c r="J8" s="42" t="str">
        <f>IFERROR(ROUND(VLOOKUP(A8,[1]bus_journals!B:E,4,0),2),"")</f>
        <v/>
      </c>
      <c r="K8" s="23" t="str">
        <f>IFERROR(_xlfn.RANK.EQ(J8,J:J),"")</f>
        <v/>
      </c>
      <c r="L8" s="43" t="str">
        <f>IFERROR(ROUND(VLOOKUP(A8,[1]man_journals!B:E,4,0),2),"")</f>
        <v/>
      </c>
      <c r="M8" s="26" t="str">
        <f>IFERROR(_xlfn.RANK.EQ(L8,L:L),"")</f>
        <v/>
      </c>
      <c r="N8" s="1" t="s">
        <v>1272</v>
      </c>
    </row>
    <row r="9" spans="1:19" x14ac:dyDescent="0.25">
      <c r="A9" t="s">
        <v>3</v>
      </c>
      <c r="B9" t="s">
        <v>1356</v>
      </c>
      <c r="C9" s="6">
        <f>IFERROR(VLOOKUP(A9,[1]eco_bus_journals!$B:$D,3,0),"")</f>
        <v>31</v>
      </c>
      <c r="D9" s="37">
        <f>IFERROR(ROUND(VLOOKUP(A9,[1]eco_bus_journals!$B:$X,4,0),2),"")</f>
        <v>4.71</v>
      </c>
      <c r="E9" s="37">
        <f>_xlfn.RANK.EQ(D9,D:D)</f>
        <v>3</v>
      </c>
      <c r="F9" s="44" t="str">
        <f>IFERROR(ROUND(VLOOKUP(A9,[1]eco_journals!B:E,4,0),2),"")</f>
        <v/>
      </c>
      <c r="G9" s="40" t="str">
        <f>IFERROR(_xlfn.RANK.EQ(F9,F:F),"")</f>
        <v/>
      </c>
      <c r="H9" s="46" t="str">
        <f>IFERROR(ROUND(VLOOKUP(A9,[1]fin_journals!B:E,4,0),2),"")</f>
        <v/>
      </c>
      <c r="I9" s="18" t="str">
        <f>IFERROR(_xlfn.RANK.EQ(H9,H:H),"")</f>
        <v/>
      </c>
      <c r="J9" s="42">
        <f>IFERROR(ROUND(VLOOKUP(A9,[1]bus_journals!B:E,4,0),2),"")</f>
        <v>10</v>
      </c>
      <c r="K9" s="23">
        <f>IFERROR(_xlfn.RANK.EQ(J9,J:J),"")</f>
        <v>1</v>
      </c>
      <c r="L9" s="43">
        <f>IFERROR(ROUND(VLOOKUP(A9,[1]man_journals!B:E,4,0),2),"")</f>
        <v>10</v>
      </c>
      <c r="M9" s="26">
        <f>IFERROR(_xlfn.RANK.EQ(L9,L:L),"")</f>
        <v>1</v>
      </c>
      <c r="N9" s="2" t="s">
        <v>1273</v>
      </c>
      <c r="O9" s="4" t="s">
        <v>1275</v>
      </c>
    </row>
    <row r="10" spans="1:19" x14ac:dyDescent="0.25">
      <c r="A10" t="s">
        <v>8</v>
      </c>
      <c r="B10" t="s">
        <v>1360</v>
      </c>
      <c r="C10" s="6">
        <f>IFERROR(VLOOKUP(A10,[1]eco_bus_journals!$B:$D,3,0),"")</f>
        <v>73</v>
      </c>
      <c r="D10" s="37">
        <f>IFERROR(ROUND(VLOOKUP(A10,[1]eco_bus_journals!$B:$X,4,0),2),"")</f>
        <v>3.84</v>
      </c>
      <c r="E10" s="37">
        <f>_xlfn.RANK.EQ(D10,D:D)</f>
        <v>9</v>
      </c>
      <c r="F10" s="44">
        <f>IFERROR(ROUND(VLOOKUP(A10,[1]eco_journals!B:E,4,0),2),"")</f>
        <v>3.01</v>
      </c>
      <c r="G10" s="40">
        <f>IFERROR(_xlfn.RANK.EQ(F10,F:F),"")</f>
        <v>11</v>
      </c>
      <c r="H10" s="46">
        <f>IFERROR(ROUND(VLOOKUP(A10,[1]fin_journals!B:E,4,0),2),"")</f>
        <v>10</v>
      </c>
      <c r="I10" s="18">
        <f>IFERROR(_xlfn.RANK.EQ(H10,H:H),"")</f>
        <v>1</v>
      </c>
      <c r="J10" s="42" t="str">
        <f>IFERROR(ROUND(VLOOKUP(A10,[1]bus_journals!B:E,4,0),2),"")</f>
        <v/>
      </c>
      <c r="K10" s="23" t="str">
        <f>IFERROR(_xlfn.RANK.EQ(J10,J:J),"")</f>
        <v/>
      </c>
      <c r="L10" s="43" t="str">
        <f>IFERROR(ROUND(VLOOKUP(A10,[1]man_journals!B:E,4,0),2),"")</f>
        <v/>
      </c>
      <c r="M10" s="26" t="str">
        <f>IFERROR(_xlfn.RANK.EQ(L10,L:L),"")</f>
        <v/>
      </c>
      <c r="N10" s="3" t="s">
        <v>1274</v>
      </c>
      <c r="O10" s="1" t="s">
        <v>1272</v>
      </c>
    </row>
    <row r="11" spans="1:19" x14ac:dyDescent="0.25">
      <c r="A11" t="s">
        <v>15</v>
      </c>
      <c r="B11" t="s">
        <v>1357</v>
      </c>
      <c r="C11" s="6">
        <f>IFERROR(VLOOKUP(A11,[1]eco_bus_journals!$B:$D,3,0),"")</f>
        <v>16</v>
      </c>
      <c r="D11" s="37">
        <f>IFERROR(ROUND(VLOOKUP(A11,[1]eco_bus_journals!$B:$X,4,0),2),"")</f>
        <v>4.1399999999999997</v>
      </c>
      <c r="E11" s="37">
        <f>_xlfn.RANK.EQ(D11,D:D)</f>
        <v>8</v>
      </c>
      <c r="F11" s="44">
        <f>IFERROR(ROUND(VLOOKUP(A11,[1]eco_journals!B:E,4,0),2),"")</f>
        <v>4.0999999999999996</v>
      </c>
      <c r="G11" s="40">
        <f>IFERROR(_xlfn.RANK.EQ(F11,F:F),"")</f>
        <v>7</v>
      </c>
      <c r="H11" s="46" t="str">
        <f>IFERROR(ROUND(VLOOKUP(A11,[1]fin_journals!B:E,4,0),2),"")</f>
        <v/>
      </c>
      <c r="I11" s="18" t="str">
        <f>IFERROR(_xlfn.RANK.EQ(H11,H:H),"")</f>
        <v/>
      </c>
      <c r="J11" s="42" t="str">
        <f>IFERROR(ROUND(VLOOKUP(A11,[1]bus_journals!B:E,4,0),2),"")</f>
        <v/>
      </c>
      <c r="K11" s="23" t="str">
        <f>IFERROR(_xlfn.RANK.EQ(J11,J:J),"")</f>
        <v/>
      </c>
      <c r="L11" s="43" t="str">
        <f>IFERROR(ROUND(VLOOKUP(A11,[1]man_journals!B:E,4,0),2),"")</f>
        <v/>
      </c>
      <c r="M11" s="26" t="str">
        <f>IFERROR(_xlfn.RANK.EQ(L11,L:L),"")</f>
        <v/>
      </c>
      <c r="N11" s="1" t="s">
        <v>1272</v>
      </c>
    </row>
    <row r="12" spans="1:19" x14ac:dyDescent="0.25">
      <c r="A12" t="s">
        <v>17</v>
      </c>
      <c r="B12" t="s">
        <v>1357</v>
      </c>
      <c r="C12" s="6">
        <f>IFERROR(VLOOKUP(A12,[1]eco_bus_journals!$B:$D,3,0),"")</f>
        <v>32</v>
      </c>
      <c r="D12" s="37">
        <f>IFERROR(ROUND(VLOOKUP(A12,[1]eco_bus_journals!$B:$X,4,0),2),"")</f>
        <v>3.72</v>
      </c>
      <c r="E12" s="37">
        <f>_xlfn.RANK.EQ(D12,D:D)</f>
        <v>10</v>
      </c>
      <c r="F12" s="44">
        <f>IFERROR(ROUND(VLOOKUP(A12,[1]eco_journals!B:E,4,0),2),"")</f>
        <v>3.72</v>
      </c>
      <c r="G12" s="40">
        <f>IFERROR(_xlfn.RANK.EQ(F12,F:F),"")</f>
        <v>8</v>
      </c>
      <c r="H12" s="46" t="str">
        <f>IFERROR(ROUND(VLOOKUP(A12,[1]fin_journals!B:E,4,0),2),"")</f>
        <v/>
      </c>
      <c r="I12" s="18" t="str">
        <f>IFERROR(_xlfn.RANK.EQ(H12,H:H),"")</f>
        <v/>
      </c>
      <c r="J12" s="42" t="str">
        <f>IFERROR(ROUND(VLOOKUP(A12,[1]bus_journals!B:E,4,0),2),"")</f>
        <v/>
      </c>
      <c r="K12" s="23" t="str">
        <f>IFERROR(_xlfn.RANK.EQ(J12,J:J),"")</f>
        <v/>
      </c>
      <c r="L12" s="43" t="str">
        <f>IFERROR(ROUND(VLOOKUP(A12,[1]man_journals!B:E,4,0),2),"")</f>
        <v/>
      </c>
      <c r="M12" s="26" t="str">
        <f>IFERROR(_xlfn.RANK.EQ(L12,L:L),"")</f>
        <v/>
      </c>
      <c r="N12" s="1" t="s">
        <v>1272</v>
      </c>
    </row>
    <row r="13" spans="1:19" x14ac:dyDescent="0.25">
      <c r="A13" t="s">
        <v>33</v>
      </c>
      <c r="B13" t="s">
        <v>1365</v>
      </c>
      <c r="C13" s="6">
        <f>IFERROR(VLOOKUP(A13,[1]eco_bus_journals!$B:$D,3,0),"")</f>
        <v>24</v>
      </c>
      <c r="D13" s="37">
        <f>IFERROR(ROUND(VLOOKUP(A13,[1]eco_bus_journals!$B:$X,4,0),2),"")</f>
        <v>3.63</v>
      </c>
      <c r="E13" s="37">
        <f>_xlfn.RANK.EQ(D13,D:D)</f>
        <v>12</v>
      </c>
      <c r="F13" s="44">
        <f>IFERROR(ROUND(VLOOKUP(A13,[1]eco_journals!B:E,4,0),2),"")</f>
        <v>3.69</v>
      </c>
      <c r="G13" s="40">
        <f>IFERROR(_xlfn.RANK.EQ(F13,F:F),"")</f>
        <v>9</v>
      </c>
      <c r="H13" s="46" t="str">
        <f>IFERROR(ROUND(VLOOKUP(A13,[1]fin_journals!B:E,4,0),2),"")</f>
        <v/>
      </c>
      <c r="I13" s="18" t="str">
        <f>IFERROR(_xlfn.RANK.EQ(H13,H:H),"")</f>
        <v/>
      </c>
      <c r="J13" s="42" t="str">
        <f>IFERROR(ROUND(VLOOKUP(A13,[1]bus_journals!B:E,4,0),2),"")</f>
        <v/>
      </c>
      <c r="K13" s="23" t="str">
        <f>IFERROR(_xlfn.RANK.EQ(J13,J:J),"")</f>
        <v/>
      </c>
      <c r="L13" s="43" t="str">
        <f>IFERROR(ROUND(VLOOKUP(A13,[1]man_journals!B:E,4,0),2),"")</f>
        <v/>
      </c>
      <c r="M13" s="26" t="str">
        <f>IFERROR(_xlfn.RANK.EQ(L13,L:L),"")</f>
        <v/>
      </c>
      <c r="N13" s="1" t="s">
        <v>1272</v>
      </c>
    </row>
    <row r="14" spans="1:19" x14ac:dyDescent="0.25">
      <c r="A14" t="s">
        <v>14</v>
      </c>
      <c r="B14" t="s">
        <v>1355</v>
      </c>
      <c r="C14" s="6">
        <f>IFERROR(VLOOKUP(A14,[1]eco_bus_journals!$B:$D,3,0),"")</f>
        <v>141</v>
      </c>
      <c r="D14" s="37">
        <f>IFERROR(ROUND(VLOOKUP(A14,[1]eco_bus_journals!$B:$X,4,0),2),"")</f>
        <v>3.16</v>
      </c>
      <c r="E14" s="37">
        <f>_xlfn.RANK.EQ(D14,D:D)</f>
        <v>13</v>
      </c>
      <c r="F14" s="44">
        <f>IFERROR(ROUND(VLOOKUP(A14,[1]eco_journals!B:E,4,0),2),"")</f>
        <v>2.23</v>
      </c>
      <c r="G14" s="40">
        <f>IFERROR(_xlfn.RANK.EQ(F14,F:F),"")</f>
        <v>18</v>
      </c>
      <c r="H14" s="46">
        <f>IFERROR(ROUND(VLOOKUP(A14,[1]fin_journals!B:E,4,0),2),"")</f>
        <v>9.15</v>
      </c>
      <c r="I14" s="18">
        <f>IFERROR(_xlfn.RANK.EQ(H14,H:H),"")</f>
        <v>3</v>
      </c>
      <c r="J14" s="42" t="str">
        <f>IFERROR(ROUND(VLOOKUP(A14,[1]bus_journals!B:E,4,0),2),"")</f>
        <v/>
      </c>
      <c r="K14" s="23" t="str">
        <f>IFERROR(_xlfn.RANK.EQ(J14,J:J),"")</f>
        <v/>
      </c>
      <c r="L14" s="43" t="str">
        <f>IFERROR(ROUND(VLOOKUP(A14,[1]man_journals!B:E,4,0),2),"")</f>
        <v/>
      </c>
      <c r="M14" s="26" t="str">
        <f>IFERROR(_xlfn.RANK.EQ(L14,L:L),"")</f>
        <v/>
      </c>
      <c r="N14" s="3" t="s">
        <v>1274</v>
      </c>
      <c r="O14" s="1" t="s">
        <v>1272</v>
      </c>
    </row>
    <row r="15" spans="1:19" x14ac:dyDescent="0.25">
      <c r="A15" t="s">
        <v>4</v>
      </c>
      <c r="B15" t="s">
        <v>1358</v>
      </c>
      <c r="C15" s="6">
        <f>IFERROR(VLOOKUP(A15,[1]eco_bus_journals!$B:$D,3,0),"")</f>
        <v>39</v>
      </c>
      <c r="D15" s="37">
        <f>IFERROR(ROUND(VLOOKUP(A15,[1]eco_bus_journals!$B:$X,4,0),2),"")</f>
        <v>3.66</v>
      </c>
      <c r="E15" s="37">
        <f>_xlfn.RANK.EQ(D15,D:D)</f>
        <v>11</v>
      </c>
      <c r="F15" s="44" t="str">
        <f>IFERROR(ROUND(VLOOKUP(A15,[1]eco_journals!B:E,4,0),2),"")</f>
        <v/>
      </c>
      <c r="G15" s="40" t="str">
        <f>IFERROR(_xlfn.RANK.EQ(F15,F:F),"")</f>
        <v/>
      </c>
      <c r="H15" s="46" t="str">
        <f>IFERROR(ROUND(VLOOKUP(A15,[1]fin_journals!B:E,4,0),2),"")</f>
        <v/>
      </c>
      <c r="I15" s="18" t="str">
        <f>IFERROR(_xlfn.RANK.EQ(H15,H:H),"")</f>
        <v/>
      </c>
      <c r="J15" s="42">
        <f>IFERROR(ROUND(VLOOKUP(A15,[1]bus_journals!B:E,4,0),2),"")</f>
        <v>8.4</v>
      </c>
      <c r="K15" s="23">
        <f>IFERROR(_xlfn.RANK.EQ(J15,J:J),"")</f>
        <v>3</v>
      </c>
      <c r="L15" s="43">
        <f>IFERROR(ROUND(VLOOKUP(A15,[1]man_journals!B:E,4,0),2),"")</f>
        <v>7.8</v>
      </c>
      <c r="M15" s="26">
        <f>IFERROR(_xlfn.RANK.EQ(L15,L:L),"")</f>
        <v>2</v>
      </c>
      <c r="N15" s="2" t="s">
        <v>1273</v>
      </c>
      <c r="O15" s="4" t="s">
        <v>1275</v>
      </c>
    </row>
    <row r="16" spans="1:19" x14ac:dyDescent="0.25">
      <c r="A16" t="s">
        <v>23</v>
      </c>
      <c r="B16" t="s">
        <v>1357</v>
      </c>
      <c r="C16" s="6">
        <f>IFERROR(VLOOKUP(A16,[1]eco_bus_journals!$B:$D,3,0),"")</f>
        <v>43</v>
      </c>
      <c r="D16" s="37">
        <f>IFERROR(ROUND(VLOOKUP(A16,[1]eco_bus_journals!$B:$X,4,0),2),"")</f>
        <v>3.11</v>
      </c>
      <c r="E16" s="37">
        <f>_xlfn.RANK.EQ(D16,D:D)</f>
        <v>14</v>
      </c>
      <c r="F16" s="44">
        <f>IFERROR(ROUND(VLOOKUP(A16,[1]eco_journals!B:E,4,0),2),"")</f>
        <v>3.22</v>
      </c>
      <c r="G16" s="40">
        <f>IFERROR(_xlfn.RANK.EQ(F16,F:F),"")</f>
        <v>10</v>
      </c>
      <c r="H16" s="46" t="str">
        <f>IFERROR(ROUND(VLOOKUP(A16,[1]fin_journals!B:E,4,0),2),"")</f>
        <v/>
      </c>
      <c r="I16" s="18" t="str">
        <f>IFERROR(_xlfn.RANK.EQ(H16,H:H),"")</f>
        <v/>
      </c>
      <c r="J16" s="42" t="str">
        <f>IFERROR(ROUND(VLOOKUP(A16,[1]bus_journals!B:E,4,0),2),"")</f>
        <v/>
      </c>
      <c r="K16" s="23" t="str">
        <f>IFERROR(_xlfn.RANK.EQ(J16,J:J),"")</f>
        <v/>
      </c>
      <c r="L16" s="43" t="str">
        <f>IFERROR(ROUND(VLOOKUP(A16,[1]man_journals!B:E,4,0),2),"")</f>
        <v/>
      </c>
      <c r="M16" s="26" t="str">
        <f>IFERROR(_xlfn.RANK.EQ(L16,L:L),"")</f>
        <v/>
      </c>
      <c r="N16" s="1" t="s">
        <v>1272</v>
      </c>
    </row>
    <row r="17" spans="1:16" x14ac:dyDescent="0.25">
      <c r="A17" t="s">
        <v>35</v>
      </c>
      <c r="B17" t="s">
        <v>1357</v>
      </c>
      <c r="C17" s="6">
        <f>IFERROR(VLOOKUP(A17,[1]eco_bus_journals!$B:$D,3,0),"")</f>
        <v>38</v>
      </c>
      <c r="D17" s="37">
        <f>IFERROR(ROUND(VLOOKUP(A17,[1]eco_bus_journals!$B:$X,4,0),2),"")</f>
        <v>2.8</v>
      </c>
      <c r="E17" s="37">
        <f>_xlfn.RANK.EQ(D17,D:D)</f>
        <v>17</v>
      </c>
      <c r="F17" s="44">
        <f>IFERROR(ROUND(VLOOKUP(A17,[1]eco_journals!B:E,4,0),2),"")</f>
        <v>2.91</v>
      </c>
      <c r="G17" s="40">
        <f>IFERROR(_xlfn.RANK.EQ(F17,F:F),"")</f>
        <v>12</v>
      </c>
      <c r="H17" s="46" t="str">
        <f>IFERROR(ROUND(VLOOKUP(A17,[1]fin_journals!B:E,4,0),2),"")</f>
        <v/>
      </c>
      <c r="I17" s="18" t="str">
        <f>IFERROR(_xlfn.RANK.EQ(H17,H:H),"")</f>
        <v/>
      </c>
      <c r="J17" s="42" t="str">
        <f>IFERROR(ROUND(VLOOKUP(A17,[1]bus_journals!B:E,4,0),2),"")</f>
        <v/>
      </c>
      <c r="K17" s="23" t="str">
        <f>IFERROR(_xlfn.RANK.EQ(J17,J:J),"")</f>
        <v/>
      </c>
      <c r="L17" s="43" t="str">
        <f>IFERROR(ROUND(VLOOKUP(A17,[1]man_journals!B:E,4,0),2),"")</f>
        <v/>
      </c>
      <c r="M17" s="26" t="str">
        <f>IFERROR(_xlfn.RANK.EQ(L17,L:L),"")</f>
        <v/>
      </c>
      <c r="N17" s="1" t="s">
        <v>1272</v>
      </c>
    </row>
    <row r="18" spans="1:16" x14ac:dyDescent="0.25">
      <c r="A18" t="s">
        <v>64</v>
      </c>
      <c r="B18" t="s">
        <v>1359</v>
      </c>
      <c r="C18" s="6">
        <f>IFERROR(VLOOKUP(A18,[1]eco_bus_journals!$B:$D,3,0),"")</f>
        <v>32</v>
      </c>
      <c r="D18" s="37">
        <f>IFERROR(ROUND(VLOOKUP(A18,[1]eco_bus_journals!$B:$X,4,0),2),"")</f>
        <v>2.96</v>
      </c>
      <c r="E18" s="37">
        <f>_xlfn.RANK.EQ(D18,D:D)</f>
        <v>15</v>
      </c>
      <c r="F18" s="44">
        <f>IFERROR(ROUND(VLOOKUP(A18,[1]eco_journals!B:E,4,0),2),"")</f>
        <v>2.9</v>
      </c>
      <c r="G18" s="40">
        <f>IFERROR(_xlfn.RANK.EQ(F18,F:F),"")</f>
        <v>13</v>
      </c>
      <c r="H18" s="46" t="str">
        <f>IFERROR(ROUND(VLOOKUP(A18,[1]fin_journals!B:E,4,0),2),"")</f>
        <v/>
      </c>
      <c r="I18" s="18" t="str">
        <f>IFERROR(_xlfn.RANK.EQ(H18,H:H),"")</f>
        <v/>
      </c>
      <c r="J18" s="42" t="str">
        <f>IFERROR(ROUND(VLOOKUP(A18,[1]bus_journals!B:E,4,0),2),"")</f>
        <v/>
      </c>
      <c r="K18" s="23" t="str">
        <f>IFERROR(_xlfn.RANK.EQ(J18,J:J),"")</f>
        <v/>
      </c>
      <c r="L18" s="43" t="str">
        <f>IFERROR(ROUND(VLOOKUP(A18,[1]man_journals!B:E,4,0),2),"")</f>
        <v/>
      </c>
      <c r="M18" s="26" t="str">
        <f>IFERROR(_xlfn.RANK.EQ(L18,L:L),"")</f>
        <v/>
      </c>
      <c r="N18" s="1" t="s">
        <v>1272</v>
      </c>
      <c r="O18" t="s">
        <v>1283</v>
      </c>
    </row>
    <row r="19" spans="1:16" x14ac:dyDescent="0.25">
      <c r="A19" t="s">
        <v>20</v>
      </c>
      <c r="B19" t="s">
        <v>1362</v>
      </c>
      <c r="C19" s="6">
        <f>IFERROR(VLOOKUP(A19,[1]eco_bus_journals!$B:$D,3,0),"")</f>
        <v>152</v>
      </c>
      <c r="D19" s="37">
        <f>IFERROR(ROUND(VLOOKUP(A19,[1]eco_bus_journals!$B:$X,4,0),2),"")</f>
        <v>2.65</v>
      </c>
      <c r="E19" s="37">
        <f>_xlfn.RANK.EQ(D19,D:D)</f>
        <v>20</v>
      </c>
      <c r="F19" s="44">
        <f>IFERROR(ROUND(VLOOKUP(A19,[1]eco_journals!B:E,4,0),2),"")</f>
        <v>1.77</v>
      </c>
      <c r="G19" s="40">
        <f>IFERROR(_xlfn.RANK.EQ(F19,F:F),"")</f>
        <v>20</v>
      </c>
      <c r="H19" s="46">
        <f>IFERROR(ROUND(VLOOKUP(A19,[1]fin_journals!B:E,4,0),2),"")</f>
        <v>7.81</v>
      </c>
      <c r="I19" s="18">
        <f>IFERROR(_xlfn.RANK.EQ(H19,H:H),"")</f>
        <v>5</v>
      </c>
      <c r="J19" s="42" t="str">
        <f>IFERROR(ROUND(VLOOKUP(A19,[1]bus_journals!B:E,4,0),2),"")</f>
        <v/>
      </c>
      <c r="K19" s="23" t="str">
        <f>IFERROR(_xlfn.RANK.EQ(J19,J:J),"")</f>
        <v/>
      </c>
      <c r="L19" s="43" t="str">
        <f>IFERROR(ROUND(VLOOKUP(A19,[1]man_journals!B:E,4,0),2),"")</f>
        <v/>
      </c>
      <c r="M19" s="26" t="str">
        <f>IFERROR(_xlfn.RANK.EQ(L19,L:L),"")</f>
        <v/>
      </c>
      <c r="N19" s="3" t="s">
        <v>1274</v>
      </c>
      <c r="O19" s="1" t="s">
        <v>1272</v>
      </c>
    </row>
    <row r="20" spans="1:16" x14ac:dyDescent="0.25">
      <c r="A20" t="s">
        <v>7</v>
      </c>
      <c r="B20" t="s">
        <v>1358</v>
      </c>
      <c r="C20" s="6">
        <f>IFERROR(VLOOKUP(A20,[1]eco_bus_journals!$B:$D,3,0),"")</f>
        <v>65</v>
      </c>
      <c r="D20" s="37">
        <f>IFERROR(ROUND(VLOOKUP(A20,[1]eco_bus_journals!$B:$X,4,0),2),"")</f>
        <v>2.72</v>
      </c>
      <c r="E20" s="37">
        <f>_xlfn.RANK.EQ(D20,D:D)</f>
        <v>18</v>
      </c>
      <c r="F20" s="44" t="str">
        <f>IFERROR(ROUND(VLOOKUP(A20,[1]eco_journals!B:E,4,0),2),"")</f>
        <v/>
      </c>
      <c r="G20" s="40" t="str">
        <f>IFERROR(_xlfn.RANK.EQ(F20,F:F),"")</f>
        <v/>
      </c>
      <c r="H20" s="46" t="str">
        <f>IFERROR(ROUND(VLOOKUP(A20,[1]fin_journals!B:E,4,0),2),"")</f>
        <v/>
      </c>
      <c r="I20" s="18" t="str">
        <f>IFERROR(_xlfn.RANK.EQ(H20,H:H),"")</f>
        <v/>
      </c>
      <c r="J20" s="42">
        <f>IFERROR(ROUND(VLOOKUP(A20,[1]bus_journals!B:E,4,0),2),"")</f>
        <v>9.17</v>
      </c>
      <c r="K20" s="23">
        <f>IFERROR(_xlfn.RANK.EQ(J20,J:J),"")</f>
        <v>2</v>
      </c>
      <c r="L20" s="43" t="str">
        <f>IFERROR(ROUND(VLOOKUP(A20,[1]man_journals!B:E,4,0),2),"")</f>
        <v/>
      </c>
      <c r="M20" s="26" t="str">
        <f>IFERROR(_xlfn.RANK.EQ(L20,L:L),"")</f>
        <v/>
      </c>
      <c r="N20" s="2" t="s">
        <v>1273</v>
      </c>
    </row>
    <row r="21" spans="1:16" x14ac:dyDescent="0.25">
      <c r="A21" t="s">
        <v>36</v>
      </c>
      <c r="B21" t="s">
        <v>1357</v>
      </c>
      <c r="C21" s="6">
        <f>IFERROR(VLOOKUP(A21,[1]eco_bus_journals!$B:$D,3,0),"")</f>
        <v>41</v>
      </c>
      <c r="D21" s="37">
        <f>IFERROR(ROUND(VLOOKUP(A21,[1]eco_bus_journals!$B:$X,4,0),2),"")</f>
        <v>2.81</v>
      </c>
      <c r="E21" s="37">
        <f>_xlfn.RANK.EQ(D21,D:D)</f>
        <v>16</v>
      </c>
      <c r="F21" s="44">
        <f>IFERROR(ROUND(VLOOKUP(A21,[1]eco_journals!B:E,4,0),2),"")</f>
        <v>2.67</v>
      </c>
      <c r="G21" s="40">
        <f>IFERROR(_xlfn.RANK.EQ(F21,F:F),"")</f>
        <v>14</v>
      </c>
      <c r="H21" s="46" t="str">
        <f>IFERROR(ROUND(VLOOKUP(A21,[1]fin_journals!B:E,4,0),2),"")</f>
        <v/>
      </c>
      <c r="I21" s="18" t="str">
        <f>IFERROR(_xlfn.RANK.EQ(H21,H:H),"")</f>
        <v/>
      </c>
      <c r="J21" s="42" t="str">
        <f>IFERROR(ROUND(VLOOKUP(A21,[1]bus_journals!B:E,4,0),2),"")</f>
        <v/>
      </c>
      <c r="K21" s="23" t="str">
        <f>IFERROR(_xlfn.RANK.EQ(J21,J:J),"")</f>
        <v/>
      </c>
      <c r="L21" s="43" t="str">
        <f>IFERROR(ROUND(VLOOKUP(A21,[1]man_journals!B:E,4,0),2),"")</f>
        <v/>
      </c>
      <c r="M21" s="26" t="str">
        <f>IFERROR(_xlfn.RANK.EQ(L21,L:L),"")</f>
        <v/>
      </c>
      <c r="N21" s="1" t="s">
        <v>1272</v>
      </c>
    </row>
    <row r="22" spans="1:16" x14ac:dyDescent="0.25">
      <c r="A22" t="s">
        <v>58</v>
      </c>
      <c r="B22" t="s">
        <v>1368</v>
      </c>
      <c r="C22" s="6">
        <f>IFERROR(VLOOKUP(A22,[1]eco_bus_journals!$B:$D,3,0),"")</f>
        <v>65</v>
      </c>
      <c r="D22" s="37">
        <f>IFERROR(ROUND(VLOOKUP(A22,[1]eco_bus_journals!$B:$X,4,0),2),"")</f>
        <v>2.68</v>
      </c>
      <c r="E22" s="37">
        <f>_xlfn.RANK.EQ(D22,D:D)</f>
        <v>19</v>
      </c>
      <c r="F22" s="44">
        <f>IFERROR(ROUND(VLOOKUP(A22,[1]eco_journals!B:E,4,0),2),"")</f>
        <v>2.65</v>
      </c>
      <c r="G22" s="40">
        <f>IFERROR(_xlfn.RANK.EQ(F22,F:F),"")</f>
        <v>15</v>
      </c>
      <c r="H22" s="46" t="str">
        <f>IFERROR(ROUND(VLOOKUP(A22,[1]fin_journals!B:E,4,0),2),"")</f>
        <v/>
      </c>
      <c r="I22" s="18" t="str">
        <f>IFERROR(_xlfn.RANK.EQ(H22,H:H),"")</f>
        <v/>
      </c>
      <c r="J22" s="42" t="str">
        <f>IFERROR(ROUND(VLOOKUP(A22,[1]bus_journals!B:E,4,0),2),"")</f>
        <v/>
      </c>
      <c r="K22" s="23" t="str">
        <f>IFERROR(_xlfn.RANK.EQ(J22,J:J),"")</f>
        <v/>
      </c>
      <c r="L22" s="43" t="str">
        <f>IFERROR(ROUND(VLOOKUP(A22,[1]man_journals!B:E,4,0),2),"")</f>
        <v/>
      </c>
      <c r="M22" s="26" t="str">
        <f>IFERROR(_xlfn.RANK.EQ(L22,L:L),"")</f>
        <v/>
      </c>
      <c r="N22" s="1" t="s">
        <v>1272</v>
      </c>
      <c r="O22" t="s">
        <v>1280</v>
      </c>
    </row>
    <row r="23" spans="1:16" x14ac:dyDescent="0.25">
      <c r="A23" t="s">
        <v>43</v>
      </c>
      <c r="B23" t="s">
        <v>1357</v>
      </c>
      <c r="C23" s="6">
        <f>IFERROR(VLOOKUP(A23,[1]eco_bus_journals!$B:$D,3,0),"")</f>
        <v>51</v>
      </c>
      <c r="D23" s="37">
        <f>IFERROR(ROUND(VLOOKUP(A23,[1]eco_bus_journals!$B:$X,4,0),2),"")</f>
        <v>2.6</v>
      </c>
      <c r="E23" s="37">
        <f>_xlfn.RANK.EQ(D23,D:D)</f>
        <v>21</v>
      </c>
      <c r="F23" s="44">
        <f>IFERROR(ROUND(VLOOKUP(A23,[1]eco_journals!B:E,4,0),2),"")</f>
        <v>2.58</v>
      </c>
      <c r="G23" s="40">
        <f>IFERROR(_xlfn.RANK.EQ(F23,F:F),"")</f>
        <v>16</v>
      </c>
      <c r="H23" s="46" t="str">
        <f>IFERROR(ROUND(VLOOKUP(A23,[1]fin_journals!B:E,4,0),2),"")</f>
        <v/>
      </c>
      <c r="I23" s="18" t="str">
        <f>IFERROR(_xlfn.RANK.EQ(H23,H:H),"")</f>
        <v/>
      </c>
      <c r="J23" s="42" t="str">
        <f>IFERROR(ROUND(VLOOKUP(A23,[1]bus_journals!B:E,4,0),2),"")</f>
        <v/>
      </c>
      <c r="K23" s="23" t="str">
        <f>IFERROR(_xlfn.RANK.EQ(J23,J:J),"")</f>
        <v/>
      </c>
      <c r="L23" s="43" t="str">
        <f>IFERROR(ROUND(VLOOKUP(A23,[1]man_journals!B:E,4,0),2),"")</f>
        <v/>
      </c>
      <c r="M23" s="26" t="str">
        <f>IFERROR(_xlfn.RANK.EQ(L23,L:L),"")</f>
        <v/>
      </c>
      <c r="N23" s="1" t="s">
        <v>1272</v>
      </c>
    </row>
    <row r="24" spans="1:16" x14ac:dyDescent="0.25">
      <c r="A24" t="s">
        <v>40</v>
      </c>
      <c r="B24" t="s">
        <v>1354</v>
      </c>
      <c r="C24" s="6">
        <f>IFERROR(VLOOKUP(A24,[1]eco_bus_journals!$B:$D,3,0),"")</f>
        <v>31</v>
      </c>
      <c r="D24" s="37">
        <f>IFERROR(ROUND(VLOOKUP(A24,[1]eco_bus_journals!$B:$X,4,0),2),"")</f>
        <v>2.48</v>
      </c>
      <c r="E24" s="37">
        <f>_xlfn.RANK.EQ(D24,D:D)</f>
        <v>23</v>
      </c>
      <c r="F24" s="44">
        <f>IFERROR(ROUND(VLOOKUP(A24,[1]eco_journals!B:E,4,0),2),"")</f>
        <v>2.52</v>
      </c>
      <c r="G24" s="40">
        <f>IFERROR(_xlfn.RANK.EQ(F24,F:F),"")</f>
        <v>17</v>
      </c>
      <c r="H24" s="46" t="str">
        <f>IFERROR(ROUND(VLOOKUP(A24,[1]fin_journals!B:E,4,0),2),"")</f>
        <v/>
      </c>
      <c r="I24" s="18" t="str">
        <f>IFERROR(_xlfn.RANK.EQ(H24,H:H),"")</f>
        <v/>
      </c>
      <c r="J24" s="42" t="str">
        <f>IFERROR(ROUND(VLOOKUP(A24,[1]bus_journals!B:E,4,0),2),"")</f>
        <v/>
      </c>
      <c r="K24" s="23" t="str">
        <f>IFERROR(_xlfn.RANK.EQ(J24,J:J),"")</f>
        <v/>
      </c>
      <c r="L24" s="43" t="str">
        <f>IFERROR(ROUND(VLOOKUP(A24,[1]man_journals!B:E,4,0),2),"")</f>
        <v/>
      </c>
      <c r="M24" s="26" t="str">
        <f>IFERROR(_xlfn.RANK.EQ(L24,L:L),"")</f>
        <v/>
      </c>
      <c r="N24" s="1" t="s">
        <v>1272</v>
      </c>
    </row>
    <row r="25" spans="1:16" x14ac:dyDescent="0.25">
      <c r="A25" t="s">
        <v>6</v>
      </c>
      <c r="B25" t="s">
        <v>1356</v>
      </c>
      <c r="C25" s="6">
        <f>IFERROR(VLOOKUP(A25,[1]eco_bus_journals!$B:$D,3,0),"")</f>
        <v>71</v>
      </c>
      <c r="D25" s="37">
        <f>IFERROR(ROUND(VLOOKUP(A25,[1]eco_bus_journals!$B:$X,4,0),2),"")</f>
        <v>2.4900000000000002</v>
      </c>
      <c r="E25" s="37">
        <f>_xlfn.RANK.EQ(D25,D:D)</f>
        <v>22</v>
      </c>
      <c r="F25" s="44" t="str">
        <f>IFERROR(ROUND(VLOOKUP(A25,[1]eco_journals!B:E,4,0),2),"")</f>
        <v/>
      </c>
      <c r="G25" s="40" t="str">
        <f>IFERROR(_xlfn.RANK.EQ(F25,F:F),"")</f>
        <v/>
      </c>
      <c r="H25" s="46" t="str">
        <f>IFERROR(ROUND(VLOOKUP(A25,[1]fin_journals!B:E,4,0),2),"")</f>
        <v/>
      </c>
      <c r="I25" s="18" t="str">
        <f>IFERROR(_xlfn.RANK.EQ(H25,H:H),"")</f>
        <v/>
      </c>
      <c r="J25" s="42">
        <f>IFERROR(ROUND(VLOOKUP(A25,[1]bus_journals!B:E,4,0),2),"")</f>
        <v>5.72</v>
      </c>
      <c r="K25" s="23">
        <f>IFERROR(_xlfn.RANK.EQ(J25,J:J),"")</f>
        <v>5</v>
      </c>
      <c r="L25" s="43">
        <f>IFERROR(ROUND(VLOOKUP(A25,[1]man_journals!B:E,4,0),2),"")</f>
        <v>5.22</v>
      </c>
      <c r="M25" s="26">
        <f>IFERROR(_xlfn.RANK.EQ(L25,L:L),"")</f>
        <v>3</v>
      </c>
      <c r="N25" s="2" t="s">
        <v>1273</v>
      </c>
      <c r="O25" s="4" t="s">
        <v>1275</v>
      </c>
    </row>
    <row r="26" spans="1:16" x14ac:dyDescent="0.25">
      <c r="A26" t="s">
        <v>24</v>
      </c>
      <c r="B26" t="s">
        <v>1362</v>
      </c>
      <c r="C26" s="6">
        <f>IFERROR(VLOOKUP(A26,[1]eco_bus_journals!$B:$D,3,0),"")</f>
        <v>35</v>
      </c>
      <c r="D26" s="37">
        <f>IFERROR(ROUND(VLOOKUP(A26,[1]eco_bus_journals!$B:$X,4,0),2),"")</f>
        <v>2.39</v>
      </c>
      <c r="E26" s="37">
        <f>_xlfn.RANK.EQ(D26,D:D)</f>
        <v>24</v>
      </c>
      <c r="F26" s="44">
        <f>IFERROR(ROUND(VLOOKUP(A26,[1]eco_journals!B:E,4,0),2),"")</f>
        <v>0.85</v>
      </c>
      <c r="G26" s="40">
        <f>IFERROR(_xlfn.RANK.EQ(F26,F:F),"")</f>
        <v>38</v>
      </c>
      <c r="H26" s="46">
        <f>IFERROR(ROUND(VLOOKUP(A26,[1]fin_journals!B:E,4,0),2),"")</f>
        <v>9.36</v>
      </c>
      <c r="I26" s="18">
        <f>IFERROR(_xlfn.RANK.EQ(H26,H:H),"")</f>
        <v>2</v>
      </c>
      <c r="J26" s="42" t="str">
        <f>IFERROR(ROUND(VLOOKUP(A26,[1]bus_journals!B:E,4,0),2),"")</f>
        <v/>
      </c>
      <c r="K26" s="23" t="str">
        <f>IFERROR(_xlfn.RANK.EQ(J26,J:J),"")</f>
        <v/>
      </c>
      <c r="L26" s="43" t="str">
        <f>IFERROR(ROUND(VLOOKUP(A26,[1]man_journals!B:E,4,0),2),"")</f>
        <v/>
      </c>
      <c r="M26" s="26" t="str">
        <f>IFERROR(_xlfn.RANK.EQ(L26,L:L),"")</f>
        <v/>
      </c>
      <c r="N26" s="3" t="s">
        <v>1274</v>
      </c>
      <c r="O26" s="1" t="s">
        <v>1272</v>
      </c>
    </row>
    <row r="27" spans="1:16" x14ac:dyDescent="0.25">
      <c r="A27" t="s">
        <v>56</v>
      </c>
      <c r="B27" t="s">
        <v>1362</v>
      </c>
      <c r="C27" s="6">
        <f>IFERROR(VLOOKUP(A27,[1]eco_bus_journals!$B:$D,3,0),"")</f>
        <v>133</v>
      </c>
      <c r="D27" s="37">
        <f>IFERROR(ROUND(VLOOKUP(A27,[1]eco_bus_journals!$B:$X,4,0),2),"")</f>
        <v>2.16</v>
      </c>
      <c r="E27" s="37">
        <f>_xlfn.RANK.EQ(D27,D:D)</f>
        <v>25</v>
      </c>
      <c r="F27" s="44">
        <f>IFERROR(ROUND(VLOOKUP(A27,[1]eco_journals!B:E,4,0),2),"")</f>
        <v>2.16</v>
      </c>
      <c r="G27" s="40">
        <f>IFERROR(_xlfn.RANK.EQ(F27,F:F),"")</f>
        <v>19</v>
      </c>
      <c r="H27" s="46" t="str">
        <f>IFERROR(ROUND(VLOOKUP(A27,[1]fin_journals!B:E,4,0),2),"")</f>
        <v/>
      </c>
      <c r="I27" s="18" t="str">
        <f>IFERROR(_xlfn.RANK.EQ(H27,H:H),"")</f>
        <v/>
      </c>
      <c r="J27" s="42" t="str">
        <f>IFERROR(ROUND(VLOOKUP(A27,[1]bus_journals!B:E,4,0),2),"")</f>
        <v/>
      </c>
      <c r="K27" s="23" t="str">
        <f>IFERROR(_xlfn.RANK.EQ(J27,J:J),"")</f>
        <v/>
      </c>
      <c r="L27" s="43" t="str">
        <f>IFERROR(ROUND(VLOOKUP(A27,[1]man_journals!B:E,4,0),2),"")</f>
        <v/>
      </c>
      <c r="M27" s="26" t="str">
        <f>IFERROR(_xlfn.RANK.EQ(L27,L:L),"")</f>
        <v/>
      </c>
      <c r="N27" s="1" t="s">
        <v>1272</v>
      </c>
    </row>
    <row r="28" spans="1:16" x14ac:dyDescent="0.25">
      <c r="A28" t="s">
        <v>28</v>
      </c>
      <c r="B28" t="s">
        <v>1360</v>
      </c>
      <c r="C28" s="6">
        <f>IFERROR(VLOOKUP(A28,[1]eco_bus_journals!$B:$D,3,0),"")</f>
        <v>34</v>
      </c>
      <c r="D28" s="37">
        <f>IFERROR(ROUND(VLOOKUP(A28,[1]eco_bus_journals!$B:$X,4,0),2),"")</f>
        <v>2.16</v>
      </c>
      <c r="E28" s="37">
        <f>_xlfn.RANK.EQ(D28,D:D)</f>
        <v>25</v>
      </c>
      <c r="F28" s="44" t="str">
        <f>IFERROR(ROUND(VLOOKUP(A28,[1]eco_journals!B:E,4,0),2),"")</f>
        <v/>
      </c>
      <c r="G28" s="40" t="str">
        <f>IFERROR(_xlfn.RANK.EQ(F28,F:F),"")</f>
        <v/>
      </c>
      <c r="H28" s="46">
        <f>IFERROR(ROUND(VLOOKUP(A28,[1]fin_journals!B:E,4,0),2),"")</f>
        <v>8.64</v>
      </c>
      <c r="I28" s="18">
        <f>IFERROR(_xlfn.RANK.EQ(H28,H:H),"")</f>
        <v>4</v>
      </c>
      <c r="J28" s="42" t="str">
        <f>IFERROR(ROUND(VLOOKUP(A28,[1]bus_journals!B:E,4,0),2),"")</f>
        <v/>
      </c>
      <c r="K28" s="23" t="str">
        <f>IFERROR(_xlfn.RANK.EQ(J28,J:J),"")</f>
        <v/>
      </c>
      <c r="L28" s="43" t="str">
        <f>IFERROR(ROUND(VLOOKUP(A28,[1]man_journals!B:E,4,0),2),"")</f>
        <v/>
      </c>
      <c r="M28" s="26" t="str">
        <f>IFERROR(_xlfn.RANK.EQ(L28,L:L),"")</f>
        <v/>
      </c>
      <c r="N28" s="3" t="s">
        <v>1274</v>
      </c>
    </row>
    <row r="29" spans="1:16" x14ac:dyDescent="0.25">
      <c r="A29" t="s">
        <v>10</v>
      </c>
      <c r="B29" t="s">
        <v>1356</v>
      </c>
      <c r="C29" s="6">
        <f>IFERROR(VLOOKUP(A29,[1]eco_bus_journals!$B:$D,3,0),"")</f>
        <v>40</v>
      </c>
      <c r="D29" s="37">
        <f>IFERROR(ROUND(VLOOKUP(A29,[1]eco_bus_journals!$B:$X,4,0),2),"")</f>
        <v>2.1</v>
      </c>
      <c r="E29" s="37">
        <f>_xlfn.RANK.EQ(D29,D:D)</f>
        <v>27</v>
      </c>
      <c r="F29" s="44" t="str">
        <f>IFERROR(ROUND(VLOOKUP(A29,[1]eco_journals!B:E,4,0),2),"")</f>
        <v/>
      </c>
      <c r="G29" s="40" t="str">
        <f>IFERROR(_xlfn.RANK.EQ(F29,F:F),"")</f>
        <v/>
      </c>
      <c r="H29" s="46" t="str">
        <f>IFERROR(ROUND(VLOOKUP(A29,[1]fin_journals!B:E,4,0),2),"")</f>
        <v/>
      </c>
      <c r="I29" s="18" t="str">
        <f>IFERROR(_xlfn.RANK.EQ(H29,H:H),"")</f>
        <v/>
      </c>
      <c r="J29" s="42">
        <f>IFERROR(ROUND(VLOOKUP(A29,[1]bus_journals!B:E,4,0),2),"")</f>
        <v>4.9800000000000004</v>
      </c>
      <c r="K29" s="23">
        <f>IFERROR(_xlfn.RANK.EQ(J29,J:J),"")</f>
        <v>6</v>
      </c>
      <c r="L29" s="43">
        <f>IFERROR(ROUND(VLOOKUP(A29,[1]man_journals!B:E,4,0),2),"")</f>
        <v>4.66</v>
      </c>
      <c r="M29" s="26">
        <f>IFERROR(_xlfn.RANK.EQ(L29,L:L),"")</f>
        <v>4</v>
      </c>
      <c r="N29" s="2" t="s">
        <v>1273</v>
      </c>
      <c r="O29" s="4" t="s">
        <v>1275</v>
      </c>
    </row>
    <row r="30" spans="1:16" x14ac:dyDescent="0.25">
      <c r="A30" t="s">
        <v>21</v>
      </c>
      <c r="B30" t="s">
        <v>1360</v>
      </c>
      <c r="C30" s="6">
        <f>IFERROR(VLOOKUP(A30,[1]eco_bus_journals!$B:$D,3,0),"")</f>
        <v>121</v>
      </c>
      <c r="D30" s="37">
        <f>IFERROR(ROUND(VLOOKUP(A30,[1]eco_bus_journals!$B:$X,4,0),2),"")</f>
        <v>2.0299999999999998</v>
      </c>
      <c r="E30" s="37">
        <f>_xlfn.RANK.EQ(D30,D:D)</f>
        <v>28</v>
      </c>
      <c r="F30" s="44" t="str">
        <f>IFERROR(ROUND(VLOOKUP(A30,[1]eco_journals!B:E,4,0),2),"")</f>
        <v/>
      </c>
      <c r="G30" s="40" t="str">
        <f>IFERROR(_xlfn.RANK.EQ(F30,F:F),"")</f>
        <v/>
      </c>
      <c r="H30" s="46" t="str">
        <f>IFERROR(ROUND(VLOOKUP(A30,[1]fin_journals!B:E,4,0),2),"")</f>
        <v/>
      </c>
      <c r="I30" s="18" t="str">
        <f>IFERROR(_xlfn.RANK.EQ(H30,H:H),"")</f>
        <v/>
      </c>
      <c r="J30" s="42">
        <f>IFERROR(ROUND(VLOOKUP(A30,[1]bus_journals!B:E,4,0),2),"")</f>
        <v>4.79</v>
      </c>
      <c r="K30" s="23">
        <f>IFERROR(_xlfn.RANK.EQ(J30,J:J),"")</f>
        <v>7</v>
      </c>
      <c r="L30" s="43">
        <f>IFERROR(ROUND(VLOOKUP(A30,[1]man_journals!B:E,4,0),2),"")</f>
        <v>3.86</v>
      </c>
      <c r="M30" s="26">
        <f>IFERROR(_xlfn.RANK.EQ(L30,L:L),"")</f>
        <v>6</v>
      </c>
      <c r="N30" s="2" t="s">
        <v>1273</v>
      </c>
      <c r="O30" s="4" t="s">
        <v>1275</v>
      </c>
    </row>
    <row r="31" spans="1:16" x14ac:dyDescent="0.25">
      <c r="A31" t="s">
        <v>18</v>
      </c>
      <c r="B31" t="s">
        <v>1358</v>
      </c>
      <c r="C31" s="6">
        <f>IFERROR(VLOOKUP(A31,[1]eco_bus_journals!$B:$D,3,0),"")</f>
        <v>88</v>
      </c>
      <c r="D31" s="37">
        <f>IFERROR(ROUND(VLOOKUP(A31,[1]eco_bus_journals!$B:$X,4,0),2),"")</f>
        <v>1.92</v>
      </c>
      <c r="E31" s="37">
        <f>_xlfn.RANK.EQ(D31,D:D)</f>
        <v>29</v>
      </c>
      <c r="F31" s="44" t="str">
        <f>IFERROR(ROUND(VLOOKUP(A31,[1]eco_journals!B:E,4,0),2),"")</f>
        <v/>
      </c>
      <c r="G31" s="40" t="str">
        <f>IFERROR(_xlfn.RANK.EQ(F31,F:F),"")</f>
        <v/>
      </c>
      <c r="H31" s="46" t="str">
        <f>IFERROR(ROUND(VLOOKUP(A31,[1]fin_journals!B:E,4,0),2),"")</f>
        <v/>
      </c>
      <c r="I31" s="18" t="str">
        <f>IFERROR(_xlfn.RANK.EQ(H31,H:H),"")</f>
        <v/>
      </c>
      <c r="J31" s="42">
        <f>IFERROR(ROUND(VLOOKUP(A31,[1]bus_journals!B:E,4,0),2),"")</f>
        <v>4.66</v>
      </c>
      <c r="K31" s="23">
        <f>IFERROR(_xlfn.RANK.EQ(J31,J:J),"")</f>
        <v>8</v>
      </c>
      <c r="L31" s="43">
        <f>IFERROR(ROUND(VLOOKUP(A31,[1]man_journals!B:E,4,0),2),"")</f>
        <v>3.83</v>
      </c>
      <c r="M31" s="26">
        <f>IFERROR(_xlfn.RANK.EQ(L31,L:L),"")</f>
        <v>7</v>
      </c>
      <c r="N31" s="2" t="s">
        <v>1273</v>
      </c>
      <c r="O31" s="4" t="s">
        <v>1275</v>
      </c>
      <c r="P31" t="s">
        <v>1278</v>
      </c>
    </row>
    <row r="32" spans="1:16" x14ac:dyDescent="0.25">
      <c r="A32" t="s">
        <v>16</v>
      </c>
      <c r="B32" t="s">
        <v>1356</v>
      </c>
      <c r="C32" s="6">
        <f>IFERROR(VLOOKUP(A32,[1]eco_bus_journals!$B:$D,3,0),"")</f>
        <v>30</v>
      </c>
      <c r="D32" s="37">
        <f>IFERROR(ROUND(VLOOKUP(A32,[1]eco_bus_journals!$B:$X,4,0),2),"")</f>
        <v>1.76</v>
      </c>
      <c r="E32" s="37">
        <f>_xlfn.RANK.EQ(D32,D:D)</f>
        <v>31</v>
      </c>
      <c r="F32" s="44" t="str">
        <f>IFERROR(ROUND(VLOOKUP(A32,[1]eco_journals!B:E,4,0),2),"")</f>
        <v/>
      </c>
      <c r="G32" s="40" t="str">
        <f>IFERROR(_xlfn.RANK.EQ(F32,F:F),"")</f>
        <v/>
      </c>
      <c r="H32" s="46" t="str">
        <f>IFERROR(ROUND(VLOOKUP(A32,[1]fin_journals!B:E,4,0),2),"")</f>
        <v/>
      </c>
      <c r="I32" s="18" t="str">
        <f>IFERROR(_xlfn.RANK.EQ(H32,H:H),"")</f>
        <v/>
      </c>
      <c r="J32" s="42">
        <f>IFERROR(ROUND(VLOOKUP(A32,[1]bus_journals!B:E,4,0),2),"")</f>
        <v>4.38</v>
      </c>
      <c r="K32" s="23">
        <f>IFERROR(_xlfn.RANK.EQ(J32,J:J),"")</f>
        <v>10</v>
      </c>
      <c r="L32" s="43">
        <f>IFERROR(ROUND(VLOOKUP(A32,[1]man_journals!B:E,4,0),2),"")</f>
        <v>3.43</v>
      </c>
      <c r="M32" s="26">
        <f>IFERROR(_xlfn.RANK.EQ(L32,L:L),"")</f>
        <v>8</v>
      </c>
      <c r="N32" s="2" t="s">
        <v>1273</v>
      </c>
      <c r="O32" s="4" t="s">
        <v>1275</v>
      </c>
    </row>
    <row r="33" spans="1:16" x14ac:dyDescent="0.25">
      <c r="A33" t="s">
        <v>12</v>
      </c>
      <c r="B33" t="s">
        <v>1363</v>
      </c>
      <c r="C33" s="6">
        <f>IFERROR(VLOOKUP(A33,[1]eco_bus_journals!$B:$D,3,0),"")</f>
        <v>71</v>
      </c>
      <c r="D33" s="37">
        <f>IFERROR(ROUND(VLOOKUP(A33,[1]eco_bus_journals!$B:$X,4,0),2),"")</f>
        <v>1.89</v>
      </c>
      <c r="E33" s="37">
        <f>_xlfn.RANK.EQ(D33,D:D)</f>
        <v>30</v>
      </c>
      <c r="F33" s="44" t="str">
        <f>IFERROR(ROUND(VLOOKUP(A33,[1]eco_journals!B:E,4,0),2),"")</f>
        <v/>
      </c>
      <c r="G33" s="40" t="str">
        <f>IFERROR(_xlfn.RANK.EQ(F33,F:F),"")</f>
        <v/>
      </c>
      <c r="H33" s="46" t="str">
        <f>IFERROR(ROUND(VLOOKUP(A33,[1]fin_journals!B:E,4,0),2),"")</f>
        <v/>
      </c>
      <c r="I33" s="18" t="str">
        <f>IFERROR(_xlfn.RANK.EQ(H33,H:H),"")</f>
        <v/>
      </c>
      <c r="J33" s="42">
        <f>IFERROR(ROUND(VLOOKUP(A33,[1]bus_journals!B:E,4,0),2),"")</f>
        <v>6.26</v>
      </c>
      <c r="K33" s="23">
        <f>IFERROR(_xlfn.RANK.EQ(J33,J:J),"")</f>
        <v>4</v>
      </c>
      <c r="L33" s="43" t="str">
        <f>IFERROR(ROUND(VLOOKUP(A33,[1]man_journals!B:E,4,0),2),"")</f>
        <v/>
      </c>
      <c r="M33" s="26" t="str">
        <f>IFERROR(_xlfn.RANK.EQ(L33,L:L),"")</f>
        <v/>
      </c>
      <c r="N33" s="2" t="s">
        <v>1273</v>
      </c>
    </row>
    <row r="34" spans="1:16" x14ac:dyDescent="0.25">
      <c r="A34" t="s">
        <v>63</v>
      </c>
      <c r="B34" t="s">
        <v>1369</v>
      </c>
      <c r="C34" s="6">
        <f>IFERROR(VLOOKUP(A34,[1]eco_bus_journals!$B:$D,3,0),"")</f>
        <v>44</v>
      </c>
      <c r="D34" s="37">
        <f>IFERROR(ROUND(VLOOKUP(A34,[1]eco_bus_journals!$B:$X,4,0),2),"")</f>
        <v>1.69</v>
      </c>
      <c r="E34" s="37">
        <f>_xlfn.RANK.EQ(D34,D:D)</f>
        <v>34</v>
      </c>
      <c r="F34" s="44" t="str">
        <f>IFERROR(ROUND(VLOOKUP(A34,[1]eco_journals!B:E,4,0),2),"")</f>
        <v/>
      </c>
      <c r="G34" s="40" t="str">
        <f>IFERROR(_xlfn.RANK.EQ(F34,F:F),"")</f>
        <v/>
      </c>
      <c r="H34" s="46" t="str">
        <f>IFERROR(ROUND(VLOOKUP(A34,[1]fin_journals!B:E,4,0),2),"")</f>
        <v/>
      </c>
      <c r="I34" s="18" t="str">
        <f>IFERROR(_xlfn.RANK.EQ(H34,H:H),"")</f>
        <v/>
      </c>
      <c r="J34" s="42" t="str">
        <f>IFERROR(ROUND(VLOOKUP(A34,[1]bus_journals!B:E,4,0),2),"")</f>
        <v/>
      </c>
      <c r="K34" s="23" t="str">
        <f>IFERROR(_xlfn.RANK.EQ(J34,J:J),"")</f>
        <v/>
      </c>
      <c r="L34" s="43" t="str">
        <f>IFERROR(ROUND(VLOOKUP(A34,[1]man_journals!B:E,4,0),2),"")</f>
        <v/>
      </c>
      <c r="M34" s="26" t="str">
        <f>IFERROR(_xlfn.RANK.EQ(L34,L:L),"")</f>
        <v/>
      </c>
      <c r="N34" t="s">
        <v>1276</v>
      </c>
    </row>
    <row r="35" spans="1:16" x14ac:dyDescent="0.25">
      <c r="A35" t="s">
        <v>31</v>
      </c>
      <c r="B35" t="s">
        <v>1361</v>
      </c>
      <c r="C35" s="6">
        <f>IFERROR(VLOOKUP(A35,[1]eco_bus_journals!$B:$D,3,0),"")</f>
        <v>17</v>
      </c>
      <c r="D35" s="37">
        <f>IFERROR(ROUND(VLOOKUP(A35,[1]eco_bus_journals!$B:$X,4,0),2),"")</f>
        <v>1.66</v>
      </c>
      <c r="E35" s="37">
        <f>_xlfn.RANK.EQ(D35,D:D)</f>
        <v>35</v>
      </c>
      <c r="F35" s="44">
        <f>IFERROR(ROUND(VLOOKUP(A35,[1]eco_journals!B:E,4,0),2),"")</f>
        <v>0.91</v>
      </c>
      <c r="G35" s="40">
        <f>IFERROR(_xlfn.RANK.EQ(F35,F:F),"")</f>
        <v>35</v>
      </c>
      <c r="H35" s="46">
        <f>IFERROR(ROUND(VLOOKUP(A35,[1]fin_journals!B:E,4,0),2),"")</f>
        <v>4.3600000000000003</v>
      </c>
      <c r="I35" s="18">
        <f>IFERROR(_xlfn.RANK.EQ(H35,H:H),"")</f>
        <v>9</v>
      </c>
      <c r="J35" s="42" t="str">
        <f>IFERROR(ROUND(VLOOKUP(A35,[1]bus_journals!B:E,4,0),2),"")</f>
        <v/>
      </c>
      <c r="K35" s="23" t="str">
        <f>IFERROR(_xlfn.RANK.EQ(J35,J:J),"")</f>
        <v/>
      </c>
      <c r="L35" s="43" t="str">
        <f>IFERROR(ROUND(VLOOKUP(A35,[1]man_journals!B:E,4,0),2),"")</f>
        <v/>
      </c>
      <c r="M35" s="26" t="str">
        <f>IFERROR(_xlfn.RANK.EQ(L35,L:L),"")</f>
        <v/>
      </c>
      <c r="N35" s="3" t="s">
        <v>1274</v>
      </c>
      <c r="O35" s="1" t="s">
        <v>1272</v>
      </c>
    </row>
    <row r="36" spans="1:16" x14ac:dyDescent="0.25">
      <c r="A36" t="s">
        <v>52</v>
      </c>
      <c r="B36" t="s">
        <v>1362</v>
      </c>
      <c r="C36" s="6">
        <f>IFERROR(VLOOKUP(A36,[1]eco_bus_journals!$B:$D,3,0),"")</f>
        <v>26</v>
      </c>
      <c r="D36" s="37">
        <f>IFERROR(ROUND(VLOOKUP(A36,[1]eco_bus_journals!$B:$X,4,0),2),"")</f>
        <v>1.71</v>
      </c>
      <c r="E36" s="37">
        <f>_xlfn.RANK.EQ(D36,D:D)</f>
        <v>33</v>
      </c>
      <c r="F36" s="44" t="str">
        <f>IFERROR(ROUND(VLOOKUP(A36,[1]eco_journals!B:E,4,0),2),"")</f>
        <v/>
      </c>
      <c r="G36" s="40" t="str">
        <f>IFERROR(_xlfn.RANK.EQ(F36,F:F),"")</f>
        <v/>
      </c>
      <c r="H36" s="46">
        <f>IFERROR(ROUND(VLOOKUP(A36,[1]fin_journals!B:E,4,0),2),"")</f>
        <v>4.97</v>
      </c>
      <c r="I36" s="18">
        <f>IFERROR(_xlfn.RANK.EQ(H36,H:H),"")</f>
        <v>8</v>
      </c>
      <c r="J36" s="42" t="str">
        <f>IFERROR(ROUND(VLOOKUP(A36,[1]bus_journals!B:E,4,0),2),"")</f>
        <v/>
      </c>
      <c r="K36" s="23" t="str">
        <f>IFERROR(_xlfn.RANK.EQ(J36,J:J),"")</f>
        <v/>
      </c>
      <c r="L36" s="43" t="str">
        <f>IFERROR(ROUND(VLOOKUP(A36,[1]man_journals!B:E,4,0),2),"")</f>
        <v/>
      </c>
      <c r="M36" s="26" t="str">
        <f>IFERROR(_xlfn.RANK.EQ(L36,L:L),"")</f>
        <v/>
      </c>
      <c r="N36" s="3" t="s">
        <v>1274</v>
      </c>
    </row>
    <row r="37" spans="1:16" x14ac:dyDescent="0.25">
      <c r="A37" t="s">
        <v>46</v>
      </c>
      <c r="B37" t="s">
        <v>1363</v>
      </c>
      <c r="C37" s="6">
        <f>IFERROR(VLOOKUP(A37,[1]eco_bus_journals!$B:$D,3,0),"")</f>
        <v>51</v>
      </c>
      <c r="D37" s="37">
        <f>IFERROR(ROUND(VLOOKUP(A37,[1]eco_bus_journals!$B:$X,4,0),2),"")</f>
        <v>1.73</v>
      </c>
      <c r="E37" s="37">
        <f>_xlfn.RANK.EQ(D37,D:D)</f>
        <v>32</v>
      </c>
      <c r="F37" s="44" t="str">
        <f>IFERROR(ROUND(VLOOKUP(A37,[1]eco_journals!B:E,4,0),2),"")</f>
        <v/>
      </c>
      <c r="G37" s="40" t="str">
        <f>IFERROR(_xlfn.RANK.EQ(F37,F:F),"")</f>
        <v/>
      </c>
      <c r="H37" s="46">
        <f>IFERROR(ROUND(VLOOKUP(A37,[1]fin_journals!B:E,4,0),2),"")</f>
        <v>6.32</v>
      </c>
      <c r="I37" s="18">
        <f>IFERROR(_xlfn.RANK.EQ(H37,H:H),"")</f>
        <v>6</v>
      </c>
      <c r="J37" s="42" t="str">
        <f>IFERROR(ROUND(VLOOKUP(A37,[1]bus_journals!B:E,4,0),2),"")</f>
        <v/>
      </c>
      <c r="K37" s="23" t="str">
        <f>IFERROR(_xlfn.RANK.EQ(J37,J:J),"")</f>
        <v/>
      </c>
      <c r="L37" s="43" t="str">
        <f>IFERROR(ROUND(VLOOKUP(A37,[1]man_journals!B:E,4,0),2),"")</f>
        <v/>
      </c>
      <c r="M37" s="26" t="str">
        <f>IFERROR(_xlfn.RANK.EQ(L37,L:L),"")</f>
        <v/>
      </c>
      <c r="N37" s="3" t="s">
        <v>1274</v>
      </c>
    </row>
    <row r="38" spans="1:16" x14ac:dyDescent="0.25">
      <c r="A38" t="s">
        <v>62</v>
      </c>
      <c r="B38" t="s">
        <v>1366</v>
      </c>
      <c r="C38" s="6">
        <f>IFERROR(VLOOKUP(A38,[1]eco_bus_journals!$B:$D,3,0),"")</f>
        <v>57</v>
      </c>
      <c r="D38" s="37">
        <f>IFERROR(ROUND(VLOOKUP(A38,[1]eco_bus_journals!$B:$X,4,0),2),"")</f>
        <v>1.61</v>
      </c>
      <c r="E38" s="37">
        <f>_xlfn.RANK.EQ(D38,D:D)</f>
        <v>38</v>
      </c>
      <c r="F38" s="44" t="str">
        <f>IFERROR(ROUND(VLOOKUP(A38,[1]eco_journals!B:E,4,0),2),"")</f>
        <v/>
      </c>
      <c r="G38" s="40" t="str">
        <f>IFERROR(_xlfn.RANK.EQ(F38,F:F),"")</f>
        <v/>
      </c>
      <c r="H38" s="46" t="str">
        <f>IFERROR(ROUND(VLOOKUP(A38,[1]fin_journals!B:E,4,0),2),"")</f>
        <v/>
      </c>
      <c r="I38" s="18" t="str">
        <f>IFERROR(_xlfn.RANK.EQ(H38,H:H),"")</f>
        <v/>
      </c>
      <c r="J38" s="42">
        <f>IFERROR(ROUND(VLOOKUP(A38,[1]bus_journals!B:E,4,0),2),"")</f>
        <v>3.64</v>
      </c>
      <c r="K38" s="23">
        <f>IFERROR(_xlfn.RANK.EQ(J38,J:J),"")</f>
        <v>21</v>
      </c>
      <c r="L38" s="43" t="str">
        <f>IFERROR(ROUND(VLOOKUP(A38,[1]man_journals!B:E,4,0),2),"")</f>
        <v/>
      </c>
      <c r="M38" s="26" t="str">
        <f>IFERROR(_xlfn.RANK.EQ(L38,L:L),"")</f>
        <v/>
      </c>
      <c r="N38" s="2" t="s">
        <v>1273</v>
      </c>
    </row>
    <row r="39" spans="1:16" x14ac:dyDescent="0.25">
      <c r="A39" t="s">
        <v>66</v>
      </c>
      <c r="B39" t="s">
        <v>1361</v>
      </c>
      <c r="C39" s="6">
        <f>IFERROR(VLOOKUP(A39,[1]eco_bus_journals!$B:$D,3,0),"")</f>
        <v>84</v>
      </c>
      <c r="D39" s="37">
        <f>IFERROR(ROUND(VLOOKUP(A39,[1]eco_bus_journals!$B:$X,4,0),2),"")</f>
        <v>1.64</v>
      </c>
      <c r="E39" s="37">
        <f>_xlfn.RANK.EQ(D39,D:D)</f>
        <v>36</v>
      </c>
      <c r="F39" s="44">
        <f>IFERROR(ROUND(VLOOKUP(A39,[1]eco_journals!B:E,4,0),2),"")</f>
        <v>1.74</v>
      </c>
      <c r="G39" s="40">
        <f>IFERROR(_xlfn.RANK.EQ(F39,F:F),"")</f>
        <v>21</v>
      </c>
      <c r="H39" s="46" t="str">
        <f>IFERROR(ROUND(VLOOKUP(A39,[1]fin_journals!B:E,4,0),2),"")</f>
        <v/>
      </c>
      <c r="I39" s="18" t="str">
        <f>IFERROR(_xlfn.RANK.EQ(H39,H:H),"")</f>
        <v/>
      </c>
      <c r="J39" s="42" t="str">
        <f>IFERROR(ROUND(VLOOKUP(A39,[1]bus_journals!B:E,4,0),2),"")</f>
        <v/>
      </c>
      <c r="K39" s="23" t="str">
        <f>IFERROR(_xlfn.RANK.EQ(J39,J:J),"")</f>
        <v/>
      </c>
      <c r="L39" s="43" t="str">
        <f>IFERROR(ROUND(VLOOKUP(A39,[1]man_journals!B:E,4,0),2),"")</f>
        <v/>
      </c>
      <c r="M39" s="26" t="str">
        <f>IFERROR(_xlfn.RANK.EQ(L39,L:L),"")</f>
        <v/>
      </c>
      <c r="N39" s="1" t="s">
        <v>1272</v>
      </c>
    </row>
    <row r="40" spans="1:16" x14ac:dyDescent="0.25">
      <c r="A40" t="s">
        <v>78</v>
      </c>
      <c r="B40" t="s">
        <v>1362</v>
      </c>
      <c r="C40" s="6">
        <f>IFERROR(VLOOKUP(A40,[1]eco_bus_journals!$B:$D,3,0),"")</f>
        <v>102</v>
      </c>
      <c r="D40" s="37">
        <f>IFERROR(ROUND(VLOOKUP(A40,[1]eco_bus_journals!$B:$X,4,0),2),"")</f>
        <v>1.58</v>
      </c>
      <c r="E40" s="37">
        <f>_xlfn.RANK.EQ(D40,D:D)</f>
        <v>39</v>
      </c>
      <c r="F40" s="44">
        <f>IFERROR(ROUND(VLOOKUP(A40,[1]eco_journals!B:E,4,0),2),"")</f>
        <v>1.58</v>
      </c>
      <c r="G40" s="40">
        <f>IFERROR(_xlfn.RANK.EQ(F40,F:F),"")</f>
        <v>22</v>
      </c>
      <c r="H40" s="46">
        <f>IFERROR(ROUND(VLOOKUP(A40,[1]fin_journals!B:E,4,0),2),"")</f>
        <v>2.17</v>
      </c>
      <c r="I40" s="18">
        <f>IFERROR(_xlfn.RANK.EQ(H40,H:H),"")</f>
        <v>15</v>
      </c>
      <c r="J40" s="42" t="str">
        <f>IFERROR(ROUND(VLOOKUP(A40,[1]bus_journals!B:E,4,0),2),"")</f>
        <v/>
      </c>
      <c r="K40" s="23" t="str">
        <f>IFERROR(_xlfn.RANK.EQ(J40,J:J),"")</f>
        <v/>
      </c>
      <c r="L40" s="43" t="str">
        <f>IFERROR(ROUND(VLOOKUP(A40,[1]man_journals!B:E,4,0),2),"")</f>
        <v/>
      </c>
      <c r="M40" s="26" t="str">
        <f>IFERROR(_xlfn.RANK.EQ(L40,L:L),"")</f>
        <v/>
      </c>
      <c r="N40" s="3" t="s">
        <v>1274</v>
      </c>
      <c r="O40" s="1" t="s">
        <v>1272</v>
      </c>
    </row>
    <row r="41" spans="1:16" x14ac:dyDescent="0.25">
      <c r="A41" t="s">
        <v>22</v>
      </c>
      <c r="B41" t="s">
        <v>1360</v>
      </c>
      <c r="C41" s="6">
        <f>IFERROR(VLOOKUP(A41,[1]eco_bus_journals!$B:$D,3,0),"")</f>
        <v>93</v>
      </c>
      <c r="D41" s="37">
        <f>IFERROR(ROUND(VLOOKUP(A41,[1]eco_bus_journals!$B:$X,4,0),2),"")</f>
        <v>1.63</v>
      </c>
      <c r="E41" s="37">
        <f>_xlfn.RANK.EQ(D41,D:D)</f>
        <v>37</v>
      </c>
      <c r="F41" s="44" t="str">
        <f>IFERROR(ROUND(VLOOKUP(A41,[1]eco_journals!B:E,4,0),2),"")</f>
        <v/>
      </c>
      <c r="G41" s="40" t="str">
        <f>IFERROR(_xlfn.RANK.EQ(F41,F:F),"")</f>
        <v/>
      </c>
      <c r="H41" s="46" t="str">
        <f>IFERROR(ROUND(VLOOKUP(A41,[1]fin_journals!B:E,4,0),2),"")</f>
        <v/>
      </c>
      <c r="I41" s="18" t="str">
        <f>IFERROR(_xlfn.RANK.EQ(H41,H:H),"")</f>
        <v/>
      </c>
      <c r="J41" s="42">
        <f>IFERROR(ROUND(VLOOKUP(A41,[1]bus_journals!B:E,4,0),2),"")</f>
        <v>4.1900000000000004</v>
      </c>
      <c r="K41" s="23">
        <f>IFERROR(_xlfn.RANK.EQ(J41,J:J),"")</f>
        <v>14</v>
      </c>
      <c r="L41" s="43">
        <f>IFERROR(ROUND(VLOOKUP(A41,[1]man_journals!B:E,4,0),2),"")</f>
        <v>3.26</v>
      </c>
      <c r="M41" s="26">
        <f>IFERROR(_xlfn.RANK.EQ(L41,L:L),"")</f>
        <v>11</v>
      </c>
      <c r="N41" s="2" t="s">
        <v>1273</v>
      </c>
      <c r="O41" s="4" t="s">
        <v>1275</v>
      </c>
    </row>
    <row r="42" spans="1:16" x14ac:dyDescent="0.25">
      <c r="A42" t="s">
        <v>32</v>
      </c>
      <c r="B42" t="s">
        <v>1356</v>
      </c>
      <c r="C42" s="6">
        <f>IFERROR(VLOOKUP(A42,[1]eco_bus_journals!$B:$D,3,0),"")</f>
        <v>32</v>
      </c>
      <c r="D42" s="37">
        <f>IFERROR(ROUND(VLOOKUP(A42,[1]eco_bus_journals!$B:$X,4,0),2),"")</f>
        <v>1.55</v>
      </c>
      <c r="E42" s="37">
        <f>_xlfn.RANK.EQ(D42,D:D)</f>
        <v>41</v>
      </c>
      <c r="F42" s="44" t="str">
        <f>IFERROR(ROUND(VLOOKUP(A42,[1]eco_journals!B:E,4,0),2),"")</f>
        <v/>
      </c>
      <c r="G42" s="40" t="str">
        <f>IFERROR(_xlfn.RANK.EQ(F42,F:F),"")</f>
        <v/>
      </c>
      <c r="H42" s="46" t="str">
        <f>IFERROR(ROUND(VLOOKUP(A42,[1]fin_journals!B:E,4,0),2),"")</f>
        <v/>
      </c>
      <c r="I42" s="18" t="str">
        <f>IFERROR(_xlfn.RANK.EQ(H42,H:H),"")</f>
        <v/>
      </c>
      <c r="J42" s="42" t="str">
        <f>IFERROR(ROUND(VLOOKUP(A42,[1]bus_journals!B:E,4,0),2),"")</f>
        <v/>
      </c>
      <c r="K42" s="23" t="str">
        <f>IFERROR(_xlfn.RANK.EQ(J42,J:J),"")</f>
        <v/>
      </c>
      <c r="L42" s="43">
        <f>IFERROR(ROUND(VLOOKUP(A42,[1]man_journals!B:E,4,0),2),"")</f>
        <v>3.29</v>
      </c>
      <c r="M42" s="26">
        <f>IFERROR(_xlfn.RANK.EQ(L42,L:L),"")</f>
        <v>10</v>
      </c>
      <c r="N42" s="4" t="s">
        <v>1275</v>
      </c>
    </row>
    <row r="43" spans="1:16" x14ac:dyDescent="0.25">
      <c r="A43" t="s">
        <v>57</v>
      </c>
      <c r="B43" t="s">
        <v>1366</v>
      </c>
      <c r="C43" s="6">
        <f>IFERROR(VLOOKUP(A43,[1]eco_bus_journals!$B:$D,3,0),"")</f>
        <v>294</v>
      </c>
      <c r="D43" s="37">
        <f>IFERROR(ROUND(VLOOKUP(A43,[1]eco_bus_journals!$B:$X,4,0),2),"")</f>
        <v>1.55</v>
      </c>
      <c r="E43" s="37">
        <f>_xlfn.RANK.EQ(D43,D:D)</f>
        <v>41</v>
      </c>
      <c r="F43" s="44" t="str">
        <f>IFERROR(ROUND(VLOOKUP(A43,[1]eco_journals!B:E,4,0),2),"")</f>
        <v/>
      </c>
      <c r="G43" s="40" t="str">
        <f>IFERROR(_xlfn.RANK.EQ(F43,F:F),"")</f>
        <v/>
      </c>
      <c r="H43" s="46" t="str">
        <f>IFERROR(ROUND(VLOOKUP(A43,[1]fin_journals!B:E,4,0),2),"")</f>
        <v/>
      </c>
      <c r="I43" s="18" t="str">
        <f>IFERROR(_xlfn.RANK.EQ(H43,H:H),"")</f>
        <v/>
      </c>
      <c r="J43" s="42" t="str">
        <f>IFERROR(ROUND(VLOOKUP(A43,[1]bus_journals!B:E,4,0),2),"")</f>
        <v/>
      </c>
      <c r="K43" s="23" t="str">
        <f>IFERROR(_xlfn.RANK.EQ(J43,J:J),"")</f>
        <v/>
      </c>
      <c r="L43" s="43">
        <f>IFERROR(ROUND(VLOOKUP(A43,[1]man_journals!B:E,4,0),2),"")</f>
        <v>1.69</v>
      </c>
      <c r="M43" s="26">
        <f>IFERROR(_xlfn.RANK.EQ(L43,L:L),"")</f>
        <v>30</v>
      </c>
      <c r="N43" s="4" t="s">
        <v>1275</v>
      </c>
      <c r="O43" t="s">
        <v>1277</v>
      </c>
    </row>
    <row r="44" spans="1:16" x14ac:dyDescent="0.25">
      <c r="A44" t="s">
        <v>50</v>
      </c>
      <c r="B44" t="s">
        <v>1367</v>
      </c>
      <c r="C44" s="6">
        <f>IFERROR(VLOOKUP(A44,[1]eco_bus_journals!$B:$D,3,0),"")</f>
        <v>92</v>
      </c>
      <c r="D44" s="37">
        <f>IFERROR(ROUND(VLOOKUP(A44,[1]eco_bus_journals!$B:$X,4,0),2),"")</f>
        <v>1.49</v>
      </c>
      <c r="E44" s="37">
        <f>_xlfn.RANK.EQ(D44,D:D)</f>
        <v>44</v>
      </c>
      <c r="F44" s="44" t="str">
        <f>IFERROR(ROUND(VLOOKUP(A44,[1]eco_journals!B:E,4,0),2),"")</f>
        <v/>
      </c>
      <c r="G44" s="40" t="str">
        <f>IFERROR(_xlfn.RANK.EQ(F44,F:F),"")</f>
        <v/>
      </c>
      <c r="H44" s="46">
        <f>IFERROR(ROUND(VLOOKUP(A44,[1]fin_journals!B:E,4,0),2),"")</f>
        <v>5.84</v>
      </c>
      <c r="I44" s="18">
        <f>IFERROR(_xlfn.RANK.EQ(H44,H:H),"")</f>
        <v>7</v>
      </c>
      <c r="J44" s="42" t="str">
        <f>IFERROR(ROUND(VLOOKUP(A44,[1]bus_journals!B:E,4,0),2),"")</f>
        <v/>
      </c>
      <c r="K44" s="23" t="str">
        <f>IFERROR(_xlfn.RANK.EQ(J44,J:J),"")</f>
        <v/>
      </c>
      <c r="L44" s="43" t="str">
        <f>IFERROR(ROUND(VLOOKUP(A44,[1]man_journals!B:E,4,0),2),"")</f>
        <v/>
      </c>
      <c r="M44" s="26" t="str">
        <f>IFERROR(_xlfn.RANK.EQ(L44,L:L),"")</f>
        <v/>
      </c>
      <c r="N44" s="3" t="s">
        <v>1274</v>
      </c>
    </row>
    <row r="45" spans="1:16" x14ac:dyDescent="0.25">
      <c r="A45" t="s">
        <v>87</v>
      </c>
      <c r="B45" t="s">
        <v>1364</v>
      </c>
      <c r="C45" s="6">
        <f>IFERROR(VLOOKUP(A45,[1]eco_bus_journals!$B:$D,3,0),"")</f>
        <v>21</v>
      </c>
      <c r="D45" s="37">
        <f>IFERROR(ROUND(VLOOKUP(A45,[1]eco_bus_journals!$B:$X,4,0),2),"")</f>
        <v>1.42</v>
      </c>
      <c r="E45" s="37">
        <f>_xlfn.RANK.EQ(D45,D:D)</f>
        <v>47</v>
      </c>
      <c r="F45" s="44">
        <f>IFERROR(ROUND(VLOOKUP(A45,[1]eco_journals!B:E,4,0),2),"")</f>
        <v>1.23</v>
      </c>
      <c r="G45" s="40">
        <f>IFERROR(_xlfn.RANK.EQ(F45,F:F),"")</f>
        <v>24</v>
      </c>
      <c r="H45" s="46">
        <f>IFERROR(ROUND(VLOOKUP(A45,[1]fin_journals!B:E,4,0),2),"")</f>
        <v>2.23</v>
      </c>
      <c r="I45" s="18">
        <f>IFERROR(_xlfn.RANK.EQ(H45,H:H),"")</f>
        <v>14</v>
      </c>
      <c r="J45" s="42" t="str">
        <f>IFERROR(ROUND(VLOOKUP(A45,[1]bus_journals!B:E,4,0),2),"")</f>
        <v/>
      </c>
      <c r="K45" s="23" t="str">
        <f>IFERROR(_xlfn.RANK.EQ(J45,J:J),"")</f>
        <v/>
      </c>
      <c r="L45" s="43" t="str">
        <f>IFERROR(ROUND(VLOOKUP(A45,[1]man_journals!B:E,4,0),2),"")</f>
        <v/>
      </c>
      <c r="M45" s="26" t="str">
        <f>IFERROR(_xlfn.RANK.EQ(L45,L:L),"")</f>
        <v/>
      </c>
      <c r="N45" s="3" t="s">
        <v>1274</v>
      </c>
      <c r="O45" s="1" t="s">
        <v>1272</v>
      </c>
    </row>
    <row r="46" spans="1:16" x14ac:dyDescent="0.25">
      <c r="A46" t="s">
        <v>30</v>
      </c>
      <c r="B46" t="s">
        <v>1364</v>
      </c>
      <c r="C46" s="6">
        <f>IFERROR(VLOOKUP(A46,[1]eco_bus_journals!$B:$D,3,0),"")</f>
        <v>92</v>
      </c>
      <c r="D46" s="37">
        <f>IFERROR(ROUND(VLOOKUP(A46,[1]eco_bus_journals!$B:$X,4,0),2),"")</f>
        <v>1.38</v>
      </c>
      <c r="E46" s="37">
        <f>_xlfn.RANK.EQ(D46,D:D)</f>
        <v>50</v>
      </c>
      <c r="F46" s="44" t="str">
        <f>IFERROR(ROUND(VLOOKUP(A46,[1]eco_journals!B:E,4,0),2),"")</f>
        <v/>
      </c>
      <c r="G46" s="40" t="str">
        <f>IFERROR(_xlfn.RANK.EQ(F46,F:F),"")</f>
        <v/>
      </c>
      <c r="H46" s="46" t="str">
        <f>IFERROR(ROUND(VLOOKUP(A46,[1]fin_journals!B:E,4,0),2),"")</f>
        <v/>
      </c>
      <c r="I46" s="18" t="str">
        <f>IFERROR(_xlfn.RANK.EQ(H46,H:H),"")</f>
        <v/>
      </c>
      <c r="J46" s="42">
        <f>IFERROR(ROUND(VLOOKUP(A46,[1]bus_journals!B:E,4,0),2),"")</f>
        <v>3.77</v>
      </c>
      <c r="K46" s="23">
        <f>IFERROR(_xlfn.RANK.EQ(J46,J:J),"")</f>
        <v>20</v>
      </c>
      <c r="L46" s="43">
        <f>IFERROR(ROUND(VLOOKUP(A46,[1]man_journals!B:E,4,0),2),"")</f>
        <v>2.2200000000000002</v>
      </c>
      <c r="M46" s="26">
        <f>IFERROR(_xlfn.RANK.EQ(L46,L:L),"")</f>
        <v>20</v>
      </c>
      <c r="N46" s="2" t="s">
        <v>1273</v>
      </c>
      <c r="O46" s="4" t="s">
        <v>1275</v>
      </c>
    </row>
    <row r="47" spans="1:16" x14ac:dyDescent="0.25">
      <c r="A47" t="s">
        <v>25</v>
      </c>
      <c r="B47" t="s">
        <v>1360</v>
      </c>
      <c r="C47" s="6">
        <f>IFERROR(VLOOKUP(A47,[1]eco_bus_journals!$B:$D,3,0),"")</f>
        <v>25</v>
      </c>
      <c r="D47" s="37">
        <f>IFERROR(ROUND(VLOOKUP(A47,[1]eco_bus_journals!$B:$X,4,0),2),"")</f>
        <v>1.5</v>
      </c>
      <c r="E47" s="37">
        <f>_xlfn.RANK.EQ(D47,D:D)</f>
        <v>43</v>
      </c>
      <c r="F47" s="44" t="str">
        <f>IFERROR(ROUND(VLOOKUP(A47,[1]eco_journals!B:E,4,0),2),"")</f>
        <v/>
      </c>
      <c r="G47" s="40" t="str">
        <f>IFERROR(_xlfn.RANK.EQ(F47,F:F),"")</f>
        <v/>
      </c>
      <c r="H47" s="46" t="str">
        <f>IFERROR(ROUND(VLOOKUP(A47,[1]fin_journals!B:E,4,0),2),"")</f>
        <v/>
      </c>
      <c r="I47" s="18" t="str">
        <f>IFERROR(_xlfn.RANK.EQ(H47,H:H),"")</f>
        <v/>
      </c>
      <c r="J47" s="42">
        <f>IFERROR(ROUND(VLOOKUP(A47,[1]bus_journals!B:E,4,0),2),"")</f>
        <v>4.2</v>
      </c>
      <c r="K47" s="23">
        <f>IFERROR(_xlfn.RANK.EQ(J47,J:J),"")</f>
        <v>13</v>
      </c>
      <c r="L47" s="43">
        <f>IFERROR(ROUND(VLOOKUP(A47,[1]man_journals!B:E,4,0),2),"")</f>
        <v>3.14</v>
      </c>
      <c r="M47" s="26">
        <f>IFERROR(_xlfn.RANK.EQ(L47,L:L),"")</f>
        <v>13</v>
      </c>
      <c r="N47" s="2" t="s">
        <v>1273</v>
      </c>
      <c r="O47" t="s">
        <v>1282</v>
      </c>
      <c r="P47" s="4" t="s">
        <v>1275</v>
      </c>
    </row>
    <row r="48" spans="1:16" x14ac:dyDescent="0.25">
      <c r="A48" t="s">
        <v>48</v>
      </c>
      <c r="B48" t="s">
        <v>1358</v>
      </c>
      <c r="C48" s="6">
        <f>IFERROR(VLOOKUP(A48,[1]eco_bus_journals!$B:$D,3,0),"")</f>
        <v>71</v>
      </c>
      <c r="D48" s="37">
        <f>IFERROR(ROUND(VLOOKUP(A48,[1]eco_bus_journals!$B:$X,4,0),2),"")</f>
        <v>1.45</v>
      </c>
      <c r="E48" s="37">
        <f>_xlfn.RANK.EQ(D48,D:D)</f>
        <v>45</v>
      </c>
      <c r="F48" s="44" t="str">
        <f>IFERROR(ROUND(VLOOKUP(A48,[1]eco_journals!B:E,4,0),2),"")</f>
        <v/>
      </c>
      <c r="G48" s="40" t="str">
        <f>IFERROR(_xlfn.RANK.EQ(F48,F:F),"")</f>
        <v/>
      </c>
      <c r="H48" s="46" t="str">
        <f>IFERROR(ROUND(VLOOKUP(A48,[1]fin_journals!B:E,4,0),2),"")</f>
        <v/>
      </c>
      <c r="I48" s="18" t="str">
        <f>IFERROR(_xlfn.RANK.EQ(H48,H:H),"")</f>
        <v/>
      </c>
      <c r="J48" s="42">
        <f>IFERROR(ROUND(VLOOKUP(A48,[1]bus_journals!B:E,4,0),2),"")</f>
        <v>4.4800000000000004</v>
      </c>
      <c r="K48" s="23">
        <f>IFERROR(_xlfn.RANK.EQ(J48,J:J),"")</f>
        <v>9</v>
      </c>
      <c r="L48" s="43" t="str">
        <f>IFERROR(ROUND(VLOOKUP(A48,[1]man_journals!B:E,4,0),2),"")</f>
        <v/>
      </c>
      <c r="M48" s="26" t="str">
        <f>IFERROR(_xlfn.RANK.EQ(L48,L:L),"")</f>
        <v/>
      </c>
      <c r="N48" s="2" t="s">
        <v>1273</v>
      </c>
    </row>
    <row r="49" spans="1:15" x14ac:dyDescent="0.25">
      <c r="A49" t="s">
        <v>34</v>
      </c>
      <c r="B49" t="s">
        <v>1358</v>
      </c>
      <c r="C49" s="6">
        <f>IFERROR(VLOOKUP(A49,[1]eco_bus_journals!$B:$D,3,0),"")</f>
        <v>91</v>
      </c>
      <c r="D49" s="37">
        <f>IFERROR(ROUND(VLOOKUP(A49,[1]eco_bus_journals!$B:$X,4,0),2),"")</f>
        <v>1.42</v>
      </c>
      <c r="E49" s="37">
        <f>_xlfn.RANK.EQ(D49,D:D)</f>
        <v>47</v>
      </c>
      <c r="F49" s="44" t="str">
        <f>IFERROR(ROUND(VLOOKUP(A49,[1]eco_journals!B:E,4,0),2),"")</f>
        <v/>
      </c>
      <c r="G49" s="40" t="str">
        <f>IFERROR(_xlfn.RANK.EQ(F49,F:F),"")</f>
        <v/>
      </c>
      <c r="H49" s="46" t="str">
        <f>IFERROR(ROUND(VLOOKUP(A49,[1]fin_journals!B:E,4,0),2),"")</f>
        <v/>
      </c>
      <c r="I49" s="18" t="str">
        <f>IFERROR(_xlfn.RANK.EQ(H49,H:H),"")</f>
        <v/>
      </c>
      <c r="J49" s="42">
        <f>IFERROR(ROUND(VLOOKUP(A49,[1]bus_journals!B:E,4,0),2),"")</f>
        <v>4.0199999999999996</v>
      </c>
      <c r="K49" s="23">
        <f>IFERROR(_xlfn.RANK.EQ(J49,J:J),"")</f>
        <v>17</v>
      </c>
      <c r="L49" s="43" t="str">
        <f>IFERROR(ROUND(VLOOKUP(A49,[1]man_journals!B:E,4,0),2),"")</f>
        <v/>
      </c>
      <c r="M49" s="26" t="str">
        <f>IFERROR(_xlfn.RANK.EQ(L49,L:L),"")</f>
        <v/>
      </c>
      <c r="N49" s="2" t="s">
        <v>1273</v>
      </c>
    </row>
    <row r="50" spans="1:15" x14ac:dyDescent="0.25">
      <c r="A50" t="s">
        <v>26</v>
      </c>
      <c r="B50" t="s">
        <v>1358</v>
      </c>
      <c r="C50" s="6">
        <f>IFERROR(VLOOKUP(A50,[1]eco_bus_journals!$B:$D,3,0),"")</f>
        <v>42</v>
      </c>
      <c r="D50" s="37">
        <f>IFERROR(ROUND(VLOOKUP(A50,[1]eco_bus_journals!$B:$X,4,0),2),"")</f>
        <v>1.4</v>
      </c>
      <c r="E50" s="37">
        <f>_xlfn.RANK.EQ(D50,D:D)</f>
        <v>49</v>
      </c>
      <c r="F50" s="44" t="str">
        <f>IFERROR(ROUND(VLOOKUP(A50,[1]eco_journals!B:E,4,0),2),"")</f>
        <v/>
      </c>
      <c r="G50" s="40" t="str">
        <f>IFERROR(_xlfn.RANK.EQ(F50,F:F),"")</f>
        <v/>
      </c>
      <c r="H50" s="46" t="str">
        <f>IFERROR(ROUND(VLOOKUP(A50,[1]fin_journals!B:E,4,0),2),"")</f>
        <v/>
      </c>
      <c r="I50" s="18" t="str">
        <f>IFERROR(_xlfn.RANK.EQ(H50,H:H),"")</f>
        <v/>
      </c>
      <c r="J50" s="42">
        <f>IFERROR(ROUND(VLOOKUP(A50,[1]bus_journals!B:E,4,0),2),"")</f>
        <v>4.34</v>
      </c>
      <c r="K50" s="23">
        <f>IFERROR(_xlfn.RANK.EQ(J50,J:J),"")</f>
        <v>11</v>
      </c>
      <c r="L50" s="43" t="str">
        <f>IFERROR(ROUND(VLOOKUP(A50,[1]man_journals!B:E,4,0),2),"")</f>
        <v/>
      </c>
      <c r="M50" s="26" t="str">
        <f>IFERROR(_xlfn.RANK.EQ(L50,L:L),"")</f>
        <v/>
      </c>
      <c r="N50" s="2" t="s">
        <v>1273</v>
      </c>
    </row>
    <row r="51" spans="1:15" x14ac:dyDescent="0.25">
      <c r="A51" t="s">
        <v>38</v>
      </c>
      <c r="B51" t="s">
        <v>1366</v>
      </c>
      <c r="C51" s="6">
        <f>IFERROR(VLOOKUP(A51,[1]eco_bus_journals!$B:$D,3,0),"")</f>
        <v>74</v>
      </c>
      <c r="D51" s="37">
        <f>IFERROR(ROUND(VLOOKUP(A51,[1]eco_bus_journals!$B:$X,4,0),2),"")</f>
        <v>1.58</v>
      </c>
      <c r="E51" s="37">
        <f>_xlfn.RANK.EQ(D51,D:D)</f>
        <v>39</v>
      </c>
      <c r="F51" s="44" t="str">
        <f>IFERROR(ROUND(VLOOKUP(A51,[1]eco_journals!B:E,4,0),2),"")</f>
        <v/>
      </c>
      <c r="G51" s="40" t="str">
        <f>IFERROR(_xlfn.RANK.EQ(F51,F:F),"")</f>
        <v/>
      </c>
      <c r="H51" s="46" t="str">
        <f>IFERROR(ROUND(VLOOKUP(A51,[1]fin_journals!B:E,4,0),2),"")</f>
        <v/>
      </c>
      <c r="I51" s="18" t="str">
        <f>IFERROR(_xlfn.RANK.EQ(H51,H:H),"")</f>
        <v/>
      </c>
      <c r="J51" s="42" t="str">
        <f>IFERROR(ROUND(VLOOKUP(A51,[1]bus_journals!B:E,4,0),2),"")</f>
        <v/>
      </c>
      <c r="K51" s="23" t="str">
        <f>IFERROR(_xlfn.RANK.EQ(J51,J:J),"")</f>
        <v/>
      </c>
      <c r="L51" s="43">
        <f>IFERROR(ROUND(VLOOKUP(A51,[1]man_journals!B:E,4,0),2),"")</f>
        <v>3.42</v>
      </c>
      <c r="M51" s="26">
        <f>IFERROR(_xlfn.RANK.EQ(L51,L:L),"")</f>
        <v>9</v>
      </c>
      <c r="N51" s="4" t="s">
        <v>1275</v>
      </c>
    </row>
    <row r="52" spans="1:15" x14ac:dyDescent="0.25">
      <c r="A52" t="s">
        <v>29</v>
      </c>
      <c r="B52" t="s">
        <v>1362</v>
      </c>
      <c r="C52" s="6">
        <f>IFERROR(VLOOKUP(A52,[1]eco_bus_journals!$B:$D,3,0),"")</f>
        <v>60</v>
      </c>
      <c r="D52" s="37">
        <f>IFERROR(ROUND(VLOOKUP(A52,[1]eco_bus_journals!$B:$X,4,0),2),"")</f>
        <v>1.43</v>
      </c>
      <c r="E52" s="37">
        <f>_xlfn.RANK.EQ(D52,D:D)</f>
        <v>46</v>
      </c>
      <c r="F52" s="44" t="str">
        <f>IFERROR(ROUND(VLOOKUP(A52,[1]eco_journals!B:E,4,0),2),"")</f>
        <v/>
      </c>
      <c r="G52" s="40" t="str">
        <f>IFERROR(_xlfn.RANK.EQ(F52,F:F),"")</f>
        <v/>
      </c>
      <c r="H52" s="46" t="str">
        <f>IFERROR(ROUND(VLOOKUP(A52,[1]fin_journals!B:E,4,0),2),"")</f>
        <v/>
      </c>
      <c r="I52" s="18" t="str">
        <f>IFERROR(_xlfn.RANK.EQ(H52,H:H),"")</f>
        <v/>
      </c>
      <c r="J52" s="42">
        <f>IFERROR(ROUND(VLOOKUP(A52,[1]bus_journals!B:E,4,0),2),"")</f>
        <v>4.13</v>
      </c>
      <c r="K52" s="23">
        <f>IFERROR(_xlfn.RANK.EQ(J52,J:J),"")</f>
        <v>16</v>
      </c>
      <c r="L52" s="43" t="str">
        <f>IFERROR(ROUND(VLOOKUP(A52,[1]man_journals!B:E,4,0),2),"")</f>
        <v/>
      </c>
      <c r="M52" s="26" t="str">
        <f>IFERROR(_xlfn.RANK.EQ(L52,L:L),"")</f>
        <v/>
      </c>
      <c r="N52" s="2" t="s">
        <v>1273</v>
      </c>
    </row>
    <row r="53" spans="1:15" x14ac:dyDescent="0.25">
      <c r="A53" t="s">
        <v>39</v>
      </c>
      <c r="B53" t="s">
        <v>1360</v>
      </c>
      <c r="C53" s="6">
        <f>IFERROR(VLOOKUP(A53,[1]eco_bus_journals!$B:$D,3,0),"")</f>
        <v>45</v>
      </c>
      <c r="D53" s="37">
        <f>IFERROR(ROUND(VLOOKUP(A53,[1]eco_bus_journals!$B:$X,4,0),2),"")</f>
        <v>1.37</v>
      </c>
      <c r="E53" s="37">
        <f>_xlfn.RANK.EQ(D53,D:D)</f>
        <v>52</v>
      </c>
      <c r="F53" s="44" t="str">
        <f>IFERROR(ROUND(VLOOKUP(A53,[1]eco_journals!B:E,4,0),2),"")</f>
        <v/>
      </c>
      <c r="G53" s="40" t="str">
        <f>IFERROR(_xlfn.RANK.EQ(F53,F:F),"")</f>
        <v/>
      </c>
      <c r="H53" s="46" t="str">
        <f>IFERROR(ROUND(VLOOKUP(A53,[1]fin_journals!B:E,4,0),2),"")</f>
        <v/>
      </c>
      <c r="I53" s="18" t="str">
        <f>IFERROR(_xlfn.RANK.EQ(H53,H:H),"")</f>
        <v/>
      </c>
      <c r="J53" s="42">
        <f>IFERROR(ROUND(VLOOKUP(A53,[1]bus_journals!B:E,4,0),2),"")</f>
        <v>3.85</v>
      </c>
      <c r="K53" s="23">
        <f>IFERROR(_xlfn.RANK.EQ(J53,J:J),"")</f>
        <v>19</v>
      </c>
      <c r="L53" s="43">
        <f>IFERROR(ROUND(VLOOKUP(A53,[1]man_journals!B:E,4,0),2),"")</f>
        <v>2.64</v>
      </c>
      <c r="M53" s="26">
        <f>IFERROR(_xlfn.RANK.EQ(L53,L:L),"")</f>
        <v>15</v>
      </c>
      <c r="N53" s="2" t="s">
        <v>1273</v>
      </c>
      <c r="O53" s="4" t="s">
        <v>1275</v>
      </c>
    </row>
    <row r="54" spans="1:15" x14ac:dyDescent="0.25">
      <c r="A54" t="s">
        <v>103</v>
      </c>
      <c r="B54" t="s">
        <v>1362</v>
      </c>
      <c r="C54" s="6">
        <f>IFERROR(VLOOKUP(A54,[1]eco_bus_journals!$B:$D,3,0),"")</f>
        <v>92</v>
      </c>
      <c r="D54" s="37">
        <f>IFERROR(ROUND(VLOOKUP(A54,[1]eco_bus_journals!$B:$X,4,0),2),"")</f>
        <v>1.24</v>
      </c>
      <c r="E54" s="37">
        <f>_xlfn.RANK.EQ(D54,D:D)</f>
        <v>57</v>
      </c>
      <c r="F54" s="44">
        <f>IFERROR(ROUND(VLOOKUP(A54,[1]eco_journals!B:E,4,0),2),"")</f>
        <v>1.21</v>
      </c>
      <c r="G54" s="40">
        <f>IFERROR(_xlfn.RANK.EQ(F54,F:F),"")</f>
        <v>25</v>
      </c>
      <c r="H54" s="46" t="str">
        <f>IFERROR(ROUND(VLOOKUP(A54,[1]fin_journals!B:E,4,0),2),"")</f>
        <v/>
      </c>
      <c r="I54" s="18" t="str">
        <f>IFERROR(_xlfn.RANK.EQ(H54,H:H),"")</f>
        <v/>
      </c>
      <c r="J54" s="42" t="str">
        <f>IFERROR(ROUND(VLOOKUP(A54,[1]bus_journals!B:E,4,0),2),"")</f>
        <v/>
      </c>
      <c r="K54" s="23" t="str">
        <f>IFERROR(_xlfn.RANK.EQ(J54,J:J),"")</f>
        <v/>
      </c>
      <c r="L54" s="43" t="str">
        <f>IFERROR(ROUND(VLOOKUP(A54,[1]man_journals!B:E,4,0),2),"")</f>
        <v/>
      </c>
      <c r="M54" s="26" t="str">
        <f>IFERROR(_xlfn.RANK.EQ(L54,L:L),"")</f>
        <v/>
      </c>
      <c r="N54" s="1" t="s">
        <v>1272</v>
      </c>
    </row>
    <row r="55" spans="1:15" x14ac:dyDescent="0.25">
      <c r="A55" t="s">
        <v>41</v>
      </c>
      <c r="B55" t="s">
        <v>1360</v>
      </c>
      <c r="C55" s="6">
        <f>IFERROR(VLOOKUP(A55,[1]eco_bus_journals!$B:$D,3,0),"")</f>
        <v>25</v>
      </c>
      <c r="D55" s="37">
        <f>IFERROR(ROUND(VLOOKUP(A55,[1]eco_bus_journals!$B:$X,4,0),2),"")</f>
        <v>1.38</v>
      </c>
      <c r="E55" s="37">
        <f>_xlfn.RANK.EQ(D55,D:D)</f>
        <v>50</v>
      </c>
      <c r="F55" s="44" t="str">
        <f>IFERROR(ROUND(VLOOKUP(A55,[1]eco_journals!B:E,4,0),2),"")</f>
        <v/>
      </c>
      <c r="G55" s="40" t="str">
        <f>IFERROR(_xlfn.RANK.EQ(F55,F:F),"")</f>
        <v/>
      </c>
      <c r="H55" s="46" t="str">
        <f>IFERROR(ROUND(VLOOKUP(A55,[1]fin_journals!B:E,4,0),2),"")</f>
        <v/>
      </c>
      <c r="I55" s="18" t="str">
        <f>IFERROR(_xlfn.RANK.EQ(H55,H:H),"")</f>
        <v/>
      </c>
      <c r="J55" s="42" t="str">
        <f>IFERROR(ROUND(VLOOKUP(A55,[1]bus_journals!B:E,4,0),2),"")</f>
        <v/>
      </c>
      <c r="K55" s="23" t="str">
        <f>IFERROR(_xlfn.RANK.EQ(J55,J:J),"")</f>
        <v/>
      </c>
      <c r="L55" s="43">
        <f>IFERROR(ROUND(VLOOKUP(A55,[1]man_journals!B:E,4,0),2),"")</f>
        <v>3.24</v>
      </c>
      <c r="M55" s="26">
        <f>IFERROR(_xlfn.RANK.EQ(L55,L:L),"")</f>
        <v>12</v>
      </c>
      <c r="N55" s="4" t="s">
        <v>1275</v>
      </c>
    </row>
    <row r="56" spans="1:15" x14ac:dyDescent="0.25">
      <c r="A56" t="s">
        <v>97</v>
      </c>
      <c r="B56" t="s">
        <v>1360</v>
      </c>
      <c r="C56" s="6">
        <f>IFERROR(VLOOKUP(A56,[1]eco_bus_journals!$B:$D,3,0),"")</f>
        <v>40</v>
      </c>
      <c r="D56" s="37">
        <f>IFERROR(ROUND(VLOOKUP(A56,[1]eco_bus_journals!$B:$X,4,0),2),"")</f>
        <v>1.29</v>
      </c>
      <c r="E56" s="37">
        <f>_xlfn.RANK.EQ(D56,D:D)</f>
        <v>54</v>
      </c>
      <c r="F56" s="44">
        <f>IFERROR(ROUND(VLOOKUP(A56,[1]eco_journals!B:E,4,0),2),"")</f>
        <v>1.34</v>
      </c>
      <c r="G56" s="40">
        <f>IFERROR(_xlfn.RANK.EQ(F56,F:F),"")</f>
        <v>23</v>
      </c>
      <c r="H56" s="46" t="str">
        <f>IFERROR(ROUND(VLOOKUP(A56,[1]fin_journals!B:E,4,0),2),"")</f>
        <v/>
      </c>
      <c r="I56" s="18" t="str">
        <f>IFERROR(_xlfn.RANK.EQ(H56,H:H),"")</f>
        <v/>
      </c>
      <c r="J56" s="42" t="str">
        <f>IFERROR(ROUND(VLOOKUP(A56,[1]bus_journals!B:E,4,0),2),"")</f>
        <v/>
      </c>
      <c r="K56" s="23" t="str">
        <f>IFERROR(_xlfn.RANK.EQ(J56,J:J),"")</f>
        <v/>
      </c>
      <c r="L56" s="43" t="str">
        <f>IFERROR(ROUND(VLOOKUP(A56,[1]man_journals!B:E,4,0),2),"")</f>
        <v/>
      </c>
      <c r="M56" s="26" t="str">
        <f>IFERROR(_xlfn.RANK.EQ(L56,L:L),"")</f>
        <v/>
      </c>
      <c r="N56" s="1" t="s">
        <v>1272</v>
      </c>
    </row>
    <row r="57" spans="1:15" x14ac:dyDescent="0.25">
      <c r="A57" t="s">
        <v>42</v>
      </c>
      <c r="B57" t="s">
        <v>1358</v>
      </c>
      <c r="C57" s="6">
        <f>IFERROR(VLOOKUP(A57,[1]eco_bus_journals!$B:$D,3,0),"")</f>
        <v>58</v>
      </c>
      <c r="D57" s="37">
        <f>IFERROR(ROUND(VLOOKUP(A57,[1]eco_bus_journals!$B:$X,4,0),2),"")</f>
        <v>1.27</v>
      </c>
      <c r="E57" s="37">
        <f>_xlfn.RANK.EQ(D57,D:D)</f>
        <v>55</v>
      </c>
      <c r="F57" s="44" t="str">
        <f>IFERROR(ROUND(VLOOKUP(A57,[1]eco_journals!B:E,4,0),2),"")</f>
        <v/>
      </c>
      <c r="G57" s="40" t="str">
        <f>IFERROR(_xlfn.RANK.EQ(F57,F:F),"")</f>
        <v/>
      </c>
      <c r="H57" s="46" t="str">
        <f>IFERROR(ROUND(VLOOKUP(A57,[1]fin_journals!B:E,4,0),2),"")</f>
        <v/>
      </c>
      <c r="I57" s="18" t="str">
        <f>IFERROR(_xlfn.RANK.EQ(H57,H:H),"")</f>
        <v/>
      </c>
      <c r="J57" s="42" t="str">
        <f>IFERROR(ROUND(VLOOKUP(A57,[1]bus_journals!B:E,4,0),2),"")</f>
        <v/>
      </c>
      <c r="K57" s="23" t="str">
        <f>IFERROR(_xlfn.RANK.EQ(J57,J:J),"")</f>
        <v/>
      </c>
      <c r="L57" s="43">
        <f>IFERROR(ROUND(VLOOKUP(A57,[1]man_journals!B:E,4,0),2),"")</f>
        <v>2.76</v>
      </c>
      <c r="M57" s="26">
        <f>IFERROR(_xlfn.RANK.EQ(L57,L:L),"")</f>
        <v>14</v>
      </c>
      <c r="N57" s="4" t="s">
        <v>1275</v>
      </c>
      <c r="O57" t="s">
        <v>1278</v>
      </c>
    </row>
    <row r="58" spans="1:15" x14ac:dyDescent="0.25">
      <c r="A58" t="s">
        <v>47</v>
      </c>
      <c r="B58" t="s">
        <v>1358</v>
      </c>
      <c r="C58" s="6">
        <f>IFERROR(VLOOKUP(A58,[1]eco_bus_journals!$B:$D,3,0),"")</f>
        <v>31</v>
      </c>
      <c r="D58" s="37">
        <f>IFERROR(ROUND(VLOOKUP(A58,[1]eco_bus_journals!$B:$X,4,0),2),"")</f>
        <v>1.27</v>
      </c>
      <c r="E58" s="37">
        <f>_xlfn.RANK.EQ(D58,D:D)</f>
        <v>55</v>
      </c>
      <c r="F58" s="44" t="str">
        <f>IFERROR(ROUND(VLOOKUP(A58,[1]eco_journals!B:E,4,0),2),"")</f>
        <v/>
      </c>
      <c r="G58" s="40" t="str">
        <f>IFERROR(_xlfn.RANK.EQ(F58,F:F),"")</f>
        <v/>
      </c>
      <c r="H58" s="46" t="str">
        <f>IFERROR(ROUND(VLOOKUP(A58,[1]fin_journals!B:E,4,0),2),"")</f>
        <v/>
      </c>
      <c r="I58" s="18" t="str">
        <f>IFERROR(_xlfn.RANK.EQ(H58,H:H),"")</f>
        <v/>
      </c>
      <c r="J58" s="42">
        <f>IFERROR(ROUND(VLOOKUP(A58,[1]bus_journals!B:E,4,0),2),"")</f>
        <v>3.32</v>
      </c>
      <c r="K58" s="23">
        <f>IFERROR(_xlfn.RANK.EQ(J58,J:J),"")</f>
        <v>22</v>
      </c>
      <c r="L58" s="43">
        <f>IFERROR(ROUND(VLOOKUP(A58,[1]man_journals!B:E,4,0),2),"")</f>
        <v>2.36</v>
      </c>
      <c r="M58" s="26">
        <f>IFERROR(_xlfn.RANK.EQ(L58,L:L),"")</f>
        <v>19</v>
      </c>
      <c r="N58" s="2" t="s">
        <v>1273</v>
      </c>
      <c r="O58" s="4" t="s">
        <v>1275</v>
      </c>
    </row>
    <row r="59" spans="1:15" x14ac:dyDescent="0.25">
      <c r="A59" t="s">
        <v>27</v>
      </c>
      <c r="B59" t="s">
        <v>1360</v>
      </c>
      <c r="C59" s="6">
        <f>IFERROR(VLOOKUP(A59,[1]eco_bus_journals!$B:$D,3,0),"")</f>
        <v>21</v>
      </c>
      <c r="D59" s="37">
        <f>IFERROR(ROUND(VLOOKUP(A59,[1]eco_bus_journals!$B:$X,4,0),2),"")</f>
        <v>1.31</v>
      </c>
      <c r="E59" s="37">
        <f>_xlfn.RANK.EQ(D59,D:D)</f>
        <v>53</v>
      </c>
      <c r="F59" s="44" t="str">
        <f>IFERROR(ROUND(VLOOKUP(A59,[1]eco_journals!B:E,4,0),2),"")</f>
        <v/>
      </c>
      <c r="G59" s="40" t="str">
        <f>IFERROR(_xlfn.RANK.EQ(F59,F:F),"")</f>
        <v/>
      </c>
      <c r="H59" s="46" t="str">
        <f>IFERROR(ROUND(VLOOKUP(A59,[1]fin_journals!B:E,4,0),2),"")</f>
        <v/>
      </c>
      <c r="I59" s="18" t="str">
        <f>IFERROR(_xlfn.RANK.EQ(H59,H:H),"")</f>
        <v/>
      </c>
      <c r="J59" s="42">
        <f>IFERROR(ROUND(VLOOKUP(A59,[1]bus_journals!B:E,4,0),2),"")</f>
        <v>2.93</v>
      </c>
      <c r="K59" s="23">
        <f>IFERROR(_xlfn.RANK.EQ(J59,J:J),"")</f>
        <v>25</v>
      </c>
      <c r="L59" s="43">
        <f>IFERROR(ROUND(VLOOKUP(A59,[1]man_journals!B:E,4,0),2),"")</f>
        <v>2.64</v>
      </c>
      <c r="M59" s="26">
        <f>IFERROR(_xlfn.RANK.EQ(L59,L:L),"")</f>
        <v>15</v>
      </c>
      <c r="N59" s="2" t="s">
        <v>1273</v>
      </c>
      <c r="O59" s="4" t="s">
        <v>1275</v>
      </c>
    </row>
    <row r="60" spans="1:15" x14ac:dyDescent="0.25">
      <c r="A60" t="s">
        <v>51</v>
      </c>
      <c r="B60" t="s">
        <v>1355</v>
      </c>
      <c r="C60" s="6">
        <f>IFERROR(VLOOKUP(A60,[1]eco_bus_journals!$B:$D,3,0),"")</f>
        <v>48</v>
      </c>
      <c r="D60" s="37">
        <f>IFERROR(ROUND(VLOOKUP(A60,[1]eco_bus_journals!$B:$X,4,0),2),"")</f>
        <v>1.22</v>
      </c>
      <c r="E60" s="37">
        <f>_xlfn.RANK.EQ(D60,D:D)</f>
        <v>58</v>
      </c>
      <c r="F60" s="44" t="str">
        <f>IFERROR(ROUND(VLOOKUP(A60,[1]eco_journals!B:E,4,0),2),"")</f>
        <v/>
      </c>
      <c r="G60" s="40" t="str">
        <f>IFERROR(_xlfn.RANK.EQ(F60,F:F),"")</f>
        <v/>
      </c>
      <c r="H60" s="46" t="str">
        <f>IFERROR(ROUND(VLOOKUP(A60,[1]fin_journals!B:E,4,0),2),"")</f>
        <v/>
      </c>
      <c r="I60" s="18" t="str">
        <f>IFERROR(_xlfn.RANK.EQ(H60,H:H),"")</f>
        <v/>
      </c>
      <c r="J60" s="42">
        <f>IFERROR(ROUND(VLOOKUP(A60,[1]bus_journals!B:E,4,0),2),"")</f>
        <v>4.29</v>
      </c>
      <c r="K60" s="23">
        <f>IFERROR(_xlfn.RANK.EQ(J60,J:J),"")</f>
        <v>12</v>
      </c>
      <c r="L60" s="43" t="str">
        <f>IFERROR(ROUND(VLOOKUP(A60,[1]man_journals!B:E,4,0),2),"")</f>
        <v/>
      </c>
      <c r="M60" s="26" t="str">
        <f>IFERROR(_xlfn.RANK.EQ(L60,L:L),"")</f>
        <v/>
      </c>
      <c r="N60" s="2" t="s">
        <v>1273</v>
      </c>
    </row>
    <row r="61" spans="1:15" x14ac:dyDescent="0.25">
      <c r="A61" t="s">
        <v>85</v>
      </c>
      <c r="B61" t="s">
        <v>1362</v>
      </c>
      <c r="C61" s="6">
        <f>IFERROR(VLOOKUP(A61,[1]eco_bus_journals!$B:$D,3,0),"")</f>
        <v>39</v>
      </c>
      <c r="D61" s="37">
        <f>IFERROR(ROUND(VLOOKUP(A61,[1]eco_bus_journals!$B:$X,4,0),2),"")</f>
        <v>1.2</v>
      </c>
      <c r="E61" s="37">
        <f>_xlfn.RANK.EQ(D61,D:D)</f>
        <v>60</v>
      </c>
      <c r="F61" s="44">
        <f>IFERROR(ROUND(VLOOKUP(A61,[1]eco_journals!B:E,4,0),2),"")</f>
        <v>1.2</v>
      </c>
      <c r="G61" s="40">
        <f>IFERROR(_xlfn.RANK.EQ(F61,F:F),"")</f>
        <v>26</v>
      </c>
      <c r="H61" s="46" t="str">
        <f>IFERROR(ROUND(VLOOKUP(A61,[1]fin_journals!B:E,4,0),2),"")</f>
        <v/>
      </c>
      <c r="I61" s="18" t="str">
        <f>IFERROR(_xlfn.RANK.EQ(H61,H:H),"")</f>
        <v/>
      </c>
      <c r="J61" s="42" t="str">
        <f>IFERROR(ROUND(VLOOKUP(A61,[1]bus_journals!B:E,4,0),2),"")</f>
        <v/>
      </c>
      <c r="K61" s="23" t="str">
        <f>IFERROR(_xlfn.RANK.EQ(J61,J:J),"")</f>
        <v/>
      </c>
      <c r="L61" s="43" t="str">
        <f>IFERROR(ROUND(VLOOKUP(A61,[1]man_journals!B:E,4,0),2),"")</f>
        <v/>
      </c>
      <c r="M61" s="26" t="str">
        <f>IFERROR(_xlfn.RANK.EQ(L61,L:L),"")</f>
        <v/>
      </c>
      <c r="N61" s="1" t="s">
        <v>1272</v>
      </c>
      <c r="O61" t="s">
        <v>1288</v>
      </c>
    </row>
    <row r="62" spans="1:15" x14ac:dyDescent="0.25">
      <c r="A62" t="s">
        <v>44</v>
      </c>
      <c r="B62" t="s">
        <v>1360</v>
      </c>
      <c r="C62" s="6">
        <f>IFERROR(VLOOKUP(A62,[1]eco_bus_journals!$B:$D,3,0),"")</f>
        <v>33</v>
      </c>
      <c r="D62" s="37">
        <f>IFERROR(ROUND(VLOOKUP(A62,[1]eco_bus_journals!$B:$X,4,0),2),"")</f>
        <v>1.08</v>
      </c>
      <c r="E62" s="37">
        <f>_xlfn.RANK.EQ(D62,D:D)</f>
        <v>69</v>
      </c>
      <c r="F62" s="44" t="str">
        <f>IFERROR(ROUND(VLOOKUP(A62,[1]eco_journals!B:E,4,0),2),"")</f>
        <v/>
      </c>
      <c r="G62" s="40" t="str">
        <f>IFERROR(_xlfn.RANK.EQ(F62,F:F),"")</f>
        <v/>
      </c>
      <c r="H62" s="46" t="str">
        <f>IFERROR(ROUND(VLOOKUP(A62,[1]fin_journals!B:E,4,0),2),"")</f>
        <v/>
      </c>
      <c r="I62" s="18" t="str">
        <f>IFERROR(_xlfn.RANK.EQ(H62,H:H),"")</f>
        <v/>
      </c>
      <c r="J62" s="42">
        <f>IFERROR(ROUND(VLOOKUP(A62,[1]bus_journals!B:E,4,0),2),"")</f>
        <v>3.08</v>
      </c>
      <c r="K62" s="23">
        <f>IFERROR(_xlfn.RANK.EQ(J62,J:J),"")</f>
        <v>24</v>
      </c>
      <c r="L62" s="43">
        <f>IFERROR(ROUND(VLOOKUP(A62,[1]man_journals!B:E,4,0),2),"")</f>
        <v>1.76</v>
      </c>
      <c r="M62" s="26">
        <f>IFERROR(_xlfn.RANK.EQ(L62,L:L),"")</f>
        <v>28</v>
      </c>
      <c r="N62" s="2" t="s">
        <v>1273</v>
      </c>
      <c r="O62" s="4" t="s">
        <v>1275</v>
      </c>
    </row>
    <row r="63" spans="1:15" x14ac:dyDescent="0.25">
      <c r="A63" t="s">
        <v>110</v>
      </c>
      <c r="B63" t="s">
        <v>1373</v>
      </c>
      <c r="C63" s="6">
        <f>IFERROR(VLOOKUP(A63,[1]eco_bus_journals!$B:$D,3,0),"")</f>
        <v>39</v>
      </c>
      <c r="D63" s="37">
        <f>IFERROR(ROUND(VLOOKUP(A63,[1]eco_bus_journals!$B:$X,4,0),2),"")</f>
        <v>1.19</v>
      </c>
      <c r="E63" s="37">
        <f>_xlfn.RANK.EQ(D63,D:D)</f>
        <v>61</v>
      </c>
      <c r="F63" s="44">
        <f>IFERROR(ROUND(VLOOKUP(A63,[1]eco_journals!B:E,4,0),2),"")</f>
        <v>1.17</v>
      </c>
      <c r="G63" s="40">
        <f>IFERROR(_xlfn.RANK.EQ(F63,F:F),"")</f>
        <v>28</v>
      </c>
      <c r="H63" s="46" t="str">
        <f>IFERROR(ROUND(VLOOKUP(A63,[1]fin_journals!B:E,4,0),2),"")</f>
        <v/>
      </c>
      <c r="I63" s="18" t="str">
        <f>IFERROR(_xlfn.RANK.EQ(H63,H:H),"")</f>
        <v/>
      </c>
      <c r="J63" s="42" t="str">
        <f>IFERROR(ROUND(VLOOKUP(A63,[1]bus_journals!B:E,4,0),2),"")</f>
        <v/>
      </c>
      <c r="K63" s="23" t="str">
        <f>IFERROR(_xlfn.RANK.EQ(J63,J:J),"")</f>
        <v/>
      </c>
      <c r="L63" s="43" t="str">
        <f>IFERROR(ROUND(VLOOKUP(A63,[1]man_journals!B:E,4,0),2),"")</f>
        <v/>
      </c>
      <c r="M63" s="26" t="str">
        <f>IFERROR(_xlfn.RANK.EQ(L63,L:L),"")</f>
        <v/>
      </c>
      <c r="N63" s="1" t="s">
        <v>1272</v>
      </c>
      <c r="O63" t="s">
        <v>1283</v>
      </c>
    </row>
    <row r="64" spans="1:15" x14ac:dyDescent="0.25">
      <c r="A64" t="s">
        <v>37</v>
      </c>
      <c r="B64" t="s">
        <v>1358</v>
      </c>
      <c r="C64" s="6">
        <f>IFERROR(VLOOKUP(A64,[1]eco_bus_journals!$B:$D,3,0),"")</f>
        <v>32</v>
      </c>
      <c r="D64" s="37">
        <f>IFERROR(ROUND(VLOOKUP(A64,[1]eco_bus_journals!$B:$X,4,0),2),"")</f>
        <v>1.21</v>
      </c>
      <c r="E64" s="37">
        <f>_xlfn.RANK.EQ(D64,D:D)</f>
        <v>59</v>
      </c>
      <c r="F64" s="44" t="str">
        <f>IFERROR(ROUND(VLOOKUP(A64,[1]eco_journals!B:E,4,0),2),"")</f>
        <v/>
      </c>
      <c r="G64" s="40" t="str">
        <f>IFERROR(_xlfn.RANK.EQ(F64,F:F),"")</f>
        <v/>
      </c>
      <c r="H64" s="46" t="str">
        <f>IFERROR(ROUND(VLOOKUP(A64,[1]fin_journals!B:E,4,0),2),"")</f>
        <v/>
      </c>
      <c r="I64" s="18" t="str">
        <f>IFERROR(_xlfn.RANK.EQ(H64,H:H),"")</f>
        <v/>
      </c>
      <c r="J64" s="42">
        <f>IFERROR(ROUND(VLOOKUP(A64,[1]bus_journals!B:E,4,0),2),"")</f>
        <v>4.1500000000000004</v>
      </c>
      <c r="K64" s="23">
        <f>IFERROR(_xlfn.RANK.EQ(J64,J:J),"")</f>
        <v>15</v>
      </c>
      <c r="L64" s="43" t="str">
        <f>IFERROR(ROUND(VLOOKUP(A64,[1]man_journals!B:E,4,0),2),"")</f>
        <v/>
      </c>
      <c r="M64" s="26" t="str">
        <f>IFERROR(_xlfn.RANK.EQ(L64,L:L),"")</f>
        <v/>
      </c>
      <c r="N64" s="2" t="s">
        <v>1273</v>
      </c>
    </row>
    <row r="65" spans="1:17" x14ac:dyDescent="0.25">
      <c r="A65" t="s">
        <v>68</v>
      </c>
      <c r="B65" t="s">
        <v>1354</v>
      </c>
      <c r="C65" s="6">
        <f>IFERROR(VLOOKUP(A65,[1]eco_bus_journals!$B:$D,3,0),"")</f>
        <v>15</v>
      </c>
      <c r="D65" s="37">
        <f>IFERROR(ROUND(VLOOKUP(A65,[1]eco_bus_journals!$B:$X,4,0),2),"")</f>
        <v>1.0900000000000001</v>
      </c>
      <c r="E65" s="37">
        <f>_xlfn.RANK.EQ(D65,D:D)</f>
        <v>67</v>
      </c>
      <c r="F65" s="44" t="str">
        <f>IFERROR(ROUND(VLOOKUP(A65,[1]eco_journals!B:E,4,0),2),"")</f>
        <v/>
      </c>
      <c r="G65" s="40" t="str">
        <f>IFERROR(_xlfn.RANK.EQ(F65,F:F),"")</f>
        <v/>
      </c>
      <c r="H65" s="46">
        <f>IFERROR(ROUND(VLOOKUP(A65,[1]fin_journals!B:E,4,0),2),"")</f>
        <v>3.49</v>
      </c>
      <c r="I65" s="18">
        <f>IFERROR(_xlfn.RANK.EQ(H65,H:H),"")</f>
        <v>11</v>
      </c>
      <c r="J65" s="42" t="str">
        <f>IFERROR(ROUND(VLOOKUP(A65,[1]bus_journals!B:E,4,0),2),"")</f>
        <v/>
      </c>
      <c r="K65" s="23" t="str">
        <f>IFERROR(_xlfn.RANK.EQ(J65,J:J),"")</f>
        <v/>
      </c>
      <c r="L65" s="43" t="str">
        <f>IFERROR(ROUND(VLOOKUP(A65,[1]man_journals!B:E,4,0),2),"")</f>
        <v/>
      </c>
      <c r="M65" s="26" t="str">
        <f>IFERROR(_xlfn.RANK.EQ(L65,L:L),"")</f>
        <v/>
      </c>
      <c r="N65" s="3" t="s">
        <v>1274</v>
      </c>
    </row>
    <row r="66" spans="1:17" x14ac:dyDescent="0.25">
      <c r="A66" t="s">
        <v>65</v>
      </c>
      <c r="B66" t="s">
        <v>1370</v>
      </c>
      <c r="C66" s="6">
        <f>IFERROR(VLOOKUP(A66,[1]eco_bus_journals!$B:$D,3,0),"")</f>
        <v>82</v>
      </c>
      <c r="D66" s="37">
        <f>IFERROR(ROUND(VLOOKUP(A66,[1]eco_bus_journals!$B:$X,4,0),2),"")</f>
        <v>1.0900000000000001</v>
      </c>
      <c r="E66" s="37">
        <f>_xlfn.RANK.EQ(D66,D:D)</f>
        <v>67</v>
      </c>
      <c r="F66" s="44">
        <f>IFERROR(ROUND(VLOOKUP(A66,[1]eco_journals!B:E,4,0),2),"")</f>
        <v>0.61</v>
      </c>
      <c r="G66" s="40">
        <f>IFERROR(_xlfn.RANK.EQ(F66,F:F),"")</f>
        <v>61</v>
      </c>
      <c r="H66" s="46">
        <f>IFERROR(ROUND(VLOOKUP(A66,[1]fin_journals!B:E,4,0),2),"")</f>
        <v>3.42</v>
      </c>
      <c r="I66" s="18">
        <f>IFERROR(_xlfn.RANK.EQ(H66,H:H),"")</f>
        <v>12</v>
      </c>
      <c r="J66" s="42" t="str">
        <f>IFERROR(ROUND(VLOOKUP(A66,[1]bus_journals!B:E,4,0),2),"")</f>
        <v/>
      </c>
      <c r="K66" s="23" t="str">
        <f>IFERROR(_xlfn.RANK.EQ(J66,J:J),"")</f>
        <v/>
      </c>
      <c r="L66" s="43" t="str">
        <f>IFERROR(ROUND(VLOOKUP(A66,[1]man_journals!B:E,4,0),2),"")</f>
        <v/>
      </c>
      <c r="M66" s="26" t="str">
        <f>IFERROR(_xlfn.RANK.EQ(L66,L:L),"")</f>
        <v/>
      </c>
      <c r="N66" s="3" t="s">
        <v>1274</v>
      </c>
      <c r="O66" s="1" t="s">
        <v>1272</v>
      </c>
    </row>
    <row r="67" spans="1:17" x14ac:dyDescent="0.25">
      <c r="A67" t="s">
        <v>125</v>
      </c>
      <c r="B67" t="s">
        <v>1359</v>
      </c>
      <c r="C67" s="6">
        <f>IFERROR(VLOOKUP(A67,[1]eco_bus_journals!$B:$D,3,0),"")</f>
        <v>19</v>
      </c>
      <c r="D67" s="37">
        <f>IFERROR(ROUND(VLOOKUP(A67,[1]eco_bus_journals!$B:$X,4,0),2),"")</f>
        <v>1.1499999999999999</v>
      </c>
      <c r="E67" s="37">
        <f>_xlfn.RANK.EQ(D67,D:D)</f>
        <v>63</v>
      </c>
      <c r="F67" s="44">
        <f>IFERROR(ROUND(VLOOKUP(A67,[1]eco_journals!B:E,4,0),2),"")</f>
        <v>1.18</v>
      </c>
      <c r="G67" s="40">
        <f>IFERROR(_xlfn.RANK.EQ(F67,F:F),"")</f>
        <v>27</v>
      </c>
      <c r="H67" s="46" t="str">
        <f>IFERROR(ROUND(VLOOKUP(A67,[1]fin_journals!B:E,4,0),2),"")</f>
        <v/>
      </c>
      <c r="I67" s="18" t="str">
        <f>IFERROR(_xlfn.RANK.EQ(H67,H:H),"")</f>
        <v/>
      </c>
      <c r="J67" s="42" t="str">
        <f>IFERROR(ROUND(VLOOKUP(A67,[1]bus_journals!B:E,4,0),2),"")</f>
        <v/>
      </c>
      <c r="K67" s="23" t="str">
        <f>IFERROR(_xlfn.RANK.EQ(J67,J:J),"")</f>
        <v/>
      </c>
      <c r="L67" s="43" t="str">
        <f>IFERROR(ROUND(VLOOKUP(A67,[1]man_journals!B:E,4,0),2),"")</f>
        <v/>
      </c>
      <c r="M67" s="26" t="str">
        <f>IFERROR(_xlfn.RANK.EQ(L67,L:L),"")</f>
        <v/>
      </c>
      <c r="N67" s="1" t="s">
        <v>1272</v>
      </c>
      <c r="O67" t="s">
        <v>1293</v>
      </c>
    </row>
    <row r="68" spans="1:17" x14ac:dyDescent="0.25">
      <c r="A68" t="s">
        <v>49</v>
      </c>
      <c r="B68" t="s">
        <v>1362</v>
      </c>
      <c r="C68" s="6">
        <f>IFERROR(VLOOKUP(A68,[1]eco_bus_journals!$B:$D,3,0),"")</f>
        <v>38</v>
      </c>
      <c r="D68" s="37">
        <f>IFERROR(ROUND(VLOOKUP(A68,[1]eco_bus_journals!$B:$X,4,0),2),"")</f>
        <v>1.1200000000000001</v>
      </c>
      <c r="E68" s="37">
        <f>_xlfn.RANK.EQ(D68,D:D)</f>
        <v>65</v>
      </c>
      <c r="F68" s="44" t="str">
        <f>IFERROR(ROUND(VLOOKUP(A68,[1]eco_journals!B:E,4,0),2),"")</f>
        <v/>
      </c>
      <c r="G68" s="40" t="str">
        <f>IFERROR(_xlfn.RANK.EQ(F68,F:F),"")</f>
        <v/>
      </c>
      <c r="H68" s="46" t="str">
        <f>IFERROR(ROUND(VLOOKUP(A68,[1]fin_journals!B:E,4,0),2),"")</f>
        <v/>
      </c>
      <c r="I68" s="18" t="str">
        <f>IFERROR(_xlfn.RANK.EQ(H68,H:H),"")</f>
        <v/>
      </c>
      <c r="J68" s="42">
        <f>IFERROR(ROUND(VLOOKUP(A68,[1]bus_journals!B:E,4,0),2),"")</f>
        <v>3.94</v>
      </c>
      <c r="K68" s="23">
        <f>IFERROR(_xlfn.RANK.EQ(J68,J:J),"")</f>
        <v>18</v>
      </c>
      <c r="L68" s="43" t="str">
        <f>IFERROR(ROUND(VLOOKUP(A68,[1]man_journals!B:E,4,0),2),"")</f>
        <v/>
      </c>
      <c r="M68" s="26" t="str">
        <f>IFERROR(_xlfn.RANK.EQ(L68,L:L),"")</f>
        <v/>
      </c>
      <c r="N68" s="2" t="s">
        <v>1273</v>
      </c>
    </row>
    <row r="69" spans="1:17" x14ac:dyDescent="0.25">
      <c r="A69" t="s">
        <v>124</v>
      </c>
      <c r="B69" t="s">
        <v>1360</v>
      </c>
      <c r="C69" s="6">
        <f>IFERROR(VLOOKUP(A69,[1]eco_bus_journals!$B:$D,3,0),"")</f>
        <v>46</v>
      </c>
      <c r="D69" s="37">
        <f>IFERROR(ROUND(VLOOKUP(A69,[1]eco_bus_journals!$B:$X,4,0),2),"")</f>
        <v>1.1100000000000001</v>
      </c>
      <c r="E69" s="37">
        <f>_xlfn.RANK.EQ(D69,D:D)</f>
        <v>66</v>
      </c>
      <c r="F69" s="44">
        <f>IFERROR(ROUND(VLOOKUP(A69,[1]eco_journals!B:E,4,0),2),"")</f>
        <v>0.95</v>
      </c>
      <c r="G69" s="40">
        <f>IFERROR(_xlfn.RANK.EQ(F69,F:F),"")</f>
        <v>33</v>
      </c>
      <c r="H69" s="46" t="str">
        <f>IFERROR(ROUND(VLOOKUP(A69,[1]fin_journals!B:E,4,0),2),"")</f>
        <v/>
      </c>
      <c r="I69" s="18" t="str">
        <f>IFERROR(_xlfn.RANK.EQ(H69,H:H),"")</f>
        <v/>
      </c>
      <c r="J69" s="42" t="str">
        <f>IFERROR(ROUND(VLOOKUP(A69,[1]bus_journals!B:E,4,0),2),"")</f>
        <v/>
      </c>
      <c r="K69" s="23" t="str">
        <f>IFERROR(_xlfn.RANK.EQ(J69,J:J),"")</f>
        <v/>
      </c>
      <c r="L69" s="43" t="str">
        <f>IFERROR(ROUND(VLOOKUP(A69,[1]man_journals!B:E,4,0),2),"")</f>
        <v/>
      </c>
      <c r="M69" s="26" t="str">
        <f>IFERROR(_xlfn.RANK.EQ(L69,L:L),"")</f>
        <v/>
      </c>
      <c r="N69" s="1" t="s">
        <v>1272</v>
      </c>
    </row>
    <row r="70" spans="1:17" x14ac:dyDescent="0.25">
      <c r="A70" t="s">
        <v>112</v>
      </c>
      <c r="B70" t="s">
        <v>1359</v>
      </c>
      <c r="C70" s="6">
        <f>IFERROR(VLOOKUP(A70,[1]eco_bus_journals!$B:$D,3,0),"")</f>
        <v>36</v>
      </c>
      <c r="D70" s="37">
        <f>IFERROR(ROUND(VLOOKUP(A70,[1]eco_bus_journals!$B:$X,4,0),2),"")</f>
        <v>1.1499999999999999</v>
      </c>
      <c r="E70" s="37">
        <f>_xlfn.RANK.EQ(D70,D:D)</f>
        <v>63</v>
      </c>
      <c r="F70" s="44">
        <f>IFERROR(ROUND(VLOOKUP(A70,[1]eco_journals!B:E,4,0),2),"")</f>
        <v>1.1599999999999999</v>
      </c>
      <c r="G70" s="40">
        <f>IFERROR(_xlfn.RANK.EQ(F70,F:F),"")</f>
        <v>29</v>
      </c>
      <c r="H70" s="46" t="str">
        <f>IFERROR(ROUND(VLOOKUP(A70,[1]fin_journals!B:E,4,0),2),"")</f>
        <v/>
      </c>
      <c r="I70" s="18" t="str">
        <f>IFERROR(_xlfn.RANK.EQ(H70,H:H),"")</f>
        <v/>
      </c>
      <c r="J70" s="42" t="str">
        <f>IFERROR(ROUND(VLOOKUP(A70,[1]bus_journals!B:E,4,0),2),"")</f>
        <v/>
      </c>
      <c r="K70" s="23" t="str">
        <f>IFERROR(_xlfn.RANK.EQ(J70,J:J),"")</f>
        <v/>
      </c>
      <c r="L70" s="43" t="str">
        <f>IFERROR(ROUND(VLOOKUP(A70,[1]man_journals!B:E,4,0),2),"")</f>
        <v/>
      </c>
      <c r="M70" s="26" t="str">
        <f>IFERROR(_xlfn.RANK.EQ(L70,L:L),"")</f>
        <v/>
      </c>
      <c r="N70" s="1" t="s">
        <v>1272</v>
      </c>
      <c r="O70" t="s">
        <v>1293</v>
      </c>
    </row>
    <row r="71" spans="1:17" x14ac:dyDescent="0.25">
      <c r="A71" t="s">
        <v>53</v>
      </c>
      <c r="B71" t="s">
        <v>1362</v>
      </c>
      <c r="C71" s="6">
        <f>IFERROR(VLOOKUP(A71,[1]eco_bus_journals!$B:$D,3,0),"")</f>
        <v>62</v>
      </c>
      <c r="D71" s="37">
        <f>IFERROR(ROUND(VLOOKUP(A71,[1]eco_bus_journals!$B:$X,4,0),2),"")</f>
        <v>0.98</v>
      </c>
      <c r="E71" s="37">
        <f>_xlfn.RANK.EQ(D71,D:D)</f>
        <v>74</v>
      </c>
      <c r="F71" s="44" t="str">
        <f>IFERROR(ROUND(VLOOKUP(A71,[1]eco_journals!B:E,4,0),2),"")</f>
        <v/>
      </c>
      <c r="G71" s="40" t="str">
        <f>IFERROR(_xlfn.RANK.EQ(F71,F:F),"")</f>
        <v/>
      </c>
      <c r="H71" s="46" t="str">
        <f>IFERROR(ROUND(VLOOKUP(A71,[1]fin_journals!B:E,4,0),2),"")</f>
        <v/>
      </c>
      <c r="I71" s="18" t="str">
        <f>IFERROR(_xlfn.RANK.EQ(H71,H:H),"")</f>
        <v/>
      </c>
      <c r="J71" s="42">
        <f>IFERROR(ROUND(VLOOKUP(A71,[1]bus_journals!B:E,4,0),2),"")</f>
        <v>2.74</v>
      </c>
      <c r="K71" s="23">
        <f>IFERROR(_xlfn.RANK.EQ(J71,J:J),"")</f>
        <v>26</v>
      </c>
      <c r="L71" s="43" t="str">
        <f>IFERROR(ROUND(VLOOKUP(A71,[1]man_journals!B:E,4,0),2),"")</f>
        <v/>
      </c>
      <c r="M71" s="26" t="str">
        <f>IFERROR(_xlfn.RANK.EQ(L71,L:L),"")</f>
        <v/>
      </c>
      <c r="N71" s="2" t="s">
        <v>1273</v>
      </c>
    </row>
    <row r="72" spans="1:17" x14ac:dyDescent="0.25">
      <c r="A72" t="s">
        <v>55</v>
      </c>
      <c r="B72" t="s">
        <v>1360</v>
      </c>
      <c r="C72" s="6">
        <f>IFERROR(VLOOKUP(A72,[1]eco_bus_journals!$B:$D,3,0),"")</f>
        <v>44</v>
      </c>
      <c r="D72" s="37">
        <f>IFERROR(ROUND(VLOOKUP(A72,[1]eco_bus_journals!$B:$X,4,0),2),"")</f>
        <v>1.08</v>
      </c>
      <c r="E72" s="37">
        <f>_xlfn.RANK.EQ(D72,D:D)</f>
        <v>69</v>
      </c>
      <c r="F72" s="44" t="str">
        <f>IFERROR(ROUND(VLOOKUP(A72,[1]eco_journals!B:E,4,0),2),"")</f>
        <v/>
      </c>
      <c r="G72" s="40" t="str">
        <f>IFERROR(_xlfn.RANK.EQ(F72,F:F),"")</f>
        <v/>
      </c>
      <c r="H72" s="46" t="str">
        <f>IFERROR(ROUND(VLOOKUP(A72,[1]fin_journals!B:E,4,0),2),"")</f>
        <v/>
      </c>
      <c r="I72" s="18" t="str">
        <f>IFERROR(_xlfn.RANK.EQ(H72,H:H),"")</f>
        <v/>
      </c>
      <c r="J72" s="42" t="str">
        <f>IFERROR(ROUND(VLOOKUP(A72,[1]bus_journals!B:E,4,0),2),"")</f>
        <v/>
      </c>
      <c r="K72" s="23" t="str">
        <f>IFERROR(_xlfn.RANK.EQ(J72,J:J),"")</f>
        <v/>
      </c>
      <c r="L72" s="43">
        <f>IFERROR(ROUND(VLOOKUP(A72,[1]man_journals!B:E,4,0),2),"")</f>
        <v>2.42</v>
      </c>
      <c r="M72" s="26">
        <f>IFERROR(_xlfn.RANK.EQ(L72,L:L),"")</f>
        <v>18</v>
      </c>
      <c r="N72" s="4" t="s">
        <v>1275</v>
      </c>
      <c r="O72" t="s">
        <v>1277</v>
      </c>
    </row>
    <row r="73" spans="1:17" x14ac:dyDescent="0.25">
      <c r="A73" t="s">
        <v>96</v>
      </c>
      <c r="B73" t="s">
        <v>1366</v>
      </c>
      <c r="C73" s="6">
        <f>IFERROR(VLOOKUP(A73,[1]eco_bus_journals!$B:$D,3,0),"")</f>
        <v>112</v>
      </c>
      <c r="D73" s="37">
        <f>IFERROR(ROUND(VLOOKUP(A73,[1]eco_bus_journals!$B:$X,4,0),2),"")</f>
        <v>1.02</v>
      </c>
      <c r="E73" s="37">
        <f>_xlfn.RANK.EQ(D73,D:D)</f>
        <v>71</v>
      </c>
      <c r="F73" s="44" t="str">
        <f>IFERROR(ROUND(VLOOKUP(A73,[1]eco_journals!B:E,4,0),2),"")</f>
        <v/>
      </c>
      <c r="G73" s="40" t="str">
        <f>IFERROR(_xlfn.RANK.EQ(F73,F:F),"")</f>
        <v/>
      </c>
      <c r="H73" s="46" t="str">
        <f>IFERROR(ROUND(VLOOKUP(A73,[1]fin_journals!B:E,4,0),2),"")</f>
        <v/>
      </c>
      <c r="I73" s="18" t="str">
        <f>IFERROR(_xlfn.RANK.EQ(H73,H:H),"")</f>
        <v/>
      </c>
      <c r="J73" s="42" t="str">
        <f>IFERROR(ROUND(VLOOKUP(A73,[1]bus_journals!B:E,4,0),2),"")</f>
        <v/>
      </c>
      <c r="K73" s="23" t="str">
        <f>IFERROR(_xlfn.RANK.EQ(J73,J:J),"")</f>
        <v/>
      </c>
      <c r="L73" s="43">
        <f>IFERROR(ROUND(VLOOKUP(A73,[1]man_journals!B:E,4,0),2),"")</f>
        <v>2.2200000000000002</v>
      </c>
      <c r="M73" s="26">
        <f>IFERROR(_xlfn.RANK.EQ(L73,L:L),"")</f>
        <v>20</v>
      </c>
      <c r="N73" s="4" t="s">
        <v>1275</v>
      </c>
      <c r="O73" t="s">
        <v>1277</v>
      </c>
    </row>
    <row r="74" spans="1:17" x14ac:dyDescent="0.25">
      <c r="A74" t="s">
        <v>80</v>
      </c>
      <c r="B74" t="s">
        <v>1360</v>
      </c>
      <c r="C74" s="6">
        <f>IFERROR(VLOOKUP(A74,[1]eco_bus_journals!$B:$D,3,0),"")</f>
        <v>113</v>
      </c>
      <c r="D74" s="37">
        <f>IFERROR(ROUND(VLOOKUP(A74,[1]eco_bus_journals!$B:$X,4,0),2),"")</f>
        <v>0.94</v>
      </c>
      <c r="E74" s="37">
        <f>_xlfn.RANK.EQ(D74,D:D)</f>
        <v>79</v>
      </c>
      <c r="F74" s="44" t="str">
        <f>IFERROR(ROUND(VLOOKUP(A74,[1]eco_journals!B:E,4,0),2),"")</f>
        <v/>
      </c>
      <c r="G74" s="40" t="str">
        <f>IFERROR(_xlfn.RANK.EQ(F74,F:F),"")</f>
        <v/>
      </c>
      <c r="H74" s="46">
        <f>IFERROR(ROUND(VLOOKUP(A74,[1]fin_journals!B:E,4,0),2),"")</f>
        <v>3.8</v>
      </c>
      <c r="I74" s="18">
        <f>IFERROR(_xlfn.RANK.EQ(H74,H:H),"")</f>
        <v>10</v>
      </c>
      <c r="J74" s="42" t="str">
        <f>IFERROR(ROUND(VLOOKUP(A74,[1]bus_journals!B:E,4,0),2),"")</f>
        <v/>
      </c>
      <c r="K74" s="23" t="str">
        <f>IFERROR(_xlfn.RANK.EQ(J74,J:J),"")</f>
        <v/>
      </c>
      <c r="L74" s="43" t="str">
        <f>IFERROR(ROUND(VLOOKUP(A74,[1]man_journals!B:E,4,0),2),"")</f>
        <v/>
      </c>
      <c r="M74" s="26" t="str">
        <f>IFERROR(_xlfn.RANK.EQ(L74,L:L),"")</f>
        <v/>
      </c>
      <c r="N74" s="3" t="s">
        <v>1274</v>
      </c>
    </row>
    <row r="75" spans="1:17" x14ac:dyDescent="0.25">
      <c r="A75" t="s">
        <v>117</v>
      </c>
      <c r="B75" t="s">
        <v>1361</v>
      </c>
      <c r="C75" s="6">
        <f>IFERROR(VLOOKUP(A75,[1]eco_bus_journals!$B:$D,3,0),"")</f>
        <v>95</v>
      </c>
      <c r="D75" s="37">
        <f>IFERROR(ROUND(VLOOKUP(A75,[1]eco_bus_journals!$B:$X,4,0),2),"")</f>
        <v>0.99</v>
      </c>
      <c r="E75" s="37">
        <f>_xlfn.RANK.EQ(D75,D:D)</f>
        <v>72</v>
      </c>
      <c r="F75" s="44">
        <f>IFERROR(ROUND(VLOOKUP(A75,[1]eco_journals!B:E,4,0),2),"")</f>
        <v>1.01</v>
      </c>
      <c r="G75" s="40">
        <f>IFERROR(_xlfn.RANK.EQ(F75,F:F),"")</f>
        <v>31</v>
      </c>
      <c r="H75" s="46" t="str">
        <f>IFERROR(ROUND(VLOOKUP(A75,[1]fin_journals!B:E,4,0),2),"")</f>
        <v/>
      </c>
      <c r="I75" s="18" t="str">
        <f>IFERROR(_xlfn.RANK.EQ(H75,H:H),"")</f>
        <v/>
      </c>
      <c r="J75" s="42" t="str">
        <f>IFERROR(ROUND(VLOOKUP(A75,[1]bus_journals!B:E,4,0),2),"")</f>
        <v/>
      </c>
      <c r="K75" s="23" t="str">
        <f>IFERROR(_xlfn.RANK.EQ(J75,J:J),"")</f>
        <v/>
      </c>
      <c r="L75" s="43" t="str">
        <f>IFERROR(ROUND(VLOOKUP(A75,[1]man_journals!B:E,4,0),2),"")</f>
        <v/>
      </c>
      <c r="M75" s="26" t="str">
        <f>IFERROR(_xlfn.RANK.EQ(L75,L:L),"")</f>
        <v/>
      </c>
      <c r="N75" s="1" t="s">
        <v>1272</v>
      </c>
    </row>
    <row r="76" spans="1:17" x14ac:dyDescent="0.25">
      <c r="A76" t="s">
        <v>114</v>
      </c>
      <c r="B76" t="s">
        <v>1354</v>
      </c>
      <c r="C76" s="6">
        <f>IFERROR(VLOOKUP(A76,[1]eco_bus_journals!$B:$D,3,0),"")</f>
        <v>23</v>
      </c>
      <c r="D76" s="37">
        <f>IFERROR(ROUND(VLOOKUP(A76,[1]eco_bus_journals!$B:$X,4,0),2),"")</f>
        <v>0.88</v>
      </c>
      <c r="E76" s="37">
        <f>_xlfn.RANK.EQ(D76,D:D)</f>
        <v>84</v>
      </c>
      <c r="F76" s="44">
        <f>IFERROR(ROUND(VLOOKUP(A76,[1]eco_journals!B:E,4,0),2),"")</f>
        <v>0.86</v>
      </c>
      <c r="G76" s="40">
        <f>IFERROR(_xlfn.RANK.EQ(F76,F:F),"")</f>
        <v>36</v>
      </c>
      <c r="H76" s="46" t="str">
        <f>IFERROR(ROUND(VLOOKUP(A76,[1]fin_journals!B:E,4,0),2),"")</f>
        <v/>
      </c>
      <c r="I76" s="18" t="str">
        <f>IFERROR(_xlfn.RANK.EQ(H76,H:H),"")</f>
        <v/>
      </c>
      <c r="J76" s="42" t="str">
        <f>IFERROR(ROUND(VLOOKUP(A76,[1]bus_journals!B:E,4,0),2),"")</f>
        <v/>
      </c>
      <c r="K76" s="23" t="str">
        <f>IFERROR(_xlfn.RANK.EQ(J76,J:J),"")</f>
        <v/>
      </c>
      <c r="L76" s="43" t="str">
        <f>IFERROR(ROUND(VLOOKUP(A76,[1]man_journals!B:E,4,0),2),"")</f>
        <v/>
      </c>
      <c r="M76" s="26" t="str">
        <f>IFERROR(_xlfn.RANK.EQ(L76,L:L),"")</f>
        <v/>
      </c>
      <c r="N76" s="1" t="s">
        <v>1272</v>
      </c>
    </row>
    <row r="77" spans="1:17" x14ac:dyDescent="0.25">
      <c r="A77" t="s">
        <v>134</v>
      </c>
      <c r="B77" t="s">
        <v>1357</v>
      </c>
      <c r="C77" s="6">
        <f>IFERROR(VLOOKUP(A77,[1]eco_bus_journals!$B:$D,3,0),"")</f>
        <v>34</v>
      </c>
      <c r="D77" s="37">
        <f>IFERROR(ROUND(VLOOKUP(A77,[1]eco_bus_journals!$B:$X,4,0),2),"")</f>
        <v>0.93</v>
      </c>
      <c r="E77" s="37">
        <f>_xlfn.RANK.EQ(D77,D:D)</f>
        <v>80</v>
      </c>
      <c r="F77" s="44">
        <f>IFERROR(ROUND(VLOOKUP(A77,[1]eco_journals!B:E,4,0),2),"")</f>
        <v>0.86</v>
      </c>
      <c r="G77" s="40">
        <f>IFERROR(_xlfn.RANK.EQ(F77,F:F),"")</f>
        <v>36</v>
      </c>
      <c r="H77" s="46" t="str">
        <f>IFERROR(ROUND(VLOOKUP(A77,[1]fin_journals!B:E,4,0),2),"")</f>
        <v/>
      </c>
      <c r="I77" s="18" t="str">
        <f>IFERROR(_xlfn.RANK.EQ(H77,H:H),"")</f>
        <v/>
      </c>
      <c r="J77" s="42" t="str">
        <f>IFERROR(ROUND(VLOOKUP(A77,[1]bus_journals!B:E,4,0),2),"")</f>
        <v/>
      </c>
      <c r="K77" s="23" t="str">
        <f>IFERROR(_xlfn.RANK.EQ(J77,J:J),"")</f>
        <v/>
      </c>
      <c r="L77" s="43" t="str">
        <f>IFERROR(ROUND(VLOOKUP(A77,[1]man_journals!B:E,4,0),2),"")</f>
        <v/>
      </c>
      <c r="M77" s="26" t="str">
        <f>IFERROR(_xlfn.RANK.EQ(L77,L:L),"")</f>
        <v/>
      </c>
      <c r="N77" s="1" t="s">
        <v>1272</v>
      </c>
    </row>
    <row r="78" spans="1:17" x14ac:dyDescent="0.25">
      <c r="A78" t="s">
        <v>60</v>
      </c>
      <c r="B78" t="s">
        <v>1362</v>
      </c>
      <c r="C78" s="6">
        <f>IFERROR(VLOOKUP(A78,[1]eco_bus_journals!$B:$D,3,0),"")</f>
        <v>47</v>
      </c>
      <c r="D78" s="37">
        <f>IFERROR(ROUND(VLOOKUP(A78,[1]eco_bus_journals!$B:$X,4,0),2),"")</f>
        <v>0.97</v>
      </c>
      <c r="E78" s="37">
        <f>_xlfn.RANK.EQ(D78,D:D)</f>
        <v>76</v>
      </c>
      <c r="F78" s="44" t="str">
        <f>IFERROR(ROUND(VLOOKUP(A78,[1]eco_journals!B:E,4,0),2),"")</f>
        <v/>
      </c>
      <c r="G78" s="40" t="str">
        <f>IFERROR(_xlfn.RANK.EQ(F78,F:F),"")</f>
        <v/>
      </c>
      <c r="H78" s="46" t="str">
        <f>IFERROR(ROUND(VLOOKUP(A78,[1]fin_journals!B:E,4,0),2),"")</f>
        <v/>
      </c>
      <c r="I78" s="18" t="str">
        <f>IFERROR(_xlfn.RANK.EQ(H78,H:H),"")</f>
        <v/>
      </c>
      <c r="J78" s="42">
        <f>IFERROR(ROUND(VLOOKUP(A78,[1]bus_journals!B:E,4,0),2),"")</f>
        <v>3.29</v>
      </c>
      <c r="K78" s="23">
        <f>IFERROR(_xlfn.RANK.EQ(J78,J:J),"")</f>
        <v>23</v>
      </c>
      <c r="L78" s="43" t="str">
        <f>IFERROR(ROUND(VLOOKUP(A78,[1]man_journals!B:E,4,0),2),"")</f>
        <v/>
      </c>
      <c r="M78" s="26" t="str">
        <f>IFERROR(_xlfn.RANK.EQ(L78,L:L),"")</f>
        <v/>
      </c>
      <c r="N78" s="2" t="s">
        <v>1273</v>
      </c>
    </row>
    <row r="79" spans="1:17" x14ac:dyDescent="0.25">
      <c r="A79" t="s">
        <v>61</v>
      </c>
      <c r="B79" t="s">
        <v>1362</v>
      </c>
      <c r="C79" s="6">
        <f>IFERROR(VLOOKUP(A79,[1]eco_bus_journals!$B:$D,3,0),"")</f>
        <v>56</v>
      </c>
      <c r="D79" s="37">
        <f>IFERROR(ROUND(VLOOKUP(A79,[1]eco_bus_journals!$B:$X,4,0),2),"")</f>
        <v>0.98</v>
      </c>
      <c r="E79" s="37">
        <f>_xlfn.RANK.EQ(D79,D:D)</f>
        <v>74</v>
      </c>
      <c r="F79" s="44" t="str">
        <f>IFERROR(ROUND(VLOOKUP(A79,[1]eco_journals!B:E,4,0),2),"")</f>
        <v/>
      </c>
      <c r="G79" s="40" t="str">
        <f>IFERROR(_xlfn.RANK.EQ(F79,F:F),"")</f>
        <v/>
      </c>
      <c r="H79" s="46" t="str">
        <f>IFERROR(ROUND(VLOOKUP(A79,[1]fin_journals!B:E,4,0),2),"")</f>
        <v/>
      </c>
      <c r="I79" s="18" t="str">
        <f>IFERROR(_xlfn.RANK.EQ(H79,H:H),"")</f>
        <v/>
      </c>
      <c r="J79" s="42">
        <f>IFERROR(ROUND(VLOOKUP(A79,[1]bus_journals!B:E,4,0),2),"")</f>
        <v>2.61</v>
      </c>
      <c r="K79" s="23">
        <f>IFERROR(_xlfn.RANK.EQ(J79,J:J),"")</f>
        <v>27</v>
      </c>
      <c r="L79" s="43">
        <f>IFERROR(ROUND(VLOOKUP(A79,[1]man_journals!B:E,4,0),2),"")</f>
        <v>2.11</v>
      </c>
      <c r="M79" s="26">
        <f>IFERROR(_xlfn.RANK.EQ(L79,L:L),"")</f>
        <v>22</v>
      </c>
      <c r="N79" s="2" t="s">
        <v>1273</v>
      </c>
      <c r="O79" t="s">
        <v>1284</v>
      </c>
      <c r="P79" s="4" t="s">
        <v>1275</v>
      </c>
      <c r="Q79" t="s">
        <v>1285</v>
      </c>
    </row>
    <row r="80" spans="1:17" x14ac:dyDescent="0.25">
      <c r="A80" t="s">
        <v>59</v>
      </c>
      <c r="B80" t="s">
        <v>1356</v>
      </c>
      <c r="C80" s="6">
        <f>IFERROR(VLOOKUP(A80,[1]eco_bus_journals!$B:$D,3,0),"")</f>
        <v>22</v>
      </c>
      <c r="D80" s="37">
        <f>IFERROR(ROUND(VLOOKUP(A80,[1]eco_bus_journals!$B:$X,4,0),2),"")</f>
        <v>0.91</v>
      </c>
      <c r="E80" s="37">
        <f>_xlfn.RANK.EQ(D80,D:D)</f>
        <v>81</v>
      </c>
      <c r="F80" s="44" t="str">
        <f>IFERROR(ROUND(VLOOKUP(A80,[1]eco_journals!B:E,4,0),2),"")</f>
        <v/>
      </c>
      <c r="G80" s="40" t="str">
        <f>IFERROR(_xlfn.RANK.EQ(F80,F:F),"")</f>
        <v/>
      </c>
      <c r="H80" s="46" t="str">
        <f>IFERROR(ROUND(VLOOKUP(A80,[1]fin_journals!B:E,4,0),2),"")</f>
        <v/>
      </c>
      <c r="I80" s="18" t="str">
        <f>IFERROR(_xlfn.RANK.EQ(H80,H:H),"")</f>
        <v/>
      </c>
      <c r="J80" s="42" t="str">
        <f>IFERROR(ROUND(VLOOKUP(A80,[1]bus_journals!B:E,4,0),2),"")</f>
        <v/>
      </c>
      <c r="K80" s="23" t="str">
        <f>IFERROR(_xlfn.RANK.EQ(J80,J:J),"")</f>
        <v/>
      </c>
      <c r="L80" s="43">
        <f>IFERROR(ROUND(VLOOKUP(A80,[1]man_journals!B:E,4,0),2),"")</f>
        <v>2.1</v>
      </c>
      <c r="M80" s="26">
        <f>IFERROR(_xlfn.RANK.EQ(L80,L:L),"")</f>
        <v>23</v>
      </c>
      <c r="N80" t="s">
        <v>1286</v>
      </c>
      <c r="O80" s="4" t="s">
        <v>1275</v>
      </c>
    </row>
    <row r="81" spans="1:15" x14ac:dyDescent="0.25">
      <c r="A81" t="s">
        <v>45</v>
      </c>
      <c r="B81" t="s">
        <v>1358</v>
      </c>
      <c r="C81" s="6">
        <f>IFERROR(VLOOKUP(A81,[1]eco_bus_journals!$B:$D,3,0),"")</f>
        <v>90</v>
      </c>
      <c r="D81" s="37">
        <f>IFERROR(ROUND(VLOOKUP(A81,[1]eco_bus_journals!$B:$X,4,0),2),"")</f>
        <v>1.17</v>
      </c>
      <c r="E81" s="37">
        <f>_xlfn.RANK.EQ(D81,D:D)</f>
        <v>62</v>
      </c>
      <c r="F81" s="44" t="str">
        <f>IFERROR(ROUND(VLOOKUP(A81,[1]eco_journals!B:E,4,0),2),"")</f>
        <v/>
      </c>
      <c r="G81" s="40" t="str">
        <f>IFERROR(_xlfn.RANK.EQ(F81,F:F),"")</f>
        <v/>
      </c>
      <c r="H81" s="46" t="str">
        <f>IFERROR(ROUND(VLOOKUP(A81,[1]fin_journals!B:E,4,0),2),"")</f>
        <v/>
      </c>
      <c r="I81" s="18" t="str">
        <f>IFERROR(_xlfn.RANK.EQ(H81,H:H),"")</f>
        <v/>
      </c>
      <c r="J81" s="42" t="str">
        <f>IFERROR(ROUND(VLOOKUP(A81,[1]bus_journals!B:E,4,0),2),"")</f>
        <v/>
      </c>
      <c r="K81" s="23" t="str">
        <f>IFERROR(_xlfn.RANK.EQ(J81,J:J),"")</f>
        <v/>
      </c>
      <c r="L81" s="43">
        <f>IFERROR(ROUND(VLOOKUP(A81,[1]man_journals!B:E,4,0),2),"")</f>
        <v>2.4700000000000002</v>
      </c>
      <c r="M81" s="26">
        <f>IFERROR(_xlfn.RANK.EQ(L81,L:L),"")</f>
        <v>17</v>
      </c>
      <c r="N81" s="4" t="s">
        <v>1275</v>
      </c>
    </row>
    <row r="82" spans="1:15" x14ac:dyDescent="0.25">
      <c r="A82" t="s">
        <v>74</v>
      </c>
      <c r="B82" t="s">
        <v>1362</v>
      </c>
      <c r="C82" s="6">
        <f>IFERROR(VLOOKUP(A82,[1]eco_bus_journals!$B:$D,3,0),"")</f>
        <v>42</v>
      </c>
      <c r="D82" s="37">
        <f>IFERROR(ROUND(VLOOKUP(A82,[1]eco_bus_journals!$B:$X,4,0),2),"")</f>
        <v>0.95</v>
      </c>
      <c r="E82" s="37">
        <f>_xlfn.RANK.EQ(D82,D:D)</f>
        <v>77</v>
      </c>
      <c r="F82" s="44" t="str">
        <f>IFERROR(ROUND(VLOOKUP(A82,[1]eco_journals!B:E,4,0),2),"")</f>
        <v/>
      </c>
      <c r="G82" s="40" t="str">
        <f>IFERROR(_xlfn.RANK.EQ(F82,F:F),"")</f>
        <v/>
      </c>
      <c r="H82" s="46">
        <f>IFERROR(ROUND(VLOOKUP(A82,[1]fin_journals!B:E,4,0),2),"")</f>
        <v>3.28</v>
      </c>
      <c r="I82" s="18">
        <f>IFERROR(_xlfn.RANK.EQ(H82,H:H),"")</f>
        <v>13</v>
      </c>
      <c r="J82" s="42" t="str">
        <f>IFERROR(ROUND(VLOOKUP(A82,[1]bus_journals!B:E,4,0),2),"")</f>
        <v/>
      </c>
      <c r="K82" s="23" t="str">
        <f>IFERROR(_xlfn.RANK.EQ(J82,J:J),"")</f>
        <v/>
      </c>
      <c r="L82" s="43" t="str">
        <f>IFERROR(ROUND(VLOOKUP(A82,[1]man_journals!B:E,4,0),2),"")</f>
        <v/>
      </c>
      <c r="M82" s="26" t="str">
        <f>IFERROR(_xlfn.RANK.EQ(L82,L:L),"")</f>
        <v/>
      </c>
      <c r="N82" s="3" t="s">
        <v>1274</v>
      </c>
    </row>
    <row r="83" spans="1:15" x14ac:dyDescent="0.25">
      <c r="A83" t="s">
        <v>132</v>
      </c>
      <c r="B83" t="s">
        <v>1361</v>
      </c>
      <c r="C83" s="6">
        <f>IFERROR(VLOOKUP(A83,[1]eco_bus_journals!$B:$D,3,0),"")</f>
        <v>62</v>
      </c>
      <c r="D83" s="37">
        <f>IFERROR(ROUND(VLOOKUP(A83,[1]eco_bus_journals!$B:$X,4,0),2),"")</f>
        <v>0.9</v>
      </c>
      <c r="E83" s="37">
        <f>_xlfn.RANK.EQ(D83,D:D)</f>
        <v>83</v>
      </c>
      <c r="F83" s="44">
        <f>IFERROR(ROUND(VLOOKUP(A83,[1]eco_journals!B:E,4,0),2),"")</f>
        <v>0.84</v>
      </c>
      <c r="G83" s="40">
        <f>IFERROR(_xlfn.RANK.EQ(F83,F:F),"")</f>
        <v>39</v>
      </c>
      <c r="H83" s="46">
        <f>IFERROR(ROUND(VLOOKUP(A83,[1]fin_journals!B:E,4,0),2),"")</f>
        <v>0.21</v>
      </c>
      <c r="I83" s="18">
        <f>IFERROR(_xlfn.RANK.EQ(H83,H:H),"")</f>
        <v>94</v>
      </c>
      <c r="J83" s="42" t="str">
        <f>IFERROR(ROUND(VLOOKUP(A83,[1]bus_journals!B:E,4,0),2),"")</f>
        <v/>
      </c>
      <c r="K83" s="23" t="str">
        <f>IFERROR(_xlfn.RANK.EQ(J83,J:J),"")</f>
        <v/>
      </c>
      <c r="L83" s="43">
        <f>IFERROR(ROUND(VLOOKUP(A83,[1]man_journals!B:E,4,0),2),"")</f>
        <v>1.8</v>
      </c>
      <c r="M83" s="26">
        <f>IFERROR(_xlfn.RANK.EQ(L83,L:L),"")</f>
        <v>27</v>
      </c>
      <c r="N83" s="1" t="s">
        <v>1272</v>
      </c>
    </row>
    <row r="84" spans="1:15" x14ac:dyDescent="0.25">
      <c r="A84" t="s">
        <v>54</v>
      </c>
      <c r="B84" t="s">
        <v>1362</v>
      </c>
      <c r="C84" s="6">
        <f>IFERROR(VLOOKUP(A84,[1]eco_bus_journals!$B:$D,3,0),"")</f>
        <v>83</v>
      </c>
      <c r="D84" s="37">
        <f>IFERROR(ROUND(VLOOKUP(A84,[1]eco_bus_journals!$B:$X,4,0),2),"")</f>
        <v>0.91</v>
      </c>
      <c r="E84" s="37">
        <f>_xlfn.RANK.EQ(D84,D:D)</f>
        <v>81</v>
      </c>
      <c r="F84" s="44" t="str">
        <f>IFERROR(ROUND(VLOOKUP(A84,[1]eco_journals!B:E,4,0),2),"")</f>
        <v/>
      </c>
      <c r="G84" s="40" t="str">
        <f>IFERROR(_xlfn.RANK.EQ(F84,F:F),"")</f>
        <v/>
      </c>
      <c r="H84" s="46" t="str">
        <f>IFERROR(ROUND(VLOOKUP(A84,[1]fin_journals!B:E,4,0),2),"")</f>
        <v/>
      </c>
      <c r="I84" s="18" t="str">
        <f>IFERROR(_xlfn.RANK.EQ(H84,H:H),"")</f>
        <v/>
      </c>
      <c r="J84" s="42">
        <f>IFERROR(ROUND(VLOOKUP(A84,[1]bus_journals!B:E,4,0),2),"")</f>
        <v>2.4500000000000002</v>
      </c>
      <c r="K84" s="23">
        <f>IFERROR(_xlfn.RANK.EQ(J84,J:J),"")</f>
        <v>29</v>
      </c>
      <c r="L84" s="43" t="str">
        <f>IFERROR(ROUND(VLOOKUP(A84,[1]man_journals!B:E,4,0),2),"")</f>
        <v/>
      </c>
      <c r="M84" s="26" t="str">
        <f>IFERROR(_xlfn.RANK.EQ(L84,L:L),"")</f>
        <v/>
      </c>
      <c r="N84" s="2" t="s">
        <v>1273</v>
      </c>
    </row>
    <row r="85" spans="1:15" x14ac:dyDescent="0.25">
      <c r="A85" t="s">
        <v>187</v>
      </c>
      <c r="B85" t="s">
        <v>1363</v>
      </c>
      <c r="C85" s="6">
        <f>IFERROR(VLOOKUP(A85,[1]eco_bus_journals!$B:$D,3,0),"")</f>
        <v>24</v>
      </c>
      <c r="D85" s="37">
        <f>IFERROR(ROUND(VLOOKUP(A85,[1]eco_bus_journals!$B:$X,4,0),2),"")</f>
        <v>0.85</v>
      </c>
      <c r="E85" s="37">
        <f>_xlfn.RANK.EQ(D85,D:D)</f>
        <v>85</v>
      </c>
      <c r="F85" s="44">
        <f>IFERROR(ROUND(VLOOKUP(A85,[1]eco_journals!B:E,4,0),2),"")</f>
        <v>0.92</v>
      </c>
      <c r="G85" s="40">
        <f>IFERROR(_xlfn.RANK.EQ(F85,F:F),"")</f>
        <v>34</v>
      </c>
      <c r="H85" s="46">
        <f>IFERROR(ROUND(VLOOKUP(A85,[1]fin_journals!B:E,4,0),2),"")</f>
        <v>1.34</v>
      </c>
      <c r="I85" s="18">
        <f>IFERROR(_xlfn.RANK.EQ(H85,H:H),"")</f>
        <v>27</v>
      </c>
      <c r="J85" s="42" t="str">
        <f>IFERROR(ROUND(VLOOKUP(A85,[1]bus_journals!B:E,4,0),2),"")</f>
        <v/>
      </c>
      <c r="K85" s="23" t="str">
        <f>IFERROR(_xlfn.RANK.EQ(J85,J:J),"")</f>
        <v/>
      </c>
      <c r="L85" s="43" t="str">
        <f>IFERROR(ROUND(VLOOKUP(A85,[1]man_journals!B:E,4,0),2),"")</f>
        <v/>
      </c>
      <c r="M85" s="26" t="str">
        <f>IFERROR(_xlfn.RANK.EQ(L85,L:L),"")</f>
        <v/>
      </c>
      <c r="N85" s="3" t="s">
        <v>1274</v>
      </c>
      <c r="O85" s="1" t="s">
        <v>1272</v>
      </c>
    </row>
    <row r="86" spans="1:15" x14ac:dyDescent="0.25">
      <c r="A86" t="s">
        <v>127</v>
      </c>
      <c r="B86" t="s">
        <v>1374</v>
      </c>
      <c r="C86" s="6">
        <f>IFERROR(VLOOKUP(A86,[1]eco_bus_journals!$B:$D,3,0),"")</f>
        <v>45</v>
      </c>
      <c r="D86" s="37">
        <f>IFERROR(ROUND(VLOOKUP(A86,[1]eco_bus_journals!$B:$X,4,0),2),"")</f>
        <v>0.99</v>
      </c>
      <c r="E86" s="37">
        <f>_xlfn.RANK.EQ(D86,D:D)</f>
        <v>72</v>
      </c>
      <c r="F86" s="44">
        <f>IFERROR(ROUND(VLOOKUP(A86,[1]eco_journals!B:E,4,0),2),"")</f>
        <v>0.98</v>
      </c>
      <c r="G86" s="40">
        <f>IFERROR(_xlfn.RANK.EQ(F86,F:F),"")</f>
        <v>32</v>
      </c>
      <c r="H86" s="46" t="str">
        <f>IFERROR(ROUND(VLOOKUP(A86,[1]fin_journals!B:E,4,0),2),"")</f>
        <v/>
      </c>
      <c r="I86" s="18" t="str">
        <f>IFERROR(_xlfn.RANK.EQ(H86,H:H),"")</f>
        <v/>
      </c>
      <c r="J86" s="42" t="str">
        <f>IFERROR(ROUND(VLOOKUP(A86,[1]bus_journals!B:E,4,0),2),"")</f>
        <v/>
      </c>
      <c r="K86" s="23" t="str">
        <f>IFERROR(_xlfn.RANK.EQ(J86,J:J),"")</f>
        <v/>
      </c>
      <c r="L86" s="43" t="str">
        <f>IFERROR(ROUND(VLOOKUP(A86,[1]man_journals!B:E,4,0),2),"")</f>
        <v/>
      </c>
      <c r="M86" s="26" t="str">
        <f>IFERROR(_xlfn.RANK.EQ(L86,L:L),"")</f>
        <v/>
      </c>
      <c r="N86" s="1" t="s">
        <v>1272</v>
      </c>
    </row>
    <row r="87" spans="1:15" x14ac:dyDescent="0.25">
      <c r="A87" t="s">
        <v>73</v>
      </c>
      <c r="B87" t="s">
        <v>1362</v>
      </c>
      <c r="C87" s="6">
        <f>IFERROR(VLOOKUP(A87,[1]eco_bus_journals!$B:$D,3,0),"")</f>
        <v>234</v>
      </c>
      <c r="D87" s="37">
        <f>IFERROR(ROUND(VLOOKUP(A87,[1]eco_bus_journals!$B:$X,4,0),2),"")</f>
        <v>0.85</v>
      </c>
      <c r="E87" s="37">
        <f>_xlfn.RANK.EQ(D87,D:D)</f>
        <v>85</v>
      </c>
      <c r="F87" s="44" t="str">
        <f>IFERROR(ROUND(VLOOKUP(A87,[1]eco_journals!B:E,4,0),2),"")</f>
        <v/>
      </c>
      <c r="G87" s="40" t="str">
        <f>IFERROR(_xlfn.RANK.EQ(F87,F:F),"")</f>
        <v/>
      </c>
      <c r="H87" s="46">
        <f>IFERROR(ROUND(VLOOKUP(A87,[1]fin_journals!B:E,4,0),2),"")</f>
        <v>1.87</v>
      </c>
      <c r="I87" s="18">
        <f>IFERROR(_xlfn.RANK.EQ(H87,H:H),"")</f>
        <v>17</v>
      </c>
      <c r="J87" s="42" t="str">
        <f>IFERROR(ROUND(VLOOKUP(A87,[1]bus_journals!B:E,4,0),2),"")</f>
        <v/>
      </c>
      <c r="K87" s="23" t="str">
        <f>IFERROR(_xlfn.RANK.EQ(J87,J:J),"")</f>
        <v/>
      </c>
      <c r="L87" s="43" t="str">
        <f>IFERROR(ROUND(VLOOKUP(A87,[1]man_journals!B:E,4,0),2),"")</f>
        <v/>
      </c>
      <c r="M87" s="26" t="str">
        <f>IFERROR(_xlfn.RANK.EQ(L87,L:L),"")</f>
        <v/>
      </c>
      <c r="N87" s="3" t="s">
        <v>1274</v>
      </c>
    </row>
    <row r="88" spans="1:15" x14ac:dyDescent="0.25">
      <c r="A88" t="s">
        <v>189</v>
      </c>
      <c r="B88" t="s">
        <v>1362</v>
      </c>
      <c r="C88" s="6">
        <f>IFERROR(VLOOKUP(A88,[1]eco_bus_journals!$B:$D,3,0),"")</f>
        <v>192</v>
      </c>
      <c r="D88" s="37">
        <f>IFERROR(ROUND(VLOOKUP(A88,[1]eco_bus_journals!$B:$X,4,0),2),"")</f>
        <v>0.84</v>
      </c>
      <c r="E88" s="37">
        <f>_xlfn.RANK.EQ(D88,D:D)</f>
        <v>87</v>
      </c>
      <c r="F88" s="44">
        <f>IFERROR(ROUND(VLOOKUP(A88,[1]eco_journals!B:E,4,0),2),"")</f>
        <v>0.8</v>
      </c>
      <c r="G88" s="40">
        <f>IFERROR(_xlfn.RANK.EQ(F88,F:F),"")</f>
        <v>41</v>
      </c>
      <c r="H88" s="46" t="str">
        <f>IFERROR(ROUND(VLOOKUP(A88,[1]fin_journals!B:E,4,0),2),"")</f>
        <v/>
      </c>
      <c r="I88" s="18" t="str">
        <f>IFERROR(_xlfn.RANK.EQ(H88,H:H),"")</f>
        <v/>
      </c>
      <c r="J88" s="42" t="str">
        <f>IFERROR(ROUND(VLOOKUP(A88,[1]bus_journals!B:E,4,0),2),"")</f>
        <v/>
      </c>
      <c r="K88" s="23" t="str">
        <f>IFERROR(_xlfn.RANK.EQ(J88,J:J),"")</f>
        <v/>
      </c>
      <c r="L88" s="43" t="str">
        <f>IFERROR(ROUND(VLOOKUP(A88,[1]man_journals!B:E,4,0),2),"")</f>
        <v/>
      </c>
      <c r="M88" s="26" t="str">
        <f>IFERROR(_xlfn.RANK.EQ(L88,L:L),"")</f>
        <v/>
      </c>
      <c r="N88" s="1" t="s">
        <v>1272</v>
      </c>
    </row>
    <row r="89" spans="1:15" x14ac:dyDescent="0.25">
      <c r="A89" t="s">
        <v>129</v>
      </c>
      <c r="B89" t="s">
        <v>1361</v>
      </c>
      <c r="C89" s="6">
        <f>IFERROR(VLOOKUP(A89,[1]eco_bus_journals!$B:$D,3,0),"")</f>
        <v>21</v>
      </c>
      <c r="D89" s="37">
        <f>IFERROR(ROUND(VLOOKUP(A89,[1]eco_bus_journals!$B:$X,4,0),2),"")</f>
        <v>0.83</v>
      </c>
      <c r="E89" s="37">
        <f>_xlfn.RANK.EQ(D89,D:D)</f>
        <v>90</v>
      </c>
      <c r="F89" s="44">
        <f>IFERROR(ROUND(VLOOKUP(A89,[1]eco_journals!B:E,4,0),2),"")</f>
        <v>0.63</v>
      </c>
      <c r="G89" s="40">
        <f>IFERROR(_xlfn.RANK.EQ(F89,F:F),"")</f>
        <v>60</v>
      </c>
      <c r="H89" s="46">
        <f>IFERROR(ROUND(VLOOKUP(A89,[1]fin_journals!B:E,4,0),2),"")</f>
        <v>1.51</v>
      </c>
      <c r="I89" s="18">
        <f>IFERROR(_xlfn.RANK.EQ(H89,H:H),"")</f>
        <v>22</v>
      </c>
      <c r="J89" s="42" t="str">
        <f>IFERROR(ROUND(VLOOKUP(A89,[1]bus_journals!B:E,4,0),2),"")</f>
        <v/>
      </c>
      <c r="K89" s="23" t="str">
        <f>IFERROR(_xlfn.RANK.EQ(J89,J:J),"")</f>
        <v/>
      </c>
      <c r="L89" s="43" t="str">
        <f>IFERROR(ROUND(VLOOKUP(A89,[1]man_journals!B:E,4,0),2),"")</f>
        <v/>
      </c>
      <c r="M89" s="26" t="str">
        <f>IFERROR(_xlfn.RANK.EQ(L89,L:L),"")</f>
        <v/>
      </c>
      <c r="N89" s="3" t="s">
        <v>1274</v>
      </c>
      <c r="O89" s="1" t="s">
        <v>1272</v>
      </c>
    </row>
    <row r="90" spans="1:15" x14ac:dyDescent="0.25">
      <c r="A90" t="s">
        <v>67</v>
      </c>
      <c r="B90" t="s">
        <v>1358</v>
      </c>
      <c r="C90" s="6">
        <f>IFERROR(VLOOKUP(A90,[1]eco_bus_journals!$B:$D,3,0),"")</f>
        <v>53</v>
      </c>
      <c r="D90" s="37">
        <f>IFERROR(ROUND(VLOOKUP(A90,[1]eco_bus_journals!$B:$X,4,0),2),"")</f>
        <v>0.84</v>
      </c>
      <c r="E90" s="37">
        <f>_xlfn.RANK.EQ(D90,D:D)</f>
        <v>87</v>
      </c>
      <c r="F90" s="44" t="str">
        <f>IFERROR(ROUND(VLOOKUP(A90,[1]eco_journals!B:E,4,0),2),"")</f>
        <v/>
      </c>
      <c r="G90" s="40" t="str">
        <f>IFERROR(_xlfn.RANK.EQ(F90,F:F),"")</f>
        <v/>
      </c>
      <c r="H90" s="46" t="str">
        <f>IFERROR(ROUND(VLOOKUP(A90,[1]fin_journals!B:E,4,0),2),"")</f>
        <v/>
      </c>
      <c r="I90" s="18" t="str">
        <f>IFERROR(_xlfn.RANK.EQ(H90,H:H),"")</f>
        <v/>
      </c>
      <c r="J90" s="42">
        <f>IFERROR(ROUND(VLOOKUP(A90,[1]bus_journals!B:E,4,0),2),"")</f>
        <v>1.97</v>
      </c>
      <c r="K90" s="23">
        <f>IFERROR(_xlfn.RANK.EQ(J90,J:J),"")</f>
        <v>35</v>
      </c>
      <c r="L90" s="43">
        <f>IFERROR(ROUND(VLOOKUP(A90,[1]man_journals!B:E,4,0),2),"")</f>
        <v>1.88</v>
      </c>
      <c r="M90" s="26">
        <f>IFERROR(_xlfn.RANK.EQ(L90,L:L),"")</f>
        <v>24</v>
      </c>
      <c r="N90" s="2" t="s">
        <v>1273</v>
      </c>
      <c r="O90" s="4" t="s">
        <v>1275</v>
      </c>
    </row>
    <row r="91" spans="1:15" x14ac:dyDescent="0.25">
      <c r="A91" t="s">
        <v>163</v>
      </c>
      <c r="B91" t="s">
        <v>1370</v>
      </c>
      <c r="C91" s="6">
        <f>IFERROR(VLOOKUP(A91,[1]eco_bus_journals!$B:$D,3,0),"")</f>
        <v>70</v>
      </c>
      <c r="D91" s="37">
        <f>IFERROR(ROUND(VLOOKUP(A91,[1]eco_bus_journals!$B:$X,4,0),2),"")</f>
        <v>0.73</v>
      </c>
      <c r="E91" s="37">
        <f>_xlfn.RANK.EQ(D91,D:D)</f>
        <v>103</v>
      </c>
      <c r="F91" s="44">
        <f>IFERROR(ROUND(VLOOKUP(A91,[1]eco_journals!B:E,4,0),2),"")</f>
        <v>0.68</v>
      </c>
      <c r="G91" s="40">
        <f>IFERROR(_xlfn.RANK.EQ(F91,F:F),"")</f>
        <v>53</v>
      </c>
      <c r="H91" s="46" t="str">
        <f>IFERROR(ROUND(VLOOKUP(A91,[1]fin_journals!B:E,4,0),2),"")</f>
        <v/>
      </c>
      <c r="I91" s="18" t="str">
        <f>IFERROR(_xlfn.RANK.EQ(H91,H:H),"")</f>
        <v/>
      </c>
      <c r="J91" s="42" t="str">
        <f>IFERROR(ROUND(VLOOKUP(A91,[1]bus_journals!B:E,4,0),2),"")</f>
        <v/>
      </c>
      <c r="K91" s="23" t="str">
        <f>IFERROR(_xlfn.RANK.EQ(J91,J:J),"")</f>
        <v/>
      </c>
      <c r="L91" s="43" t="str">
        <f>IFERROR(ROUND(VLOOKUP(A91,[1]man_journals!B:E,4,0),2),"")</f>
        <v/>
      </c>
      <c r="M91" s="26" t="str">
        <f>IFERROR(_xlfn.RANK.EQ(L91,L:L),"")</f>
        <v/>
      </c>
      <c r="N91" s="1" t="s">
        <v>1272</v>
      </c>
    </row>
    <row r="92" spans="1:15" x14ac:dyDescent="0.25">
      <c r="A92" t="s">
        <v>69</v>
      </c>
      <c r="B92" t="s">
        <v>1360</v>
      </c>
      <c r="C92" s="6">
        <f>IFERROR(VLOOKUP(A92,[1]eco_bus_journals!$B:$D,3,0),"")</f>
        <v>76</v>
      </c>
      <c r="D92" s="37">
        <f>IFERROR(ROUND(VLOOKUP(A92,[1]eco_bus_journals!$B:$X,4,0),2),"")</f>
        <v>0.84</v>
      </c>
      <c r="E92" s="37">
        <f>_xlfn.RANK.EQ(D92,D:D)</f>
        <v>87</v>
      </c>
      <c r="F92" s="44" t="str">
        <f>IFERROR(ROUND(VLOOKUP(A92,[1]eco_journals!B:E,4,0),2),"")</f>
        <v/>
      </c>
      <c r="G92" s="40" t="str">
        <f>IFERROR(_xlfn.RANK.EQ(F92,F:F),"")</f>
        <v/>
      </c>
      <c r="H92" s="46" t="str">
        <f>IFERROR(ROUND(VLOOKUP(A92,[1]fin_journals!B:E,4,0),2),"")</f>
        <v/>
      </c>
      <c r="I92" s="18" t="str">
        <f>IFERROR(_xlfn.RANK.EQ(H92,H:H),"")</f>
        <v/>
      </c>
      <c r="J92" s="42">
        <f>IFERROR(ROUND(VLOOKUP(A92,[1]bus_journals!B:E,4,0),2),"")</f>
        <v>1.99</v>
      </c>
      <c r="K92" s="23">
        <f>IFERROR(_xlfn.RANK.EQ(J92,J:J),"")</f>
        <v>34</v>
      </c>
      <c r="L92" s="43">
        <f>IFERROR(ROUND(VLOOKUP(A92,[1]man_journals!B:E,4,0),2),"")</f>
        <v>1.54</v>
      </c>
      <c r="M92" s="26">
        <f>IFERROR(_xlfn.RANK.EQ(L92,L:L),"")</f>
        <v>34</v>
      </c>
      <c r="N92" s="2" t="s">
        <v>1273</v>
      </c>
      <c r="O92" s="4" t="s">
        <v>1275</v>
      </c>
    </row>
    <row r="93" spans="1:15" x14ac:dyDescent="0.25">
      <c r="A93" t="s">
        <v>141</v>
      </c>
      <c r="B93" t="s">
        <v>1362</v>
      </c>
      <c r="C93" s="6">
        <f>IFERROR(VLOOKUP(A93,[1]eco_bus_journals!$B:$D,3,0),"")</f>
        <v>132</v>
      </c>
      <c r="D93" s="37">
        <f>IFERROR(ROUND(VLOOKUP(A93,[1]eco_bus_journals!$B:$X,4,0),2),"")</f>
        <v>0.79</v>
      </c>
      <c r="E93" s="37">
        <f>_xlfn.RANK.EQ(D93,D:D)</f>
        <v>93</v>
      </c>
      <c r="F93" s="44">
        <f>IFERROR(ROUND(VLOOKUP(A93,[1]eco_journals!B:E,4,0),2),"")</f>
        <v>0.82</v>
      </c>
      <c r="G93" s="40">
        <f>IFERROR(_xlfn.RANK.EQ(F93,F:F),"")</f>
        <v>40</v>
      </c>
      <c r="H93" s="46" t="str">
        <f>IFERROR(ROUND(VLOOKUP(A93,[1]fin_journals!B:E,4,0),2),"")</f>
        <v/>
      </c>
      <c r="I93" s="18" t="str">
        <f>IFERROR(_xlfn.RANK.EQ(H93,H:H),"")</f>
        <v/>
      </c>
      <c r="J93" s="42" t="str">
        <f>IFERROR(ROUND(VLOOKUP(A93,[1]bus_journals!B:E,4,0),2),"")</f>
        <v/>
      </c>
      <c r="K93" s="23" t="str">
        <f>IFERROR(_xlfn.RANK.EQ(J93,J:J),"")</f>
        <v/>
      </c>
      <c r="L93" s="43" t="str">
        <f>IFERROR(ROUND(VLOOKUP(A93,[1]man_journals!B:E,4,0),2),"")</f>
        <v/>
      </c>
      <c r="M93" s="26" t="str">
        <f>IFERROR(_xlfn.RANK.EQ(L93,L:L),"")</f>
        <v/>
      </c>
      <c r="N93" s="1" t="s">
        <v>1272</v>
      </c>
    </row>
    <row r="94" spans="1:15" x14ac:dyDescent="0.25">
      <c r="A94" t="s">
        <v>109</v>
      </c>
      <c r="B94" t="s">
        <v>1363</v>
      </c>
      <c r="C94" s="6">
        <f>IFERROR(VLOOKUP(A94,[1]eco_bus_journals!$B:$D,3,0),"")</f>
        <v>11</v>
      </c>
      <c r="D94" s="37">
        <f>IFERROR(ROUND(VLOOKUP(A94,[1]eco_bus_journals!$B:$X,4,0),2),"")</f>
        <v>0.95</v>
      </c>
      <c r="E94" s="37">
        <f>_xlfn.RANK.EQ(D94,D:D)</f>
        <v>77</v>
      </c>
      <c r="F94" s="44">
        <f>IFERROR(ROUND(VLOOKUP(A94,[1]eco_journals!B:E,4,0),2),"")</f>
        <v>1.02</v>
      </c>
      <c r="G94" s="40">
        <f>IFERROR(_xlfn.RANK.EQ(F94,F:F),"")</f>
        <v>30</v>
      </c>
      <c r="H94" s="46" t="str">
        <f>IFERROR(ROUND(VLOOKUP(A94,[1]fin_journals!B:E,4,0),2),"")</f>
        <v/>
      </c>
      <c r="I94" s="18" t="str">
        <f>IFERROR(_xlfn.RANK.EQ(H94,H:H),"")</f>
        <v/>
      </c>
      <c r="J94" s="42" t="str">
        <f>IFERROR(ROUND(VLOOKUP(A94,[1]bus_journals!B:E,4,0),2),"")</f>
        <v/>
      </c>
      <c r="K94" s="23" t="str">
        <f>IFERROR(_xlfn.RANK.EQ(J94,J:J),"")</f>
        <v/>
      </c>
      <c r="L94" s="43" t="str">
        <f>IFERROR(ROUND(VLOOKUP(A94,[1]man_journals!B:E,4,0),2),"")</f>
        <v/>
      </c>
      <c r="M94" s="26" t="str">
        <f>IFERROR(_xlfn.RANK.EQ(L94,L:L),"")</f>
        <v/>
      </c>
      <c r="N94" s="1" t="s">
        <v>1272</v>
      </c>
    </row>
    <row r="95" spans="1:15" x14ac:dyDescent="0.25">
      <c r="A95" t="s">
        <v>72</v>
      </c>
      <c r="B95" t="s">
        <v>1362</v>
      </c>
      <c r="C95" s="6">
        <f>IFERROR(VLOOKUP(A95,[1]eco_bus_journals!$B:$D,3,0),"")</f>
        <v>35</v>
      </c>
      <c r="D95" s="37">
        <f>IFERROR(ROUND(VLOOKUP(A95,[1]eco_bus_journals!$B:$X,4,0),2),"")</f>
        <v>0.76</v>
      </c>
      <c r="E95" s="37">
        <f>_xlfn.RANK.EQ(D95,D:D)</f>
        <v>96</v>
      </c>
      <c r="F95" s="44" t="str">
        <f>IFERROR(ROUND(VLOOKUP(A95,[1]eco_journals!B:E,4,0),2),"")</f>
        <v/>
      </c>
      <c r="G95" s="40" t="str">
        <f>IFERROR(_xlfn.RANK.EQ(F95,F:F),"")</f>
        <v/>
      </c>
      <c r="H95" s="46" t="str">
        <f>IFERROR(ROUND(VLOOKUP(A95,[1]fin_journals!B:E,4,0),2),"")</f>
        <v/>
      </c>
      <c r="I95" s="18" t="str">
        <f>IFERROR(_xlfn.RANK.EQ(H95,H:H),"")</f>
        <v/>
      </c>
      <c r="J95" s="42" t="str">
        <f>IFERROR(ROUND(VLOOKUP(A95,[1]bus_journals!B:E,4,0),2),"")</f>
        <v/>
      </c>
      <c r="K95" s="23" t="str">
        <f>IFERROR(_xlfn.RANK.EQ(J95,J:J),"")</f>
        <v/>
      </c>
      <c r="L95" s="43">
        <f>IFERROR(ROUND(VLOOKUP(A95,[1]man_journals!B:E,4,0),2),"")</f>
        <v>1.83</v>
      </c>
      <c r="M95" s="26">
        <f>IFERROR(_xlfn.RANK.EQ(L95,L:L),"")</f>
        <v>25</v>
      </c>
      <c r="N95" s="4" t="s">
        <v>1275</v>
      </c>
    </row>
    <row r="96" spans="1:15" x14ac:dyDescent="0.25">
      <c r="A96" t="s">
        <v>95</v>
      </c>
      <c r="B96" t="s">
        <v>1362</v>
      </c>
      <c r="C96" s="6">
        <f>IFERROR(VLOOKUP(A96,[1]eco_bus_journals!$B:$D,3,0),"")</f>
        <v>51</v>
      </c>
      <c r="D96" s="37">
        <f>IFERROR(ROUND(VLOOKUP(A96,[1]eco_bus_journals!$B:$X,4,0),2),"")</f>
        <v>0.73</v>
      </c>
      <c r="E96" s="37">
        <f>_xlfn.RANK.EQ(D96,D:D)</f>
        <v>103</v>
      </c>
      <c r="F96" s="44" t="str">
        <f>IFERROR(ROUND(VLOOKUP(A96,[1]eco_journals!B:E,4,0),2),"")</f>
        <v/>
      </c>
      <c r="G96" s="40" t="str">
        <f>IFERROR(_xlfn.RANK.EQ(F96,F:F),"")</f>
        <v/>
      </c>
      <c r="H96" s="46" t="str">
        <f>IFERROR(ROUND(VLOOKUP(A96,[1]fin_journals!B:E,4,0),2),"")</f>
        <v/>
      </c>
      <c r="I96" s="18" t="str">
        <f>IFERROR(_xlfn.RANK.EQ(H96,H:H),"")</f>
        <v/>
      </c>
      <c r="J96" s="42" t="str">
        <f>IFERROR(ROUND(VLOOKUP(A96,[1]bus_journals!B:E,4,0),2),"")</f>
        <v/>
      </c>
      <c r="K96" s="23" t="str">
        <f>IFERROR(_xlfn.RANK.EQ(J96,J:J),"")</f>
        <v/>
      </c>
      <c r="L96" s="43">
        <f>IFERROR(ROUND(VLOOKUP(A96,[1]man_journals!B:E,4,0),2),"")</f>
        <v>1.56</v>
      </c>
      <c r="M96" s="26">
        <f>IFERROR(_xlfn.RANK.EQ(L96,L:L),"")</f>
        <v>33</v>
      </c>
      <c r="N96" s="4" t="s">
        <v>1275</v>
      </c>
      <c r="O96" t="s">
        <v>1278</v>
      </c>
    </row>
    <row r="97" spans="1:16" x14ac:dyDescent="0.25">
      <c r="A97" t="s">
        <v>70</v>
      </c>
      <c r="B97" t="s">
        <v>1358</v>
      </c>
      <c r="C97" s="6">
        <f>IFERROR(VLOOKUP(A97,[1]eco_bus_journals!$B:$D,3,0),"")</f>
        <v>100</v>
      </c>
      <c r="D97" s="37">
        <f>IFERROR(ROUND(VLOOKUP(A97,[1]eco_bus_journals!$B:$X,4,0),2),"")</f>
        <v>0.83</v>
      </c>
      <c r="E97" s="37">
        <f>_xlfn.RANK.EQ(D97,D:D)</f>
        <v>90</v>
      </c>
      <c r="F97" s="44" t="str">
        <f>IFERROR(ROUND(VLOOKUP(A97,[1]eco_journals!B:E,4,0),2),"")</f>
        <v/>
      </c>
      <c r="G97" s="40" t="str">
        <f>IFERROR(_xlfn.RANK.EQ(F97,F:F),"")</f>
        <v/>
      </c>
      <c r="H97" s="46" t="str">
        <f>IFERROR(ROUND(VLOOKUP(A97,[1]fin_journals!B:E,4,0),2),"")</f>
        <v/>
      </c>
      <c r="I97" s="18" t="str">
        <f>IFERROR(_xlfn.RANK.EQ(H97,H:H),"")</f>
        <v/>
      </c>
      <c r="J97" s="42">
        <f>IFERROR(ROUND(VLOOKUP(A97,[1]bus_journals!B:E,4,0),2),"")</f>
        <v>2.2200000000000002</v>
      </c>
      <c r="K97" s="23">
        <f>IFERROR(_xlfn.RANK.EQ(J97,J:J),"")</f>
        <v>31</v>
      </c>
      <c r="L97" s="43" t="str">
        <f>IFERROR(ROUND(VLOOKUP(A97,[1]man_journals!B:E,4,0),2),"")</f>
        <v/>
      </c>
      <c r="M97" s="26" t="str">
        <f>IFERROR(_xlfn.RANK.EQ(L97,L:L),"")</f>
        <v/>
      </c>
      <c r="N97" s="2" t="s">
        <v>1273</v>
      </c>
    </row>
    <row r="98" spans="1:16" x14ac:dyDescent="0.25">
      <c r="A98" t="s">
        <v>169</v>
      </c>
      <c r="B98" t="s">
        <v>1359</v>
      </c>
      <c r="C98" s="6">
        <f>IFERROR(VLOOKUP(A98,[1]eco_bus_journals!$B:$D,3,0),"")</f>
        <v>26</v>
      </c>
      <c r="D98" s="37">
        <f>IFERROR(ROUND(VLOOKUP(A98,[1]eco_bus_journals!$B:$X,4,0),2),"")</f>
        <v>0.8</v>
      </c>
      <c r="E98" s="37">
        <f>_xlfn.RANK.EQ(D98,D:D)</f>
        <v>92</v>
      </c>
      <c r="F98" s="44">
        <f>IFERROR(ROUND(VLOOKUP(A98,[1]eco_journals!B:E,4,0),2),"")</f>
        <v>0.64</v>
      </c>
      <c r="G98" s="40">
        <f>IFERROR(_xlfn.RANK.EQ(F98,F:F),"")</f>
        <v>58</v>
      </c>
      <c r="H98" s="46" t="str">
        <f>IFERROR(ROUND(VLOOKUP(A98,[1]fin_journals!B:E,4,0),2),"")</f>
        <v/>
      </c>
      <c r="I98" s="18" t="str">
        <f>IFERROR(_xlfn.RANK.EQ(H98,H:H),"")</f>
        <v/>
      </c>
      <c r="J98" s="42" t="str">
        <f>IFERROR(ROUND(VLOOKUP(A98,[1]bus_journals!B:E,4,0),2),"")</f>
        <v/>
      </c>
      <c r="K98" s="23" t="str">
        <f>IFERROR(_xlfn.RANK.EQ(J98,J:J),"")</f>
        <v/>
      </c>
      <c r="L98" s="43" t="str">
        <f>IFERROR(ROUND(VLOOKUP(A98,[1]man_journals!B:E,4,0),2),"")</f>
        <v/>
      </c>
      <c r="M98" s="26" t="str">
        <f>IFERROR(_xlfn.RANK.EQ(L98,L:L),"")</f>
        <v/>
      </c>
      <c r="N98" s="1" t="s">
        <v>1272</v>
      </c>
      <c r="O98" t="s">
        <v>1295</v>
      </c>
    </row>
    <row r="99" spans="1:16" x14ac:dyDescent="0.25">
      <c r="A99" t="s">
        <v>213</v>
      </c>
      <c r="B99" t="s">
        <v>1359</v>
      </c>
      <c r="C99" s="6">
        <f>IFERROR(VLOOKUP(A99,[1]eco_bus_journals!$B:$D,3,0),"")</f>
        <v>17</v>
      </c>
      <c r="D99" s="37">
        <f>IFERROR(ROUND(VLOOKUP(A99,[1]eco_bus_journals!$B:$X,4,0),2),"")</f>
        <v>0.77</v>
      </c>
      <c r="E99" s="37">
        <f>_xlfn.RANK.EQ(D99,D:D)</f>
        <v>95</v>
      </c>
      <c r="F99" s="44">
        <f>IFERROR(ROUND(VLOOKUP(A99,[1]eco_journals!B:E,4,0),2),"")</f>
        <v>0.78</v>
      </c>
      <c r="G99" s="40">
        <f>IFERROR(_xlfn.RANK.EQ(F99,F:F),"")</f>
        <v>44</v>
      </c>
      <c r="H99" s="46" t="str">
        <f>IFERROR(ROUND(VLOOKUP(A99,[1]fin_journals!B:E,4,0),2),"")</f>
        <v/>
      </c>
      <c r="I99" s="18" t="str">
        <f>IFERROR(_xlfn.RANK.EQ(H99,H:H),"")</f>
        <v/>
      </c>
      <c r="J99" s="42" t="str">
        <f>IFERROR(ROUND(VLOOKUP(A99,[1]bus_journals!B:E,4,0),2),"")</f>
        <v/>
      </c>
      <c r="K99" s="23" t="str">
        <f>IFERROR(_xlfn.RANK.EQ(J99,J:J),"")</f>
        <v/>
      </c>
      <c r="L99" s="43" t="str">
        <f>IFERROR(ROUND(VLOOKUP(A99,[1]man_journals!B:E,4,0),2),"")</f>
        <v/>
      </c>
      <c r="M99" s="26" t="str">
        <f>IFERROR(_xlfn.RANK.EQ(L99,L:L),"")</f>
        <v/>
      </c>
      <c r="N99" s="1" t="s">
        <v>1272</v>
      </c>
      <c r="O99" t="s">
        <v>1297</v>
      </c>
    </row>
    <row r="100" spans="1:16" x14ac:dyDescent="0.25">
      <c r="A100" t="s">
        <v>135</v>
      </c>
      <c r="B100" t="s">
        <v>1360</v>
      </c>
      <c r="C100" s="6">
        <f>IFERROR(VLOOKUP(A100,[1]eco_bus_journals!$B:$D,3,0),"")</f>
        <v>34</v>
      </c>
      <c r="D100" s="37">
        <f>IFERROR(ROUND(VLOOKUP(A100,[1]eco_bus_journals!$B:$X,4,0),2),"")</f>
        <v>0.71</v>
      </c>
      <c r="E100" s="37">
        <f>_xlfn.RANK.EQ(D100,D:D)</f>
        <v>111</v>
      </c>
      <c r="F100" s="44">
        <f>IFERROR(ROUND(VLOOKUP(A100,[1]eco_journals!B:E,4,0),2),"")</f>
        <v>0.75</v>
      </c>
      <c r="G100" s="40">
        <f>IFERROR(_xlfn.RANK.EQ(F100,F:F),"")</f>
        <v>46</v>
      </c>
      <c r="H100" s="46">
        <f>IFERROR(ROUND(VLOOKUP(A100,[1]fin_journals!B:E,4,0),2),"")</f>
        <v>0.32</v>
      </c>
      <c r="I100" s="18">
        <f>IFERROR(_xlfn.RANK.EQ(H100,H:H),"")</f>
        <v>85</v>
      </c>
      <c r="J100" s="42" t="str">
        <f>IFERROR(ROUND(VLOOKUP(A100,[1]bus_journals!B:E,4,0),2),"")</f>
        <v/>
      </c>
      <c r="K100" s="23" t="str">
        <f>IFERROR(_xlfn.RANK.EQ(J100,J:J),"")</f>
        <v/>
      </c>
      <c r="L100" s="43" t="str">
        <f>IFERROR(ROUND(VLOOKUP(A100,[1]man_journals!B:E,4,0),2),"")</f>
        <v/>
      </c>
      <c r="M100" s="26" t="str">
        <f>IFERROR(_xlfn.RANK.EQ(L100,L:L),"")</f>
        <v/>
      </c>
      <c r="N100" s="3" t="s">
        <v>1274</v>
      </c>
      <c r="O100" s="1" t="s">
        <v>1272</v>
      </c>
    </row>
    <row r="101" spans="1:16" x14ac:dyDescent="0.25">
      <c r="A101" t="s">
        <v>106</v>
      </c>
      <c r="B101" t="s">
        <v>1362</v>
      </c>
      <c r="C101" s="6">
        <f>IFERROR(VLOOKUP(A101,[1]eco_bus_journals!$B:$D,3,0),"")</f>
        <v>77</v>
      </c>
      <c r="D101" s="37">
        <f>IFERROR(ROUND(VLOOKUP(A101,[1]eco_bus_journals!$B:$X,4,0),2),"")</f>
        <v>0.73</v>
      </c>
      <c r="E101" s="37">
        <f>_xlfn.RANK.EQ(D101,D:D)</f>
        <v>103</v>
      </c>
      <c r="F101" s="44" t="str">
        <f>IFERROR(ROUND(VLOOKUP(A101,[1]eco_journals!B:E,4,0),2),"")</f>
        <v/>
      </c>
      <c r="G101" s="40" t="str">
        <f>IFERROR(_xlfn.RANK.EQ(F101,F:F),"")</f>
        <v/>
      </c>
      <c r="H101" s="46" t="str">
        <f>IFERROR(ROUND(VLOOKUP(A101,[1]fin_journals!B:E,4,0),2),"")</f>
        <v/>
      </c>
      <c r="I101" s="18" t="str">
        <f>IFERROR(_xlfn.RANK.EQ(H101,H:H),"")</f>
        <v/>
      </c>
      <c r="J101" s="42" t="str">
        <f>IFERROR(ROUND(VLOOKUP(A101,[1]bus_journals!B:E,4,0),2),"")</f>
        <v/>
      </c>
      <c r="K101" s="23" t="str">
        <f>IFERROR(_xlfn.RANK.EQ(J101,J:J),"")</f>
        <v/>
      </c>
      <c r="L101" s="43">
        <f>IFERROR(ROUND(VLOOKUP(A101,[1]man_journals!B:E,4,0),2),"")</f>
        <v>1.18</v>
      </c>
      <c r="M101" s="26">
        <f>IFERROR(_xlfn.RANK.EQ(L101,L:L),"")</f>
        <v>40</v>
      </c>
      <c r="N101" s="4" t="s">
        <v>1275</v>
      </c>
      <c r="O101" t="s">
        <v>1278</v>
      </c>
      <c r="P101" t="s">
        <v>1291</v>
      </c>
    </row>
    <row r="102" spans="1:16" x14ac:dyDescent="0.25">
      <c r="A102" t="s">
        <v>167</v>
      </c>
      <c r="B102" t="s">
        <v>1362</v>
      </c>
      <c r="C102" s="6">
        <f>IFERROR(VLOOKUP(A102,[1]eco_bus_journals!$B:$D,3,0),"")</f>
        <v>68</v>
      </c>
      <c r="D102" s="37">
        <f>IFERROR(ROUND(VLOOKUP(A102,[1]eco_bus_journals!$B:$X,4,0),2),"")</f>
        <v>0.76</v>
      </c>
      <c r="E102" s="37">
        <f>_xlfn.RANK.EQ(D102,D:D)</f>
        <v>96</v>
      </c>
      <c r="F102" s="44">
        <f>IFERROR(ROUND(VLOOKUP(A102,[1]eco_journals!B:E,4,0),2),"")</f>
        <v>0.76</v>
      </c>
      <c r="G102" s="40">
        <f>IFERROR(_xlfn.RANK.EQ(F102,F:F),"")</f>
        <v>45</v>
      </c>
      <c r="H102" s="46" t="str">
        <f>IFERROR(ROUND(VLOOKUP(A102,[1]fin_journals!B:E,4,0),2),"")</f>
        <v/>
      </c>
      <c r="I102" s="18" t="str">
        <f>IFERROR(_xlfn.RANK.EQ(H102,H:H),"")</f>
        <v/>
      </c>
      <c r="J102" s="42">
        <f>IFERROR(ROUND(VLOOKUP(A102,[1]bus_journals!B:E,4,0),2),"")</f>
        <v>0.57999999999999996</v>
      </c>
      <c r="K102" s="23">
        <f>IFERROR(_xlfn.RANK.EQ(J102,J:J),"")</f>
        <v>86</v>
      </c>
      <c r="L102" s="43" t="str">
        <f>IFERROR(ROUND(VLOOKUP(A102,[1]man_journals!B:E,4,0),2),"")</f>
        <v/>
      </c>
      <c r="M102" s="26" t="str">
        <f>IFERROR(_xlfn.RANK.EQ(L102,L:L),"")</f>
        <v/>
      </c>
      <c r="N102" s="2" t="s">
        <v>1273</v>
      </c>
      <c r="O102" s="1" t="s">
        <v>1272</v>
      </c>
      <c r="P102" t="s">
        <v>1293</v>
      </c>
    </row>
    <row r="103" spans="1:16" x14ac:dyDescent="0.25">
      <c r="A103" t="s">
        <v>83</v>
      </c>
      <c r="B103" t="s">
        <v>1358</v>
      </c>
      <c r="C103" s="6">
        <f>IFERROR(VLOOKUP(A103,[1]eco_bus_journals!$B:$D,3,0),"")</f>
        <v>21</v>
      </c>
      <c r="D103" s="37">
        <f>IFERROR(ROUND(VLOOKUP(A103,[1]eco_bus_journals!$B:$X,4,0),2),"")</f>
        <v>0.68</v>
      </c>
      <c r="E103" s="37">
        <f>_xlfn.RANK.EQ(D103,D:D)</f>
        <v>117</v>
      </c>
      <c r="F103" s="44" t="str">
        <f>IFERROR(ROUND(VLOOKUP(A103,[1]eco_journals!B:E,4,0),2),"")</f>
        <v/>
      </c>
      <c r="G103" s="40" t="str">
        <f>IFERROR(_xlfn.RANK.EQ(F103,F:F),"")</f>
        <v/>
      </c>
      <c r="H103" s="46" t="str">
        <f>IFERROR(ROUND(VLOOKUP(A103,[1]fin_journals!B:E,4,0),2),"")</f>
        <v/>
      </c>
      <c r="I103" s="18" t="str">
        <f>IFERROR(_xlfn.RANK.EQ(H103,H:H),"")</f>
        <v/>
      </c>
      <c r="J103" s="42">
        <f>IFERROR(ROUND(VLOOKUP(A103,[1]bus_journals!B:E,4,0),2),"")</f>
        <v>2.17</v>
      </c>
      <c r="K103" s="23">
        <f>IFERROR(_xlfn.RANK.EQ(J103,J:J),"")</f>
        <v>33</v>
      </c>
      <c r="L103" s="43" t="str">
        <f>IFERROR(ROUND(VLOOKUP(A103,[1]man_journals!B:E,4,0),2),"")</f>
        <v/>
      </c>
      <c r="M103" s="26" t="str">
        <f>IFERROR(_xlfn.RANK.EQ(L103,L:L),"")</f>
        <v/>
      </c>
      <c r="N103" s="2" t="s">
        <v>1273</v>
      </c>
    </row>
    <row r="104" spans="1:16" x14ac:dyDescent="0.25">
      <c r="A104" t="s">
        <v>71</v>
      </c>
      <c r="B104" t="s">
        <v>1358</v>
      </c>
      <c r="C104" s="6">
        <f>IFERROR(VLOOKUP(A104,[1]eco_bus_journals!$B:$D,3,0),"")</f>
        <v>25</v>
      </c>
      <c r="D104" s="37">
        <f>IFERROR(ROUND(VLOOKUP(A104,[1]eco_bus_journals!$B:$X,4,0),2),"")</f>
        <v>0.69</v>
      </c>
      <c r="E104" s="37">
        <f>_xlfn.RANK.EQ(D104,D:D)</f>
        <v>113</v>
      </c>
      <c r="F104" s="44" t="str">
        <f>IFERROR(ROUND(VLOOKUP(A104,[1]eco_journals!B:E,4,0),2),"")</f>
        <v/>
      </c>
      <c r="G104" s="40" t="str">
        <f>IFERROR(_xlfn.RANK.EQ(F104,F:F),"")</f>
        <v/>
      </c>
      <c r="H104" s="46" t="str">
        <f>IFERROR(ROUND(VLOOKUP(A104,[1]fin_journals!B:E,4,0),2),"")</f>
        <v/>
      </c>
      <c r="I104" s="18" t="str">
        <f>IFERROR(_xlfn.RANK.EQ(H104,H:H),"")</f>
        <v/>
      </c>
      <c r="J104" s="42">
        <f>IFERROR(ROUND(VLOOKUP(A104,[1]bus_journals!B:E,4,0),2),"")</f>
        <v>1.97</v>
      </c>
      <c r="K104" s="23">
        <f>IFERROR(_xlfn.RANK.EQ(J104,J:J),"")</f>
        <v>35</v>
      </c>
      <c r="L104" s="43" t="str">
        <f>IFERROR(ROUND(VLOOKUP(A104,[1]man_journals!B:E,4,0),2),"")</f>
        <v/>
      </c>
      <c r="M104" s="26" t="str">
        <f>IFERROR(_xlfn.RANK.EQ(L104,L:L),"")</f>
        <v/>
      </c>
      <c r="N104" s="2" t="s">
        <v>1273</v>
      </c>
    </row>
    <row r="105" spans="1:16" x14ac:dyDescent="0.25">
      <c r="A105" t="s">
        <v>140</v>
      </c>
      <c r="B105" t="s">
        <v>1360</v>
      </c>
      <c r="C105" s="6">
        <f>IFERROR(VLOOKUP(A105,[1]eco_bus_journals!$B:$D,3,0),"")</f>
        <v>26</v>
      </c>
      <c r="D105" s="37">
        <f>IFERROR(ROUND(VLOOKUP(A105,[1]eco_bus_journals!$B:$X,4,0),2),"")</f>
        <v>0.75</v>
      </c>
      <c r="E105" s="37">
        <f>_xlfn.RANK.EQ(D105,D:D)</f>
        <v>98</v>
      </c>
      <c r="F105" s="44" t="str">
        <f>IFERROR(ROUND(VLOOKUP(A105,[1]eco_journals!B:E,4,0),2),"")</f>
        <v/>
      </c>
      <c r="G105" s="40" t="str">
        <f>IFERROR(_xlfn.RANK.EQ(F105,F:F),"")</f>
        <v/>
      </c>
      <c r="H105" s="46" t="str">
        <f>IFERROR(ROUND(VLOOKUP(A105,[1]fin_journals!B:E,4,0),2),"")</f>
        <v/>
      </c>
      <c r="I105" s="18" t="str">
        <f>IFERROR(_xlfn.RANK.EQ(H105,H:H),"")</f>
        <v/>
      </c>
      <c r="J105" s="42" t="str">
        <f>IFERROR(ROUND(VLOOKUP(A105,[1]bus_journals!B:E,4,0),2),"")</f>
        <v/>
      </c>
      <c r="K105" s="23" t="str">
        <f>IFERROR(_xlfn.RANK.EQ(J105,J:J),"")</f>
        <v/>
      </c>
      <c r="L105" s="43">
        <f>IFERROR(ROUND(VLOOKUP(A105,[1]man_journals!B:E,4,0),2),"")</f>
        <v>1.72</v>
      </c>
      <c r="M105" s="26">
        <f>IFERROR(_xlfn.RANK.EQ(L105,L:L),"")</f>
        <v>29</v>
      </c>
      <c r="N105" s="4" t="s">
        <v>1275</v>
      </c>
    </row>
    <row r="106" spans="1:16" x14ac:dyDescent="0.25">
      <c r="A106" t="s">
        <v>176</v>
      </c>
      <c r="B106" t="s">
        <v>1358</v>
      </c>
      <c r="C106" s="6">
        <f>IFERROR(VLOOKUP(A106,[1]eco_bus_journals!$B:$D,3,0),"")</f>
        <v>15</v>
      </c>
      <c r="D106" s="37">
        <f>IFERROR(ROUND(VLOOKUP(A106,[1]eco_bus_journals!$B:$X,4,0),2),"")</f>
        <v>0.68</v>
      </c>
      <c r="E106" s="37">
        <f>_xlfn.RANK.EQ(D106,D:D)</f>
        <v>117</v>
      </c>
      <c r="F106" s="44" t="str">
        <f>IFERROR(ROUND(VLOOKUP(A106,[1]eco_journals!B:E,4,0),2),"")</f>
        <v/>
      </c>
      <c r="G106" s="40" t="str">
        <f>IFERROR(_xlfn.RANK.EQ(F106,F:F),"")</f>
        <v/>
      </c>
      <c r="H106" s="46" t="str">
        <f>IFERROR(ROUND(VLOOKUP(A106,[1]fin_journals!B:E,4,0),2),"")</f>
        <v/>
      </c>
      <c r="I106" s="18" t="str">
        <f>IFERROR(_xlfn.RANK.EQ(H106,H:H),"")</f>
        <v/>
      </c>
      <c r="J106" s="42" t="str">
        <f>IFERROR(ROUND(VLOOKUP(A106,[1]bus_journals!B:E,4,0),2),"")</f>
        <v/>
      </c>
      <c r="K106" s="23" t="str">
        <f>IFERROR(_xlfn.RANK.EQ(J106,J:J),"")</f>
        <v/>
      </c>
      <c r="L106" s="43">
        <f>IFERROR(ROUND(VLOOKUP(A106,[1]man_journals!B:E,4,0),2),"")</f>
        <v>1.41</v>
      </c>
      <c r="M106" s="26">
        <f>IFERROR(_xlfn.RANK.EQ(L106,L:L),"")</f>
        <v>36</v>
      </c>
      <c r="N106" s="4" t="s">
        <v>1275</v>
      </c>
    </row>
    <row r="107" spans="1:16" x14ac:dyDescent="0.25">
      <c r="A107" t="s">
        <v>177</v>
      </c>
      <c r="B107" t="s">
        <v>1360</v>
      </c>
      <c r="C107" s="6">
        <f>IFERROR(VLOOKUP(A107,[1]eco_bus_journals!$B:$D,3,0),"")</f>
        <v>75</v>
      </c>
      <c r="D107" s="37">
        <f>IFERROR(ROUND(VLOOKUP(A107,[1]eco_bus_journals!$B:$X,4,0),2),"")</f>
        <v>0.69</v>
      </c>
      <c r="E107" s="37">
        <f>_xlfn.RANK.EQ(D107,D:D)</f>
        <v>113</v>
      </c>
      <c r="F107" s="44">
        <f>IFERROR(ROUND(VLOOKUP(A107,[1]eco_journals!B:E,4,0),2),"")</f>
        <v>0.69</v>
      </c>
      <c r="G107" s="40">
        <f>IFERROR(_xlfn.RANK.EQ(F107,F:F),"")</f>
        <v>52</v>
      </c>
      <c r="H107" s="46" t="str">
        <f>IFERROR(ROUND(VLOOKUP(A107,[1]fin_journals!B:E,4,0),2),"")</f>
        <v/>
      </c>
      <c r="I107" s="18" t="str">
        <f>IFERROR(_xlfn.RANK.EQ(H107,H:H),"")</f>
        <v/>
      </c>
      <c r="J107" s="42" t="str">
        <f>IFERROR(ROUND(VLOOKUP(A107,[1]bus_journals!B:E,4,0),2),"")</f>
        <v/>
      </c>
      <c r="K107" s="23" t="str">
        <f>IFERROR(_xlfn.RANK.EQ(J107,J:J),"")</f>
        <v/>
      </c>
      <c r="L107" s="43" t="str">
        <f>IFERROR(ROUND(VLOOKUP(A107,[1]man_journals!B:E,4,0),2),"")</f>
        <v/>
      </c>
      <c r="M107" s="26" t="str">
        <f>IFERROR(_xlfn.RANK.EQ(L107,L:L),"")</f>
        <v/>
      </c>
      <c r="N107" s="1" t="s">
        <v>1272</v>
      </c>
    </row>
    <row r="108" spans="1:16" x14ac:dyDescent="0.25">
      <c r="A108" t="s">
        <v>77</v>
      </c>
      <c r="B108" t="s">
        <v>1371</v>
      </c>
      <c r="C108" s="6">
        <f>IFERROR(VLOOKUP(A108,[1]eco_bus_journals!$B:$D,3,0),"")</f>
        <v>70</v>
      </c>
      <c r="D108" s="37">
        <f>IFERROR(ROUND(VLOOKUP(A108,[1]eco_bus_journals!$B:$X,4,0),2),"")</f>
        <v>0.72</v>
      </c>
      <c r="E108" s="37">
        <f>_xlfn.RANK.EQ(D108,D:D)</f>
        <v>108</v>
      </c>
      <c r="F108" s="44" t="str">
        <f>IFERROR(ROUND(VLOOKUP(A108,[1]eco_journals!B:E,4,0),2),"")</f>
        <v/>
      </c>
      <c r="G108" s="40" t="str">
        <f>IFERROR(_xlfn.RANK.EQ(F108,F:F),"")</f>
        <v/>
      </c>
      <c r="H108" s="46" t="str">
        <f>IFERROR(ROUND(VLOOKUP(A108,[1]fin_journals!B:E,4,0),2),"")</f>
        <v/>
      </c>
      <c r="I108" s="18" t="str">
        <f>IFERROR(_xlfn.RANK.EQ(H108,H:H),"")</f>
        <v/>
      </c>
      <c r="J108" s="42" t="str">
        <f>IFERROR(ROUND(VLOOKUP(A108,[1]bus_journals!B:E,4,0),2),"")</f>
        <v/>
      </c>
      <c r="K108" s="23" t="str">
        <f>IFERROR(_xlfn.RANK.EQ(J108,J:J),"")</f>
        <v/>
      </c>
      <c r="L108" s="43">
        <f>IFERROR(ROUND(VLOOKUP(A108,[1]man_journals!B:E,4,0),2),"")</f>
        <v>1.81</v>
      </c>
      <c r="M108" s="26">
        <f>IFERROR(_xlfn.RANK.EQ(L108,L:L),"")</f>
        <v>26</v>
      </c>
      <c r="N108" s="4" t="s">
        <v>1275</v>
      </c>
    </row>
    <row r="109" spans="1:16" x14ac:dyDescent="0.25">
      <c r="A109" t="s">
        <v>195</v>
      </c>
      <c r="B109" t="s">
        <v>1363</v>
      </c>
      <c r="C109" s="6">
        <f>IFERROR(VLOOKUP(A109,[1]eco_bus_journals!$B:$D,3,0),"")</f>
        <v>14</v>
      </c>
      <c r="D109" s="37">
        <f>IFERROR(ROUND(VLOOKUP(A109,[1]eco_bus_journals!$B:$X,4,0),2),"")</f>
        <v>0.74</v>
      </c>
      <c r="E109" s="37">
        <f>_xlfn.RANK.EQ(D109,D:D)</f>
        <v>99</v>
      </c>
      <c r="F109" s="44">
        <f>IFERROR(ROUND(VLOOKUP(A109,[1]eco_journals!B:E,4,0),2),"")</f>
        <v>0.3</v>
      </c>
      <c r="G109" s="40">
        <f>IFERROR(_xlfn.RANK.EQ(F109,F:F),"")</f>
        <v>96</v>
      </c>
      <c r="H109" s="46" t="str">
        <f>IFERROR(ROUND(VLOOKUP(A109,[1]fin_journals!B:E,4,0),2),"")</f>
        <v/>
      </c>
      <c r="I109" s="18" t="str">
        <f>IFERROR(_xlfn.RANK.EQ(H109,H:H),"")</f>
        <v/>
      </c>
      <c r="J109" s="42">
        <f>IFERROR(ROUND(VLOOKUP(A109,[1]bus_journals!B:E,4,0),2),"")</f>
        <v>1.18</v>
      </c>
      <c r="K109" s="23">
        <f>IFERROR(_xlfn.RANK.EQ(J109,J:J),"")</f>
        <v>57</v>
      </c>
      <c r="L109" s="43" t="str">
        <f>IFERROR(ROUND(VLOOKUP(A109,[1]man_journals!B:E,4,0),2),"")</f>
        <v/>
      </c>
      <c r="M109" s="26" t="str">
        <f>IFERROR(_xlfn.RANK.EQ(L109,L:L),"")</f>
        <v/>
      </c>
      <c r="N109" s="2" t="s">
        <v>1273</v>
      </c>
      <c r="O109" s="1" t="s">
        <v>1272</v>
      </c>
      <c r="P109" t="s">
        <v>1280</v>
      </c>
    </row>
    <row r="110" spans="1:16" x14ac:dyDescent="0.25">
      <c r="A110" t="s">
        <v>185</v>
      </c>
      <c r="B110" t="s">
        <v>1362</v>
      </c>
      <c r="C110" s="6">
        <f>IFERROR(VLOOKUP(A110,[1]eco_bus_journals!$B:$D,3,0),"")</f>
        <v>85</v>
      </c>
      <c r="D110" s="37">
        <f>IFERROR(ROUND(VLOOKUP(A110,[1]eco_bus_journals!$B:$X,4,0),2),"")</f>
        <v>0.74</v>
      </c>
      <c r="E110" s="37">
        <f>_xlfn.RANK.EQ(D110,D:D)</f>
        <v>99</v>
      </c>
      <c r="F110" s="44">
        <f>IFERROR(ROUND(VLOOKUP(A110,[1]eco_journals!B:E,4,0),2),"")</f>
        <v>0.79</v>
      </c>
      <c r="G110" s="40">
        <f>IFERROR(_xlfn.RANK.EQ(F110,F:F),"")</f>
        <v>43</v>
      </c>
      <c r="H110" s="46" t="str">
        <f>IFERROR(ROUND(VLOOKUP(A110,[1]fin_journals!B:E,4,0),2),"")</f>
        <v/>
      </c>
      <c r="I110" s="18" t="str">
        <f>IFERROR(_xlfn.RANK.EQ(H110,H:H),"")</f>
        <v/>
      </c>
      <c r="J110" s="42" t="str">
        <f>IFERROR(ROUND(VLOOKUP(A110,[1]bus_journals!B:E,4,0),2),"")</f>
        <v/>
      </c>
      <c r="K110" s="23" t="str">
        <f>IFERROR(_xlfn.RANK.EQ(J110,J:J),"")</f>
        <v/>
      </c>
      <c r="L110" s="43" t="str">
        <f>IFERROR(ROUND(VLOOKUP(A110,[1]man_journals!B:E,4,0),2),"")</f>
        <v/>
      </c>
      <c r="M110" s="26" t="str">
        <f>IFERROR(_xlfn.RANK.EQ(L110,L:L),"")</f>
        <v/>
      </c>
      <c r="N110" s="1" t="s">
        <v>1272</v>
      </c>
      <c r="O110" t="s">
        <v>1296</v>
      </c>
      <c r="P110" t="s">
        <v>1297</v>
      </c>
    </row>
    <row r="111" spans="1:16" x14ac:dyDescent="0.25">
      <c r="A111" t="s">
        <v>184</v>
      </c>
      <c r="B111" t="s">
        <v>1370</v>
      </c>
      <c r="C111" s="6">
        <f>IFERROR(VLOOKUP(A111,[1]eco_bus_journals!$B:$D,3,0),"")</f>
        <v>31</v>
      </c>
      <c r="D111" s="37">
        <f>IFERROR(ROUND(VLOOKUP(A111,[1]eco_bus_journals!$B:$X,4,0),2),"")</f>
        <v>0.74</v>
      </c>
      <c r="E111" s="37">
        <f>_xlfn.RANK.EQ(D111,D:D)</f>
        <v>99</v>
      </c>
      <c r="F111" s="44">
        <f>IFERROR(ROUND(VLOOKUP(A111,[1]eco_journals!B:E,4,0),2),"")</f>
        <v>0.75</v>
      </c>
      <c r="G111" s="40">
        <f>IFERROR(_xlfn.RANK.EQ(F111,F:F),"")</f>
        <v>46</v>
      </c>
      <c r="H111" s="46" t="str">
        <f>IFERROR(ROUND(VLOOKUP(A111,[1]fin_journals!B:E,4,0),2),"")</f>
        <v/>
      </c>
      <c r="I111" s="18" t="str">
        <f>IFERROR(_xlfn.RANK.EQ(H111,H:H),"")</f>
        <v/>
      </c>
      <c r="J111" s="42" t="str">
        <f>IFERROR(ROUND(VLOOKUP(A111,[1]bus_journals!B:E,4,0),2),"")</f>
        <v/>
      </c>
      <c r="K111" s="23" t="str">
        <f>IFERROR(_xlfn.RANK.EQ(J111,J:J),"")</f>
        <v/>
      </c>
      <c r="L111" s="43" t="str">
        <f>IFERROR(ROUND(VLOOKUP(A111,[1]man_journals!B:E,4,0),2),"")</f>
        <v/>
      </c>
      <c r="M111" s="26" t="str">
        <f>IFERROR(_xlfn.RANK.EQ(L111,L:L),"")</f>
        <v/>
      </c>
      <c r="N111" s="1" t="s">
        <v>1272</v>
      </c>
      <c r="O111" t="s">
        <v>1299</v>
      </c>
      <c r="P111" t="s">
        <v>1300</v>
      </c>
    </row>
    <row r="112" spans="1:16" x14ac:dyDescent="0.25">
      <c r="A112" t="s">
        <v>88</v>
      </c>
      <c r="B112" t="s">
        <v>1358</v>
      </c>
      <c r="C112" s="6">
        <f>IFERROR(VLOOKUP(A112,[1]eco_bus_journals!$B:$D,3,0),"")</f>
        <v>40</v>
      </c>
      <c r="D112" s="37">
        <f>IFERROR(ROUND(VLOOKUP(A112,[1]eco_bus_journals!$B:$X,4,0),2),"")</f>
        <v>0.72</v>
      </c>
      <c r="E112" s="37">
        <f>_xlfn.RANK.EQ(D112,D:D)</f>
        <v>108</v>
      </c>
      <c r="F112" s="44" t="str">
        <f>IFERROR(ROUND(VLOOKUP(A112,[1]eco_journals!B:E,4,0),2),"")</f>
        <v/>
      </c>
      <c r="G112" s="40" t="str">
        <f>IFERROR(_xlfn.RANK.EQ(F112,F:F),"")</f>
        <v/>
      </c>
      <c r="H112" s="46" t="str">
        <f>IFERROR(ROUND(VLOOKUP(A112,[1]fin_journals!B:E,4,0),2),"")</f>
        <v/>
      </c>
      <c r="I112" s="18" t="str">
        <f>IFERROR(_xlfn.RANK.EQ(H112,H:H),"")</f>
        <v/>
      </c>
      <c r="J112" s="42">
        <f>IFERROR(ROUND(VLOOKUP(A112,[1]bus_journals!B:E,4,0),2),"")</f>
        <v>2.21</v>
      </c>
      <c r="K112" s="23">
        <f>IFERROR(_xlfn.RANK.EQ(J112,J:J),"")</f>
        <v>32</v>
      </c>
      <c r="L112" s="43" t="str">
        <f>IFERROR(ROUND(VLOOKUP(A112,[1]man_journals!B:E,4,0),2),"")</f>
        <v/>
      </c>
      <c r="M112" s="26" t="str">
        <f>IFERROR(_xlfn.RANK.EQ(L112,L:L),"")</f>
        <v/>
      </c>
      <c r="N112" s="2" t="s">
        <v>1273</v>
      </c>
    </row>
    <row r="113" spans="1:17" x14ac:dyDescent="0.25">
      <c r="A113" t="s">
        <v>104</v>
      </c>
      <c r="B113" t="s">
        <v>1362</v>
      </c>
      <c r="C113" s="6">
        <f>IFERROR(VLOOKUP(A113,[1]eco_bus_journals!$B:$D,3,0),"")</f>
        <v>16</v>
      </c>
      <c r="D113" s="37">
        <f>IFERROR(ROUND(VLOOKUP(A113,[1]eco_bus_journals!$B:$X,4,0),2),"")</f>
        <v>0.73</v>
      </c>
      <c r="E113" s="37">
        <f>_xlfn.RANK.EQ(D113,D:D)</f>
        <v>103</v>
      </c>
      <c r="F113" s="44" t="str">
        <f>IFERROR(ROUND(VLOOKUP(A113,[1]eco_journals!B:E,4,0),2),"")</f>
        <v/>
      </c>
      <c r="G113" s="40" t="str">
        <f>IFERROR(_xlfn.RANK.EQ(F113,F:F),"")</f>
        <v/>
      </c>
      <c r="H113" s="46">
        <f>IFERROR(ROUND(VLOOKUP(A113,[1]fin_journals!B:E,4,0),2),"")</f>
        <v>1.75</v>
      </c>
      <c r="I113" s="18">
        <f>IFERROR(_xlfn.RANK.EQ(H113,H:H),"")</f>
        <v>18</v>
      </c>
      <c r="J113" s="42" t="str">
        <f>IFERROR(ROUND(VLOOKUP(A113,[1]bus_journals!B:E,4,0),2),"")</f>
        <v/>
      </c>
      <c r="K113" s="23" t="str">
        <f>IFERROR(_xlfn.RANK.EQ(J113,J:J),"")</f>
        <v/>
      </c>
      <c r="L113" s="43">
        <f>IFERROR(ROUND(VLOOKUP(A113,[1]man_journals!B:E,4,0),2),"")</f>
        <v>0.85</v>
      </c>
      <c r="M113" s="26">
        <f>IFERROR(_xlfn.RANK.EQ(L113,L:L),"")</f>
        <v>65</v>
      </c>
      <c r="N113" s="3" t="s">
        <v>1274</v>
      </c>
      <c r="O113" s="4" t="s">
        <v>1275</v>
      </c>
    </row>
    <row r="114" spans="1:17" x14ac:dyDescent="0.25">
      <c r="A114" t="s">
        <v>75</v>
      </c>
      <c r="B114" t="s">
        <v>1370</v>
      </c>
      <c r="C114" s="6">
        <f>IFERROR(VLOOKUP(A114,[1]eco_bus_journals!$B:$D,3,0),"")</f>
        <v>18</v>
      </c>
      <c r="D114" s="37">
        <f>IFERROR(ROUND(VLOOKUP(A114,[1]eco_bus_journals!$B:$X,4,0),2),"")</f>
        <v>0.74</v>
      </c>
      <c r="E114" s="37">
        <f>_xlfn.RANK.EQ(D114,D:D)</f>
        <v>99</v>
      </c>
      <c r="F114" s="44" t="str">
        <f>IFERROR(ROUND(VLOOKUP(A114,[1]eco_journals!B:E,4,0),2),"")</f>
        <v/>
      </c>
      <c r="G114" s="40" t="str">
        <f>IFERROR(_xlfn.RANK.EQ(F114,F:F),"")</f>
        <v/>
      </c>
      <c r="H114" s="46" t="str">
        <f>IFERROR(ROUND(VLOOKUP(A114,[1]fin_journals!B:E,4,0),2),"")</f>
        <v/>
      </c>
      <c r="I114" s="18" t="str">
        <f>IFERROR(_xlfn.RANK.EQ(H114,H:H),"")</f>
        <v/>
      </c>
      <c r="J114" s="42">
        <f>IFERROR(ROUND(VLOOKUP(A114,[1]bus_journals!B:E,4,0),2),"")</f>
        <v>2.2599999999999998</v>
      </c>
      <c r="K114" s="23">
        <f>IFERROR(_xlfn.RANK.EQ(J114,J:J),"")</f>
        <v>30</v>
      </c>
      <c r="L114" s="43" t="str">
        <f>IFERROR(ROUND(VLOOKUP(A114,[1]man_journals!B:E,4,0),2),"")</f>
        <v/>
      </c>
      <c r="M114" s="26" t="str">
        <f>IFERROR(_xlfn.RANK.EQ(L114,L:L),"")</f>
        <v/>
      </c>
      <c r="N114" s="2" t="s">
        <v>1273</v>
      </c>
      <c r="O114" t="s">
        <v>1287</v>
      </c>
    </row>
    <row r="115" spans="1:17" x14ac:dyDescent="0.25">
      <c r="A115" t="s">
        <v>175</v>
      </c>
      <c r="B115" t="s">
        <v>1362</v>
      </c>
      <c r="C115" s="6">
        <f>IFERROR(VLOOKUP(A115,[1]eco_bus_journals!$B:$D,3,0),"")</f>
        <v>23</v>
      </c>
      <c r="D115" s="37">
        <f>IFERROR(ROUND(VLOOKUP(A115,[1]eco_bus_journals!$B:$X,4,0),2),"")</f>
        <v>0.69</v>
      </c>
      <c r="E115" s="37">
        <f>_xlfn.RANK.EQ(D115,D:D)</f>
        <v>113</v>
      </c>
      <c r="F115" s="44">
        <f>IFERROR(ROUND(VLOOKUP(A115,[1]eco_journals!B:E,4,0),2),"")</f>
        <v>0.74</v>
      </c>
      <c r="G115" s="40">
        <f>IFERROR(_xlfn.RANK.EQ(F115,F:F),"")</f>
        <v>48</v>
      </c>
      <c r="H115" s="46" t="str">
        <f>IFERROR(ROUND(VLOOKUP(A115,[1]fin_journals!B:E,4,0),2),"")</f>
        <v/>
      </c>
      <c r="I115" s="18" t="str">
        <f>IFERROR(_xlfn.RANK.EQ(H115,H:H),"")</f>
        <v/>
      </c>
      <c r="J115" s="42" t="str">
        <f>IFERROR(ROUND(VLOOKUP(A115,[1]bus_journals!B:E,4,0),2),"")</f>
        <v/>
      </c>
      <c r="K115" s="23" t="str">
        <f>IFERROR(_xlfn.RANK.EQ(J115,J:J),"")</f>
        <v/>
      </c>
      <c r="L115" s="43" t="str">
        <f>IFERROR(ROUND(VLOOKUP(A115,[1]man_journals!B:E,4,0),2),"")</f>
        <v/>
      </c>
      <c r="M115" s="26" t="str">
        <f>IFERROR(_xlfn.RANK.EQ(L115,L:L),"")</f>
        <v/>
      </c>
      <c r="N115" s="1" t="s">
        <v>1272</v>
      </c>
      <c r="O115" t="s">
        <v>1300</v>
      </c>
    </row>
    <row r="116" spans="1:17" x14ac:dyDescent="0.25">
      <c r="A116" t="s">
        <v>91</v>
      </c>
      <c r="B116" t="s">
        <v>1360</v>
      </c>
      <c r="C116" s="6">
        <f>IFERROR(VLOOKUP(A116,[1]eco_bus_journals!$B:$D,3,0),"")</f>
        <v>50</v>
      </c>
      <c r="D116" s="37">
        <f>IFERROR(ROUND(VLOOKUP(A116,[1]eco_bus_journals!$B:$X,4,0),2),"")</f>
        <v>0.67</v>
      </c>
      <c r="E116" s="37">
        <f>_xlfn.RANK.EQ(D116,D:D)</f>
        <v>120</v>
      </c>
      <c r="F116" s="44" t="str">
        <f>IFERROR(ROUND(VLOOKUP(A116,[1]eco_journals!B:E,4,0),2),"")</f>
        <v/>
      </c>
      <c r="G116" s="40" t="str">
        <f>IFERROR(_xlfn.RANK.EQ(F116,F:F),"")</f>
        <v/>
      </c>
      <c r="H116" s="46" t="str">
        <f>IFERROR(ROUND(VLOOKUP(A116,[1]fin_journals!B:E,4,0),2),"")</f>
        <v/>
      </c>
      <c r="I116" s="18" t="str">
        <f>IFERROR(_xlfn.RANK.EQ(H116,H:H),"")</f>
        <v/>
      </c>
      <c r="J116" s="42" t="str">
        <f>IFERROR(ROUND(VLOOKUP(A116,[1]bus_journals!B:E,4,0),2),"")</f>
        <v/>
      </c>
      <c r="K116" s="23" t="str">
        <f>IFERROR(_xlfn.RANK.EQ(J116,J:J),"")</f>
        <v/>
      </c>
      <c r="L116" s="43">
        <f>IFERROR(ROUND(VLOOKUP(A116,[1]man_journals!B:E,4,0),2),"")</f>
        <v>1.6</v>
      </c>
      <c r="M116" s="26">
        <f>IFERROR(_xlfn.RANK.EQ(L116,L:L),"")</f>
        <v>31</v>
      </c>
      <c r="N116" s="4" t="s">
        <v>1275</v>
      </c>
      <c r="O116" t="s">
        <v>1278</v>
      </c>
    </row>
    <row r="117" spans="1:17" x14ac:dyDescent="0.25">
      <c r="A117" t="s">
        <v>183</v>
      </c>
      <c r="B117" t="s">
        <v>1362</v>
      </c>
      <c r="C117" s="6">
        <f>IFERROR(VLOOKUP(A117,[1]eco_bus_journals!$B:$D,3,0),"")</f>
        <v>148</v>
      </c>
      <c r="D117" s="37">
        <f>IFERROR(ROUND(VLOOKUP(A117,[1]eco_bus_journals!$B:$X,4,0),2),"")</f>
        <v>0.69</v>
      </c>
      <c r="E117" s="37">
        <f>_xlfn.RANK.EQ(D117,D:D)</f>
        <v>113</v>
      </c>
      <c r="F117" s="44">
        <f>IFERROR(ROUND(VLOOKUP(A117,[1]eco_journals!B:E,4,0),2),"")</f>
        <v>0.7</v>
      </c>
      <c r="G117" s="40">
        <f>IFERROR(_xlfn.RANK.EQ(F117,F:F),"")</f>
        <v>50</v>
      </c>
      <c r="H117" s="46" t="str">
        <f>IFERROR(ROUND(VLOOKUP(A117,[1]fin_journals!B:E,4,0),2),"")</f>
        <v/>
      </c>
      <c r="I117" s="18" t="str">
        <f>IFERROR(_xlfn.RANK.EQ(H117,H:H),"")</f>
        <v/>
      </c>
      <c r="J117" s="42" t="str">
        <f>IFERROR(ROUND(VLOOKUP(A117,[1]bus_journals!B:E,4,0),2),"")</f>
        <v/>
      </c>
      <c r="K117" s="23" t="str">
        <f>IFERROR(_xlfn.RANK.EQ(J117,J:J),"")</f>
        <v/>
      </c>
      <c r="L117" s="43" t="str">
        <f>IFERROR(ROUND(VLOOKUP(A117,[1]man_journals!B:E,4,0),2),"")</f>
        <v/>
      </c>
      <c r="M117" s="26" t="str">
        <f>IFERROR(_xlfn.RANK.EQ(L117,L:L),"")</f>
        <v/>
      </c>
      <c r="N117" s="1" t="s">
        <v>1272</v>
      </c>
      <c r="O117" t="s">
        <v>1279</v>
      </c>
      <c r="P117" t="s">
        <v>1280</v>
      </c>
    </row>
    <row r="118" spans="1:17" x14ac:dyDescent="0.25">
      <c r="A118" t="s">
        <v>198</v>
      </c>
      <c r="B118" t="s">
        <v>1362</v>
      </c>
      <c r="C118" s="6">
        <f>IFERROR(VLOOKUP(A118,[1]eco_bus_journals!$B:$D,3,0),"")</f>
        <v>67</v>
      </c>
      <c r="D118" s="37">
        <f>IFERROR(ROUND(VLOOKUP(A118,[1]eco_bus_journals!$B:$X,4,0),2),"")</f>
        <v>0.68</v>
      </c>
      <c r="E118" s="37">
        <f>_xlfn.RANK.EQ(D118,D:D)</f>
        <v>117</v>
      </c>
      <c r="F118" s="44">
        <f>IFERROR(ROUND(VLOOKUP(A118,[1]eco_journals!B:E,4,0),2),"")</f>
        <v>0.72</v>
      </c>
      <c r="G118" s="40">
        <f>IFERROR(_xlfn.RANK.EQ(F118,F:F),"")</f>
        <v>49</v>
      </c>
      <c r="H118" s="46" t="str">
        <f>IFERROR(ROUND(VLOOKUP(A118,[1]fin_journals!B:E,4,0),2),"")</f>
        <v/>
      </c>
      <c r="I118" s="18" t="str">
        <f>IFERROR(_xlfn.RANK.EQ(H118,H:H),"")</f>
        <v/>
      </c>
      <c r="J118" s="42" t="str">
        <f>IFERROR(ROUND(VLOOKUP(A118,[1]bus_journals!B:E,4,0),2),"")</f>
        <v/>
      </c>
      <c r="K118" s="23" t="str">
        <f>IFERROR(_xlfn.RANK.EQ(J118,J:J),"")</f>
        <v/>
      </c>
      <c r="L118" s="43" t="str">
        <f>IFERROR(ROUND(VLOOKUP(A118,[1]man_journals!B:E,4,0),2),"")</f>
        <v/>
      </c>
      <c r="M118" s="26" t="str">
        <f>IFERROR(_xlfn.RANK.EQ(L118,L:L),"")</f>
        <v/>
      </c>
      <c r="N118" s="1" t="s">
        <v>1272</v>
      </c>
    </row>
    <row r="119" spans="1:17" x14ac:dyDescent="0.25">
      <c r="A119" t="s">
        <v>215</v>
      </c>
      <c r="B119" t="s">
        <v>1361</v>
      </c>
      <c r="C119" s="6">
        <f>IFERROR(VLOOKUP(A119,[1]eco_bus_journals!$B:$D,3,0),"")</f>
        <v>24</v>
      </c>
      <c r="D119" s="37">
        <f>IFERROR(ROUND(VLOOKUP(A119,[1]eco_bus_journals!$B:$X,4,0),2),"")</f>
        <v>0.64</v>
      </c>
      <c r="E119" s="37">
        <f>_xlfn.RANK.EQ(D119,D:D)</f>
        <v>126</v>
      </c>
      <c r="F119" s="44">
        <f>IFERROR(ROUND(VLOOKUP(A119,[1]eco_journals!B:E,4,0),2),"")</f>
        <v>0.67</v>
      </c>
      <c r="G119" s="40">
        <f>IFERROR(_xlfn.RANK.EQ(F119,F:F),"")</f>
        <v>54</v>
      </c>
      <c r="H119" s="46" t="str">
        <f>IFERROR(ROUND(VLOOKUP(A119,[1]fin_journals!B:E,4,0),2),"")</f>
        <v/>
      </c>
      <c r="I119" s="18" t="str">
        <f>IFERROR(_xlfn.RANK.EQ(H119,H:H),"")</f>
        <v/>
      </c>
      <c r="J119" s="42" t="str">
        <f>IFERROR(ROUND(VLOOKUP(A119,[1]bus_journals!B:E,4,0),2),"")</f>
        <v/>
      </c>
      <c r="K119" s="23" t="str">
        <f>IFERROR(_xlfn.RANK.EQ(J119,J:J),"")</f>
        <v/>
      </c>
      <c r="L119" s="43" t="str">
        <f>IFERROR(ROUND(VLOOKUP(A119,[1]man_journals!B:E,4,0),2),"")</f>
        <v/>
      </c>
      <c r="M119" s="26" t="str">
        <f>IFERROR(_xlfn.RANK.EQ(L119,L:L),"")</f>
        <v/>
      </c>
      <c r="N119" s="1" t="s">
        <v>1272</v>
      </c>
      <c r="O119" t="s">
        <v>1279</v>
      </c>
      <c r="P119" t="s">
        <v>1280</v>
      </c>
      <c r="Q119" t="s">
        <v>1281</v>
      </c>
    </row>
    <row r="120" spans="1:17" x14ac:dyDescent="0.25">
      <c r="A120" t="s">
        <v>166</v>
      </c>
      <c r="B120" t="s">
        <v>1360</v>
      </c>
      <c r="C120" s="6">
        <f>IFERROR(VLOOKUP(A120,[1]eco_bus_journals!$B:$D,3,0),"")</f>
        <v>40</v>
      </c>
      <c r="D120" s="37">
        <f>IFERROR(ROUND(VLOOKUP(A120,[1]eco_bus_journals!$B:$X,4,0),2),"")</f>
        <v>0.72</v>
      </c>
      <c r="E120" s="37">
        <f>_xlfn.RANK.EQ(D120,D:D)</f>
        <v>108</v>
      </c>
      <c r="F120" s="44">
        <f>IFERROR(ROUND(VLOOKUP(A120,[1]eco_journals!B:E,4,0),2),"")</f>
        <v>0.7</v>
      </c>
      <c r="G120" s="40">
        <f>IFERROR(_xlfn.RANK.EQ(F120,F:F),"")</f>
        <v>50</v>
      </c>
      <c r="H120" s="46" t="str">
        <f>IFERROR(ROUND(VLOOKUP(A120,[1]fin_journals!B:E,4,0),2),"")</f>
        <v/>
      </c>
      <c r="I120" s="18" t="str">
        <f>IFERROR(_xlfn.RANK.EQ(H120,H:H),"")</f>
        <v/>
      </c>
      <c r="J120" s="42" t="str">
        <f>IFERROR(ROUND(VLOOKUP(A120,[1]bus_journals!B:E,4,0),2),"")</f>
        <v/>
      </c>
      <c r="K120" s="23" t="str">
        <f>IFERROR(_xlfn.RANK.EQ(J120,J:J),"")</f>
        <v/>
      </c>
      <c r="L120" s="43" t="str">
        <f>IFERROR(ROUND(VLOOKUP(A120,[1]man_journals!B:E,4,0),2),"")</f>
        <v/>
      </c>
      <c r="M120" s="26" t="str">
        <f>IFERROR(_xlfn.RANK.EQ(L120,L:L),"")</f>
        <v/>
      </c>
      <c r="N120" s="1" t="s">
        <v>1272</v>
      </c>
    </row>
    <row r="121" spans="1:17" x14ac:dyDescent="0.25">
      <c r="A121" t="s">
        <v>191</v>
      </c>
      <c r="B121" t="s">
        <v>1362</v>
      </c>
      <c r="C121" s="6">
        <f>IFERROR(VLOOKUP(A121,[1]eco_bus_journals!$B:$D,3,0),"")</f>
        <v>114</v>
      </c>
      <c r="D121" s="37">
        <f>IFERROR(ROUND(VLOOKUP(A121,[1]eco_bus_journals!$B:$X,4,0),2),"")</f>
        <v>0.67</v>
      </c>
      <c r="E121" s="37">
        <f>_xlfn.RANK.EQ(D121,D:D)</f>
        <v>120</v>
      </c>
      <c r="F121" s="44">
        <f>IFERROR(ROUND(VLOOKUP(A121,[1]eco_journals!B:E,4,0),2),"")</f>
        <v>0.67</v>
      </c>
      <c r="G121" s="40">
        <f>IFERROR(_xlfn.RANK.EQ(F121,F:F),"")</f>
        <v>54</v>
      </c>
      <c r="H121" s="46" t="str">
        <f>IFERROR(ROUND(VLOOKUP(A121,[1]fin_journals!B:E,4,0),2),"")</f>
        <v/>
      </c>
      <c r="I121" s="18" t="str">
        <f>IFERROR(_xlfn.RANK.EQ(H121,H:H),"")</f>
        <v/>
      </c>
      <c r="J121" s="42" t="str">
        <f>IFERROR(ROUND(VLOOKUP(A121,[1]bus_journals!B:E,4,0),2),"")</f>
        <v/>
      </c>
      <c r="K121" s="23" t="str">
        <f>IFERROR(_xlfn.RANK.EQ(J121,J:J),"")</f>
        <v/>
      </c>
      <c r="L121" s="43" t="str">
        <f>IFERROR(ROUND(VLOOKUP(A121,[1]man_journals!B:E,4,0),2),"")</f>
        <v/>
      </c>
      <c r="M121" s="26" t="str">
        <f>IFERROR(_xlfn.RANK.EQ(L121,L:L),"")</f>
        <v/>
      </c>
      <c r="N121" s="1" t="s">
        <v>1272</v>
      </c>
    </row>
    <row r="122" spans="1:17" x14ac:dyDescent="0.25">
      <c r="A122" t="s">
        <v>108</v>
      </c>
      <c r="B122" t="s">
        <v>1362</v>
      </c>
      <c r="C122" s="6">
        <f>IFERROR(VLOOKUP(A122,[1]eco_bus_journals!$B:$D,3,0),"")</f>
        <v>15</v>
      </c>
      <c r="D122" s="37">
        <f>IFERROR(ROUND(VLOOKUP(A122,[1]eco_bus_journals!$B:$X,4,0),2),"")</f>
        <v>0.79</v>
      </c>
      <c r="E122" s="37">
        <f>_xlfn.RANK.EQ(D122,D:D)</f>
        <v>93</v>
      </c>
      <c r="F122" s="44" t="str">
        <f>IFERROR(ROUND(VLOOKUP(A122,[1]eco_journals!B:E,4,0),2),"")</f>
        <v/>
      </c>
      <c r="G122" s="40" t="str">
        <f>IFERROR(_xlfn.RANK.EQ(F122,F:F),"")</f>
        <v/>
      </c>
      <c r="H122" s="46" t="str">
        <f>IFERROR(ROUND(VLOOKUP(A122,[1]fin_journals!B:E,4,0),2),"")</f>
        <v/>
      </c>
      <c r="I122" s="18" t="str">
        <f>IFERROR(_xlfn.RANK.EQ(H122,H:H),"")</f>
        <v/>
      </c>
      <c r="J122" s="42" t="str">
        <f>IFERROR(ROUND(VLOOKUP(A122,[1]bus_journals!B:E,4,0),2),"")</f>
        <v/>
      </c>
      <c r="K122" s="23" t="str">
        <f>IFERROR(_xlfn.RANK.EQ(J122,J:J),"")</f>
        <v/>
      </c>
      <c r="L122" s="43">
        <f>IFERROR(ROUND(VLOOKUP(A122,[1]man_journals!B:E,4,0),2),"")</f>
        <v>1.59</v>
      </c>
      <c r="M122" s="26">
        <f>IFERROR(_xlfn.RANK.EQ(L122,L:L),"")</f>
        <v>32</v>
      </c>
      <c r="N122" t="s">
        <v>1294</v>
      </c>
      <c r="O122" s="4" t="s">
        <v>1275</v>
      </c>
    </row>
    <row r="123" spans="1:17" x14ac:dyDescent="0.25">
      <c r="A123" t="s">
        <v>82</v>
      </c>
      <c r="B123" t="s">
        <v>1362</v>
      </c>
      <c r="C123" s="6">
        <f>IFERROR(VLOOKUP(A123,[1]eco_bus_journals!$B:$D,3,0),"")</f>
        <v>44</v>
      </c>
      <c r="D123" s="37">
        <f>IFERROR(ROUND(VLOOKUP(A123,[1]eco_bus_journals!$B:$X,4,0),2),"")</f>
        <v>0.6</v>
      </c>
      <c r="E123" s="37">
        <f>_xlfn.RANK.EQ(D123,D:D)</f>
        <v>135</v>
      </c>
      <c r="F123" s="44" t="str">
        <f>IFERROR(ROUND(VLOOKUP(A123,[1]eco_journals!B:E,4,0),2),"")</f>
        <v/>
      </c>
      <c r="G123" s="40" t="str">
        <f>IFERROR(_xlfn.RANK.EQ(F123,F:F),"")</f>
        <v/>
      </c>
      <c r="H123" s="46" t="str">
        <f>IFERROR(ROUND(VLOOKUP(A123,[1]fin_journals!B:E,4,0),2),"")</f>
        <v/>
      </c>
      <c r="I123" s="18" t="str">
        <f>IFERROR(_xlfn.RANK.EQ(H123,H:H),"")</f>
        <v/>
      </c>
      <c r="J123" s="42" t="str">
        <f>IFERROR(ROUND(VLOOKUP(A123,[1]bus_journals!B:E,4,0),2),"")</f>
        <v/>
      </c>
      <c r="K123" s="23" t="str">
        <f>IFERROR(_xlfn.RANK.EQ(J123,J:J),"")</f>
        <v/>
      </c>
      <c r="L123" s="43">
        <f>IFERROR(ROUND(VLOOKUP(A123,[1]man_journals!B:E,4,0),2),"")</f>
        <v>1.03</v>
      </c>
      <c r="M123" s="26">
        <f>IFERROR(_xlfn.RANK.EQ(L123,L:L),"")</f>
        <v>46</v>
      </c>
      <c r="N123" s="4" t="s">
        <v>1275</v>
      </c>
    </row>
    <row r="124" spans="1:17" x14ac:dyDescent="0.25">
      <c r="A124" t="s">
        <v>84</v>
      </c>
      <c r="B124" t="s">
        <v>1371</v>
      </c>
      <c r="C124" s="6">
        <f>IFERROR(VLOOKUP(A124,[1]eco_bus_journals!$B:$D,3,0),"")</f>
        <v>77</v>
      </c>
      <c r="D124" s="37">
        <f>IFERROR(ROUND(VLOOKUP(A124,[1]eco_bus_journals!$B:$X,4,0),2),"")</f>
        <v>0.65</v>
      </c>
      <c r="E124" s="37">
        <f>_xlfn.RANK.EQ(D124,D:D)</f>
        <v>123</v>
      </c>
      <c r="F124" s="44" t="str">
        <f>IFERROR(ROUND(VLOOKUP(A124,[1]eco_journals!B:E,4,0),2),"")</f>
        <v/>
      </c>
      <c r="G124" s="40" t="str">
        <f>IFERROR(_xlfn.RANK.EQ(F124,F:F),"")</f>
        <v/>
      </c>
      <c r="H124" s="46" t="str">
        <f>IFERROR(ROUND(VLOOKUP(A124,[1]fin_journals!B:E,4,0),2),"")</f>
        <v/>
      </c>
      <c r="I124" s="18" t="str">
        <f>IFERROR(_xlfn.RANK.EQ(H124,H:H),"")</f>
        <v/>
      </c>
      <c r="J124" s="42" t="str">
        <f>IFERROR(ROUND(VLOOKUP(A124,[1]bus_journals!B:E,4,0),2),"")</f>
        <v/>
      </c>
      <c r="K124" s="23" t="str">
        <f>IFERROR(_xlfn.RANK.EQ(J124,J:J),"")</f>
        <v/>
      </c>
      <c r="L124" s="43">
        <f>IFERROR(ROUND(VLOOKUP(A124,[1]man_journals!B:E,4,0),2),"")</f>
        <v>0.96</v>
      </c>
      <c r="M124" s="26">
        <f>IFERROR(_xlfn.RANK.EQ(L124,L:L),"")</f>
        <v>52</v>
      </c>
      <c r="N124" s="4" t="s">
        <v>1275</v>
      </c>
    </row>
    <row r="125" spans="1:17" x14ac:dyDescent="0.25">
      <c r="A125" t="s">
        <v>170</v>
      </c>
      <c r="B125" t="s">
        <v>1363</v>
      </c>
      <c r="C125" s="6">
        <f>IFERROR(VLOOKUP(A125,[1]eco_bus_journals!$B:$D,3,0),"")</f>
        <v>66</v>
      </c>
      <c r="D125" s="37">
        <f>IFERROR(ROUND(VLOOKUP(A125,[1]eco_bus_journals!$B:$X,4,0),2),"")</f>
        <v>0.63</v>
      </c>
      <c r="E125" s="37">
        <f>_xlfn.RANK.EQ(D125,D:D)</f>
        <v>130</v>
      </c>
      <c r="F125" s="44">
        <f>IFERROR(ROUND(VLOOKUP(A125,[1]eco_journals!B:E,4,0),2),"")</f>
        <v>0.66</v>
      </c>
      <c r="G125" s="40">
        <f>IFERROR(_xlfn.RANK.EQ(F125,F:F),"")</f>
        <v>56</v>
      </c>
      <c r="H125" s="46" t="str">
        <f>IFERROR(ROUND(VLOOKUP(A125,[1]fin_journals!B:E,4,0),2),"")</f>
        <v/>
      </c>
      <c r="I125" s="18" t="str">
        <f>IFERROR(_xlfn.RANK.EQ(H125,H:H),"")</f>
        <v/>
      </c>
      <c r="J125" s="42" t="str">
        <f>IFERROR(ROUND(VLOOKUP(A125,[1]bus_journals!B:E,4,0),2),"")</f>
        <v/>
      </c>
      <c r="K125" s="23" t="str">
        <f>IFERROR(_xlfn.RANK.EQ(J125,J:J),"")</f>
        <v/>
      </c>
      <c r="L125" s="43" t="str">
        <f>IFERROR(ROUND(VLOOKUP(A125,[1]man_journals!B:E,4,0),2),"")</f>
        <v/>
      </c>
      <c r="M125" s="26" t="str">
        <f>IFERROR(_xlfn.RANK.EQ(L125,L:L),"")</f>
        <v/>
      </c>
      <c r="N125" t="s">
        <v>1302</v>
      </c>
      <c r="O125" s="1" t="s">
        <v>1272</v>
      </c>
    </row>
    <row r="126" spans="1:17" x14ac:dyDescent="0.25">
      <c r="A126" t="s">
        <v>93</v>
      </c>
      <c r="B126" t="s">
        <v>1358</v>
      </c>
      <c r="C126" s="6">
        <f>IFERROR(VLOOKUP(A126,[1]eco_bus_journals!$B:$D,3,0),"")</f>
        <v>52</v>
      </c>
      <c r="D126" s="37">
        <f>IFERROR(ROUND(VLOOKUP(A126,[1]eco_bus_journals!$B:$X,4,0),2),"")</f>
        <v>0.64</v>
      </c>
      <c r="E126" s="37">
        <f>_xlfn.RANK.EQ(D126,D:D)</f>
        <v>126</v>
      </c>
      <c r="F126" s="44" t="str">
        <f>IFERROR(ROUND(VLOOKUP(A126,[1]eco_journals!B:E,4,0),2),"")</f>
        <v/>
      </c>
      <c r="G126" s="40" t="str">
        <f>IFERROR(_xlfn.RANK.EQ(F126,F:F),"")</f>
        <v/>
      </c>
      <c r="H126" s="46" t="str">
        <f>IFERROR(ROUND(VLOOKUP(A126,[1]fin_journals!B:E,4,0),2),"")</f>
        <v/>
      </c>
      <c r="I126" s="18" t="str">
        <f>IFERROR(_xlfn.RANK.EQ(H126,H:H),"")</f>
        <v/>
      </c>
      <c r="J126" s="42">
        <f>IFERROR(ROUND(VLOOKUP(A126,[1]bus_journals!B:E,4,0),2),"")</f>
        <v>1.56</v>
      </c>
      <c r="K126" s="23">
        <f>IFERROR(_xlfn.RANK.EQ(J126,J:J),"")</f>
        <v>43</v>
      </c>
      <c r="L126" s="43">
        <f>IFERROR(ROUND(VLOOKUP(A126,[1]man_journals!B:E,4,0),2),"")</f>
        <v>1.07</v>
      </c>
      <c r="M126" s="26">
        <f>IFERROR(_xlfn.RANK.EQ(L126,L:L),"")</f>
        <v>43</v>
      </c>
      <c r="N126" s="2" t="s">
        <v>1273</v>
      </c>
      <c r="O126" s="4" t="s">
        <v>1275</v>
      </c>
    </row>
    <row r="127" spans="1:17" x14ac:dyDescent="0.25">
      <c r="A127" t="s">
        <v>210</v>
      </c>
      <c r="B127" t="s">
        <v>1360</v>
      </c>
      <c r="C127" s="6">
        <f>IFERROR(VLOOKUP(A127,[1]eco_bus_journals!$B:$D,3,0),"")</f>
        <v>73</v>
      </c>
      <c r="D127" s="37">
        <f>IFERROR(ROUND(VLOOKUP(A127,[1]eco_bus_journals!$B:$X,4,0),2),"")</f>
        <v>0.65</v>
      </c>
      <c r="E127" s="37">
        <f>_xlfn.RANK.EQ(D127,D:D)</f>
        <v>123</v>
      </c>
      <c r="F127" s="44">
        <f>IFERROR(ROUND(VLOOKUP(A127,[1]eco_journals!B:E,4,0),2),"")</f>
        <v>0.6</v>
      </c>
      <c r="G127" s="40">
        <f>IFERROR(_xlfn.RANK.EQ(F127,F:F),"")</f>
        <v>62</v>
      </c>
      <c r="H127" s="46">
        <f>IFERROR(ROUND(VLOOKUP(A127,[1]fin_journals!B:E,4,0),2),"")</f>
        <v>0.97</v>
      </c>
      <c r="I127" s="18">
        <f>IFERROR(_xlfn.RANK.EQ(H127,H:H),"")</f>
        <v>39</v>
      </c>
      <c r="J127" s="42" t="str">
        <f>IFERROR(ROUND(VLOOKUP(A127,[1]bus_journals!B:E,4,0),2),"")</f>
        <v/>
      </c>
      <c r="K127" s="23" t="str">
        <f>IFERROR(_xlfn.RANK.EQ(J127,J:J),"")</f>
        <v/>
      </c>
      <c r="L127" s="43" t="str">
        <f>IFERROR(ROUND(VLOOKUP(A127,[1]man_journals!B:E,4,0),2),"")</f>
        <v/>
      </c>
      <c r="M127" s="26" t="str">
        <f>IFERROR(_xlfn.RANK.EQ(L127,L:L),"")</f>
        <v/>
      </c>
      <c r="N127" s="3" t="s">
        <v>1274</v>
      </c>
      <c r="O127" s="1" t="s">
        <v>1272</v>
      </c>
    </row>
    <row r="128" spans="1:17" x14ac:dyDescent="0.25">
      <c r="A128" t="s">
        <v>208</v>
      </c>
      <c r="B128" t="s">
        <v>1372</v>
      </c>
      <c r="C128" s="6">
        <f>IFERROR(VLOOKUP(A128,[1]eco_bus_journals!$B:$D,3,0),"")</f>
        <v>114</v>
      </c>
      <c r="D128" s="37">
        <f>IFERROR(ROUND(VLOOKUP(A128,[1]eco_bus_journals!$B:$X,4,0),2),"")</f>
        <v>0.59</v>
      </c>
      <c r="E128" s="37">
        <f>_xlfn.RANK.EQ(D128,D:D)</f>
        <v>136</v>
      </c>
      <c r="F128" s="44">
        <f>IFERROR(ROUND(VLOOKUP(A128,[1]eco_journals!B:E,4,0),2),"")</f>
        <v>0.64</v>
      </c>
      <c r="G128" s="40">
        <f>IFERROR(_xlfn.RANK.EQ(F128,F:F),"")</f>
        <v>58</v>
      </c>
      <c r="H128" s="46" t="str">
        <f>IFERROR(ROUND(VLOOKUP(A128,[1]fin_journals!B:E,4,0),2),"")</f>
        <v/>
      </c>
      <c r="I128" s="18" t="str">
        <f>IFERROR(_xlfn.RANK.EQ(H128,H:H),"")</f>
        <v/>
      </c>
      <c r="J128" s="42" t="str">
        <f>IFERROR(ROUND(VLOOKUP(A128,[1]bus_journals!B:E,4,0),2),"")</f>
        <v/>
      </c>
      <c r="K128" s="23" t="str">
        <f>IFERROR(_xlfn.RANK.EQ(J128,J:J),"")</f>
        <v/>
      </c>
      <c r="L128" s="43" t="str">
        <f>IFERROR(ROUND(VLOOKUP(A128,[1]man_journals!B:E,4,0),2),"")</f>
        <v/>
      </c>
      <c r="M128" s="26" t="str">
        <f>IFERROR(_xlfn.RANK.EQ(L128,L:L),"")</f>
        <v/>
      </c>
      <c r="N128" s="1" t="s">
        <v>1272</v>
      </c>
      <c r="O128" t="s">
        <v>1280</v>
      </c>
      <c r="P128" t="s">
        <v>1281</v>
      </c>
    </row>
    <row r="129" spans="1:16" x14ac:dyDescent="0.25">
      <c r="A129" t="s">
        <v>102</v>
      </c>
      <c r="B129" t="s">
        <v>1362</v>
      </c>
      <c r="C129" s="6">
        <f>IFERROR(VLOOKUP(A129,[1]eco_bus_journals!$B:$D,3,0),"")</f>
        <v>20</v>
      </c>
      <c r="D129" s="37">
        <f>IFERROR(ROUND(VLOOKUP(A129,[1]eco_bus_journals!$B:$X,4,0),2),"")</f>
        <v>0.56000000000000005</v>
      </c>
      <c r="E129" s="37">
        <f>_xlfn.RANK.EQ(D129,D:D)</f>
        <v>141</v>
      </c>
      <c r="F129" s="44" t="str">
        <f>IFERROR(ROUND(VLOOKUP(A129,[1]eco_journals!B:E,4,0),2),"")</f>
        <v/>
      </c>
      <c r="G129" s="40" t="str">
        <f>IFERROR(_xlfn.RANK.EQ(F129,F:F),"")</f>
        <v/>
      </c>
      <c r="H129" s="46" t="str">
        <f>IFERROR(ROUND(VLOOKUP(A129,[1]fin_journals!B:E,4,0),2),"")</f>
        <v/>
      </c>
      <c r="I129" s="18" t="str">
        <f>IFERROR(_xlfn.RANK.EQ(H129,H:H),"")</f>
        <v/>
      </c>
      <c r="J129" s="42">
        <f>IFERROR(ROUND(VLOOKUP(A129,[1]bus_journals!B:E,4,0),2),"")</f>
        <v>1.51</v>
      </c>
      <c r="K129" s="23">
        <f>IFERROR(_xlfn.RANK.EQ(J129,J:J),"")</f>
        <v>44</v>
      </c>
      <c r="L129" s="43">
        <f>IFERROR(ROUND(VLOOKUP(A129,[1]man_journals!B:E,4,0),2),"")</f>
        <v>1.03</v>
      </c>
      <c r="M129" s="26">
        <f>IFERROR(_xlfn.RANK.EQ(L129,L:L),"")</f>
        <v>46</v>
      </c>
      <c r="N129" s="2" t="s">
        <v>1273</v>
      </c>
      <c r="O129" s="4" t="s">
        <v>1275</v>
      </c>
    </row>
    <row r="130" spans="1:16" x14ac:dyDescent="0.25">
      <c r="A130" t="s">
        <v>79</v>
      </c>
      <c r="B130" t="s">
        <v>1362</v>
      </c>
      <c r="C130" s="6">
        <f>IFERROR(VLOOKUP(A130,[1]eco_bus_journals!$B:$D,3,0),"")</f>
        <v>67</v>
      </c>
      <c r="D130" s="37">
        <f>IFERROR(ROUND(VLOOKUP(A130,[1]eco_bus_journals!$B:$X,4,0),2),"")</f>
        <v>0.64</v>
      </c>
      <c r="E130" s="37">
        <f>_xlfn.RANK.EQ(D130,D:D)</f>
        <v>126</v>
      </c>
      <c r="F130" s="44" t="str">
        <f>IFERROR(ROUND(VLOOKUP(A130,[1]eco_journals!B:E,4,0),2),"")</f>
        <v/>
      </c>
      <c r="G130" s="40" t="str">
        <f>IFERROR(_xlfn.RANK.EQ(F130,F:F),"")</f>
        <v/>
      </c>
      <c r="H130" s="46" t="str">
        <f>IFERROR(ROUND(VLOOKUP(A130,[1]fin_journals!B:E,4,0),2),"")</f>
        <v/>
      </c>
      <c r="I130" s="18" t="str">
        <f>IFERROR(_xlfn.RANK.EQ(H130,H:H),"")</f>
        <v/>
      </c>
      <c r="J130" s="42">
        <f>IFERROR(ROUND(VLOOKUP(A130,[1]bus_journals!B:E,4,0),2),"")</f>
        <v>1.85</v>
      </c>
      <c r="K130" s="23">
        <f>IFERROR(_xlfn.RANK.EQ(J130,J:J),"")</f>
        <v>38</v>
      </c>
      <c r="L130" s="43" t="str">
        <f>IFERROR(ROUND(VLOOKUP(A130,[1]man_journals!B:E,4,0),2),"")</f>
        <v/>
      </c>
      <c r="M130" s="26" t="str">
        <f>IFERROR(_xlfn.RANK.EQ(L130,L:L),"")</f>
        <v/>
      </c>
      <c r="N130" s="2" t="s">
        <v>1273</v>
      </c>
    </row>
    <row r="131" spans="1:16" x14ac:dyDescent="0.25">
      <c r="A131" t="s">
        <v>204</v>
      </c>
      <c r="B131" t="s">
        <v>1361</v>
      </c>
      <c r="C131" s="6">
        <f>IFERROR(VLOOKUP(A131,[1]eco_bus_journals!$B:$D,3,0),"")</f>
        <v>16</v>
      </c>
      <c r="D131" s="37">
        <f>IFERROR(ROUND(VLOOKUP(A131,[1]eco_bus_journals!$B:$X,4,0),2),"")</f>
        <v>0.64</v>
      </c>
      <c r="E131" s="37">
        <f>_xlfn.RANK.EQ(D131,D:D)</f>
        <v>126</v>
      </c>
      <c r="F131" s="44">
        <f>IFERROR(ROUND(VLOOKUP(A131,[1]eco_journals!B:E,4,0),2),"")</f>
        <v>0.66</v>
      </c>
      <c r="G131" s="40">
        <f>IFERROR(_xlfn.RANK.EQ(F131,F:F),"")</f>
        <v>56</v>
      </c>
      <c r="H131" s="46" t="str">
        <f>IFERROR(ROUND(VLOOKUP(A131,[1]fin_journals!B:E,4,0),2),"")</f>
        <v/>
      </c>
      <c r="I131" s="18" t="str">
        <f>IFERROR(_xlfn.RANK.EQ(H131,H:H),"")</f>
        <v/>
      </c>
      <c r="J131" s="42" t="str">
        <f>IFERROR(ROUND(VLOOKUP(A131,[1]bus_journals!B:E,4,0),2),"")</f>
        <v/>
      </c>
      <c r="K131" s="23" t="str">
        <f>IFERROR(_xlfn.RANK.EQ(J131,J:J),"")</f>
        <v/>
      </c>
      <c r="L131" s="43" t="str">
        <f>IFERROR(ROUND(VLOOKUP(A131,[1]man_journals!B:E,4,0),2),"")</f>
        <v/>
      </c>
      <c r="M131" s="26" t="str">
        <f>IFERROR(_xlfn.RANK.EQ(L131,L:L),"")</f>
        <v/>
      </c>
      <c r="N131" s="1" t="s">
        <v>1272</v>
      </c>
    </row>
    <row r="132" spans="1:16" x14ac:dyDescent="0.25">
      <c r="A132" t="s">
        <v>118</v>
      </c>
      <c r="B132" t="s">
        <v>1360</v>
      </c>
      <c r="C132" s="6">
        <f>IFERROR(VLOOKUP(A132,[1]eco_bus_journals!$B:$D,3,0),"")</f>
        <v>48</v>
      </c>
      <c r="D132" s="37">
        <f>IFERROR(ROUND(VLOOKUP(A132,[1]eco_bus_journals!$B:$X,4,0),2),"")</f>
        <v>0.59</v>
      </c>
      <c r="E132" s="37">
        <f>_xlfn.RANK.EQ(D132,D:D)</f>
        <v>136</v>
      </c>
      <c r="F132" s="44" t="str">
        <f>IFERROR(ROUND(VLOOKUP(A132,[1]eco_journals!B:E,4,0),2),"")</f>
        <v/>
      </c>
      <c r="G132" s="40" t="str">
        <f>IFERROR(_xlfn.RANK.EQ(F132,F:F),"")</f>
        <v/>
      </c>
      <c r="H132" s="46">
        <f>IFERROR(ROUND(VLOOKUP(A132,[1]fin_journals!B:E,4,0),2),"")</f>
        <v>1.61</v>
      </c>
      <c r="I132" s="18">
        <f>IFERROR(_xlfn.RANK.EQ(H132,H:H),"")</f>
        <v>20</v>
      </c>
      <c r="J132" s="42" t="str">
        <f>IFERROR(ROUND(VLOOKUP(A132,[1]bus_journals!B:E,4,0),2),"")</f>
        <v/>
      </c>
      <c r="K132" s="23" t="str">
        <f>IFERROR(_xlfn.RANK.EQ(J132,J:J),"")</f>
        <v/>
      </c>
      <c r="L132" s="43" t="str">
        <f>IFERROR(ROUND(VLOOKUP(A132,[1]man_journals!B:E,4,0),2),"")</f>
        <v/>
      </c>
      <c r="M132" s="26" t="str">
        <f>IFERROR(_xlfn.RANK.EQ(L132,L:L),"")</f>
        <v/>
      </c>
      <c r="N132" s="3" t="s">
        <v>1274</v>
      </c>
    </row>
    <row r="133" spans="1:16" x14ac:dyDescent="0.25">
      <c r="A133" t="s">
        <v>86</v>
      </c>
      <c r="B133" t="s">
        <v>1360</v>
      </c>
      <c r="C133" s="6">
        <f>IFERROR(VLOOKUP(A133,[1]eco_bus_journals!$B:$D,3,0),"")</f>
        <v>26</v>
      </c>
      <c r="D133" s="37">
        <f>IFERROR(ROUND(VLOOKUP(A133,[1]eco_bus_journals!$B:$X,4,0),2),"")</f>
        <v>0.56999999999999995</v>
      </c>
      <c r="E133" s="37">
        <f>_xlfn.RANK.EQ(D133,D:D)</f>
        <v>138</v>
      </c>
      <c r="F133" s="44" t="str">
        <f>IFERROR(ROUND(VLOOKUP(A133,[1]eco_journals!B:E,4,0),2),"")</f>
        <v/>
      </c>
      <c r="G133" s="40" t="str">
        <f>IFERROR(_xlfn.RANK.EQ(F133,F:F),"")</f>
        <v/>
      </c>
      <c r="H133" s="46">
        <f>IFERROR(ROUND(VLOOKUP(A133,[1]fin_journals!B:E,4,0),2),"")</f>
        <v>0.67</v>
      </c>
      <c r="I133" s="18">
        <f>IFERROR(_xlfn.RANK.EQ(H133,H:H),"")</f>
        <v>52</v>
      </c>
      <c r="J133" s="42">
        <f>IFERROR(ROUND(VLOOKUP(A133,[1]bus_journals!B:E,4,0),2),"")</f>
        <v>1.23</v>
      </c>
      <c r="K133" s="23">
        <f>IFERROR(_xlfn.RANK.EQ(J133,J:J),"")</f>
        <v>54</v>
      </c>
      <c r="L133" s="43">
        <f>IFERROR(ROUND(VLOOKUP(A133,[1]man_journals!B:E,4,0),2),"")</f>
        <v>0.97</v>
      </c>
      <c r="M133" s="26">
        <f>IFERROR(_xlfn.RANK.EQ(L133,L:L),"")</f>
        <v>50</v>
      </c>
      <c r="N133" s="2" t="s">
        <v>1273</v>
      </c>
      <c r="O133" s="3" t="s">
        <v>1274</v>
      </c>
      <c r="P133" s="4" t="s">
        <v>1275</v>
      </c>
    </row>
    <row r="134" spans="1:16" x14ac:dyDescent="0.25">
      <c r="A134" t="s">
        <v>291</v>
      </c>
      <c r="B134" t="s">
        <v>1364</v>
      </c>
      <c r="C134" s="6">
        <f>IFERROR(VLOOKUP(A134,[1]eco_bus_journals!$B:$D,3,0),"")</f>
        <v>14</v>
      </c>
      <c r="D134" s="37">
        <f>IFERROR(ROUND(VLOOKUP(A134,[1]eco_bus_journals!$B:$X,4,0),2),"")</f>
        <v>0.67</v>
      </c>
      <c r="E134" s="37">
        <f>_xlfn.RANK.EQ(D134,D:D)</f>
        <v>120</v>
      </c>
      <c r="F134" s="44">
        <f>IFERROR(ROUND(VLOOKUP(A134,[1]eco_journals!B:E,4,0),2),"")</f>
        <v>0.8</v>
      </c>
      <c r="G134" s="40">
        <f>IFERROR(_xlfn.RANK.EQ(F134,F:F),"")</f>
        <v>41</v>
      </c>
      <c r="H134" s="46">
        <f>IFERROR(ROUND(VLOOKUP(A134,[1]fin_journals!B:E,4,0),2),"")</f>
        <v>0.87</v>
      </c>
      <c r="I134" s="18">
        <f>IFERROR(_xlfn.RANK.EQ(H134,H:H),"")</f>
        <v>41</v>
      </c>
      <c r="J134" s="42" t="str">
        <f>IFERROR(ROUND(VLOOKUP(A134,[1]bus_journals!B:E,4,0),2),"")</f>
        <v/>
      </c>
      <c r="K134" s="23" t="str">
        <f>IFERROR(_xlfn.RANK.EQ(J134,J:J),"")</f>
        <v/>
      </c>
      <c r="L134" s="43" t="str">
        <f>IFERROR(ROUND(VLOOKUP(A134,[1]man_journals!B:E,4,0),2),"")</f>
        <v/>
      </c>
      <c r="M134" s="26" t="str">
        <f>IFERROR(_xlfn.RANK.EQ(L134,L:L),"")</f>
        <v/>
      </c>
      <c r="N134" s="3" t="s">
        <v>1274</v>
      </c>
      <c r="O134" s="1" t="s">
        <v>1272</v>
      </c>
    </row>
    <row r="135" spans="1:16" x14ac:dyDescent="0.25">
      <c r="A135" t="s">
        <v>90</v>
      </c>
      <c r="B135" t="s">
        <v>1358</v>
      </c>
      <c r="C135" s="6">
        <f>IFERROR(VLOOKUP(A135,[1]eco_bus_journals!$B:$D,3,0),"")</f>
        <v>111</v>
      </c>
      <c r="D135" s="37">
        <f>IFERROR(ROUND(VLOOKUP(A135,[1]eco_bus_journals!$B:$X,4,0),2),"")</f>
        <v>0.65</v>
      </c>
      <c r="E135" s="37">
        <f>_xlfn.RANK.EQ(D135,D:D)</f>
        <v>123</v>
      </c>
      <c r="F135" s="44" t="str">
        <f>IFERROR(ROUND(VLOOKUP(A135,[1]eco_journals!B:E,4,0),2),"")</f>
        <v/>
      </c>
      <c r="G135" s="40" t="str">
        <f>IFERROR(_xlfn.RANK.EQ(F135,F:F),"")</f>
        <v/>
      </c>
      <c r="H135" s="46" t="str">
        <f>IFERROR(ROUND(VLOOKUP(A135,[1]fin_journals!B:E,4,0),2),"")</f>
        <v/>
      </c>
      <c r="I135" s="18" t="str">
        <f>IFERROR(_xlfn.RANK.EQ(H135,H:H),"")</f>
        <v/>
      </c>
      <c r="J135" s="42" t="str">
        <f>IFERROR(ROUND(VLOOKUP(A135,[1]bus_journals!B:E,4,0),2),"")</f>
        <v/>
      </c>
      <c r="K135" s="23" t="str">
        <f>IFERROR(_xlfn.RANK.EQ(J135,J:J),"")</f>
        <v/>
      </c>
      <c r="L135" s="43">
        <f>IFERROR(ROUND(VLOOKUP(A135,[1]man_journals!B:E,4,0),2),"")</f>
        <v>1.45</v>
      </c>
      <c r="M135" s="26">
        <f>IFERROR(_xlfn.RANK.EQ(L135,L:L),"")</f>
        <v>35</v>
      </c>
      <c r="N135" s="4" t="s">
        <v>1275</v>
      </c>
      <c r="O135" t="s">
        <v>1290</v>
      </c>
    </row>
    <row r="136" spans="1:16" x14ac:dyDescent="0.25">
      <c r="A136" t="s">
        <v>249</v>
      </c>
      <c r="B136" t="s">
        <v>1377</v>
      </c>
      <c r="C136" s="6">
        <f>IFERROR(VLOOKUP(A136,[1]eco_bus_journals!$B:$D,3,0),"")</f>
        <v>44</v>
      </c>
      <c r="D136" s="37">
        <f>IFERROR(ROUND(VLOOKUP(A136,[1]eco_bus_journals!$B:$X,4,0),2),"")</f>
        <v>0.71</v>
      </c>
      <c r="E136" s="37">
        <f>_xlfn.RANK.EQ(D136,D:D)</f>
        <v>111</v>
      </c>
      <c r="F136" s="44" t="str">
        <f>IFERROR(ROUND(VLOOKUP(A136,[1]eco_journals!B:E,4,0),2),"")</f>
        <v/>
      </c>
      <c r="G136" s="40" t="str">
        <f>IFERROR(_xlfn.RANK.EQ(F136,F:F),"")</f>
        <v/>
      </c>
      <c r="H136" s="46">
        <f>IFERROR(ROUND(VLOOKUP(A136,[1]fin_journals!B:E,4,0),2),"")</f>
        <v>1.24</v>
      </c>
      <c r="I136" s="18">
        <f>IFERROR(_xlfn.RANK.EQ(H136,H:H),"")</f>
        <v>31</v>
      </c>
      <c r="J136" s="42" t="str">
        <f>IFERROR(ROUND(VLOOKUP(A136,[1]bus_journals!B:E,4,0),2),"")</f>
        <v/>
      </c>
      <c r="K136" s="23" t="str">
        <f>IFERROR(_xlfn.RANK.EQ(J136,J:J),"")</f>
        <v/>
      </c>
      <c r="L136" s="43" t="str">
        <f>IFERROR(ROUND(VLOOKUP(A136,[1]man_journals!B:E,4,0),2),"")</f>
        <v/>
      </c>
      <c r="M136" s="26" t="str">
        <f>IFERROR(_xlfn.RANK.EQ(L136,L:L),"")</f>
        <v/>
      </c>
      <c r="N136" s="3" t="s">
        <v>1274</v>
      </c>
    </row>
    <row r="137" spans="1:16" x14ac:dyDescent="0.25">
      <c r="A137" t="s">
        <v>157</v>
      </c>
      <c r="B137" t="s">
        <v>1362</v>
      </c>
      <c r="C137" s="6">
        <f>IFERROR(VLOOKUP(A137,[1]eco_bus_journals!$B:$D,3,0),"")</f>
        <v>33</v>
      </c>
      <c r="D137" s="37">
        <f>IFERROR(ROUND(VLOOKUP(A137,[1]eco_bus_journals!$B:$X,4,0),2),"")</f>
        <v>0.56000000000000005</v>
      </c>
      <c r="E137" s="37">
        <f>_xlfn.RANK.EQ(D137,D:D)</f>
        <v>141</v>
      </c>
      <c r="F137" s="44" t="str">
        <f>IFERROR(ROUND(VLOOKUP(A137,[1]eco_journals!B:E,4,0),2),"")</f>
        <v/>
      </c>
      <c r="G137" s="40" t="str">
        <f>IFERROR(_xlfn.RANK.EQ(F137,F:F),"")</f>
        <v/>
      </c>
      <c r="H137" s="46">
        <f>IFERROR(ROUND(VLOOKUP(A137,[1]fin_journals!B:E,4,0),2),"")</f>
        <v>1.33</v>
      </c>
      <c r="I137" s="18">
        <f>IFERROR(_xlfn.RANK.EQ(H137,H:H),"")</f>
        <v>28</v>
      </c>
      <c r="J137" s="42" t="str">
        <f>IFERROR(ROUND(VLOOKUP(A137,[1]bus_journals!B:E,4,0),2),"")</f>
        <v/>
      </c>
      <c r="K137" s="23" t="str">
        <f>IFERROR(_xlfn.RANK.EQ(J137,J:J),"")</f>
        <v/>
      </c>
      <c r="L137" s="43" t="str">
        <f>IFERROR(ROUND(VLOOKUP(A137,[1]man_journals!B:E,4,0),2),"")</f>
        <v/>
      </c>
      <c r="M137" s="26" t="str">
        <f>IFERROR(_xlfn.RANK.EQ(L137,L:L),"")</f>
        <v/>
      </c>
      <c r="N137" s="3" t="s">
        <v>1274</v>
      </c>
    </row>
    <row r="138" spans="1:16" x14ac:dyDescent="0.25">
      <c r="A138" t="s">
        <v>122</v>
      </c>
      <c r="B138" t="s">
        <v>1363</v>
      </c>
      <c r="C138" s="6">
        <f>IFERROR(VLOOKUP(A138,[1]eco_bus_journals!$B:$D,3,0),"")</f>
        <v>41</v>
      </c>
      <c r="D138" s="37">
        <f>IFERROR(ROUND(VLOOKUP(A138,[1]eco_bus_journals!$B:$X,4,0),2),"")</f>
        <v>0.56000000000000005</v>
      </c>
      <c r="E138" s="37">
        <f>_xlfn.RANK.EQ(D138,D:D)</f>
        <v>141</v>
      </c>
      <c r="F138" s="44" t="str">
        <f>IFERROR(ROUND(VLOOKUP(A138,[1]eco_journals!B:E,4,0),2),"")</f>
        <v/>
      </c>
      <c r="G138" s="40" t="str">
        <f>IFERROR(_xlfn.RANK.EQ(F138,F:F),"")</f>
        <v/>
      </c>
      <c r="H138" s="46" t="str">
        <f>IFERROR(ROUND(VLOOKUP(A138,[1]fin_journals!B:E,4,0),2),"")</f>
        <v/>
      </c>
      <c r="I138" s="18" t="str">
        <f>IFERROR(_xlfn.RANK.EQ(H138,H:H),"")</f>
        <v/>
      </c>
      <c r="J138" s="42">
        <f>IFERROR(ROUND(VLOOKUP(A138,[1]bus_journals!B:E,4,0),2),"")</f>
        <v>1.78</v>
      </c>
      <c r="K138" s="23">
        <f>IFERROR(_xlfn.RANK.EQ(J138,J:J),"")</f>
        <v>40</v>
      </c>
      <c r="L138" s="43" t="str">
        <f>IFERROR(ROUND(VLOOKUP(A138,[1]man_journals!B:E,4,0),2),"")</f>
        <v/>
      </c>
      <c r="M138" s="26" t="str">
        <f>IFERROR(_xlfn.RANK.EQ(L138,L:L),"")</f>
        <v/>
      </c>
      <c r="N138" s="2" t="s">
        <v>1273</v>
      </c>
    </row>
    <row r="139" spans="1:16" x14ac:dyDescent="0.25">
      <c r="A139" t="s">
        <v>235</v>
      </c>
      <c r="B139" t="s">
        <v>1359</v>
      </c>
      <c r="C139" s="6">
        <f>IFERROR(VLOOKUP(A139,[1]eco_bus_journals!$B:$D,3,0),"")</f>
        <v>44</v>
      </c>
      <c r="D139" s="37">
        <f>IFERROR(ROUND(VLOOKUP(A139,[1]eco_bus_journals!$B:$X,4,0),2),"")</f>
        <v>0.63</v>
      </c>
      <c r="E139" s="37">
        <f>_xlfn.RANK.EQ(D139,D:D)</f>
        <v>130</v>
      </c>
      <c r="F139" s="44">
        <f>IFERROR(ROUND(VLOOKUP(A139,[1]eco_journals!B:E,4,0),2),"")</f>
        <v>0.59</v>
      </c>
      <c r="G139" s="40">
        <f>IFERROR(_xlfn.RANK.EQ(F139,F:F),"")</f>
        <v>63</v>
      </c>
      <c r="H139" s="46">
        <f>IFERROR(ROUND(VLOOKUP(A139,[1]fin_journals!B:E,4,0),2),"")</f>
        <v>0.99</v>
      </c>
      <c r="I139" s="18">
        <f>IFERROR(_xlfn.RANK.EQ(H139,H:H),"")</f>
        <v>35</v>
      </c>
      <c r="J139" s="42" t="str">
        <f>IFERROR(ROUND(VLOOKUP(A139,[1]bus_journals!B:E,4,0),2),"")</f>
        <v/>
      </c>
      <c r="K139" s="23" t="str">
        <f>IFERROR(_xlfn.RANK.EQ(J139,J:J),"")</f>
        <v/>
      </c>
      <c r="L139" s="43" t="str">
        <f>IFERROR(ROUND(VLOOKUP(A139,[1]man_journals!B:E,4,0),2),"")</f>
        <v/>
      </c>
      <c r="M139" s="26" t="str">
        <f>IFERROR(_xlfn.RANK.EQ(L139,L:L),"")</f>
        <v/>
      </c>
      <c r="N139" s="3" t="s">
        <v>1274</v>
      </c>
      <c r="O139" s="1" t="s">
        <v>1272</v>
      </c>
    </row>
    <row r="140" spans="1:16" x14ac:dyDescent="0.25">
      <c r="A140" t="s">
        <v>76</v>
      </c>
      <c r="B140" t="s">
        <v>1372</v>
      </c>
      <c r="C140" s="6">
        <f>IFERROR(VLOOKUP(A140,[1]eco_bus_journals!$B:$D,3,0),"")</f>
        <v>29</v>
      </c>
      <c r="D140" s="37">
        <f>IFERROR(ROUND(VLOOKUP(A140,[1]eco_bus_journals!$B:$X,4,0),2),"")</f>
        <v>0.62</v>
      </c>
      <c r="E140" s="37">
        <f>_xlfn.RANK.EQ(D140,D:D)</f>
        <v>132</v>
      </c>
      <c r="F140" s="44" t="str">
        <f>IFERROR(ROUND(VLOOKUP(A140,[1]eco_journals!B:E,4,0),2),"")</f>
        <v/>
      </c>
      <c r="G140" s="40" t="str">
        <f>IFERROR(_xlfn.RANK.EQ(F140,F:F),"")</f>
        <v/>
      </c>
      <c r="H140" s="46" t="str">
        <f>IFERROR(ROUND(VLOOKUP(A140,[1]fin_journals!B:E,4,0),2),"")</f>
        <v/>
      </c>
      <c r="I140" s="18" t="str">
        <f>IFERROR(_xlfn.RANK.EQ(H140,H:H),"")</f>
        <v/>
      </c>
      <c r="J140" s="42">
        <f>IFERROR(ROUND(VLOOKUP(A140,[1]bus_journals!B:E,4,0),2),"")</f>
        <v>1.73</v>
      </c>
      <c r="K140" s="23">
        <f>IFERROR(_xlfn.RANK.EQ(J140,J:J),"")</f>
        <v>41</v>
      </c>
      <c r="L140" s="43" t="str">
        <f>IFERROR(ROUND(VLOOKUP(A140,[1]man_journals!B:E,4,0),2),"")</f>
        <v/>
      </c>
      <c r="M140" s="26" t="str">
        <f>IFERROR(_xlfn.RANK.EQ(L140,L:L),"")</f>
        <v/>
      </c>
      <c r="N140" s="2" t="s">
        <v>1273</v>
      </c>
      <c r="O140" t="s">
        <v>1284</v>
      </c>
      <c r="P140" t="s">
        <v>1285</v>
      </c>
    </row>
    <row r="141" spans="1:16" x14ac:dyDescent="0.25">
      <c r="A141" t="s">
        <v>101</v>
      </c>
      <c r="B141" t="s">
        <v>1363</v>
      </c>
      <c r="C141" s="6">
        <f>IFERROR(VLOOKUP(A141,[1]eco_bus_journals!$B:$D,3,0),"")</f>
        <v>503</v>
      </c>
      <c r="D141" s="37">
        <f>IFERROR(ROUND(VLOOKUP(A141,[1]eco_bus_journals!$B:$X,4,0),2),"")</f>
        <v>0.61</v>
      </c>
      <c r="E141" s="37">
        <f>_xlfn.RANK.EQ(D141,D:D)</f>
        <v>133</v>
      </c>
      <c r="F141" s="44" t="str">
        <f>IFERROR(ROUND(VLOOKUP(A141,[1]eco_journals!B:E,4,0),2),"")</f>
        <v/>
      </c>
      <c r="G141" s="40" t="str">
        <f>IFERROR(_xlfn.RANK.EQ(F141,F:F),"")</f>
        <v/>
      </c>
      <c r="H141" s="46" t="str">
        <f>IFERROR(ROUND(VLOOKUP(A141,[1]fin_journals!B:E,4,0),2),"")</f>
        <v/>
      </c>
      <c r="I141" s="18" t="str">
        <f>IFERROR(_xlfn.RANK.EQ(H141,H:H),"")</f>
        <v/>
      </c>
      <c r="J141" s="42">
        <f>IFERROR(ROUND(VLOOKUP(A141,[1]bus_journals!B:E,4,0),2),"")</f>
        <v>1.4</v>
      </c>
      <c r="K141" s="23">
        <f>IFERROR(_xlfn.RANK.EQ(J141,J:J),"")</f>
        <v>46</v>
      </c>
      <c r="L141" s="43" t="str">
        <f>IFERROR(ROUND(VLOOKUP(A141,[1]man_journals!B:E,4,0),2),"")</f>
        <v/>
      </c>
      <c r="M141" s="26" t="str">
        <f>IFERROR(_xlfn.RANK.EQ(L141,L:L),"")</f>
        <v/>
      </c>
      <c r="N141" s="2" t="s">
        <v>1273</v>
      </c>
      <c r="O141" t="s">
        <v>1287</v>
      </c>
      <c r="P141" t="s">
        <v>1292</v>
      </c>
    </row>
    <row r="142" spans="1:16" x14ac:dyDescent="0.25">
      <c r="A142" t="s">
        <v>92</v>
      </c>
      <c r="B142" t="s">
        <v>1362</v>
      </c>
      <c r="C142" s="6">
        <f>IFERROR(VLOOKUP(A142,[1]eco_bus_journals!$B:$D,3,0),"")</f>
        <v>164</v>
      </c>
      <c r="D142" s="37">
        <f>IFERROR(ROUND(VLOOKUP(A142,[1]eco_bus_journals!$B:$X,4,0),2),"")</f>
        <v>0.56999999999999995</v>
      </c>
      <c r="E142" s="37">
        <f>_xlfn.RANK.EQ(D142,D:D)</f>
        <v>138</v>
      </c>
      <c r="F142" s="44" t="str">
        <f>IFERROR(ROUND(VLOOKUP(A142,[1]eco_journals!B:E,4,0),2),"")</f>
        <v/>
      </c>
      <c r="G142" s="40" t="str">
        <f>IFERROR(_xlfn.RANK.EQ(F142,F:F),"")</f>
        <v/>
      </c>
      <c r="H142" s="46">
        <f>IFERROR(ROUND(VLOOKUP(A142,[1]fin_journals!B:E,4,0),2),"")</f>
        <v>1.1399999999999999</v>
      </c>
      <c r="I142" s="18">
        <f>IFERROR(_xlfn.RANK.EQ(H142,H:H),"")</f>
        <v>33</v>
      </c>
      <c r="J142" s="42" t="str">
        <f>IFERROR(ROUND(VLOOKUP(A142,[1]bus_journals!B:E,4,0),2),"")</f>
        <v/>
      </c>
      <c r="K142" s="23" t="str">
        <f>IFERROR(_xlfn.RANK.EQ(J142,J:J),"")</f>
        <v/>
      </c>
      <c r="L142" s="43" t="str">
        <f>IFERROR(ROUND(VLOOKUP(A142,[1]man_journals!B:E,4,0),2),"")</f>
        <v/>
      </c>
      <c r="M142" s="26" t="str">
        <f>IFERROR(_xlfn.RANK.EQ(L142,L:L),"")</f>
        <v/>
      </c>
      <c r="N142" s="3" t="s">
        <v>1274</v>
      </c>
    </row>
    <row r="143" spans="1:16" x14ac:dyDescent="0.25">
      <c r="A143" t="s">
        <v>94</v>
      </c>
      <c r="B143" t="s">
        <v>1362</v>
      </c>
      <c r="C143" s="6">
        <f>IFERROR(VLOOKUP(A143,[1]eco_bus_journals!$B:$D,3,0),"")</f>
        <v>772</v>
      </c>
      <c r="D143" s="37">
        <f>IFERROR(ROUND(VLOOKUP(A143,[1]eco_bus_journals!$B:$X,4,0),2),"")</f>
        <v>0.61</v>
      </c>
      <c r="E143" s="37">
        <f>_xlfn.RANK.EQ(D143,D:D)</f>
        <v>133</v>
      </c>
      <c r="F143" s="44" t="str">
        <f>IFERROR(ROUND(VLOOKUP(A143,[1]eco_journals!B:E,4,0),2),"")</f>
        <v/>
      </c>
      <c r="G143" s="40" t="str">
        <f>IFERROR(_xlfn.RANK.EQ(F143,F:F),"")</f>
        <v/>
      </c>
      <c r="H143" s="46" t="str">
        <f>IFERROR(ROUND(VLOOKUP(A143,[1]fin_journals!B:E,4,0),2),"")</f>
        <v/>
      </c>
      <c r="I143" s="18" t="str">
        <f>IFERROR(_xlfn.RANK.EQ(H143,H:H),"")</f>
        <v/>
      </c>
      <c r="J143" s="42">
        <f>IFERROR(ROUND(VLOOKUP(A143,[1]bus_journals!B:E,4,0),2),"")</f>
        <v>0.72</v>
      </c>
      <c r="K143" s="23">
        <f>IFERROR(_xlfn.RANK.EQ(J143,J:J),"")</f>
        <v>79</v>
      </c>
      <c r="L143" s="43" t="str">
        <f>IFERROR(ROUND(VLOOKUP(A143,[1]man_journals!B:E,4,0),2),"")</f>
        <v/>
      </c>
      <c r="M143" s="26" t="str">
        <f>IFERROR(_xlfn.RANK.EQ(L143,L:L),"")</f>
        <v/>
      </c>
      <c r="N143" s="2" t="s">
        <v>1273</v>
      </c>
    </row>
    <row r="144" spans="1:16" x14ac:dyDescent="0.25">
      <c r="A144" t="s">
        <v>105</v>
      </c>
      <c r="B144" t="s">
        <v>1363</v>
      </c>
      <c r="C144" s="6">
        <f>IFERROR(VLOOKUP(A144,[1]eco_bus_journals!$B:$D,3,0),"")</f>
        <v>23</v>
      </c>
      <c r="D144" s="37">
        <f>IFERROR(ROUND(VLOOKUP(A144,[1]eco_bus_journals!$B:$X,4,0),2),"")</f>
        <v>0.49</v>
      </c>
      <c r="E144" s="37">
        <f>_xlfn.RANK.EQ(D144,D:D)</f>
        <v>162</v>
      </c>
      <c r="F144" s="44" t="str">
        <f>IFERROR(ROUND(VLOOKUP(A144,[1]eco_journals!B:E,4,0),2),"")</f>
        <v/>
      </c>
      <c r="G144" s="40" t="str">
        <f>IFERROR(_xlfn.RANK.EQ(F144,F:F),"")</f>
        <v/>
      </c>
      <c r="H144" s="46" t="str">
        <f>IFERROR(ROUND(VLOOKUP(A144,[1]fin_journals!B:E,4,0),2),"")</f>
        <v/>
      </c>
      <c r="I144" s="18" t="str">
        <f>IFERROR(_xlfn.RANK.EQ(H144,H:H),"")</f>
        <v/>
      </c>
      <c r="J144" s="42" t="str">
        <f>IFERROR(ROUND(VLOOKUP(A144,[1]bus_journals!B:E,4,0),2),"")</f>
        <v/>
      </c>
      <c r="K144" s="23" t="str">
        <f>IFERROR(_xlfn.RANK.EQ(J144,J:J),"")</f>
        <v/>
      </c>
      <c r="L144" s="43">
        <f>IFERROR(ROUND(VLOOKUP(A144,[1]man_journals!B:E,4,0),2),"")</f>
        <v>0.84</v>
      </c>
      <c r="M144" s="26">
        <f>IFERROR(_xlfn.RANK.EQ(L144,L:L),"")</f>
        <v>67</v>
      </c>
      <c r="N144" s="4" t="s">
        <v>1275</v>
      </c>
    </row>
    <row r="145" spans="1:17" x14ac:dyDescent="0.25">
      <c r="A145" t="s">
        <v>160</v>
      </c>
      <c r="B145" t="s">
        <v>1367</v>
      </c>
      <c r="C145" s="6">
        <f>IFERROR(VLOOKUP(A145,[1]eco_bus_journals!$B:$D,3,0),"")</f>
        <v>39</v>
      </c>
      <c r="D145" s="37">
        <f>IFERROR(ROUND(VLOOKUP(A145,[1]eco_bus_journals!$B:$X,4,0),2),"")</f>
        <v>0.49</v>
      </c>
      <c r="E145" s="37">
        <f>_xlfn.RANK.EQ(D145,D:D)</f>
        <v>162</v>
      </c>
      <c r="F145" s="44" t="str">
        <f>IFERROR(ROUND(VLOOKUP(A145,[1]eco_journals!B:E,4,0),2),"")</f>
        <v/>
      </c>
      <c r="G145" s="40" t="str">
        <f>IFERROR(_xlfn.RANK.EQ(F145,F:F),"")</f>
        <v/>
      </c>
      <c r="H145" s="46">
        <f>IFERROR(ROUND(VLOOKUP(A145,[1]fin_journals!B:E,4,0),2),"")</f>
        <v>1.89</v>
      </c>
      <c r="I145" s="18">
        <f>IFERROR(_xlfn.RANK.EQ(H145,H:H),"")</f>
        <v>16</v>
      </c>
      <c r="J145" s="42" t="str">
        <f>IFERROR(ROUND(VLOOKUP(A145,[1]bus_journals!B:E,4,0),2),"")</f>
        <v/>
      </c>
      <c r="K145" s="23" t="str">
        <f>IFERROR(_xlfn.RANK.EQ(J145,J:J),"")</f>
        <v/>
      </c>
      <c r="L145" s="43" t="str">
        <f>IFERROR(ROUND(VLOOKUP(A145,[1]man_journals!B:E,4,0),2),"")</f>
        <v/>
      </c>
      <c r="M145" s="26" t="str">
        <f>IFERROR(_xlfn.RANK.EQ(L145,L:L),"")</f>
        <v/>
      </c>
      <c r="N145" s="3" t="s">
        <v>1274</v>
      </c>
    </row>
    <row r="146" spans="1:17" x14ac:dyDescent="0.25">
      <c r="A146" t="s">
        <v>116</v>
      </c>
      <c r="B146" t="s">
        <v>1362</v>
      </c>
      <c r="C146" s="6">
        <f>IFERROR(VLOOKUP(A146,[1]eco_bus_journals!$B:$D,3,0),"")</f>
        <v>31</v>
      </c>
      <c r="D146" s="37">
        <f>IFERROR(ROUND(VLOOKUP(A146,[1]eco_bus_journals!$B:$X,4,0),2),"")</f>
        <v>0.56000000000000005</v>
      </c>
      <c r="E146" s="37">
        <f>_xlfn.RANK.EQ(D146,D:D)</f>
        <v>141</v>
      </c>
      <c r="F146" s="44" t="str">
        <f>IFERROR(ROUND(VLOOKUP(A146,[1]eco_journals!B:E,4,0),2),"")</f>
        <v/>
      </c>
      <c r="G146" s="40" t="str">
        <f>IFERROR(_xlfn.RANK.EQ(F146,F:F),"")</f>
        <v/>
      </c>
      <c r="H146" s="46">
        <f>IFERROR(ROUND(VLOOKUP(A146,[1]fin_journals!B:E,4,0),2),"")</f>
        <v>1.25</v>
      </c>
      <c r="I146" s="18">
        <f>IFERROR(_xlfn.RANK.EQ(H146,H:H),"")</f>
        <v>29</v>
      </c>
      <c r="J146" s="42" t="str">
        <f>IFERROR(ROUND(VLOOKUP(A146,[1]bus_journals!B:E,4,0),2),"")</f>
        <v/>
      </c>
      <c r="K146" s="23" t="str">
        <f>IFERROR(_xlfn.RANK.EQ(J146,J:J),"")</f>
        <v/>
      </c>
      <c r="L146" s="43" t="str">
        <f>IFERROR(ROUND(VLOOKUP(A146,[1]man_journals!B:E,4,0),2),"")</f>
        <v/>
      </c>
      <c r="M146" s="26" t="str">
        <f>IFERROR(_xlfn.RANK.EQ(L146,L:L),"")</f>
        <v/>
      </c>
      <c r="N146" s="3" t="s">
        <v>1274</v>
      </c>
    </row>
    <row r="147" spans="1:17" x14ac:dyDescent="0.25">
      <c r="A147" t="s">
        <v>81</v>
      </c>
      <c r="B147" t="s">
        <v>1372</v>
      </c>
      <c r="C147" s="6">
        <f>IFERROR(VLOOKUP(A147,[1]eco_bus_journals!$B:$D,3,0),"")</f>
        <v>42</v>
      </c>
      <c r="D147" s="37">
        <f>IFERROR(ROUND(VLOOKUP(A147,[1]eco_bus_journals!$B:$X,4,0),2),"")</f>
        <v>0.73</v>
      </c>
      <c r="E147" s="37">
        <f>_xlfn.RANK.EQ(D147,D:D)</f>
        <v>103</v>
      </c>
      <c r="F147" s="44" t="str">
        <f>IFERROR(ROUND(VLOOKUP(A147,[1]eco_journals!B:E,4,0),2),"")</f>
        <v/>
      </c>
      <c r="G147" s="40" t="str">
        <f>IFERROR(_xlfn.RANK.EQ(F147,F:F),"")</f>
        <v/>
      </c>
      <c r="H147" s="46" t="str">
        <f>IFERROR(ROUND(VLOOKUP(A147,[1]fin_journals!B:E,4,0),2),"")</f>
        <v/>
      </c>
      <c r="I147" s="18" t="str">
        <f>IFERROR(_xlfn.RANK.EQ(H147,H:H),"")</f>
        <v/>
      </c>
      <c r="J147" s="42">
        <f>IFERROR(ROUND(VLOOKUP(A147,[1]bus_journals!B:E,4,0),2),"")</f>
        <v>2.48</v>
      </c>
      <c r="K147" s="23">
        <f>IFERROR(_xlfn.RANK.EQ(J147,J:J),"")</f>
        <v>28</v>
      </c>
      <c r="L147" s="43" t="str">
        <f>IFERROR(ROUND(VLOOKUP(A147,[1]man_journals!B:E,4,0),2),"")</f>
        <v/>
      </c>
      <c r="M147" s="26" t="str">
        <f>IFERROR(_xlfn.RANK.EQ(L147,L:L),"")</f>
        <v/>
      </c>
      <c r="N147" s="2" t="s">
        <v>1273</v>
      </c>
      <c r="O147" t="s">
        <v>1289</v>
      </c>
    </row>
    <row r="148" spans="1:17" x14ac:dyDescent="0.25">
      <c r="A148" t="s">
        <v>100</v>
      </c>
      <c r="B148" t="s">
        <v>1362</v>
      </c>
      <c r="C148" s="6">
        <f>IFERROR(VLOOKUP(A148,[1]eco_bus_journals!$B:$D,3,0),"")</f>
        <v>284</v>
      </c>
      <c r="D148" s="37">
        <f>IFERROR(ROUND(VLOOKUP(A148,[1]eco_bus_journals!$B:$X,4,0),2),"")</f>
        <v>0.55000000000000004</v>
      </c>
      <c r="E148" s="37">
        <f>_xlfn.RANK.EQ(D148,D:D)</f>
        <v>145</v>
      </c>
      <c r="F148" s="44" t="str">
        <f>IFERROR(ROUND(VLOOKUP(A148,[1]eco_journals!B:E,4,0),2),"")</f>
        <v/>
      </c>
      <c r="G148" s="40" t="str">
        <f>IFERROR(_xlfn.RANK.EQ(F148,F:F),"")</f>
        <v/>
      </c>
      <c r="H148" s="46" t="str">
        <f>IFERROR(ROUND(VLOOKUP(A148,[1]fin_journals!B:E,4,0),2),"")</f>
        <v/>
      </c>
      <c r="I148" s="18" t="str">
        <f>IFERROR(_xlfn.RANK.EQ(H148,H:H),"")</f>
        <v/>
      </c>
      <c r="J148" s="42">
        <f>IFERROR(ROUND(VLOOKUP(A148,[1]bus_journals!B:E,4,0),2),"")</f>
        <v>1.59</v>
      </c>
      <c r="K148" s="23">
        <f>IFERROR(_xlfn.RANK.EQ(J148,J:J),"")</f>
        <v>42</v>
      </c>
      <c r="L148" s="43">
        <f>IFERROR(ROUND(VLOOKUP(A148,[1]man_journals!B:E,4,0),2),"")</f>
        <v>0.93</v>
      </c>
      <c r="M148" s="26">
        <f>IFERROR(_xlfn.RANK.EQ(L148,L:L),"")</f>
        <v>57</v>
      </c>
      <c r="N148" s="2" t="s">
        <v>1273</v>
      </c>
      <c r="O148" s="4" t="s">
        <v>1275</v>
      </c>
    </row>
    <row r="149" spans="1:17" x14ac:dyDescent="0.25">
      <c r="A149" t="s">
        <v>164</v>
      </c>
      <c r="B149" t="s">
        <v>1372</v>
      </c>
      <c r="C149" s="6">
        <f>IFERROR(VLOOKUP(A149,[1]eco_bus_journals!$B:$D,3,0),"")</f>
        <v>28</v>
      </c>
      <c r="D149" s="37">
        <f>IFERROR(ROUND(VLOOKUP(A149,[1]eco_bus_journals!$B:$X,4,0),2),"")</f>
        <v>0.55000000000000004</v>
      </c>
      <c r="E149" s="37">
        <f>_xlfn.RANK.EQ(D149,D:D)</f>
        <v>145</v>
      </c>
      <c r="F149" s="44" t="str">
        <f>IFERROR(ROUND(VLOOKUP(A149,[1]eco_journals!B:E,4,0),2),"")</f>
        <v/>
      </c>
      <c r="G149" s="40" t="str">
        <f>IFERROR(_xlfn.RANK.EQ(F149,F:F),"")</f>
        <v/>
      </c>
      <c r="H149" s="46">
        <f>IFERROR(ROUND(VLOOKUP(A149,[1]fin_journals!B:E,4,0),2),"")</f>
        <v>1.49</v>
      </c>
      <c r="I149" s="18">
        <f>IFERROR(_xlfn.RANK.EQ(H149,H:H),"")</f>
        <v>24</v>
      </c>
      <c r="J149" s="42" t="str">
        <f>IFERROR(ROUND(VLOOKUP(A149,[1]bus_journals!B:E,4,0),2),"")</f>
        <v/>
      </c>
      <c r="K149" s="23" t="str">
        <f>IFERROR(_xlfn.RANK.EQ(J149,J:J),"")</f>
        <v/>
      </c>
      <c r="L149" s="43" t="str">
        <f>IFERROR(ROUND(VLOOKUP(A149,[1]man_journals!B:E,4,0),2),"")</f>
        <v/>
      </c>
      <c r="M149" s="26" t="str">
        <f>IFERROR(_xlfn.RANK.EQ(L149,L:L),"")</f>
        <v/>
      </c>
      <c r="N149" s="3" t="s">
        <v>1274</v>
      </c>
    </row>
    <row r="150" spans="1:17" x14ac:dyDescent="0.25">
      <c r="A150" t="s">
        <v>217</v>
      </c>
      <c r="B150" t="s">
        <v>1360</v>
      </c>
      <c r="C150" s="6">
        <f>IFERROR(VLOOKUP(A150,[1]eco_bus_journals!$B:$D,3,0),"")</f>
        <v>52</v>
      </c>
      <c r="D150" s="37">
        <f>IFERROR(ROUND(VLOOKUP(A150,[1]eco_bus_journals!$B:$X,4,0),2),"")</f>
        <v>0.53</v>
      </c>
      <c r="E150" s="37">
        <f>_xlfn.RANK.EQ(D150,D:D)</f>
        <v>150</v>
      </c>
      <c r="F150" s="44">
        <f>IFERROR(ROUND(VLOOKUP(A150,[1]eco_journals!B:E,4,0),2),"")</f>
        <v>0.54</v>
      </c>
      <c r="G150" s="40">
        <f>IFERROR(_xlfn.RANK.EQ(F150,F:F),"")</f>
        <v>64</v>
      </c>
      <c r="H150" s="46" t="str">
        <f>IFERROR(ROUND(VLOOKUP(A150,[1]fin_journals!B:E,4,0),2),"")</f>
        <v/>
      </c>
      <c r="I150" s="18" t="str">
        <f>IFERROR(_xlfn.RANK.EQ(H150,H:H),"")</f>
        <v/>
      </c>
      <c r="J150" s="42" t="str">
        <f>IFERROR(ROUND(VLOOKUP(A150,[1]bus_journals!B:E,4,0),2),"")</f>
        <v/>
      </c>
      <c r="K150" s="23" t="str">
        <f>IFERROR(_xlfn.RANK.EQ(J150,J:J),"")</f>
        <v/>
      </c>
      <c r="L150" s="43" t="str">
        <f>IFERROR(ROUND(VLOOKUP(A150,[1]man_journals!B:E,4,0),2),"")</f>
        <v/>
      </c>
      <c r="M150" s="26" t="str">
        <f>IFERROR(_xlfn.RANK.EQ(L150,L:L),"")</f>
        <v/>
      </c>
      <c r="N150" s="1" t="s">
        <v>1272</v>
      </c>
      <c r="O150" t="s">
        <v>1280</v>
      </c>
    </row>
    <row r="151" spans="1:17" x14ac:dyDescent="0.25">
      <c r="A151" t="s">
        <v>238</v>
      </c>
      <c r="B151" t="s">
        <v>1361</v>
      </c>
      <c r="C151" s="6">
        <f>IFERROR(VLOOKUP(A151,[1]eco_bus_journals!$B:$D,3,0),"")</f>
        <v>54</v>
      </c>
      <c r="D151" s="37">
        <f>IFERROR(ROUND(VLOOKUP(A151,[1]eco_bus_journals!$B:$X,4,0),2),"")</f>
        <v>0.53</v>
      </c>
      <c r="E151" s="37">
        <f>_xlfn.RANK.EQ(D151,D:D)</f>
        <v>150</v>
      </c>
      <c r="F151" s="44">
        <f>IFERROR(ROUND(VLOOKUP(A151,[1]eco_journals!B:E,4,0),2),"")</f>
        <v>0.53</v>
      </c>
      <c r="G151" s="40">
        <f>IFERROR(_xlfn.RANK.EQ(F151,F:F),"")</f>
        <v>66</v>
      </c>
      <c r="H151" s="46">
        <f>IFERROR(ROUND(VLOOKUP(A151,[1]fin_journals!B:E,4,0),2),"")</f>
        <v>0.33</v>
      </c>
      <c r="I151" s="18">
        <f>IFERROR(_xlfn.RANK.EQ(H151,H:H),"")</f>
        <v>82</v>
      </c>
      <c r="J151" s="42" t="str">
        <f>IFERROR(ROUND(VLOOKUP(A151,[1]bus_journals!B:E,4,0),2),"")</f>
        <v/>
      </c>
      <c r="K151" s="23" t="str">
        <f>IFERROR(_xlfn.RANK.EQ(J151,J:J),"")</f>
        <v/>
      </c>
      <c r="L151" s="43" t="str">
        <f>IFERROR(ROUND(VLOOKUP(A151,[1]man_journals!B:E,4,0),2),"")</f>
        <v/>
      </c>
      <c r="M151" s="26" t="str">
        <f>IFERROR(_xlfn.RANK.EQ(L151,L:L),"")</f>
        <v/>
      </c>
      <c r="N151" s="3" t="s">
        <v>1274</v>
      </c>
      <c r="O151" t="s">
        <v>1284</v>
      </c>
      <c r="P151" s="1" t="s">
        <v>1272</v>
      </c>
      <c r="Q151" t="s">
        <v>1285</v>
      </c>
    </row>
    <row r="152" spans="1:17" x14ac:dyDescent="0.25">
      <c r="A152" t="s">
        <v>98</v>
      </c>
      <c r="B152" t="s">
        <v>1363</v>
      </c>
      <c r="C152" s="6">
        <f>IFERROR(VLOOKUP(A152,[1]eco_bus_journals!$B:$D,3,0),"")</f>
        <v>81</v>
      </c>
      <c r="D152" s="37">
        <f>IFERROR(ROUND(VLOOKUP(A152,[1]eco_bus_journals!$B:$X,4,0),2),"")</f>
        <v>0.51</v>
      </c>
      <c r="E152" s="37">
        <f>_xlfn.RANK.EQ(D152,D:D)</f>
        <v>157</v>
      </c>
      <c r="F152" s="44" t="str">
        <f>IFERROR(ROUND(VLOOKUP(A152,[1]eco_journals!B:E,4,0),2),"")</f>
        <v/>
      </c>
      <c r="G152" s="40" t="str">
        <f>IFERROR(_xlfn.RANK.EQ(F152,F:F),"")</f>
        <v/>
      </c>
      <c r="H152" s="46" t="str">
        <f>IFERROR(ROUND(VLOOKUP(A152,[1]fin_journals!B:E,4,0),2),"")</f>
        <v/>
      </c>
      <c r="I152" s="18" t="str">
        <f>IFERROR(_xlfn.RANK.EQ(H152,H:H),"")</f>
        <v/>
      </c>
      <c r="J152" s="42" t="str">
        <f>IFERROR(ROUND(VLOOKUP(A152,[1]bus_journals!B:E,4,0),2),"")</f>
        <v/>
      </c>
      <c r="K152" s="23" t="str">
        <f>IFERROR(_xlfn.RANK.EQ(J152,J:J),"")</f>
        <v/>
      </c>
      <c r="L152" s="43">
        <f>IFERROR(ROUND(VLOOKUP(A152,[1]man_journals!B:E,4,0),2),"")</f>
        <v>0.91</v>
      </c>
      <c r="M152" s="26">
        <f>IFERROR(_xlfn.RANK.EQ(L152,L:L),"")</f>
        <v>60</v>
      </c>
      <c r="N152" s="4" t="s">
        <v>1275</v>
      </c>
    </row>
    <row r="153" spans="1:17" x14ac:dyDescent="0.25">
      <c r="A153" t="s">
        <v>148</v>
      </c>
      <c r="B153" t="s">
        <v>1372</v>
      </c>
      <c r="C153" s="6">
        <f>IFERROR(VLOOKUP(A153,[1]eco_bus_journals!$B:$D,3,0),"")</f>
        <v>57</v>
      </c>
      <c r="D153" s="37">
        <f>IFERROR(ROUND(VLOOKUP(A153,[1]eco_bus_journals!$B:$X,4,0),2),"")</f>
        <v>0.53</v>
      </c>
      <c r="E153" s="37">
        <f>_xlfn.RANK.EQ(D153,D:D)</f>
        <v>150</v>
      </c>
      <c r="F153" s="44" t="str">
        <f>IFERROR(ROUND(VLOOKUP(A153,[1]eco_journals!B:E,4,0),2),"")</f>
        <v/>
      </c>
      <c r="G153" s="40" t="str">
        <f>IFERROR(_xlfn.RANK.EQ(F153,F:F),"")</f>
        <v/>
      </c>
      <c r="H153" s="46">
        <f>IFERROR(ROUND(VLOOKUP(A153,[1]fin_journals!B:E,4,0),2),"")</f>
        <v>1.53</v>
      </c>
      <c r="I153" s="18">
        <f>IFERROR(_xlfn.RANK.EQ(H153,H:H),"")</f>
        <v>21</v>
      </c>
      <c r="J153" s="42" t="str">
        <f>IFERROR(ROUND(VLOOKUP(A153,[1]bus_journals!B:E,4,0),2),"")</f>
        <v/>
      </c>
      <c r="K153" s="23" t="str">
        <f>IFERROR(_xlfn.RANK.EQ(J153,J:J),"")</f>
        <v/>
      </c>
      <c r="L153" s="43" t="str">
        <f>IFERROR(ROUND(VLOOKUP(A153,[1]man_journals!B:E,4,0),2),"")</f>
        <v/>
      </c>
      <c r="M153" s="26" t="str">
        <f>IFERROR(_xlfn.RANK.EQ(L153,L:L),"")</f>
        <v/>
      </c>
      <c r="N153" s="3" t="s">
        <v>1274</v>
      </c>
    </row>
    <row r="154" spans="1:17" x14ac:dyDescent="0.25">
      <c r="A154" t="s">
        <v>138</v>
      </c>
      <c r="B154" t="s">
        <v>1371</v>
      </c>
      <c r="C154" s="6">
        <f>IFERROR(VLOOKUP(A154,[1]eco_bus_journals!$B:$D,3,0),"")</f>
        <v>39</v>
      </c>
      <c r="D154" s="37">
        <f>IFERROR(ROUND(VLOOKUP(A154,[1]eco_bus_journals!$B:$X,4,0),2),"")</f>
        <v>0.56999999999999995</v>
      </c>
      <c r="E154" s="37">
        <f>_xlfn.RANK.EQ(D154,D:D)</f>
        <v>138</v>
      </c>
      <c r="F154" s="44" t="str">
        <f>IFERROR(ROUND(VLOOKUP(A154,[1]eco_journals!B:E,4,0),2),"")</f>
        <v/>
      </c>
      <c r="G154" s="40" t="str">
        <f>IFERROR(_xlfn.RANK.EQ(F154,F:F),"")</f>
        <v/>
      </c>
      <c r="H154" s="46" t="str">
        <f>IFERROR(ROUND(VLOOKUP(A154,[1]fin_journals!B:E,4,0),2),"")</f>
        <v/>
      </c>
      <c r="I154" s="18" t="str">
        <f>IFERROR(_xlfn.RANK.EQ(H154,H:H),"")</f>
        <v/>
      </c>
      <c r="J154" s="42" t="str">
        <f>IFERROR(ROUND(VLOOKUP(A154,[1]bus_journals!B:E,4,0),2),"")</f>
        <v/>
      </c>
      <c r="K154" s="23" t="str">
        <f>IFERROR(_xlfn.RANK.EQ(J154,J:J),"")</f>
        <v/>
      </c>
      <c r="L154" s="43">
        <f>IFERROR(ROUND(VLOOKUP(A154,[1]man_journals!B:E,4,0),2),"")</f>
        <v>1.3</v>
      </c>
      <c r="M154" s="26">
        <f>IFERROR(_xlfn.RANK.EQ(L154,L:L),"")</f>
        <v>37</v>
      </c>
      <c r="N154" s="4" t="s">
        <v>1275</v>
      </c>
    </row>
    <row r="155" spans="1:17" x14ac:dyDescent="0.25">
      <c r="A155" t="s">
        <v>133</v>
      </c>
      <c r="B155" t="s">
        <v>1363</v>
      </c>
      <c r="C155" s="6">
        <f>IFERROR(VLOOKUP(A155,[1]eco_bus_journals!$B:$D,3,0),"")</f>
        <v>231</v>
      </c>
      <c r="D155" s="37">
        <f>IFERROR(ROUND(VLOOKUP(A155,[1]eco_bus_journals!$B:$X,4,0),2),"")</f>
        <v>0.54</v>
      </c>
      <c r="E155" s="37">
        <f>_xlfn.RANK.EQ(D155,D:D)</f>
        <v>147</v>
      </c>
      <c r="F155" s="44">
        <f>IFERROR(ROUND(VLOOKUP(A155,[1]eco_journals!B:E,4,0),2),"")</f>
        <v>0.21</v>
      </c>
      <c r="G155" s="40">
        <f>IFERROR(_xlfn.RANK.EQ(F155,F:F),"")</f>
        <v>131</v>
      </c>
      <c r="H155" s="46" t="str">
        <f>IFERROR(ROUND(VLOOKUP(A155,[1]fin_journals!B:E,4,0),2),"")</f>
        <v/>
      </c>
      <c r="I155" s="18" t="str">
        <f>IFERROR(_xlfn.RANK.EQ(H155,H:H),"")</f>
        <v/>
      </c>
      <c r="J155" s="42">
        <f>IFERROR(ROUND(VLOOKUP(A155,[1]bus_journals!B:E,4,0),2),"")</f>
        <v>1.22</v>
      </c>
      <c r="K155" s="23">
        <f>IFERROR(_xlfn.RANK.EQ(J155,J:J),"")</f>
        <v>55</v>
      </c>
      <c r="L155" s="43">
        <f>IFERROR(ROUND(VLOOKUP(A155,[1]man_journals!B:E,4,0),2),"")</f>
        <v>0.86</v>
      </c>
      <c r="M155" s="26">
        <f>IFERROR(_xlfn.RANK.EQ(L155,L:L),"")</f>
        <v>64</v>
      </c>
      <c r="N155" s="2" t="s">
        <v>1273</v>
      </c>
      <c r="O155" s="1" t="s">
        <v>1272</v>
      </c>
      <c r="P155" s="4" t="s">
        <v>1275</v>
      </c>
    </row>
    <row r="156" spans="1:17" x14ac:dyDescent="0.25">
      <c r="A156" t="s">
        <v>240</v>
      </c>
      <c r="B156" t="s">
        <v>1360</v>
      </c>
      <c r="C156" s="6">
        <f>IFERROR(VLOOKUP(A156,[1]eco_bus_journals!$B:$D,3,0),"")</f>
        <v>112</v>
      </c>
      <c r="D156" s="37">
        <f>IFERROR(ROUND(VLOOKUP(A156,[1]eco_bus_journals!$B:$X,4,0),2),"")</f>
        <v>0.53</v>
      </c>
      <c r="E156" s="37">
        <f>_xlfn.RANK.EQ(D156,D:D)</f>
        <v>150</v>
      </c>
      <c r="F156" s="44">
        <f>IFERROR(ROUND(VLOOKUP(A156,[1]eco_journals!B:E,4,0),2),"")</f>
        <v>0.54</v>
      </c>
      <c r="G156" s="40">
        <f>IFERROR(_xlfn.RANK.EQ(F156,F:F),"")</f>
        <v>64</v>
      </c>
      <c r="H156" s="46" t="str">
        <f>IFERROR(ROUND(VLOOKUP(A156,[1]fin_journals!B:E,4,0),2),"")</f>
        <v/>
      </c>
      <c r="I156" s="18" t="str">
        <f>IFERROR(_xlfn.RANK.EQ(H156,H:H),"")</f>
        <v/>
      </c>
      <c r="J156" s="42" t="str">
        <f>IFERROR(ROUND(VLOOKUP(A156,[1]bus_journals!B:E,4,0),2),"")</f>
        <v/>
      </c>
      <c r="K156" s="23" t="str">
        <f>IFERROR(_xlfn.RANK.EQ(J156,J:J),"")</f>
        <v/>
      </c>
      <c r="L156" s="43" t="str">
        <f>IFERROR(ROUND(VLOOKUP(A156,[1]man_journals!B:E,4,0),2),"")</f>
        <v/>
      </c>
      <c r="M156" s="26" t="str">
        <f>IFERROR(_xlfn.RANK.EQ(L156,L:L),"")</f>
        <v/>
      </c>
      <c r="N156" t="s">
        <v>1304</v>
      </c>
      <c r="O156" s="1" t="s">
        <v>1272</v>
      </c>
    </row>
    <row r="157" spans="1:17" x14ac:dyDescent="0.25">
      <c r="A157" t="s">
        <v>139</v>
      </c>
      <c r="B157" t="s">
        <v>1362</v>
      </c>
      <c r="C157" s="6">
        <f>IFERROR(VLOOKUP(A157,[1]eco_bus_journals!$B:$D,3,0),"")</f>
        <v>220</v>
      </c>
      <c r="D157" s="37">
        <f>IFERROR(ROUND(VLOOKUP(A157,[1]eco_bus_journals!$B:$X,4,0),2),"")</f>
        <v>0.52</v>
      </c>
      <c r="E157" s="37">
        <f>_xlfn.RANK.EQ(D157,D:D)</f>
        <v>156</v>
      </c>
      <c r="F157" s="44">
        <f>IFERROR(ROUND(VLOOKUP(A157,[1]eco_journals!B:E,4,0),2),"")</f>
        <v>0.31</v>
      </c>
      <c r="G157" s="40">
        <f>IFERROR(_xlfn.RANK.EQ(F157,F:F),"")</f>
        <v>91</v>
      </c>
      <c r="H157" s="46">
        <f>IFERROR(ROUND(VLOOKUP(A157,[1]fin_journals!B:E,4,0),2),"")</f>
        <v>1.25</v>
      </c>
      <c r="I157" s="18">
        <f>IFERROR(_xlfn.RANK.EQ(H157,H:H),"")</f>
        <v>29</v>
      </c>
      <c r="J157" s="42" t="str">
        <f>IFERROR(ROUND(VLOOKUP(A157,[1]bus_journals!B:E,4,0),2),"")</f>
        <v/>
      </c>
      <c r="K157" s="23" t="str">
        <f>IFERROR(_xlfn.RANK.EQ(J157,J:J),"")</f>
        <v/>
      </c>
      <c r="L157" s="43" t="str">
        <f>IFERROR(ROUND(VLOOKUP(A157,[1]man_journals!B:E,4,0),2),"")</f>
        <v/>
      </c>
      <c r="M157" s="26" t="str">
        <f>IFERROR(_xlfn.RANK.EQ(L157,L:L),"")</f>
        <v/>
      </c>
      <c r="N157" s="3" t="s">
        <v>1274</v>
      </c>
      <c r="O157" s="1" t="s">
        <v>1272</v>
      </c>
    </row>
    <row r="158" spans="1:17" x14ac:dyDescent="0.25">
      <c r="A158" t="s">
        <v>152</v>
      </c>
      <c r="B158" t="s">
        <v>1375</v>
      </c>
      <c r="C158" s="6">
        <f>IFERROR(VLOOKUP(A158,[1]eco_bus_journals!$B:$D,3,0),"")</f>
        <v>61</v>
      </c>
      <c r="D158" s="37">
        <f>IFERROR(ROUND(VLOOKUP(A158,[1]eco_bus_journals!$B:$X,4,0),2),"")</f>
        <v>0.49</v>
      </c>
      <c r="E158" s="37">
        <f>_xlfn.RANK.EQ(D158,D:D)</f>
        <v>162</v>
      </c>
      <c r="F158" s="44" t="str">
        <f>IFERROR(ROUND(VLOOKUP(A158,[1]eco_journals!B:E,4,0),2),"")</f>
        <v/>
      </c>
      <c r="G158" s="40" t="str">
        <f>IFERROR(_xlfn.RANK.EQ(F158,F:F),"")</f>
        <v/>
      </c>
      <c r="H158" s="46" t="str">
        <f>IFERROR(ROUND(VLOOKUP(A158,[1]fin_journals!B:E,4,0),2),"")</f>
        <v/>
      </c>
      <c r="I158" s="18" t="str">
        <f>IFERROR(_xlfn.RANK.EQ(H158,H:H),"")</f>
        <v/>
      </c>
      <c r="J158" s="42">
        <f>IFERROR(ROUND(VLOOKUP(A158,[1]bus_journals!B:E,4,0),2),"")</f>
        <v>0.9</v>
      </c>
      <c r="K158" s="23">
        <f>IFERROR(_xlfn.RANK.EQ(J158,J:J),"")</f>
        <v>70</v>
      </c>
      <c r="L158" s="43">
        <f>IFERROR(ROUND(VLOOKUP(A158,[1]man_journals!B:E,4,0),2),"")</f>
        <v>0.81</v>
      </c>
      <c r="M158" s="26">
        <f>IFERROR(_xlfn.RANK.EQ(L158,L:L),"")</f>
        <v>68</v>
      </c>
      <c r="N158" s="2" t="s">
        <v>1273</v>
      </c>
      <c r="O158" s="4" t="s">
        <v>1275</v>
      </c>
    </row>
    <row r="159" spans="1:17" x14ac:dyDescent="0.25">
      <c r="A159" t="s">
        <v>107</v>
      </c>
      <c r="B159" t="s">
        <v>1360</v>
      </c>
      <c r="C159" s="6">
        <f>IFERROR(VLOOKUP(A159,[1]eco_bus_journals!$B:$D,3,0),"")</f>
        <v>62</v>
      </c>
      <c r="D159" s="37">
        <f>IFERROR(ROUND(VLOOKUP(A159,[1]eco_bus_journals!$B:$X,4,0),2),"")</f>
        <v>0.5</v>
      </c>
      <c r="E159" s="37">
        <f>_xlfn.RANK.EQ(D159,D:D)</f>
        <v>158</v>
      </c>
      <c r="F159" s="44" t="str">
        <f>IFERROR(ROUND(VLOOKUP(A159,[1]eco_journals!B:E,4,0),2),"")</f>
        <v/>
      </c>
      <c r="G159" s="40" t="str">
        <f>IFERROR(_xlfn.RANK.EQ(F159,F:F),"")</f>
        <v/>
      </c>
      <c r="H159" s="46" t="str">
        <f>IFERROR(ROUND(VLOOKUP(A159,[1]fin_journals!B:E,4,0),2),"")</f>
        <v/>
      </c>
      <c r="I159" s="18" t="str">
        <f>IFERROR(_xlfn.RANK.EQ(H159,H:H),"")</f>
        <v/>
      </c>
      <c r="J159" s="42" t="str">
        <f>IFERROR(ROUND(VLOOKUP(A159,[1]bus_journals!B:E,4,0),2),"")</f>
        <v/>
      </c>
      <c r="K159" s="23" t="str">
        <f>IFERROR(_xlfn.RANK.EQ(J159,J:J),"")</f>
        <v/>
      </c>
      <c r="L159" s="43">
        <f>IFERROR(ROUND(VLOOKUP(A159,[1]man_journals!B:E,4,0),2),"")</f>
        <v>1.22</v>
      </c>
      <c r="M159" s="26">
        <f>IFERROR(_xlfn.RANK.EQ(L159,L:L),"")</f>
        <v>39</v>
      </c>
      <c r="N159" t="s">
        <v>1283</v>
      </c>
      <c r="O159" s="4" t="s">
        <v>1275</v>
      </c>
    </row>
    <row r="160" spans="1:17" x14ac:dyDescent="0.25">
      <c r="A160" t="s">
        <v>156</v>
      </c>
      <c r="B160" t="s">
        <v>1360</v>
      </c>
      <c r="C160" s="6">
        <f>IFERROR(VLOOKUP(A160,[1]eco_bus_journals!$B:$D,3,0),"")</f>
        <v>66</v>
      </c>
      <c r="D160" s="37">
        <f>IFERROR(ROUND(VLOOKUP(A160,[1]eco_bus_journals!$B:$X,4,0),2),"")</f>
        <v>0.46</v>
      </c>
      <c r="E160" s="37">
        <f>_xlfn.RANK.EQ(D160,D:D)</f>
        <v>176</v>
      </c>
      <c r="F160" s="44" t="str">
        <f>IFERROR(ROUND(VLOOKUP(A160,[1]eco_journals!B:E,4,0),2),"")</f>
        <v/>
      </c>
      <c r="G160" s="40" t="str">
        <f>IFERROR(_xlfn.RANK.EQ(F160,F:F),"")</f>
        <v/>
      </c>
      <c r="H160" s="46">
        <f>IFERROR(ROUND(VLOOKUP(A160,[1]fin_journals!B:E,4,0),2),"")</f>
        <v>1.43</v>
      </c>
      <c r="I160" s="18">
        <f>IFERROR(_xlfn.RANK.EQ(H160,H:H),"")</f>
        <v>25</v>
      </c>
      <c r="J160" s="42" t="str">
        <f>IFERROR(ROUND(VLOOKUP(A160,[1]bus_journals!B:E,4,0),2),"")</f>
        <v/>
      </c>
      <c r="K160" s="23" t="str">
        <f>IFERROR(_xlfn.RANK.EQ(J160,J:J),"")</f>
        <v/>
      </c>
      <c r="L160" s="43" t="str">
        <f>IFERROR(ROUND(VLOOKUP(A160,[1]man_journals!B:E,4,0),2),"")</f>
        <v/>
      </c>
      <c r="M160" s="26" t="str">
        <f>IFERROR(_xlfn.RANK.EQ(L160,L:L),"")</f>
        <v/>
      </c>
      <c r="N160" s="3" t="s">
        <v>1274</v>
      </c>
    </row>
    <row r="161" spans="1:18" x14ac:dyDescent="0.25">
      <c r="A161" t="s">
        <v>115</v>
      </c>
      <c r="B161" t="s">
        <v>1362</v>
      </c>
      <c r="C161" s="6">
        <f>IFERROR(VLOOKUP(A161,[1]eco_bus_journals!$B:$D,3,0),"")</f>
        <v>36</v>
      </c>
      <c r="D161" s="37">
        <f>IFERROR(ROUND(VLOOKUP(A161,[1]eco_bus_journals!$B:$X,4,0),2),"")</f>
        <v>0.48</v>
      </c>
      <c r="E161" s="37">
        <f>_xlfn.RANK.EQ(D161,D:D)</f>
        <v>167</v>
      </c>
      <c r="F161" s="44" t="str">
        <f>IFERROR(ROUND(VLOOKUP(A161,[1]eco_journals!B:E,4,0),2),"")</f>
        <v/>
      </c>
      <c r="G161" s="40" t="str">
        <f>IFERROR(_xlfn.RANK.EQ(F161,F:F),"")</f>
        <v/>
      </c>
      <c r="H161" s="46">
        <f>IFERROR(ROUND(VLOOKUP(A161,[1]fin_journals!B:E,4,0),2),"")</f>
        <v>0.99</v>
      </c>
      <c r="I161" s="18">
        <f>IFERROR(_xlfn.RANK.EQ(H161,H:H),"")</f>
        <v>35</v>
      </c>
      <c r="J161" s="42" t="str">
        <f>IFERROR(ROUND(VLOOKUP(A161,[1]bus_journals!B:E,4,0),2),"")</f>
        <v/>
      </c>
      <c r="K161" s="23" t="str">
        <f>IFERROR(_xlfn.RANK.EQ(J161,J:J),"")</f>
        <v/>
      </c>
      <c r="L161" s="43" t="str">
        <f>IFERROR(ROUND(VLOOKUP(A161,[1]man_journals!B:E,4,0),2),"")</f>
        <v/>
      </c>
      <c r="M161" s="26" t="str">
        <f>IFERROR(_xlfn.RANK.EQ(L161,L:L),"")</f>
        <v/>
      </c>
      <c r="N161" s="3" t="s">
        <v>1274</v>
      </c>
    </row>
    <row r="162" spans="1:18" x14ac:dyDescent="0.25">
      <c r="A162" t="s">
        <v>128</v>
      </c>
      <c r="B162" t="s">
        <v>1358</v>
      </c>
      <c r="C162" s="6">
        <f>IFERROR(VLOOKUP(A162,[1]eco_bus_journals!$B:$D,3,0),"")</f>
        <v>27</v>
      </c>
      <c r="D162" s="37">
        <f>IFERROR(ROUND(VLOOKUP(A162,[1]eco_bus_journals!$B:$X,4,0),2),"")</f>
        <v>0.48</v>
      </c>
      <c r="E162" s="37">
        <f>_xlfn.RANK.EQ(D162,D:D)</f>
        <v>167</v>
      </c>
      <c r="F162" s="44" t="str">
        <f>IFERROR(ROUND(VLOOKUP(A162,[1]eco_journals!B:E,4,0),2),"")</f>
        <v/>
      </c>
      <c r="G162" s="40" t="str">
        <f>IFERROR(_xlfn.RANK.EQ(F162,F:F),"")</f>
        <v/>
      </c>
      <c r="H162" s="46" t="str">
        <f>IFERROR(ROUND(VLOOKUP(A162,[1]fin_journals!B:E,4,0),2),"")</f>
        <v/>
      </c>
      <c r="I162" s="18" t="str">
        <f>IFERROR(_xlfn.RANK.EQ(H162,H:H),"")</f>
        <v/>
      </c>
      <c r="J162" s="42" t="str">
        <f>IFERROR(ROUND(VLOOKUP(A162,[1]bus_journals!B:E,4,0),2),"")</f>
        <v/>
      </c>
      <c r="K162" s="23" t="str">
        <f>IFERROR(_xlfn.RANK.EQ(J162,J:J),"")</f>
        <v/>
      </c>
      <c r="L162" s="43">
        <f>IFERROR(ROUND(VLOOKUP(A162,[1]man_journals!B:E,4,0),2),"")</f>
        <v>1.1399999999999999</v>
      </c>
      <c r="M162" s="26">
        <f>IFERROR(_xlfn.RANK.EQ(L162,L:L),"")</f>
        <v>41</v>
      </c>
      <c r="N162" s="4" t="s">
        <v>1275</v>
      </c>
      <c r="O162" t="s">
        <v>1278</v>
      </c>
    </row>
    <row r="163" spans="1:18" x14ac:dyDescent="0.25">
      <c r="A163" t="s">
        <v>182</v>
      </c>
      <c r="B163" t="s">
        <v>1362</v>
      </c>
      <c r="C163" s="6">
        <f>IFERROR(VLOOKUP(A163,[1]eco_bus_journals!$B:$D,3,0),"")</f>
        <v>49</v>
      </c>
      <c r="D163" s="37">
        <f>IFERROR(ROUND(VLOOKUP(A163,[1]eco_bus_journals!$B:$X,4,0),2),"")</f>
        <v>0.49</v>
      </c>
      <c r="E163" s="37">
        <f>_xlfn.RANK.EQ(D163,D:D)</f>
        <v>162</v>
      </c>
      <c r="F163" s="44">
        <f>IFERROR(ROUND(VLOOKUP(A163,[1]eco_journals!B:E,4,0),2),"")</f>
        <v>0.45</v>
      </c>
      <c r="G163" s="40">
        <f>IFERROR(_xlfn.RANK.EQ(F163,F:F),"")</f>
        <v>71</v>
      </c>
      <c r="H163" s="46" t="str">
        <f>IFERROR(ROUND(VLOOKUP(A163,[1]fin_journals!B:E,4,0),2),"")</f>
        <v/>
      </c>
      <c r="I163" s="18" t="str">
        <f>IFERROR(_xlfn.RANK.EQ(H163,H:H),"")</f>
        <v/>
      </c>
      <c r="J163" s="42" t="str">
        <f>IFERROR(ROUND(VLOOKUP(A163,[1]bus_journals!B:E,4,0),2),"")</f>
        <v/>
      </c>
      <c r="K163" s="23" t="str">
        <f>IFERROR(_xlfn.RANK.EQ(J163,J:J),"")</f>
        <v/>
      </c>
      <c r="L163" s="43" t="str">
        <f>IFERROR(ROUND(VLOOKUP(A163,[1]man_journals!B:E,4,0),2),"")</f>
        <v/>
      </c>
      <c r="M163" s="26" t="str">
        <f>IFERROR(_xlfn.RANK.EQ(L163,L:L),"")</f>
        <v/>
      </c>
      <c r="N163" s="1" t="s">
        <v>1272</v>
      </c>
    </row>
    <row r="164" spans="1:18" x14ac:dyDescent="0.25">
      <c r="A164" t="s">
        <v>234</v>
      </c>
      <c r="B164" t="s">
        <v>1362</v>
      </c>
      <c r="C164" s="6">
        <f>IFERROR(VLOOKUP(A164,[1]eco_bus_journals!$B:$D,3,0),"")</f>
        <v>116</v>
      </c>
      <c r="D164" s="37">
        <f>IFERROR(ROUND(VLOOKUP(A164,[1]eco_bus_journals!$B:$X,4,0),2),"")</f>
        <v>0.5</v>
      </c>
      <c r="E164" s="37">
        <f>_xlfn.RANK.EQ(D164,D:D)</f>
        <v>158</v>
      </c>
      <c r="F164" s="44">
        <f>IFERROR(ROUND(VLOOKUP(A164,[1]eco_journals!B:E,4,0),2),"")</f>
        <v>0.5</v>
      </c>
      <c r="G164" s="40">
        <f>IFERROR(_xlfn.RANK.EQ(F164,F:F),"")</f>
        <v>67</v>
      </c>
      <c r="H164" s="46" t="str">
        <f>IFERROR(ROUND(VLOOKUP(A164,[1]fin_journals!B:E,4,0),2),"")</f>
        <v/>
      </c>
      <c r="I164" s="18" t="str">
        <f>IFERROR(_xlfn.RANK.EQ(H164,H:H),"")</f>
        <v/>
      </c>
      <c r="J164" s="42" t="str">
        <f>IFERROR(ROUND(VLOOKUP(A164,[1]bus_journals!B:E,4,0),2),"")</f>
        <v/>
      </c>
      <c r="K164" s="23" t="str">
        <f>IFERROR(_xlfn.RANK.EQ(J164,J:J),"")</f>
        <v/>
      </c>
      <c r="L164" s="43" t="str">
        <f>IFERROR(ROUND(VLOOKUP(A164,[1]man_journals!B:E,4,0),2),"")</f>
        <v/>
      </c>
      <c r="M164" s="26" t="str">
        <f>IFERROR(_xlfn.RANK.EQ(L164,L:L),"")</f>
        <v/>
      </c>
      <c r="N164" s="1" t="s">
        <v>1272</v>
      </c>
    </row>
    <row r="165" spans="1:18" x14ac:dyDescent="0.25">
      <c r="A165" t="s">
        <v>113</v>
      </c>
      <c r="B165" t="s">
        <v>1358</v>
      </c>
      <c r="C165" s="6">
        <f>IFERROR(VLOOKUP(A165,[1]eco_bus_journals!$B:$D,3,0),"")</f>
        <v>26</v>
      </c>
      <c r="D165" s="37">
        <f>IFERROR(ROUND(VLOOKUP(A165,[1]eco_bus_journals!$B:$X,4,0),2),"")</f>
        <v>0.54</v>
      </c>
      <c r="E165" s="37">
        <f>_xlfn.RANK.EQ(D165,D:D)</f>
        <v>147</v>
      </c>
      <c r="F165" s="44" t="str">
        <f>IFERROR(ROUND(VLOOKUP(A165,[1]eco_journals!B:E,4,0),2),"")</f>
        <v/>
      </c>
      <c r="G165" s="40" t="str">
        <f>IFERROR(_xlfn.RANK.EQ(F165,F:F),"")</f>
        <v/>
      </c>
      <c r="H165" s="46" t="str">
        <f>IFERROR(ROUND(VLOOKUP(A165,[1]fin_journals!B:E,4,0),2),"")</f>
        <v/>
      </c>
      <c r="I165" s="18" t="str">
        <f>IFERROR(_xlfn.RANK.EQ(H165,H:H),"")</f>
        <v/>
      </c>
      <c r="J165" s="42">
        <f>IFERROR(ROUND(VLOOKUP(A165,[1]bus_journals!B:E,4,0),2),"")</f>
        <v>1.92</v>
      </c>
      <c r="K165" s="23">
        <f>IFERROR(_xlfn.RANK.EQ(J165,J:J),"")</f>
        <v>37</v>
      </c>
      <c r="L165" s="43" t="str">
        <f>IFERROR(ROUND(VLOOKUP(A165,[1]man_journals!B:E,4,0),2),"")</f>
        <v/>
      </c>
      <c r="M165" s="26" t="str">
        <f>IFERROR(_xlfn.RANK.EQ(L165,L:L),"")</f>
        <v/>
      </c>
      <c r="N165" s="2" t="s">
        <v>1273</v>
      </c>
    </row>
    <row r="166" spans="1:18" x14ac:dyDescent="0.25">
      <c r="A166" t="s">
        <v>126</v>
      </c>
      <c r="B166" t="s">
        <v>1371</v>
      </c>
      <c r="C166" s="6">
        <f>IFERROR(VLOOKUP(A166,[1]eco_bus_journals!$B:$D,3,0),"")</f>
        <v>70</v>
      </c>
      <c r="D166" s="37">
        <f>IFERROR(ROUND(VLOOKUP(A166,[1]eco_bus_journals!$B:$X,4,0),2),"")</f>
        <v>0.53</v>
      </c>
      <c r="E166" s="37">
        <f>_xlfn.RANK.EQ(D166,D:D)</f>
        <v>150</v>
      </c>
      <c r="F166" s="44" t="str">
        <f>IFERROR(ROUND(VLOOKUP(A166,[1]eco_journals!B:E,4,0),2),"")</f>
        <v/>
      </c>
      <c r="G166" s="40" t="str">
        <f>IFERROR(_xlfn.RANK.EQ(F166,F:F),"")</f>
        <v/>
      </c>
      <c r="H166" s="46" t="str">
        <f>IFERROR(ROUND(VLOOKUP(A166,[1]fin_journals!B:E,4,0),2),"")</f>
        <v/>
      </c>
      <c r="I166" s="18" t="str">
        <f>IFERROR(_xlfn.RANK.EQ(H166,H:H),"")</f>
        <v/>
      </c>
      <c r="J166" s="42">
        <f>IFERROR(ROUND(VLOOKUP(A166,[1]bus_journals!B:E,4,0),2),"")</f>
        <v>1.04</v>
      </c>
      <c r="K166" s="23">
        <f>IFERROR(_xlfn.RANK.EQ(J166,J:J),"")</f>
        <v>64</v>
      </c>
      <c r="L166" s="43">
        <f>IFERROR(ROUND(VLOOKUP(A166,[1]man_journals!B:E,4,0),2),"")</f>
        <v>1.25</v>
      </c>
      <c r="M166" s="26">
        <f>IFERROR(_xlfn.RANK.EQ(L166,L:L),"")</f>
        <v>38</v>
      </c>
      <c r="N166" s="2" t="s">
        <v>1273</v>
      </c>
      <c r="O166" s="4" t="s">
        <v>1275</v>
      </c>
    </row>
    <row r="167" spans="1:18" x14ac:dyDescent="0.25">
      <c r="A167" t="s">
        <v>290</v>
      </c>
      <c r="B167" t="s">
        <v>1361</v>
      </c>
      <c r="C167" s="6">
        <f>IFERROR(VLOOKUP(A167,[1]eco_bus_journals!$B:$D,3,0),"")</f>
        <v>31</v>
      </c>
      <c r="D167" s="37">
        <f>IFERROR(ROUND(VLOOKUP(A167,[1]eco_bus_journals!$B:$X,4,0),2),"")</f>
        <v>0.42</v>
      </c>
      <c r="E167" s="37">
        <f>_xlfn.RANK.EQ(D167,D:D)</f>
        <v>190</v>
      </c>
      <c r="F167" s="44">
        <f>IFERROR(ROUND(VLOOKUP(A167,[1]eco_journals!B:E,4,0),2),"")</f>
        <v>0.48</v>
      </c>
      <c r="G167" s="40">
        <f>IFERROR(_xlfn.RANK.EQ(F167,F:F),"")</f>
        <v>69</v>
      </c>
      <c r="H167" s="46" t="str">
        <f>IFERROR(ROUND(VLOOKUP(A167,[1]fin_journals!B:E,4,0),2),"")</f>
        <v/>
      </c>
      <c r="I167" s="18" t="str">
        <f>IFERROR(_xlfn.RANK.EQ(H167,H:H),"")</f>
        <v/>
      </c>
      <c r="J167" s="42" t="str">
        <f>IFERROR(ROUND(VLOOKUP(A167,[1]bus_journals!B:E,4,0),2),"")</f>
        <v/>
      </c>
      <c r="K167" s="23" t="str">
        <f>IFERROR(_xlfn.RANK.EQ(J167,J:J),"")</f>
        <v/>
      </c>
      <c r="L167" s="43" t="str">
        <f>IFERROR(ROUND(VLOOKUP(A167,[1]man_journals!B:E,4,0),2),"")</f>
        <v/>
      </c>
      <c r="M167" s="26" t="str">
        <f>IFERROR(_xlfn.RANK.EQ(L167,L:L),"")</f>
        <v/>
      </c>
      <c r="N167" s="1" t="s">
        <v>1272</v>
      </c>
      <c r="O167" t="s">
        <v>1300</v>
      </c>
    </row>
    <row r="168" spans="1:18" x14ac:dyDescent="0.25">
      <c r="A168" t="s">
        <v>220</v>
      </c>
      <c r="B168" t="s">
        <v>1360</v>
      </c>
      <c r="C168" s="6">
        <f>IFERROR(VLOOKUP(A168,[1]eco_bus_journals!$B:$D,3,0),"")</f>
        <v>43</v>
      </c>
      <c r="D168" s="37">
        <f>IFERROR(ROUND(VLOOKUP(A168,[1]eco_bus_journals!$B:$X,4,0),2),"")</f>
        <v>0.5</v>
      </c>
      <c r="E168" s="37">
        <f>_xlfn.RANK.EQ(D168,D:D)</f>
        <v>158</v>
      </c>
      <c r="F168" s="44">
        <f>IFERROR(ROUND(VLOOKUP(A168,[1]eco_journals!B:E,4,0),2),"")</f>
        <v>0.42</v>
      </c>
      <c r="G168" s="40">
        <f>IFERROR(_xlfn.RANK.EQ(F168,F:F),"")</f>
        <v>78</v>
      </c>
      <c r="H168" s="46" t="str">
        <f>IFERROR(ROUND(VLOOKUP(A168,[1]fin_journals!B:E,4,0),2),"")</f>
        <v/>
      </c>
      <c r="I168" s="18" t="str">
        <f>IFERROR(_xlfn.RANK.EQ(H168,H:H),"")</f>
        <v/>
      </c>
      <c r="J168" s="42" t="str">
        <f>IFERROR(ROUND(VLOOKUP(A168,[1]bus_journals!B:E,4,0),2),"")</f>
        <v/>
      </c>
      <c r="K168" s="23" t="str">
        <f>IFERROR(_xlfn.RANK.EQ(J168,J:J),"")</f>
        <v/>
      </c>
      <c r="L168" s="43">
        <f>IFERROR(ROUND(VLOOKUP(A168,[1]man_journals!B:E,4,0),2),"")</f>
        <v>0.41</v>
      </c>
      <c r="M168" s="26">
        <f>IFERROR(_xlfn.RANK.EQ(L168,L:L),"")</f>
        <v>108</v>
      </c>
      <c r="N168" s="1" t="s">
        <v>1272</v>
      </c>
      <c r="O168" s="4" t="s">
        <v>1275</v>
      </c>
    </row>
    <row r="169" spans="1:18" x14ac:dyDescent="0.25">
      <c r="A169" t="s">
        <v>145</v>
      </c>
      <c r="B169" t="s">
        <v>1360</v>
      </c>
      <c r="C169" s="6">
        <f>IFERROR(VLOOKUP(A169,[1]eco_bus_journals!$B:$D,3,0),"")</f>
        <v>50</v>
      </c>
      <c r="D169" s="37">
        <f>IFERROR(ROUND(VLOOKUP(A169,[1]eco_bus_journals!$B:$X,4,0),2),"")</f>
        <v>0.47</v>
      </c>
      <c r="E169" s="37">
        <f>_xlfn.RANK.EQ(D169,D:D)</f>
        <v>174</v>
      </c>
      <c r="F169" s="44" t="str">
        <f>IFERROR(ROUND(VLOOKUP(A169,[1]eco_journals!B:E,4,0),2),"")</f>
        <v/>
      </c>
      <c r="G169" s="40" t="str">
        <f>IFERROR(_xlfn.RANK.EQ(F169,F:F),"")</f>
        <v/>
      </c>
      <c r="H169" s="46" t="str">
        <f>IFERROR(ROUND(VLOOKUP(A169,[1]fin_journals!B:E,4,0),2),"")</f>
        <v/>
      </c>
      <c r="I169" s="18" t="str">
        <f>IFERROR(_xlfn.RANK.EQ(H169,H:H),"")</f>
        <v/>
      </c>
      <c r="J169" s="42">
        <f>IFERROR(ROUND(VLOOKUP(A169,[1]bus_journals!B:E,4,0),2),"")</f>
        <v>1.1299999999999999</v>
      </c>
      <c r="K169" s="23">
        <f>IFERROR(_xlfn.RANK.EQ(J169,J:J),"")</f>
        <v>59</v>
      </c>
      <c r="L169" s="43">
        <f>IFERROR(ROUND(VLOOKUP(A169,[1]man_journals!B:E,4,0),2),"")</f>
        <v>1.04</v>
      </c>
      <c r="M169" s="26">
        <f>IFERROR(_xlfn.RANK.EQ(L169,L:L),"")</f>
        <v>44</v>
      </c>
      <c r="N169" s="2" t="s">
        <v>1273</v>
      </c>
      <c r="O169" s="4" t="s">
        <v>1275</v>
      </c>
    </row>
    <row r="170" spans="1:18" x14ac:dyDescent="0.25">
      <c r="A170" t="s">
        <v>168</v>
      </c>
      <c r="B170" t="s">
        <v>1362</v>
      </c>
      <c r="C170" s="6">
        <f>IFERROR(VLOOKUP(A170,[1]eco_bus_journals!$B:$D,3,0),"")</f>
        <v>45</v>
      </c>
      <c r="D170" s="37">
        <f>IFERROR(ROUND(VLOOKUP(A170,[1]eco_bus_journals!$B:$X,4,0),2),"")</f>
        <v>0.45</v>
      </c>
      <c r="E170" s="37">
        <f>_xlfn.RANK.EQ(D170,D:D)</f>
        <v>181</v>
      </c>
      <c r="F170" s="44">
        <f>IFERROR(ROUND(VLOOKUP(A170,[1]eco_journals!B:E,4,0),2),"")</f>
        <v>0.31</v>
      </c>
      <c r="G170" s="40">
        <f>IFERROR(_xlfn.RANK.EQ(F170,F:F),"")</f>
        <v>91</v>
      </c>
      <c r="H170" s="46">
        <f>IFERROR(ROUND(VLOOKUP(A170,[1]fin_journals!B:E,4,0),2),"")</f>
        <v>1.1000000000000001</v>
      </c>
      <c r="I170" s="18">
        <f>IFERROR(_xlfn.RANK.EQ(H170,H:H),"")</f>
        <v>34</v>
      </c>
      <c r="J170" s="42" t="str">
        <f>IFERROR(ROUND(VLOOKUP(A170,[1]bus_journals!B:E,4,0),2),"")</f>
        <v/>
      </c>
      <c r="K170" s="23" t="str">
        <f>IFERROR(_xlfn.RANK.EQ(J170,J:J),"")</f>
        <v/>
      </c>
      <c r="L170" s="43" t="str">
        <f>IFERROR(ROUND(VLOOKUP(A170,[1]man_journals!B:E,4,0),2),"")</f>
        <v/>
      </c>
      <c r="M170" s="26" t="str">
        <f>IFERROR(_xlfn.RANK.EQ(L170,L:L),"")</f>
        <v/>
      </c>
      <c r="N170" s="3" t="s">
        <v>1274</v>
      </c>
      <c r="O170" s="1" t="s">
        <v>1272</v>
      </c>
    </row>
    <row r="171" spans="1:18" x14ac:dyDescent="0.25">
      <c r="A171" t="s">
        <v>255</v>
      </c>
      <c r="B171" t="s">
        <v>1363</v>
      </c>
      <c r="C171" s="6">
        <f>IFERROR(VLOOKUP(A171,[1]eco_bus_journals!$B:$D,3,0),"")</f>
        <v>65</v>
      </c>
      <c r="D171" s="37">
        <f>IFERROR(ROUND(VLOOKUP(A171,[1]eco_bus_journals!$B:$X,4,0),2),"")</f>
        <v>0.48</v>
      </c>
      <c r="E171" s="37">
        <f>_xlfn.RANK.EQ(D171,D:D)</f>
        <v>167</v>
      </c>
      <c r="F171" s="44">
        <f>IFERROR(ROUND(VLOOKUP(A171,[1]eco_journals!B:E,4,0),2),"")</f>
        <v>0.49</v>
      </c>
      <c r="G171" s="40">
        <f>IFERROR(_xlfn.RANK.EQ(F171,F:F),"")</f>
        <v>68</v>
      </c>
      <c r="H171" s="46" t="str">
        <f>IFERROR(ROUND(VLOOKUP(A171,[1]fin_journals!B:E,4,0),2),"")</f>
        <v/>
      </c>
      <c r="I171" s="18" t="str">
        <f>IFERROR(_xlfn.RANK.EQ(H171,H:H),"")</f>
        <v/>
      </c>
      <c r="J171" s="42" t="str">
        <f>IFERROR(ROUND(VLOOKUP(A171,[1]bus_journals!B:E,4,0),2),"")</f>
        <v/>
      </c>
      <c r="K171" s="23" t="str">
        <f>IFERROR(_xlfn.RANK.EQ(J171,J:J),"")</f>
        <v/>
      </c>
      <c r="L171" s="43" t="str">
        <f>IFERROR(ROUND(VLOOKUP(A171,[1]man_journals!B:E,4,0),2),"")</f>
        <v/>
      </c>
      <c r="M171" s="26" t="str">
        <f>IFERROR(_xlfn.RANK.EQ(L171,L:L),"")</f>
        <v/>
      </c>
      <c r="N171" s="1" t="s">
        <v>1272</v>
      </c>
    </row>
    <row r="172" spans="1:18" x14ac:dyDescent="0.25">
      <c r="A172" t="s">
        <v>99</v>
      </c>
      <c r="B172" t="s">
        <v>1360</v>
      </c>
      <c r="C172" s="6">
        <f>IFERROR(VLOOKUP(A172,[1]eco_bus_journals!$B:$D,3,0),"")</f>
        <v>278</v>
      </c>
      <c r="D172" s="37">
        <f>IFERROR(ROUND(VLOOKUP(A172,[1]eco_bus_journals!$B:$X,4,0),2),"")</f>
        <v>0.48</v>
      </c>
      <c r="E172" s="37">
        <f>_xlfn.RANK.EQ(D172,D:D)</f>
        <v>167</v>
      </c>
      <c r="F172" s="44" t="str">
        <f>IFERROR(ROUND(VLOOKUP(A172,[1]eco_journals!B:E,4,0),2),"")</f>
        <v/>
      </c>
      <c r="G172" s="40" t="str">
        <f>IFERROR(_xlfn.RANK.EQ(F172,F:F),"")</f>
        <v/>
      </c>
      <c r="H172" s="46" t="str">
        <f>IFERROR(ROUND(VLOOKUP(A172,[1]fin_journals!B:E,4,0),2),"")</f>
        <v/>
      </c>
      <c r="I172" s="18" t="str">
        <f>IFERROR(_xlfn.RANK.EQ(H172,H:H),"")</f>
        <v/>
      </c>
      <c r="J172" s="42">
        <f>IFERROR(ROUND(VLOOKUP(A172,[1]bus_journals!B:E,4,0),2),"")</f>
        <v>1.26</v>
      </c>
      <c r="K172" s="23">
        <f>IFERROR(_xlfn.RANK.EQ(J172,J:J),"")</f>
        <v>52</v>
      </c>
      <c r="L172" s="43">
        <f>IFERROR(ROUND(VLOOKUP(A172,[1]man_journals!B:E,4,0),2),"")</f>
        <v>1.02</v>
      </c>
      <c r="M172" s="26">
        <f>IFERROR(_xlfn.RANK.EQ(L172,L:L),"")</f>
        <v>48</v>
      </c>
      <c r="N172" s="2" t="s">
        <v>1273</v>
      </c>
      <c r="O172" t="s">
        <v>1293</v>
      </c>
      <c r="P172" s="4" t="s">
        <v>1275</v>
      </c>
    </row>
    <row r="173" spans="1:18" x14ac:dyDescent="0.25">
      <c r="A173" t="s">
        <v>269</v>
      </c>
      <c r="B173" t="s">
        <v>1360</v>
      </c>
      <c r="C173" s="6">
        <f>IFERROR(VLOOKUP(A173,[1]eco_bus_journals!$B:$D,3,0),"")</f>
        <v>95</v>
      </c>
      <c r="D173" s="37">
        <f>IFERROR(ROUND(VLOOKUP(A173,[1]eco_bus_journals!$B:$X,4,0),2),"")</f>
        <v>0.46</v>
      </c>
      <c r="E173" s="37">
        <f>_xlfn.RANK.EQ(D173,D:D)</f>
        <v>176</v>
      </c>
      <c r="F173" s="44">
        <f>IFERROR(ROUND(VLOOKUP(A173,[1]eco_journals!B:E,4,0),2),"")</f>
        <v>0.43</v>
      </c>
      <c r="G173" s="40">
        <f>IFERROR(_xlfn.RANK.EQ(F173,F:F),"")</f>
        <v>75</v>
      </c>
      <c r="H173" s="46" t="str">
        <f>IFERROR(ROUND(VLOOKUP(A173,[1]fin_journals!B:E,4,0),2),"")</f>
        <v/>
      </c>
      <c r="I173" s="18" t="str">
        <f>IFERROR(_xlfn.RANK.EQ(H173,H:H),"")</f>
        <v/>
      </c>
      <c r="J173" s="42" t="str">
        <f>IFERROR(ROUND(VLOOKUP(A173,[1]bus_journals!B:E,4,0),2),"")</f>
        <v/>
      </c>
      <c r="K173" s="23" t="str">
        <f>IFERROR(_xlfn.RANK.EQ(J173,J:J),"")</f>
        <v/>
      </c>
      <c r="L173" s="43" t="str">
        <f>IFERROR(ROUND(VLOOKUP(A173,[1]man_journals!B:E,4,0),2),"")</f>
        <v/>
      </c>
      <c r="M173" s="26" t="str">
        <f>IFERROR(_xlfn.RANK.EQ(L173,L:L),"")</f>
        <v/>
      </c>
      <c r="N173" s="1" t="s">
        <v>1272</v>
      </c>
    </row>
    <row r="174" spans="1:18" x14ac:dyDescent="0.25">
      <c r="A174" t="s">
        <v>149</v>
      </c>
      <c r="B174" t="s">
        <v>1371</v>
      </c>
      <c r="C174" s="6">
        <f>IFERROR(VLOOKUP(A174,[1]eco_bus_journals!$B:$D,3,0),"")</f>
        <v>157</v>
      </c>
      <c r="D174" s="37">
        <f>IFERROR(ROUND(VLOOKUP(A174,[1]eco_bus_journals!$B:$X,4,0),2),"")</f>
        <v>0.49</v>
      </c>
      <c r="E174" s="37">
        <f>_xlfn.RANK.EQ(D174,D:D)</f>
        <v>162</v>
      </c>
      <c r="F174" s="44" t="str">
        <f>IFERROR(ROUND(VLOOKUP(A174,[1]eco_journals!B:E,4,0),2),"")</f>
        <v/>
      </c>
      <c r="G174" s="40" t="str">
        <f>IFERROR(_xlfn.RANK.EQ(F174,F:F),"")</f>
        <v/>
      </c>
      <c r="H174" s="46" t="str">
        <f>IFERROR(ROUND(VLOOKUP(A174,[1]fin_journals!B:E,4,0),2),"")</f>
        <v/>
      </c>
      <c r="I174" s="18" t="str">
        <f>IFERROR(_xlfn.RANK.EQ(H174,H:H),"")</f>
        <v/>
      </c>
      <c r="J174" s="42">
        <f>IFERROR(ROUND(VLOOKUP(A174,[1]bus_journals!B:E,4,0),2),"")</f>
        <v>1.41</v>
      </c>
      <c r="K174" s="23">
        <f>IFERROR(_xlfn.RANK.EQ(J174,J:J),"")</f>
        <v>45</v>
      </c>
      <c r="L174" s="43" t="str">
        <f>IFERROR(ROUND(VLOOKUP(A174,[1]man_journals!B:E,4,0),2),"")</f>
        <v/>
      </c>
      <c r="M174" s="26" t="str">
        <f>IFERROR(_xlfn.RANK.EQ(L174,L:L),"")</f>
        <v/>
      </c>
      <c r="N174" s="2" t="s">
        <v>1273</v>
      </c>
    </row>
    <row r="175" spans="1:18" x14ac:dyDescent="0.25">
      <c r="A175" t="s">
        <v>190</v>
      </c>
      <c r="B175" t="s">
        <v>1372</v>
      </c>
      <c r="C175" s="6">
        <f>IFERROR(VLOOKUP(A175,[1]eco_bus_journals!$B:$D,3,0),"")</f>
        <v>33</v>
      </c>
      <c r="D175" s="37">
        <f>IFERROR(ROUND(VLOOKUP(A175,[1]eco_bus_journals!$B:$X,4,0),2),"")</f>
        <v>0.45</v>
      </c>
      <c r="E175" s="37">
        <f>_xlfn.RANK.EQ(D175,D:D)</f>
        <v>181</v>
      </c>
      <c r="F175" s="44" t="str">
        <f>IFERROR(ROUND(VLOOKUP(A175,[1]eco_journals!B:E,4,0),2),"")</f>
        <v/>
      </c>
      <c r="G175" s="40" t="str">
        <f>IFERROR(_xlfn.RANK.EQ(F175,F:F),"")</f>
        <v/>
      </c>
      <c r="H175" s="46" t="str">
        <f>IFERROR(ROUND(VLOOKUP(A175,[1]fin_journals!B:E,4,0),2),"")</f>
        <v/>
      </c>
      <c r="I175" s="18" t="str">
        <f>IFERROR(_xlfn.RANK.EQ(H175,H:H),"")</f>
        <v/>
      </c>
      <c r="J175" s="42">
        <f>IFERROR(ROUND(VLOOKUP(A175,[1]bus_journals!B:E,4,0),2),"")</f>
        <v>1.31</v>
      </c>
      <c r="K175" s="23">
        <f>IFERROR(_xlfn.RANK.EQ(J175,J:J),"")</f>
        <v>51</v>
      </c>
      <c r="L175" s="43" t="str">
        <f>IFERROR(ROUND(VLOOKUP(A175,[1]man_journals!B:E,4,0),2),"")</f>
        <v/>
      </c>
      <c r="M175" s="26" t="str">
        <f>IFERROR(_xlfn.RANK.EQ(L175,L:L),"")</f>
        <v/>
      </c>
      <c r="N175" s="2" t="s">
        <v>1273</v>
      </c>
      <c r="O175" t="s">
        <v>1289</v>
      </c>
    </row>
    <row r="176" spans="1:18" x14ac:dyDescent="0.25">
      <c r="A176" t="s">
        <v>317</v>
      </c>
      <c r="B176" t="s">
        <v>1360</v>
      </c>
      <c r="C176" s="6">
        <f>IFERROR(VLOOKUP(A176,[1]eco_bus_journals!$B:$D,3,0),"")</f>
        <v>43</v>
      </c>
      <c r="D176" s="37">
        <f>IFERROR(ROUND(VLOOKUP(A176,[1]eco_bus_journals!$B:$X,4,0),2),"")</f>
        <v>0.54</v>
      </c>
      <c r="E176" s="37">
        <f>_xlfn.RANK.EQ(D176,D:D)</f>
        <v>147</v>
      </c>
      <c r="F176" s="44">
        <f>IFERROR(ROUND(VLOOKUP(A176,[1]eco_journals!B:E,4,0),2),"")</f>
        <v>0.36</v>
      </c>
      <c r="G176" s="40">
        <f>IFERROR(_xlfn.RANK.EQ(F176,F:F),"")</f>
        <v>81</v>
      </c>
      <c r="H176" s="46">
        <f>IFERROR(ROUND(VLOOKUP(A176,[1]fin_journals!B:E,4,0),2),"")</f>
        <v>1.74</v>
      </c>
      <c r="I176" s="18">
        <f>IFERROR(_xlfn.RANK.EQ(H176,H:H),"")</f>
        <v>19</v>
      </c>
      <c r="J176" s="42" t="str">
        <f>IFERROR(ROUND(VLOOKUP(A176,[1]bus_journals!B:E,4,0),2),"")</f>
        <v/>
      </c>
      <c r="K176" s="23" t="str">
        <f>IFERROR(_xlfn.RANK.EQ(J176,J:J),"")</f>
        <v/>
      </c>
      <c r="L176" s="43" t="str">
        <f>IFERROR(ROUND(VLOOKUP(A176,[1]man_journals!B:E,4,0),2),"")</f>
        <v/>
      </c>
      <c r="M176" s="26" t="str">
        <f>IFERROR(_xlfn.RANK.EQ(L176,L:L),"")</f>
        <v/>
      </c>
      <c r="N176" s="3" t="s">
        <v>1274</v>
      </c>
      <c r="O176" s="1" t="s">
        <v>1272</v>
      </c>
      <c r="P176" t="s">
        <v>1318</v>
      </c>
      <c r="Q176" t="s">
        <v>1279</v>
      </c>
      <c r="R176" t="s">
        <v>1280</v>
      </c>
    </row>
    <row r="177" spans="1:17" x14ac:dyDescent="0.25">
      <c r="A177" t="s">
        <v>261</v>
      </c>
      <c r="B177" t="s">
        <v>1362</v>
      </c>
      <c r="C177" s="6">
        <f>IFERROR(VLOOKUP(A177,[1]eco_bus_journals!$B:$D,3,0),"")</f>
        <v>120</v>
      </c>
      <c r="D177" s="37">
        <f>IFERROR(ROUND(VLOOKUP(A177,[1]eco_bus_journals!$B:$X,4,0),2),"")</f>
        <v>0.46</v>
      </c>
      <c r="E177" s="37">
        <f>_xlfn.RANK.EQ(D177,D:D)</f>
        <v>176</v>
      </c>
      <c r="F177" s="44">
        <f>IFERROR(ROUND(VLOOKUP(A177,[1]eco_journals!B:E,4,0),2),"")</f>
        <v>0.44</v>
      </c>
      <c r="G177" s="40">
        <f>IFERROR(_xlfn.RANK.EQ(F177,F:F),"")</f>
        <v>72</v>
      </c>
      <c r="H177" s="46" t="str">
        <f>IFERROR(ROUND(VLOOKUP(A177,[1]fin_journals!B:E,4,0),2),"")</f>
        <v/>
      </c>
      <c r="I177" s="18" t="str">
        <f>IFERROR(_xlfn.RANK.EQ(H177,H:H),"")</f>
        <v/>
      </c>
      <c r="J177" s="42" t="str">
        <f>IFERROR(ROUND(VLOOKUP(A177,[1]bus_journals!B:E,4,0),2),"")</f>
        <v/>
      </c>
      <c r="K177" s="23" t="str">
        <f>IFERROR(_xlfn.RANK.EQ(J177,J:J),"")</f>
        <v/>
      </c>
      <c r="L177" s="43" t="str">
        <f>IFERROR(ROUND(VLOOKUP(A177,[1]man_journals!B:E,4,0),2),"")</f>
        <v/>
      </c>
      <c r="M177" s="26" t="str">
        <f>IFERROR(_xlfn.RANK.EQ(L177,L:L),"")</f>
        <v/>
      </c>
      <c r="N177" s="1" t="s">
        <v>1272</v>
      </c>
    </row>
    <row r="178" spans="1:17" x14ac:dyDescent="0.25">
      <c r="A178" t="s">
        <v>89</v>
      </c>
      <c r="B178" t="s">
        <v>1371</v>
      </c>
      <c r="C178" s="6">
        <f>IFERROR(VLOOKUP(A178,[1]eco_bus_journals!$B:$D,3,0),"")</f>
        <v>22</v>
      </c>
      <c r="D178" s="37">
        <f>IFERROR(ROUND(VLOOKUP(A178,[1]eco_bus_journals!$B:$X,4,0),2),"")</f>
        <v>0.53</v>
      </c>
      <c r="E178" s="37">
        <f>_xlfn.RANK.EQ(D178,D:D)</f>
        <v>150</v>
      </c>
      <c r="F178" s="44" t="str">
        <f>IFERROR(ROUND(VLOOKUP(A178,[1]eco_journals!B:E,4,0),2),"")</f>
        <v/>
      </c>
      <c r="G178" s="40" t="str">
        <f>IFERROR(_xlfn.RANK.EQ(F178,F:F),"")</f>
        <v/>
      </c>
      <c r="H178" s="46" t="str">
        <f>IFERROR(ROUND(VLOOKUP(A178,[1]fin_journals!B:E,4,0),2),"")</f>
        <v/>
      </c>
      <c r="I178" s="18" t="str">
        <f>IFERROR(_xlfn.RANK.EQ(H178,H:H),"")</f>
        <v/>
      </c>
      <c r="J178" s="42">
        <f>IFERROR(ROUND(VLOOKUP(A178,[1]bus_journals!B:E,4,0),2),"")</f>
        <v>1.81</v>
      </c>
      <c r="K178" s="23">
        <f>IFERROR(_xlfn.RANK.EQ(J178,J:J),"")</f>
        <v>39</v>
      </c>
      <c r="L178" s="43" t="str">
        <f>IFERROR(ROUND(VLOOKUP(A178,[1]man_journals!B:E,4,0),2),"")</f>
        <v/>
      </c>
      <c r="M178" s="26" t="str">
        <f>IFERROR(_xlfn.RANK.EQ(L178,L:L),"")</f>
        <v/>
      </c>
      <c r="N178" s="2" t="s">
        <v>1273</v>
      </c>
    </row>
    <row r="179" spans="1:17" x14ac:dyDescent="0.25">
      <c r="A179" t="s">
        <v>111</v>
      </c>
      <c r="B179" t="s">
        <v>1371</v>
      </c>
      <c r="C179" s="6">
        <f>IFERROR(VLOOKUP(A179,[1]eco_bus_journals!$B:$D,3,0),"")</f>
        <v>32</v>
      </c>
      <c r="D179" s="37">
        <f>IFERROR(ROUND(VLOOKUP(A179,[1]eco_bus_journals!$B:$X,4,0),2),"")</f>
        <v>0.46</v>
      </c>
      <c r="E179" s="37">
        <f>_xlfn.RANK.EQ(D179,D:D)</f>
        <v>176</v>
      </c>
      <c r="F179" s="44" t="str">
        <f>IFERROR(ROUND(VLOOKUP(A179,[1]eco_journals!B:E,4,0),2),"")</f>
        <v/>
      </c>
      <c r="G179" s="40" t="str">
        <f>IFERROR(_xlfn.RANK.EQ(F179,F:F),"")</f>
        <v/>
      </c>
      <c r="H179" s="46" t="str">
        <f>IFERROR(ROUND(VLOOKUP(A179,[1]fin_journals!B:E,4,0),2),"")</f>
        <v/>
      </c>
      <c r="I179" s="18" t="str">
        <f>IFERROR(_xlfn.RANK.EQ(H179,H:H),"")</f>
        <v/>
      </c>
      <c r="J179" s="42">
        <f>IFERROR(ROUND(VLOOKUP(A179,[1]bus_journals!B:E,4,0),2),"")</f>
        <v>1.25</v>
      </c>
      <c r="K179" s="23">
        <f>IFERROR(_xlfn.RANK.EQ(J179,J:J),"")</f>
        <v>53</v>
      </c>
      <c r="L179" s="43">
        <f>IFERROR(ROUND(VLOOKUP(A179,[1]man_journals!B:E,4,0),2),"")</f>
        <v>0.7</v>
      </c>
      <c r="M179" s="26">
        <f>IFERROR(_xlfn.RANK.EQ(L179,L:L),"")</f>
        <v>75</v>
      </c>
      <c r="N179" s="2" t="s">
        <v>1273</v>
      </c>
      <c r="O179" s="4" t="s">
        <v>1275</v>
      </c>
    </row>
    <row r="180" spans="1:17" x14ac:dyDescent="0.25">
      <c r="A180" t="s">
        <v>150</v>
      </c>
      <c r="B180" t="s">
        <v>1362</v>
      </c>
      <c r="C180" s="6">
        <f>IFERROR(VLOOKUP(A180,[1]eco_bus_journals!$B:$D,3,0),"")</f>
        <v>78</v>
      </c>
      <c r="D180" s="37">
        <f>IFERROR(ROUND(VLOOKUP(A180,[1]eco_bus_journals!$B:$X,4,0),2),"")</f>
        <v>0.43</v>
      </c>
      <c r="E180" s="37">
        <f>_xlfn.RANK.EQ(D180,D:D)</f>
        <v>188</v>
      </c>
      <c r="F180" s="44" t="str">
        <f>IFERROR(ROUND(VLOOKUP(A180,[1]eco_journals!B:E,4,0),2),"")</f>
        <v/>
      </c>
      <c r="G180" s="40" t="str">
        <f>IFERROR(_xlfn.RANK.EQ(F180,F:F),"")</f>
        <v/>
      </c>
      <c r="H180" s="46" t="str">
        <f>IFERROR(ROUND(VLOOKUP(A180,[1]fin_journals!B:E,4,0),2),"")</f>
        <v/>
      </c>
      <c r="I180" s="18" t="str">
        <f>IFERROR(_xlfn.RANK.EQ(H180,H:H),"")</f>
        <v/>
      </c>
      <c r="J180" s="42">
        <f>IFERROR(ROUND(VLOOKUP(A180,[1]bus_journals!B:E,4,0),2),"")</f>
        <v>1</v>
      </c>
      <c r="K180" s="23">
        <f>IFERROR(_xlfn.RANK.EQ(J180,J:J),"")</f>
        <v>66</v>
      </c>
      <c r="L180" s="43">
        <f>IFERROR(ROUND(VLOOKUP(A180,[1]man_journals!B:E,4,0),2),"")</f>
        <v>0.92</v>
      </c>
      <c r="M180" s="26">
        <f>IFERROR(_xlfn.RANK.EQ(L180,L:L),"")</f>
        <v>58</v>
      </c>
      <c r="N180" s="2" t="s">
        <v>1273</v>
      </c>
      <c r="O180" s="4" t="s">
        <v>1275</v>
      </c>
    </row>
    <row r="181" spans="1:17" x14ac:dyDescent="0.25">
      <c r="A181" t="s">
        <v>154</v>
      </c>
      <c r="B181" t="s">
        <v>1362</v>
      </c>
      <c r="C181" s="6">
        <f>IFERROR(VLOOKUP(A181,[1]eco_bus_journals!$B:$D,3,0),"")</f>
        <v>42</v>
      </c>
      <c r="D181" s="37">
        <f>IFERROR(ROUND(VLOOKUP(A181,[1]eco_bus_journals!$B:$X,4,0),2),"")</f>
        <v>0.45</v>
      </c>
      <c r="E181" s="37">
        <f>_xlfn.RANK.EQ(D181,D:D)</f>
        <v>181</v>
      </c>
      <c r="F181" s="44" t="str">
        <f>IFERROR(ROUND(VLOOKUP(A181,[1]eco_journals!B:E,4,0),2),"")</f>
        <v/>
      </c>
      <c r="G181" s="40" t="str">
        <f>IFERROR(_xlfn.RANK.EQ(F181,F:F),"")</f>
        <v/>
      </c>
      <c r="H181" s="46" t="str">
        <f>IFERROR(ROUND(VLOOKUP(A181,[1]fin_journals!B:E,4,0),2),"")</f>
        <v/>
      </c>
      <c r="I181" s="18" t="str">
        <f>IFERROR(_xlfn.RANK.EQ(H181,H:H),"")</f>
        <v/>
      </c>
      <c r="J181" s="42" t="str">
        <f>IFERROR(ROUND(VLOOKUP(A181,[1]bus_journals!B:E,4,0),2),"")</f>
        <v/>
      </c>
      <c r="K181" s="23" t="str">
        <f>IFERROR(_xlfn.RANK.EQ(J181,J:J),"")</f>
        <v/>
      </c>
      <c r="L181" s="43">
        <f>IFERROR(ROUND(VLOOKUP(A181,[1]man_journals!B:E,4,0),2),"")</f>
        <v>1.1200000000000001</v>
      </c>
      <c r="M181" s="26">
        <f>IFERROR(_xlfn.RANK.EQ(L181,L:L),"")</f>
        <v>42</v>
      </c>
      <c r="N181" s="4" t="s">
        <v>1275</v>
      </c>
    </row>
    <row r="182" spans="1:17" x14ac:dyDescent="0.25">
      <c r="A182" t="s">
        <v>223</v>
      </c>
      <c r="B182" t="s">
        <v>1367</v>
      </c>
      <c r="C182" s="6">
        <f>IFERROR(VLOOKUP(A182,[1]eco_bus_journals!$B:$D,3,0),"")</f>
        <v>36</v>
      </c>
      <c r="D182" s="37">
        <f>IFERROR(ROUND(VLOOKUP(A182,[1]eco_bus_journals!$B:$X,4,0),2),"")</f>
        <v>0.38</v>
      </c>
      <c r="E182" s="37">
        <f>_xlfn.RANK.EQ(D182,D:D)</f>
        <v>207</v>
      </c>
      <c r="F182" s="44" t="str">
        <f>IFERROR(ROUND(VLOOKUP(A182,[1]eco_journals!B:E,4,0),2),"")</f>
        <v/>
      </c>
      <c r="G182" s="40" t="str">
        <f>IFERROR(_xlfn.RANK.EQ(F182,F:F),"")</f>
        <v/>
      </c>
      <c r="H182" s="46">
        <f>IFERROR(ROUND(VLOOKUP(A182,[1]fin_journals!B:E,4,0),2),"")</f>
        <v>1.51</v>
      </c>
      <c r="I182" s="18">
        <f>IFERROR(_xlfn.RANK.EQ(H182,H:H),"")</f>
        <v>22</v>
      </c>
      <c r="J182" s="42" t="str">
        <f>IFERROR(ROUND(VLOOKUP(A182,[1]bus_journals!B:E,4,0),2),"")</f>
        <v/>
      </c>
      <c r="K182" s="23" t="str">
        <f>IFERROR(_xlfn.RANK.EQ(J182,J:J),"")</f>
        <v/>
      </c>
      <c r="L182" s="43" t="str">
        <f>IFERROR(ROUND(VLOOKUP(A182,[1]man_journals!B:E,4,0),2),"")</f>
        <v/>
      </c>
      <c r="M182" s="26" t="str">
        <f>IFERROR(_xlfn.RANK.EQ(L182,L:L),"")</f>
        <v/>
      </c>
      <c r="N182" s="3" t="s">
        <v>1274</v>
      </c>
    </row>
    <row r="183" spans="1:17" x14ac:dyDescent="0.25">
      <c r="A183" t="s">
        <v>257</v>
      </c>
      <c r="B183" t="s">
        <v>1360</v>
      </c>
      <c r="C183" s="6">
        <f>IFERROR(VLOOKUP(A183,[1]eco_bus_journals!$B:$D,3,0),"")</f>
        <v>111</v>
      </c>
      <c r="D183" s="37">
        <f>IFERROR(ROUND(VLOOKUP(A183,[1]eco_bus_journals!$B:$X,4,0),2),"")</f>
        <v>0.43</v>
      </c>
      <c r="E183" s="37">
        <f>_xlfn.RANK.EQ(D183,D:D)</f>
        <v>188</v>
      </c>
      <c r="F183" s="44">
        <f>IFERROR(ROUND(VLOOKUP(A183,[1]eco_journals!B:E,4,0),2),"")</f>
        <v>0.43</v>
      </c>
      <c r="G183" s="40">
        <f>IFERROR(_xlfn.RANK.EQ(F183,F:F),"")</f>
        <v>75</v>
      </c>
      <c r="H183" s="46" t="str">
        <f>IFERROR(ROUND(VLOOKUP(A183,[1]fin_journals!B:E,4,0),2),"")</f>
        <v/>
      </c>
      <c r="I183" s="18" t="str">
        <f>IFERROR(_xlfn.RANK.EQ(H183,H:H),"")</f>
        <v/>
      </c>
      <c r="J183" s="42" t="str">
        <f>IFERROR(ROUND(VLOOKUP(A183,[1]bus_journals!B:E,4,0),2),"")</f>
        <v/>
      </c>
      <c r="K183" s="23" t="str">
        <f>IFERROR(_xlfn.RANK.EQ(J183,J:J),"")</f>
        <v/>
      </c>
      <c r="L183" s="43" t="str">
        <f>IFERROR(ROUND(VLOOKUP(A183,[1]man_journals!B:E,4,0),2),"")</f>
        <v/>
      </c>
      <c r="M183" s="26" t="str">
        <f>IFERROR(_xlfn.RANK.EQ(L183,L:L),"")</f>
        <v/>
      </c>
      <c r="N183" t="s">
        <v>1304</v>
      </c>
      <c r="O183" s="1" t="s">
        <v>1272</v>
      </c>
    </row>
    <row r="184" spans="1:17" x14ac:dyDescent="0.25">
      <c r="A184" t="s">
        <v>349</v>
      </c>
      <c r="B184" t="s">
        <v>1363</v>
      </c>
      <c r="C184" s="6">
        <f>IFERROR(VLOOKUP(A184,[1]eco_bus_journals!$B:$D,3,0),"")</f>
        <v>27</v>
      </c>
      <c r="D184" s="37">
        <f>IFERROR(ROUND(VLOOKUP(A184,[1]eco_bus_journals!$B:$X,4,0),2),"")</f>
        <v>0.44</v>
      </c>
      <c r="E184" s="37">
        <f>_xlfn.RANK.EQ(D184,D:D)</f>
        <v>186</v>
      </c>
      <c r="F184" s="44" t="str">
        <f>IFERROR(ROUND(VLOOKUP(A184,[1]eco_journals!B:E,4,0),2),"")</f>
        <v/>
      </c>
      <c r="G184" s="40" t="str">
        <f>IFERROR(_xlfn.RANK.EQ(F184,F:F),"")</f>
        <v/>
      </c>
      <c r="H184" s="46">
        <f>IFERROR(ROUND(VLOOKUP(A184,[1]fin_journals!B:E,4,0),2),"")</f>
        <v>1.24</v>
      </c>
      <c r="I184" s="18">
        <f>IFERROR(_xlfn.RANK.EQ(H184,H:H),"")</f>
        <v>31</v>
      </c>
      <c r="J184" s="42" t="str">
        <f>IFERROR(ROUND(VLOOKUP(A184,[1]bus_journals!B:E,4,0),2),"")</f>
        <v/>
      </c>
      <c r="K184" s="23" t="str">
        <f>IFERROR(_xlfn.RANK.EQ(J184,J:J),"")</f>
        <v/>
      </c>
      <c r="L184" s="43" t="str">
        <f>IFERROR(ROUND(VLOOKUP(A184,[1]man_journals!B:E,4,0),2),"")</f>
        <v/>
      </c>
      <c r="M184" s="26" t="str">
        <f>IFERROR(_xlfn.RANK.EQ(L184,L:L),"")</f>
        <v/>
      </c>
      <c r="N184" s="3" t="s">
        <v>1274</v>
      </c>
      <c r="O184" t="s">
        <v>1279</v>
      </c>
      <c r="P184" t="s">
        <v>1280</v>
      </c>
      <c r="Q184" t="s">
        <v>1281</v>
      </c>
    </row>
    <row r="185" spans="1:17" x14ac:dyDescent="0.25">
      <c r="A185" t="s">
        <v>270</v>
      </c>
      <c r="B185" t="s">
        <v>1362</v>
      </c>
      <c r="C185" s="6">
        <f>IFERROR(VLOOKUP(A185,[1]eco_bus_journals!$B:$D,3,0),"")</f>
        <v>156</v>
      </c>
      <c r="D185" s="37">
        <f>IFERROR(ROUND(VLOOKUP(A185,[1]eco_bus_journals!$B:$X,4,0),2),"")</f>
        <v>0.44</v>
      </c>
      <c r="E185" s="37">
        <f>_xlfn.RANK.EQ(D185,D:D)</f>
        <v>186</v>
      </c>
      <c r="F185" s="44">
        <f>IFERROR(ROUND(VLOOKUP(A185,[1]eco_journals!B:E,4,0),2),"")</f>
        <v>0.46</v>
      </c>
      <c r="G185" s="40">
        <f>IFERROR(_xlfn.RANK.EQ(F185,F:F),"")</f>
        <v>70</v>
      </c>
      <c r="H185" s="46" t="str">
        <f>IFERROR(ROUND(VLOOKUP(A185,[1]fin_journals!B:E,4,0),2),"")</f>
        <v/>
      </c>
      <c r="I185" s="18" t="str">
        <f>IFERROR(_xlfn.RANK.EQ(H185,H:H),"")</f>
        <v/>
      </c>
      <c r="J185" s="42" t="str">
        <f>IFERROR(ROUND(VLOOKUP(A185,[1]bus_journals!B:E,4,0),2),"")</f>
        <v/>
      </c>
      <c r="K185" s="23" t="str">
        <f>IFERROR(_xlfn.RANK.EQ(J185,J:J),"")</f>
        <v/>
      </c>
      <c r="L185" s="43" t="str">
        <f>IFERROR(ROUND(VLOOKUP(A185,[1]man_journals!B:E,4,0),2),"")</f>
        <v/>
      </c>
      <c r="M185" s="26" t="str">
        <f>IFERROR(_xlfn.RANK.EQ(L185,L:L),"")</f>
        <v/>
      </c>
      <c r="N185" s="1" t="s">
        <v>1272</v>
      </c>
    </row>
    <row r="186" spans="1:17" x14ac:dyDescent="0.25">
      <c r="A186" t="s">
        <v>147</v>
      </c>
      <c r="B186" t="s">
        <v>1360</v>
      </c>
      <c r="C186" s="6">
        <f>IFERROR(VLOOKUP(A186,[1]eco_bus_journals!$B:$D,3,0),"")</f>
        <v>88</v>
      </c>
      <c r="D186" s="37">
        <f>IFERROR(ROUND(VLOOKUP(A186,[1]eco_bus_journals!$B:$X,4,0),2),"")</f>
        <v>0.45</v>
      </c>
      <c r="E186" s="37">
        <f>_xlfn.RANK.EQ(D186,D:D)</f>
        <v>181</v>
      </c>
      <c r="F186" s="44" t="str">
        <f>IFERROR(ROUND(VLOOKUP(A186,[1]eco_journals!B:E,4,0),2),"")</f>
        <v/>
      </c>
      <c r="G186" s="40" t="str">
        <f>IFERROR(_xlfn.RANK.EQ(F186,F:F),"")</f>
        <v/>
      </c>
      <c r="H186" s="46" t="str">
        <f>IFERROR(ROUND(VLOOKUP(A186,[1]fin_journals!B:E,4,0),2),"")</f>
        <v/>
      </c>
      <c r="I186" s="18" t="str">
        <f>IFERROR(_xlfn.RANK.EQ(H186,H:H),"")</f>
        <v/>
      </c>
      <c r="J186" s="42" t="str">
        <f>IFERROR(ROUND(VLOOKUP(A186,[1]bus_journals!B:E,4,0),2),"")</f>
        <v/>
      </c>
      <c r="K186" s="23" t="str">
        <f>IFERROR(_xlfn.RANK.EQ(J186,J:J),"")</f>
        <v/>
      </c>
      <c r="L186" s="43">
        <f>IFERROR(ROUND(VLOOKUP(A186,[1]man_journals!B:E,4,0),2),"")</f>
        <v>0.96</v>
      </c>
      <c r="M186" s="26">
        <f>IFERROR(_xlfn.RANK.EQ(L186,L:L),"")</f>
        <v>52</v>
      </c>
      <c r="N186" s="4" t="s">
        <v>1275</v>
      </c>
    </row>
    <row r="187" spans="1:17" x14ac:dyDescent="0.25">
      <c r="A187" t="s">
        <v>260</v>
      </c>
      <c r="B187" t="s">
        <v>1370</v>
      </c>
      <c r="C187" s="6">
        <f>IFERROR(VLOOKUP(A187,[1]eco_bus_journals!$B:$D,3,0),"")</f>
        <v>17</v>
      </c>
      <c r="D187" s="37">
        <f>IFERROR(ROUND(VLOOKUP(A187,[1]eco_bus_journals!$B:$X,4,0),2),"")</f>
        <v>0.48</v>
      </c>
      <c r="E187" s="37">
        <f>_xlfn.RANK.EQ(D187,D:D)</f>
        <v>167</v>
      </c>
      <c r="F187" s="44">
        <f>IFERROR(ROUND(VLOOKUP(A187,[1]eco_journals!B:E,4,0),2),"")</f>
        <v>0.44</v>
      </c>
      <c r="G187" s="40">
        <f>IFERROR(_xlfn.RANK.EQ(F187,F:F),"")</f>
        <v>72</v>
      </c>
      <c r="H187" s="46" t="str">
        <f>IFERROR(ROUND(VLOOKUP(A187,[1]fin_journals!B:E,4,0),2),"")</f>
        <v/>
      </c>
      <c r="I187" s="18" t="str">
        <f>IFERROR(_xlfn.RANK.EQ(H187,H:H),"")</f>
        <v/>
      </c>
      <c r="J187" s="42" t="str">
        <f>IFERROR(ROUND(VLOOKUP(A187,[1]bus_journals!B:E,4,0),2),"")</f>
        <v/>
      </c>
      <c r="K187" s="23" t="str">
        <f>IFERROR(_xlfn.RANK.EQ(J187,J:J),"")</f>
        <v/>
      </c>
      <c r="L187" s="43" t="str">
        <f>IFERROR(ROUND(VLOOKUP(A187,[1]man_journals!B:E,4,0),2),"")</f>
        <v/>
      </c>
      <c r="M187" s="26" t="str">
        <f>IFERROR(_xlfn.RANK.EQ(L187,L:L),"")</f>
        <v/>
      </c>
      <c r="N187" s="1" t="s">
        <v>1272</v>
      </c>
    </row>
    <row r="188" spans="1:17" x14ac:dyDescent="0.25">
      <c r="A188" t="s">
        <v>278</v>
      </c>
      <c r="B188" t="s">
        <v>1355</v>
      </c>
      <c r="C188" s="6">
        <f>IFERROR(VLOOKUP(A188,[1]eco_bus_journals!$B:$D,3,0),"")</f>
        <v>17</v>
      </c>
      <c r="D188" s="37">
        <f>IFERROR(ROUND(VLOOKUP(A188,[1]eco_bus_journals!$B:$X,4,0),2),"")</f>
        <v>0.42</v>
      </c>
      <c r="E188" s="37">
        <f>_xlfn.RANK.EQ(D188,D:D)</f>
        <v>190</v>
      </c>
      <c r="F188" s="44">
        <f>IFERROR(ROUND(VLOOKUP(A188,[1]eco_journals!B:E,4,0),2),"")</f>
        <v>0.44</v>
      </c>
      <c r="G188" s="40">
        <f>IFERROR(_xlfn.RANK.EQ(F188,F:F),"")</f>
        <v>72</v>
      </c>
      <c r="H188" s="46" t="str">
        <f>IFERROR(ROUND(VLOOKUP(A188,[1]fin_journals!B:E,4,0),2),"")</f>
        <v/>
      </c>
      <c r="I188" s="18" t="str">
        <f>IFERROR(_xlfn.RANK.EQ(H188,H:H),"")</f>
        <v/>
      </c>
      <c r="J188" s="42" t="str">
        <f>IFERROR(ROUND(VLOOKUP(A188,[1]bus_journals!B:E,4,0),2),"")</f>
        <v/>
      </c>
      <c r="K188" s="23" t="str">
        <f>IFERROR(_xlfn.RANK.EQ(J188,J:J),"")</f>
        <v/>
      </c>
      <c r="L188" s="43" t="str">
        <f>IFERROR(ROUND(VLOOKUP(A188,[1]man_journals!B:E,4,0),2),"")</f>
        <v/>
      </c>
      <c r="M188" s="26" t="str">
        <f>IFERROR(_xlfn.RANK.EQ(L188,L:L),"")</f>
        <v/>
      </c>
      <c r="N188" s="1" t="s">
        <v>1272</v>
      </c>
      <c r="O188" t="s">
        <v>1295</v>
      </c>
    </row>
    <row r="189" spans="1:17" x14ac:dyDescent="0.25">
      <c r="A189" t="s">
        <v>121</v>
      </c>
      <c r="B189" t="s">
        <v>1372</v>
      </c>
      <c r="C189" s="6">
        <f>IFERROR(VLOOKUP(A189,[1]eco_bus_journals!$B:$D,3,0),"")</f>
        <v>54</v>
      </c>
      <c r="D189" s="37">
        <f>IFERROR(ROUND(VLOOKUP(A189,[1]eco_bus_journals!$B:$X,4,0),2),"")</f>
        <v>0.5</v>
      </c>
      <c r="E189" s="37">
        <f>_xlfn.RANK.EQ(D189,D:D)</f>
        <v>158</v>
      </c>
      <c r="F189" s="44" t="str">
        <f>IFERROR(ROUND(VLOOKUP(A189,[1]eco_journals!B:E,4,0),2),"")</f>
        <v/>
      </c>
      <c r="G189" s="40" t="str">
        <f>IFERROR(_xlfn.RANK.EQ(F189,F:F),"")</f>
        <v/>
      </c>
      <c r="H189" s="46" t="str">
        <f>IFERROR(ROUND(VLOOKUP(A189,[1]fin_journals!B:E,4,0),2),"")</f>
        <v/>
      </c>
      <c r="I189" s="18" t="str">
        <f>IFERROR(_xlfn.RANK.EQ(H189,H:H),"")</f>
        <v/>
      </c>
      <c r="J189" s="42" t="str">
        <f>IFERROR(ROUND(VLOOKUP(A189,[1]bus_journals!B:E,4,0),2),"")</f>
        <v/>
      </c>
      <c r="K189" s="23" t="str">
        <f>IFERROR(_xlfn.RANK.EQ(J189,J:J),"")</f>
        <v/>
      </c>
      <c r="L189" s="43">
        <f>IFERROR(ROUND(VLOOKUP(A189,[1]man_journals!B:E,4,0),2),"")</f>
        <v>1.02</v>
      </c>
      <c r="M189" s="26">
        <f>IFERROR(_xlfn.RANK.EQ(L189,L:L),"")</f>
        <v>48</v>
      </c>
      <c r="N189" s="4" t="s">
        <v>1275</v>
      </c>
    </row>
    <row r="190" spans="1:17" x14ac:dyDescent="0.25">
      <c r="A190" t="s">
        <v>197</v>
      </c>
      <c r="B190" t="s">
        <v>1362</v>
      </c>
      <c r="C190" s="6">
        <f>IFERROR(VLOOKUP(A190,[1]eco_bus_journals!$B:$D,3,0),"")</f>
        <v>3</v>
      </c>
      <c r="D190" s="37">
        <f>IFERROR(ROUND(VLOOKUP(A190,[1]eco_bus_journals!$B:$X,4,0),2),"")</f>
        <v>0.46</v>
      </c>
      <c r="E190" s="37">
        <f>_xlfn.RANK.EQ(D190,D:D)</f>
        <v>176</v>
      </c>
      <c r="F190" s="44" t="str">
        <f>IFERROR(ROUND(VLOOKUP(A190,[1]eco_journals!B:E,4,0),2),"")</f>
        <v/>
      </c>
      <c r="G190" s="40" t="str">
        <f>IFERROR(_xlfn.RANK.EQ(F190,F:F),"")</f>
        <v/>
      </c>
      <c r="H190" s="46" t="str">
        <f>IFERROR(ROUND(VLOOKUP(A190,[1]fin_journals!B:E,4,0),2),"")</f>
        <v/>
      </c>
      <c r="I190" s="18" t="str">
        <f>IFERROR(_xlfn.RANK.EQ(H190,H:H),"")</f>
        <v/>
      </c>
      <c r="J190" s="42" t="str">
        <f>IFERROR(ROUND(VLOOKUP(A190,[1]bus_journals!B:E,4,0),2),"")</f>
        <v/>
      </c>
      <c r="K190" s="23" t="str">
        <f>IFERROR(_xlfn.RANK.EQ(J190,J:J),"")</f>
        <v/>
      </c>
      <c r="L190" s="43">
        <f>IFERROR(ROUND(VLOOKUP(A190,[1]man_journals!B:E,4,0),2),"")</f>
        <v>0.8</v>
      </c>
      <c r="M190" s="26">
        <f>IFERROR(_xlfn.RANK.EQ(L190,L:L),"")</f>
        <v>69</v>
      </c>
      <c r="N190" s="4" t="s">
        <v>1275</v>
      </c>
      <c r="O190" t="s">
        <v>1278</v>
      </c>
      <c r="P190" t="s">
        <v>1290</v>
      </c>
    </row>
    <row r="191" spans="1:17" x14ac:dyDescent="0.25">
      <c r="A191" t="s">
        <v>201</v>
      </c>
      <c r="B191" t="s">
        <v>1360</v>
      </c>
      <c r="C191" s="6">
        <f>IFERROR(VLOOKUP(A191,[1]eco_bus_journals!$B:$D,3,0),"")</f>
        <v>40</v>
      </c>
      <c r="D191" s="37">
        <f>IFERROR(ROUND(VLOOKUP(A191,[1]eco_bus_journals!$B:$X,4,0),2),"")</f>
        <v>0.38</v>
      </c>
      <c r="E191" s="37">
        <f>_xlfn.RANK.EQ(D191,D:D)</f>
        <v>207</v>
      </c>
      <c r="F191" s="44">
        <f>IFERROR(ROUND(VLOOKUP(A191,[1]eco_journals!B:E,4,0),2),"")</f>
        <v>0.28999999999999998</v>
      </c>
      <c r="G191" s="40">
        <f>IFERROR(_xlfn.RANK.EQ(F191,F:F),"")</f>
        <v>101</v>
      </c>
      <c r="H191" s="46" t="str">
        <f>IFERROR(ROUND(VLOOKUP(A191,[1]fin_journals!B:E,4,0),2),"")</f>
        <v/>
      </c>
      <c r="I191" s="18" t="str">
        <f>IFERROR(_xlfn.RANK.EQ(H191,H:H),"")</f>
        <v/>
      </c>
      <c r="J191" s="42" t="str">
        <f>IFERROR(ROUND(VLOOKUP(A191,[1]bus_journals!B:E,4,0),2),"")</f>
        <v/>
      </c>
      <c r="K191" s="23" t="str">
        <f>IFERROR(_xlfn.RANK.EQ(J191,J:J),"")</f>
        <v/>
      </c>
      <c r="L191" s="43" t="str">
        <f>IFERROR(ROUND(VLOOKUP(A191,[1]man_journals!B:E,4,0),2),"")</f>
        <v/>
      </c>
      <c r="M191" s="26" t="str">
        <f>IFERROR(_xlfn.RANK.EQ(L191,L:L),"")</f>
        <v/>
      </c>
      <c r="N191" t="s">
        <v>1304</v>
      </c>
      <c r="O191" s="1" t="s">
        <v>1272</v>
      </c>
    </row>
    <row r="192" spans="1:17" x14ac:dyDescent="0.25">
      <c r="A192" t="s">
        <v>259</v>
      </c>
      <c r="B192" t="s">
        <v>1358</v>
      </c>
      <c r="C192" s="6">
        <f>IFERROR(VLOOKUP(A192,[1]eco_bus_journals!$B:$D,3,0),"")</f>
        <v>76</v>
      </c>
      <c r="D192" s="37">
        <f>IFERROR(ROUND(VLOOKUP(A192,[1]eco_bus_journals!$B:$X,4,0),2),"")</f>
        <v>0.42</v>
      </c>
      <c r="E192" s="37">
        <f>_xlfn.RANK.EQ(D192,D:D)</f>
        <v>190</v>
      </c>
      <c r="F192" s="44">
        <f>IFERROR(ROUND(VLOOKUP(A192,[1]eco_journals!B:E,4,0),2),"")</f>
        <v>0.43</v>
      </c>
      <c r="G192" s="40">
        <f>IFERROR(_xlfn.RANK.EQ(F192,F:F),"")</f>
        <v>75</v>
      </c>
      <c r="H192" s="46" t="str">
        <f>IFERROR(ROUND(VLOOKUP(A192,[1]fin_journals!B:E,4,0),2),"")</f>
        <v/>
      </c>
      <c r="I192" s="18" t="str">
        <f>IFERROR(_xlfn.RANK.EQ(H192,H:H),"")</f>
        <v/>
      </c>
      <c r="J192" s="42" t="str">
        <f>IFERROR(ROUND(VLOOKUP(A192,[1]bus_journals!B:E,4,0),2),"")</f>
        <v/>
      </c>
      <c r="K192" s="23" t="str">
        <f>IFERROR(_xlfn.RANK.EQ(J192,J:J),"")</f>
        <v/>
      </c>
      <c r="L192" s="43" t="str">
        <f>IFERROR(ROUND(VLOOKUP(A192,[1]man_journals!B:E,4,0),2),"")</f>
        <v/>
      </c>
      <c r="M192" s="26" t="str">
        <f>IFERROR(_xlfn.RANK.EQ(L192,L:L),"")</f>
        <v/>
      </c>
      <c r="N192" s="1" t="s">
        <v>1272</v>
      </c>
      <c r="O192" t="s">
        <v>1306</v>
      </c>
      <c r="P192" t="s">
        <v>1293</v>
      </c>
    </row>
    <row r="193" spans="1:16" x14ac:dyDescent="0.25">
      <c r="A193" t="s">
        <v>205</v>
      </c>
      <c r="B193" t="s">
        <v>1360</v>
      </c>
      <c r="C193" s="6">
        <f>IFERROR(VLOOKUP(A193,[1]eco_bus_journals!$B:$D,3,0),"")</f>
        <v>54</v>
      </c>
      <c r="D193" s="37">
        <f>IFERROR(ROUND(VLOOKUP(A193,[1]eco_bus_journals!$B:$X,4,0),2),"")</f>
        <v>0.4</v>
      </c>
      <c r="E193" s="37">
        <f>_xlfn.RANK.EQ(D193,D:D)</f>
        <v>198</v>
      </c>
      <c r="F193" s="44" t="str">
        <f>IFERROR(ROUND(VLOOKUP(A193,[1]eco_journals!B:E,4,0),2),"")</f>
        <v/>
      </c>
      <c r="G193" s="40" t="str">
        <f>IFERROR(_xlfn.RANK.EQ(F193,F:F),"")</f>
        <v/>
      </c>
      <c r="H193" s="46">
        <f>IFERROR(ROUND(VLOOKUP(A193,[1]fin_journals!B:E,4,0),2),"")</f>
        <v>0.99</v>
      </c>
      <c r="I193" s="18">
        <f>IFERROR(_xlfn.RANK.EQ(H193,H:H),"")</f>
        <v>35</v>
      </c>
      <c r="J193" s="42" t="str">
        <f>IFERROR(ROUND(VLOOKUP(A193,[1]bus_journals!B:E,4,0),2),"")</f>
        <v/>
      </c>
      <c r="K193" s="23" t="str">
        <f>IFERROR(_xlfn.RANK.EQ(J193,J:J),"")</f>
        <v/>
      </c>
      <c r="L193" s="43" t="str">
        <f>IFERROR(ROUND(VLOOKUP(A193,[1]man_journals!B:E,4,0),2),"")</f>
        <v/>
      </c>
      <c r="M193" s="26" t="str">
        <f>IFERROR(_xlfn.RANK.EQ(L193,L:L),"")</f>
        <v/>
      </c>
      <c r="N193" s="3" t="s">
        <v>1274</v>
      </c>
    </row>
    <row r="194" spans="1:16" x14ac:dyDescent="0.25">
      <c r="A194" t="s">
        <v>180</v>
      </c>
      <c r="B194" t="s">
        <v>1362</v>
      </c>
      <c r="C194" s="6">
        <f>IFERROR(VLOOKUP(A194,[1]eco_bus_journals!$B:$D,3,0),"")</f>
        <v>80</v>
      </c>
      <c r="D194" s="37">
        <f>IFERROR(ROUND(VLOOKUP(A194,[1]eco_bus_journals!$B:$X,4,0),2),"")</f>
        <v>0.42</v>
      </c>
      <c r="E194" s="37">
        <f>_xlfn.RANK.EQ(D194,D:D)</f>
        <v>190</v>
      </c>
      <c r="F194" s="44">
        <f>IFERROR(ROUND(VLOOKUP(A194,[1]eco_journals!B:E,4,0),2),"")</f>
        <v>0.27</v>
      </c>
      <c r="G194" s="40">
        <f>IFERROR(_xlfn.RANK.EQ(F194,F:F),"")</f>
        <v>107</v>
      </c>
      <c r="H194" s="46">
        <f>IFERROR(ROUND(VLOOKUP(A194,[1]fin_journals!B:E,4,0),2),"")</f>
        <v>0.62</v>
      </c>
      <c r="I194" s="18">
        <f>IFERROR(_xlfn.RANK.EQ(H194,H:H),"")</f>
        <v>57</v>
      </c>
      <c r="J194" s="42" t="str">
        <f>IFERROR(ROUND(VLOOKUP(A194,[1]bus_journals!B:E,4,0),2),"")</f>
        <v/>
      </c>
      <c r="K194" s="23" t="str">
        <f>IFERROR(_xlfn.RANK.EQ(J194,J:J),"")</f>
        <v/>
      </c>
      <c r="L194" s="43" t="str">
        <f>IFERROR(ROUND(VLOOKUP(A194,[1]man_journals!B:E,4,0),2),"")</f>
        <v/>
      </c>
      <c r="M194" s="26" t="str">
        <f>IFERROR(_xlfn.RANK.EQ(L194,L:L),"")</f>
        <v/>
      </c>
      <c r="N194" s="3" t="s">
        <v>1274</v>
      </c>
      <c r="O194" s="1" t="s">
        <v>1272</v>
      </c>
    </row>
    <row r="195" spans="1:16" x14ac:dyDescent="0.25">
      <c r="A195" t="s">
        <v>119</v>
      </c>
      <c r="B195" t="s">
        <v>1358</v>
      </c>
      <c r="C195" s="6">
        <f>IFERROR(VLOOKUP(A195,[1]eco_bus_journals!$B:$D,3,0),"")</f>
        <v>51</v>
      </c>
      <c r="D195" s="37">
        <f>IFERROR(ROUND(VLOOKUP(A195,[1]eco_bus_journals!$B:$X,4,0),2),"")</f>
        <v>0.47</v>
      </c>
      <c r="E195" s="37">
        <f>_xlfn.RANK.EQ(D195,D:D)</f>
        <v>174</v>
      </c>
      <c r="F195" s="44" t="str">
        <f>IFERROR(ROUND(VLOOKUP(A195,[1]eco_journals!B:E,4,0),2),"")</f>
        <v/>
      </c>
      <c r="G195" s="40" t="str">
        <f>IFERROR(_xlfn.RANK.EQ(F195,F:F),"")</f>
        <v/>
      </c>
      <c r="H195" s="46" t="str">
        <f>IFERROR(ROUND(VLOOKUP(A195,[1]fin_journals!B:E,4,0),2),"")</f>
        <v/>
      </c>
      <c r="I195" s="18" t="str">
        <f>IFERROR(_xlfn.RANK.EQ(H195,H:H),"")</f>
        <v/>
      </c>
      <c r="J195" s="42" t="str">
        <f>IFERROR(ROUND(VLOOKUP(A195,[1]bus_journals!B:E,4,0),2),"")</f>
        <v/>
      </c>
      <c r="K195" s="23" t="str">
        <f>IFERROR(_xlfn.RANK.EQ(J195,J:J),"")</f>
        <v/>
      </c>
      <c r="L195" s="43">
        <f>IFERROR(ROUND(VLOOKUP(A195,[1]man_journals!B:E,4,0),2),"")</f>
        <v>0.96</v>
      </c>
      <c r="M195" s="26">
        <f>IFERROR(_xlfn.RANK.EQ(L195,L:L),"")</f>
        <v>52</v>
      </c>
      <c r="N195" s="4" t="s">
        <v>1275</v>
      </c>
    </row>
    <row r="196" spans="1:16" x14ac:dyDescent="0.25">
      <c r="A196" t="s">
        <v>192</v>
      </c>
      <c r="B196" t="s">
        <v>1358</v>
      </c>
      <c r="C196" s="6">
        <f>IFERROR(VLOOKUP(A196,[1]eco_bus_journals!$B:$D,3,0),"")</f>
        <v>44</v>
      </c>
      <c r="D196" s="37">
        <f>IFERROR(ROUND(VLOOKUP(A196,[1]eco_bus_journals!$B:$X,4,0),2),"")</f>
        <v>0.39</v>
      </c>
      <c r="E196" s="37">
        <f>_xlfn.RANK.EQ(D196,D:D)</f>
        <v>203</v>
      </c>
      <c r="F196" s="44" t="str">
        <f>IFERROR(ROUND(VLOOKUP(A196,[1]eco_journals!B:E,4,0),2),"")</f>
        <v/>
      </c>
      <c r="G196" s="40" t="str">
        <f>IFERROR(_xlfn.RANK.EQ(F196,F:F),"")</f>
        <v/>
      </c>
      <c r="H196" s="46" t="str">
        <f>IFERROR(ROUND(VLOOKUP(A196,[1]fin_journals!B:E,4,0),2),"")</f>
        <v/>
      </c>
      <c r="I196" s="18" t="str">
        <f>IFERROR(_xlfn.RANK.EQ(H196,H:H),"")</f>
        <v/>
      </c>
      <c r="J196" s="42" t="str">
        <f>IFERROR(ROUND(VLOOKUP(A196,[1]bus_journals!B:E,4,0),2),"")</f>
        <v/>
      </c>
      <c r="K196" s="23" t="str">
        <f>IFERROR(_xlfn.RANK.EQ(J196,J:J),"")</f>
        <v/>
      </c>
      <c r="L196" s="43">
        <f>IFERROR(ROUND(VLOOKUP(A196,[1]man_journals!B:E,4,0),2),"")</f>
        <v>0.88</v>
      </c>
      <c r="M196" s="26">
        <f>IFERROR(_xlfn.RANK.EQ(L196,L:L),"")</f>
        <v>61</v>
      </c>
      <c r="N196" s="4" t="s">
        <v>1275</v>
      </c>
    </row>
    <row r="197" spans="1:16" x14ac:dyDescent="0.25">
      <c r="A197" t="s">
        <v>280</v>
      </c>
      <c r="B197" t="s">
        <v>1360</v>
      </c>
      <c r="C197" s="6">
        <f>IFERROR(VLOOKUP(A197,[1]eco_bus_journals!$B:$D,3,0),"")</f>
        <v>63</v>
      </c>
      <c r="D197" s="37">
        <f>IFERROR(ROUND(VLOOKUP(A197,[1]eco_bus_journals!$B:$X,4,0),2),"")</f>
        <v>0.41</v>
      </c>
      <c r="E197" s="37">
        <f>_xlfn.RANK.EQ(D197,D:D)</f>
        <v>195</v>
      </c>
      <c r="F197" s="44">
        <f>IFERROR(ROUND(VLOOKUP(A197,[1]eco_journals!B:E,4,0),2),"")</f>
        <v>0.35</v>
      </c>
      <c r="G197" s="40">
        <f>IFERROR(_xlfn.RANK.EQ(F197,F:F),"")</f>
        <v>83</v>
      </c>
      <c r="H197" s="46">
        <f>IFERROR(ROUND(VLOOKUP(A197,[1]fin_journals!B:E,4,0),2),"")</f>
        <v>1.35</v>
      </c>
      <c r="I197" s="18">
        <f>IFERROR(_xlfn.RANK.EQ(H197,H:H),"")</f>
        <v>26</v>
      </c>
      <c r="J197" s="42" t="str">
        <f>IFERROR(ROUND(VLOOKUP(A197,[1]bus_journals!B:E,4,0),2),"")</f>
        <v/>
      </c>
      <c r="K197" s="23" t="str">
        <f>IFERROR(_xlfn.RANK.EQ(J197,J:J),"")</f>
        <v/>
      </c>
      <c r="L197" s="43" t="str">
        <f>IFERROR(ROUND(VLOOKUP(A197,[1]man_journals!B:E,4,0),2),"")</f>
        <v/>
      </c>
      <c r="M197" s="26" t="str">
        <f>IFERROR(_xlfn.RANK.EQ(L197,L:L),"")</f>
        <v/>
      </c>
      <c r="N197" s="3" t="s">
        <v>1274</v>
      </c>
      <c r="O197" s="1" t="s">
        <v>1272</v>
      </c>
      <c r="P197" t="s">
        <v>1288</v>
      </c>
    </row>
    <row r="198" spans="1:16" x14ac:dyDescent="0.25">
      <c r="A198" t="s">
        <v>322</v>
      </c>
      <c r="B198" t="s">
        <v>1360</v>
      </c>
      <c r="C198" s="6">
        <f>IFERROR(VLOOKUP(A198,[1]eco_bus_journals!$B:$D,3,0),"")</f>
        <v>15</v>
      </c>
      <c r="D198" s="37">
        <f>IFERROR(ROUND(VLOOKUP(A198,[1]eco_bus_journals!$B:$X,4,0),2),"")</f>
        <v>0.45</v>
      </c>
      <c r="E198" s="37">
        <f>_xlfn.RANK.EQ(D198,D:D)</f>
        <v>181</v>
      </c>
      <c r="F198" s="44" t="str">
        <f>IFERROR(ROUND(VLOOKUP(A198,[1]eco_journals!B:E,4,0),2),"")</f>
        <v/>
      </c>
      <c r="G198" s="40" t="str">
        <f>IFERROR(_xlfn.RANK.EQ(F198,F:F),"")</f>
        <v/>
      </c>
      <c r="H198" s="46" t="str">
        <f>IFERROR(ROUND(VLOOKUP(A198,[1]fin_journals!B:E,4,0),2),"")</f>
        <v/>
      </c>
      <c r="I198" s="18" t="str">
        <f>IFERROR(_xlfn.RANK.EQ(H198,H:H),"")</f>
        <v/>
      </c>
      <c r="J198" s="42" t="str">
        <f>IFERROR(ROUND(VLOOKUP(A198,[1]bus_journals!B:E,4,0),2),"")</f>
        <v/>
      </c>
      <c r="K198" s="23" t="str">
        <f>IFERROR(_xlfn.RANK.EQ(J198,J:J),"")</f>
        <v/>
      </c>
      <c r="L198" s="43">
        <f>IFERROR(ROUND(VLOOKUP(A198,[1]man_journals!B:E,4,0),2),"")</f>
        <v>0.85</v>
      </c>
      <c r="M198" s="26">
        <f>IFERROR(_xlfn.RANK.EQ(L198,L:L),"")</f>
        <v>65</v>
      </c>
      <c r="N198" s="4" t="s">
        <v>1275</v>
      </c>
      <c r="O198" t="s">
        <v>1280</v>
      </c>
    </row>
    <row r="199" spans="1:16" x14ac:dyDescent="0.25">
      <c r="A199" t="s">
        <v>214</v>
      </c>
      <c r="B199" t="s">
        <v>1361</v>
      </c>
      <c r="C199" s="6">
        <f>IFERROR(VLOOKUP(A199,[1]eco_bus_journals!$B:$D,3,0),"")</f>
        <v>29</v>
      </c>
      <c r="D199" s="37">
        <f>IFERROR(ROUND(VLOOKUP(A199,[1]eco_bus_journals!$B:$X,4,0),2),"")</f>
        <v>0.37</v>
      </c>
      <c r="E199" s="37">
        <f>_xlfn.RANK.EQ(D199,D:D)</f>
        <v>212</v>
      </c>
      <c r="F199" s="44">
        <f>IFERROR(ROUND(VLOOKUP(A199,[1]eco_journals!B:E,4,0),2),"")</f>
        <v>0.3</v>
      </c>
      <c r="G199" s="40">
        <f>IFERROR(_xlfn.RANK.EQ(F199,F:F),"")</f>
        <v>96</v>
      </c>
      <c r="H199" s="46" t="str">
        <f>IFERROR(ROUND(VLOOKUP(A199,[1]fin_journals!B:E,4,0),2),"")</f>
        <v/>
      </c>
      <c r="I199" s="18" t="str">
        <f>IFERROR(_xlfn.RANK.EQ(H199,H:H),"")</f>
        <v/>
      </c>
      <c r="J199" s="42" t="str">
        <f>IFERROR(ROUND(VLOOKUP(A199,[1]bus_journals!B:E,4,0),2),"")</f>
        <v/>
      </c>
      <c r="K199" s="23" t="str">
        <f>IFERROR(_xlfn.RANK.EQ(J199,J:J),"")</f>
        <v/>
      </c>
      <c r="L199" s="43" t="str">
        <f>IFERROR(ROUND(VLOOKUP(A199,[1]man_journals!B:E,4,0),2),"")</f>
        <v/>
      </c>
      <c r="M199" s="26" t="str">
        <f>IFERROR(_xlfn.RANK.EQ(L199,L:L),"")</f>
        <v/>
      </c>
      <c r="N199" t="s">
        <v>1284</v>
      </c>
      <c r="O199" s="1" t="s">
        <v>1272</v>
      </c>
      <c r="P199" t="s">
        <v>1305</v>
      </c>
    </row>
    <row r="200" spans="1:16" x14ac:dyDescent="0.25">
      <c r="A200" t="s">
        <v>120</v>
      </c>
      <c r="B200" t="s">
        <v>1362</v>
      </c>
      <c r="C200" s="6">
        <f>IFERROR(VLOOKUP(A200,[1]eco_bus_journals!$B:$D,3,0),"")</f>
        <v>331</v>
      </c>
      <c r="D200" s="37">
        <f>IFERROR(ROUND(VLOOKUP(A200,[1]eco_bus_journals!$B:$X,4,0),2),"")</f>
        <v>0.42</v>
      </c>
      <c r="E200" s="37">
        <f>_xlfn.RANK.EQ(D200,D:D)</f>
        <v>190</v>
      </c>
      <c r="F200" s="44" t="str">
        <f>IFERROR(ROUND(VLOOKUP(A200,[1]eco_journals!B:E,4,0),2),"")</f>
        <v/>
      </c>
      <c r="G200" s="40" t="str">
        <f>IFERROR(_xlfn.RANK.EQ(F200,F:F),"")</f>
        <v/>
      </c>
      <c r="H200" s="46" t="str">
        <f>IFERROR(ROUND(VLOOKUP(A200,[1]fin_journals!B:E,4,0),2),"")</f>
        <v/>
      </c>
      <c r="I200" s="18" t="str">
        <f>IFERROR(_xlfn.RANK.EQ(H200,H:H),"")</f>
        <v/>
      </c>
      <c r="J200" s="42">
        <f>IFERROR(ROUND(VLOOKUP(A200,[1]bus_journals!B:E,4,0),2),"")</f>
        <v>1.4</v>
      </c>
      <c r="K200" s="23">
        <f>IFERROR(_xlfn.RANK.EQ(J200,J:J),"")</f>
        <v>46</v>
      </c>
      <c r="L200" s="43" t="str">
        <f>IFERROR(ROUND(VLOOKUP(A200,[1]man_journals!B:E,4,0),2),"")</f>
        <v/>
      </c>
      <c r="M200" s="26" t="str">
        <f>IFERROR(_xlfn.RANK.EQ(L200,L:L),"")</f>
        <v/>
      </c>
      <c r="N200" s="2" t="s">
        <v>1273</v>
      </c>
    </row>
    <row r="201" spans="1:16" x14ac:dyDescent="0.25">
      <c r="A201" t="s">
        <v>159</v>
      </c>
      <c r="B201" t="s">
        <v>1363</v>
      </c>
      <c r="C201" s="6">
        <f>IFERROR(VLOOKUP(A201,[1]eco_bus_journals!$B:$D,3,0),"")</f>
        <v>20</v>
      </c>
      <c r="D201" s="37">
        <f>IFERROR(ROUND(VLOOKUP(A201,[1]eco_bus_journals!$B:$X,4,0),2),"")</f>
        <v>0.38</v>
      </c>
      <c r="E201" s="37">
        <f>_xlfn.RANK.EQ(D201,D:D)</f>
        <v>207</v>
      </c>
      <c r="F201" s="44" t="str">
        <f>IFERROR(ROUND(VLOOKUP(A201,[1]eco_journals!B:E,4,0),2),"")</f>
        <v/>
      </c>
      <c r="G201" s="40" t="str">
        <f>IFERROR(_xlfn.RANK.EQ(F201,F:F),"")</f>
        <v/>
      </c>
      <c r="H201" s="46" t="str">
        <f>IFERROR(ROUND(VLOOKUP(A201,[1]fin_journals!B:E,4,0),2),"")</f>
        <v/>
      </c>
      <c r="I201" s="18" t="str">
        <f>IFERROR(_xlfn.RANK.EQ(H201,H:H),"")</f>
        <v/>
      </c>
      <c r="J201" s="42" t="str">
        <f>IFERROR(ROUND(VLOOKUP(A201,[1]bus_journals!B:E,4,0),2),"")</f>
        <v/>
      </c>
      <c r="K201" s="23" t="str">
        <f>IFERROR(_xlfn.RANK.EQ(J201,J:J),"")</f>
        <v/>
      </c>
      <c r="L201" s="43">
        <f>IFERROR(ROUND(VLOOKUP(A201,[1]man_journals!B:E,4,0),2),"")</f>
        <v>0.92</v>
      </c>
      <c r="M201" s="26">
        <f>IFERROR(_xlfn.RANK.EQ(L201,L:L),"")</f>
        <v>58</v>
      </c>
      <c r="N201" s="4" t="s">
        <v>1275</v>
      </c>
    </row>
    <row r="202" spans="1:16" x14ac:dyDescent="0.25">
      <c r="A202" t="s">
        <v>123</v>
      </c>
      <c r="B202" t="s">
        <v>1358</v>
      </c>
      <c r="C202" s="6">
        <f>IFERROR(VLOOKUP(A202,[1]eco_bus_journals!$B:$D,3,0),"")</f>
        <v>91</v>
      </c>
      <c r="D202" s="37">
        <f>IFERROR(ROUND(VLOOKUP(A202,[1]eco_bus_journals!$B:$X,4,0),2),"")</f>
        <v>0.48</v>
      </c>
      <c r="E202" s="37">
        <f>_xlfn.RANK.EQ(D202,D:D)</f>
        <v>167</v>
      </c>
      <c r="F202" s="44" t="str">
        <f>IFERROR(ROUND(VLOOKUP(A202,[1]eco_journals!B:E,4,0),2),"")</f>
        <v/>
      </c>
      <c r="G202" s="40" t="str">
        <f>IFERROR(_xlfn.RANK.EQ(F202,F:F),"")</f>
        <v/>
      </c>
      <c r="H202" s="46" t="str">
        <f>IFERROR(ROUND(VLOOKUP(A202,[1]fin_journals!B:E,4,0),2),"")</f>
        <v/>
      </c>
      <c r="I202" s="18" t="str">
        <f>IFERROR(_xlfn.RANK.EQ(H202,H:H),"")</f>
        <v/>
      </c>
      <c r="J202" s="42" t="str">
        <f>IFERROR(ROUND(VLOOKUP(A202,[1]bus_journals!B:E,4,0),2),"")</f>
        <v/>
      </c>
      <c r="K202" s="23" t="str">
        <f>IFERROR(_xlfn.RANK.EQ(J202,J:J),"")</f>
        <v/>
      </c>
      <c r="L202" s="43">
        <f>IFERROR(ROUND(VLOOKUP(A202,[1]man_journals!B:E,4,0),2),"")</f>
        <v>0.95</v>
      </c>
      <c r="M202" s="26">
        <f>IFERROR(_xlfn.RANK.EQ(L202,L:L),"")</f>
        <v>55</v>
      </c>
      <c r="N202" s="4" t="s">
        <v>1275</v>
      </c>
    </row>
    <row r="203" spans="1:16" x14ac:dyDescent="0.25">
      <c r="A203" t="s">
        <v>151</v>
      </c>
      <c r="B203" t="s">
        <v>1362</v>
      </c>
      <c r="C203" s="6">
        <f>IFERROR(VLOOKUP(A203,[1]eco_bus_journals!$B:$D,3,0),"")</f>
        <v>299</v>
      </c>
      <c r="D203" s="37">
        <f>IFERROR(ROUND(VLOOKUP(A203,[1]eco_bus_journals!$B:$X,4,0),2),"")</f>
        <v>0.4</v>
      </c>
      <c r="E203" s="37">
        <f>_xlfn.RANK.EQ(D203,D:D)</f>
        <v>198</v>
      </c>
      <c r="F203" s="44" t="str">
        <f>IFERROR(ROUND(VLOOKUP(A203,[1]eco_journals!B:E,4,0),2),"")</f>
        <v/>
      </c>
      <c r="G203" s="40" t="str">
        <f>IFERROR(_xlfn.RANK.EQ(F203,F:F),"")</f>
        <v/>
      </c>
      <c r="H203" s="46">
        <f>IFERROR(ROUND(VLOOKUP(A203,[1]fin_journals!B:E,4,0),2),"")</f>
        <v>0.78</v>
      </c>
      <c r="I203" s="18">
        <f>IFERROR(_xlfn.RANK.EQ(H203,H:H),"")</f>
        <v>45</v>
      </c>
      <c r="J203" s="42" t="str">
        <f>IFERROR(ROUND(VLOOKUP(A203,[1]bus_journals!B:E,4,0),2),"")</f>
        <v/>
      </c>
      <c r="K203" s="23" t="str">
        <f>IFERROR(_xlfn.RANK.EQ(J203,J:J),"")</f>
        <v/>
      </c>
      <c r="L203" s="43" t="str">
        <f>IFERROR(ROUND(VLOOKUP(A203,[1]man_journals!B:E,4,0),2),"")</f>
        <v/>
      </c>
      <c r="M203" s="26" t="str">
        <f>IFERROR(_xlfn.RANK.EQ(L203,L:L),"")</f>
        <v/>
      </c>
      <c r="N203" s="3" t="s">
        <v>1274</v>
      </c>
    </row>
    <row r="204" spans="1:16" x14ac:dyDescent="0.25">
      <c r="A204" t="s">
        <v>264</v>
      </c>
      <c r="B204" t="s">
        <v>1362</v>
      </c>
      <c r="C204" s="6">
        <f>IFERROR(VLOOKUP(A204,[1]eco_bus_journals!$B:$D,3,0),"")</f>
        <v>99</v>
      </c>
      <c r="D204" s="37">
        <f>IFERROR(ROUND(VLOOKUP(A204,[1]eco_bus_journals!$B:$X,4,0),2),"")</f>
        <v>0.37</v>
      </c>
      <c r="E204" s="37">
        <f>_xlfn.RANK.EQ(D204,D:D)</f>
        <v>212</v>
      </c>
      <c r="F204" s="44" t="str">
        <f>IFERROR(ROUND(VLOOKUP(A204,[1]eco_journals!B:E,4,0),2),"")</f>
        <v/>
      </c>
      <c r="G204" s="40" t="str">
        <f>IFERROR(_xlfn.RANK.EQ(F204,F:F),"")</f>
        <v/>
      </c>
      <c r="H204" s="46">
        <f>IFERROR(ROUND(VLOOKUP(A204,[1]fin_journals!B:E,4,0),2),"")</f>
        <v>0.59</v>
      </c>
      <c r="I204" s="18">
        <f>IFERROR(_xlfn.RANK.EQ(H204,H:H),"")</f>
        <v>59</v>
      </c>
      <c r="J204" s="42" t="str">
        <f>IFERROR(ROUND(VLOOKUP(A204,[1]bus_journals!B:E,4,0),2),"")</f>
        <v/>
      </c>
      <c r="K204" s="23" t="str">
        <f>IFERROR(_xlfn.RANK.EQ(J204,J:J),"")</f>
        <v/>
      </c>
      <c r="L204" s="43" t="str">
        <f>IFERROR(ROUND(VLOOKUP(A204,[1]man_journals!B:E,4,0),2),"")</f>
        <v/>
      </c>
      <c r="M204" s="26" t="str">
        <f>IFERROR(_xlfn.RANK.EQ(L204,L:L),"")</f>
        <v/>
      </c>
      <c r="N204" s="3" t="s">
        <v>1274</v>
      </c>
    </row>
    <row r="205" spans="1:16" x14ac:dyDescent="0.25">
      <c r="A205" t="s">
        <v>131</v>
      </c>
      <c r="B205" t="s">
        <v>1362</v>
      </c>
      <c r="C205" s="6">
        <f>IFERROR(VLOOKUP(A205,[1]eco_bus_journals!$B:$D,3,0),"")</f>
        <v>32</v>
      </c>
      <c r="D205" s="37">
        <f>IFERROR(ROUND(VLOOKUP(A205,[1]eco_bus_journals!$B:$X,4,0),2),"")</f>
        <v>0.4</v>
      </c>
      <c r="E205" s="37">
        <f>_xlfn.RANK.EQ(D205,D:D)</f>
        <v>198</v>
      </c>
      <c r="F205" s="44" t="str">
        <f>IFERROR(ROUND(VLOOKUP(A205,[1]eco_journals!B:E,4,0),2),"")</f>
        <v/>
      </c>
      <c r="G205" s="40" t="str">
        <f>IFERROR(_xlfn.RANK.EQ(F205,F:F),"")</f>
        <v/>
      </c>
      <c r="H205" s="46" t="str">
        <f>IFERROR(ROUND(VLOOKUP(A205,[1]fin_journals!B:E,4,0),2),"")</f>
        <v/>
      </c>
      <c r="I205" s="18" t="str">
        <f>IFERROR(_xlfn.RANK.EQ(H205,H:H),"")</f>
        <v/>
      </c>
      <c r="J205" s="42" t="str">
        <f>IFERROR(ROUND(VLOOKUP(A205,[1]bus_journals!B:E,4,0),2),"")</f>
        <v/>
      </c>
      <c r="K205" s="23" t="str">
        <f>IFERROR(_xlfn.RANK.EQ(J205,J:J),"")</f>
        <v/>
      </c>
      <c r="L205" s="43">
        <f>IFERROR(ROUND(VLOOKUP(A205,[1]man_journals!B:E,4,0),2),"")</f>
        <v>0.97</v>
      </c>
      <c r="M205" s="26">
        <f>IFERROR(_xlfn.RANK.EQ(L205,L:L),"")</f>
        <v>50</v>
      </c>
      <c r="N205" s="4" t="s">
        <v>1275</v>
      </c>
    </row>
    <row r="206" spans="1:16" x14ac:dyDescent="0.25">
      <c r="A206" t="s">
        <v>162</v>
      </c>
      <c r="B206" t="s">
        <v>1362</v>
      </c>
      <c r="C206" s="6">
        <f>IFERROR(VLOOKUP(A206,[1]eco_bus_journals!$B:$D,3,0),"")</f>
        <v>369</v>
      </c>
      <c r="D206" s="37">
        <f>IFERROR(ROUND(VLOOKUP(A206,[1]eco_bus_journals!$B:$X,4,0),2),"")</f>
        <v>0.37</v>
      </c>
      <c r="E206" s="37">
        <f>_xlfn.RANK.EQ(D206,D:D)</f>
        <v>212</v>
      </c>
      <c r="F206" s="44">
        <f>IFERROR(ROUND(VLOOKUP(A206,[1]eco_journals!B:E,4,0),2),"")</f>
        <v>0.32</v>
      </c>
      <c r="G206" s="40">
        <f>IFERROR(_xlfn.RANK.EQ(F206,F:F),"")</f>
        <v>88</v>
      </c>
      <c r="H206" s="46" t="str">
        <f>IFERROR(ROUND(VLOOKUP(A206,[1]fin_journals!B:E,4,0),2),"")</f>
        <v/>
      </c>
      <c r="I206" s="18" t="str">
        <f>IFERROR(_xlfn.RANK.EQ(H206,H:H),"")</f>
        <v/>
      </c>
      <c r="J206" s="42" t="str">
        <f>IFERROR(ROUND(VLOOKUP(A206,[1]bus_journals!B:E,4,0),2),"")</f>
        <v/>
      </c>
      <c r="K206" s="23" t="str">
        <f>IFERROR(_xlfn.RANK.EQ(J206,J:J),"")</f>
        <v/>
      </c>
      <c r="L206" s="43" t="str">
        <f>IFERROR(ROUND(VLOOKUP(A206,[1]man_journals!B:E,4,0),2),"")</f>
        <v/>
      </c>
      <c r="M206" s="26" t="str">
        <f>IFERROR(_xlfn.RANK.EQ(L206,L:L),"")</f>
        <v/>
      </c>
      <c r="N206" s="1" t="s">
        <v>1272</v>
      </c>
    </row>
    <row r="207" spans="1:16" x14ac:dyDescent="0.25">
      <c r="A207" t="s">
        <v>165</v>
      </c>
      <c r="B207" t="s">
        <v>1371</v>
      </c>
      <c r="C207" s="6">
        <f>IFERROR(VLOOKUP(A207,[1]eco_bus_journals!$B:$D,3,0),"")</f>
        <v>91</v>
      </c>
      <c r="D207" s="37">
        <f>IFERROR(ROUND(VLOOKUP(A207,[1]eco_bus_journals!$B:$X,4,0),2),"")</f>
        <v>0.4</v>
      </c>
      <c r="E207" s="37">
        <f>_xlfn.RANK.EQ(D207,D:D)</f>
        <v>198</v>
      </c>
      <c r="F207" s="44" t="str">
        <f>IFERROR(ROUND(VLOOKUP(A207,[1]eco_journals!B:E,4,0),2),"")</f>
        <v/>
      </c>
      <c r="G207" s="40" t="str">
        <f>IFERROR(_xlfn.RANK.EQ(F207,F:F),"")</f>
        <v/>
      </c>
      <c r="H207" s="46" t="str">
        <f>IFERROR(ROUND(VLOOKUP(A207,[1]fin_journals!B:E,4,0),2),"")</f>
        <v/>
      </c>
      <c r="I207" s="18" t="str">
        <f>IFERROR(_xlfn.RANK.EQ(H207,H:H),"")</f>
        <v/>
      </c>
      <c r="J207" s="42">
        <f>IFERROR(ROUND(VLOOKUP(A207,[1]bus_journals!B:E,4,0),2),"")</f>
        <v>1.07</v>
      </c>
      <c r="K207" s="23">
        <f>IFERROR(_xlfn.RANK.EQ(J207,J:J),"")</f>
        <v>61</v>
      </c>
      <c r="L207" s="43">
        <f>IFERROR(ROUND(VLOOKUP(A207,[1]man_journals!B:E,4,0),2),"")</f>
        <v>0.77</v>
      </c>
      <c r="M207" s="26">
        <f>IFERROR(_xlfn.RANK.EQ(L207,L:L),"")</f>
        <v>71</v>
      </c>
      <c r="N207" s="2" t="s">
        <v>1273</v>
      </c>
      <c r="O207" s="4" t="s">
        <v>1275</v>
      </c>
    </row>
    <row r="208" spans="1:16" x14ac:dyDescent="0.25">
      <c r="A208" t="s">
        <v>179</v>
      </c>
      <c r="B208" t="s">
        <v>1362</v>
      </c>
      <c r="C208" s="6">
        <f>IFERROR(VLOOKUP(A208,[1]eco_bus_journals!$B:$D,3,0),"")</f>
        <v>98</v>
      </c>
      <c r="D208" s="37">
        <f>IFERROR(ROUND(VLOOKUP(A208,[1]eco_bus_journals!$B:$X,4,0),2),"")</f>
        <v>0.39</v>
      </c>
      <c r="E208" s="37">
        <f>_xlfn.RANK.EQ(D208,D:D)</f>
        <v>203</v>
      </c>
      <c r="F208" s="44">
        <f>IFERROR(ROUND(VLOOKUP(A208,[1]eco_journals!B:E,4,0),2),"")</f>
        <v>0.37</v>
      </c>
      <c r="G208" s="40">
        <f>IFERROR(_xlfn.RANK.EQ(F208,F:F),"")</f>
        <v>80</v>
      </c>
      <c r="H208" s="46" t="str">
        <f>IFERROR(ROUND(VLOOKUP(A208,[1]fin_journals!B:E,4,0),2),"")</f>
        <v/>
      </c>
      <c r="I208" s="18" t="str">
        <f>IFERROR(_xlfn.RANK.EQ(H208,H:H),"")</f>
        <v/>
      </c>
      <c r="J208" s="42" t="str">
        <f>IFERROR(ROUND(VLOOKUP(A208,[1]bus_journals!B:E,4,0),2),"")</f>
        <v/>
      </c>
      <c r="K208" s="23" t="str">
        <f>IFERROR(_xlfn.RANK.EQ(J208,J:J),"")</f>
        <v/>
      </c>
      <c r="L208" s="43">
        <f>IFERROR(ROUND(VLOOKUP(A208,[1]man_journals!B:E,4,0),2),"")</f>
        <v>0.42</v>
      </c>
      <c r="M208" s="26">
        <f>IFERROR(_xlfn.RANK.EQ(L208,L:L),"")</f>
        <v>105</v>
      </c>
      <c r="N208" s="1" t="s">
        <v>1272</v>
      </c>
      <c r="O208" s="4" t="s">
        <v>1275</v>
      </c>
      <c r="P208" t="s">
        <v>1285</v>
      </c>
    </row>
    <row r="209" spans="1:16" x14ac:dyDescent="0.25">
      <c r="A209" t="s">
        <v>155</v>
      </c>
      <c r="B209" t="s">
        <v>1371</v>
      </c>
      <c r="C209" s="6">
        <f>IFERROR(VLOOKUP(A209,[1]eco_bus_journals!$B:$D,3,0),"")</f>
        <v>59</v>
      </c>
      <c r="D209" s="37">
        <f>IFERROR(ROUND(VLOOKUP(A209,[1]eco_bus_journals!$B:$X,4,0),2),"")</f>
        <v>0.36</v>
      </c>
      <c r="E209" s="37">
        <f>_xlfn.RANK.EQ(D209,D:D)</f>
        <v>219</v>
      </c>
      <c r="F209" s="44" t="str">
        <f>IFERROR(ROUND(VLOOKUP(A209,[1]eco_journals!B:E,4,0),2),"")</f>
        <v/>
      </c>
      <c r="G209" s="40" t="str">
        <f>IFERROR(_xlfn.RANK.EQ(F209,F:F),"")</f>
        <v/>
      </c>
      <c r="H209" s="46" t="str">
        <f>IFERROR(ROUND(VLOOKUP(A209,[1]fin_journals!B:E,4,0),2),"")</f>
        <v/>
      </c>
      <c r="I209" s="18" t="str">
        <f>IFERROR(_xlfn.RANK.EQ(H209,H:H),"")</f>
        <v/>
      </c>
      <c r="J209" s="42">
        <f>IFERROR(ROUND(VLOOKUP(A209,[1]bus_journals!B:E,4,0),2),"")</f>
        <v>1.1599999999999999</v>
      </c>
      <c r="K209" s="23">
        <f>IFERROR(_xlfn.RANK.EQ(J209,J:J),"")</f>
        <v>58</v>
      </c>
      <c r="L209" s="43" t="str">
        <f>IFERROR(ROUND(VLOOKUP(A209,[1]man_journals!B:E,4,0),2),"")</f>
        <v/>
      </c>
      <c r="M209" s="26" t="str">
        <f>IFERROR(_xlfn.RANK.EQ(L209,L:L),"")</f>
        <v/>
      </c>
      <c r="N209" s="2" t="s">
        <v>1273</v>
      </c>
    </row>
    <row r="210" spans="1:16" x14ac:dyDescent="0.25">
      <c r="A210" t="s">
        <v>273</v>
      </c>
      <c r="B210" t="s">
        <v>1362</v>
      </c>
      <c r="C210" s="6">
        <f>IFERROR(VLOOKUP(A210,[1]eco_bus_journals!$B:$D,3,0),"")</f>
        <v>396</v>
      </c>
      <c r="D210" s="37">
        <f>IFERROR(ROUND(VLOOKUP(A210,[1]eco_bus_journals!$B:$X,4,0),2),"")</f>
        <v>0.36</v>
      </c>
      <c r="E210" s="37">
        <f>_xlfn.RANK.EQ(D210,D:D)</f>
        <v>219</v>
      </c>
      <c r="F210" s="44">
        <f>IFERROR(ROUND(VLOOKUP(A210,[1]eco_journals!B:E,4,0),2),"")</f>
        <v>0.34</v>
      </c>
      <c r="G210" s="40">
        <f>IFERROR(_xlfn.RANK.EQ(F210,F:F),"")</f>
        <v>85</v>
      </c>
      <c r="H210" s="46" t="str">
        <f>IFERROR(ROUND(VLOOKUP(A210,[1]fin_journals!B:E,4,0),2),"")</f>
        <v/>
      </c>
      <c r="I210" s="18" t="str">
        <f>IFERROR(_xlfn.RANK.EQ(H210,H:H),"")</f>
        <v/>
      </c>
      <c r="J210" s="42" t="str">
        <f>IFERROR(ROUND(VLOOKUP(A210,[1]bus_journals!B:E,4,0),2),"")</f>
        <v/>
      </c>
      <c r="K210" s="23" t="str">
        <f>IFERROR(_xlfn.RANK.EQ(J210,J:J),"")</f>
        <v/>
      </c>
      <c r="L210" s="43" t="str">
        <f>IFERROR(ROUND(VLOOKUP(A210,[1]man_journals!B:E,4,0),2),"")</f>
        <v/>
      </c>
      <c r="M210" s="26" t="str">
        <f>IFERROR(_xlfn.RANK.EQ(L210,L:L),"")</f>
        <v/>
      </c>
      <c r="N210" s="1" t="s">
        <v>1272</v>
      </c>
    </row>
    <row r="211" spans="1:16" x14ac:dyDescent="0.25">
      <c r="A211" t="s">
        <v>173</v>
      </c>
      <c r="B211" t="s">
        <v>1371</v>
      </c>
      <c r="C211" s="6">
        <f>IFERROR(VLOOKUP(A211,[1]eco_bus_journals!$B:$D,3,0),"")</f>
        <v>96</v>
      </c>
      <c r="D211" s="37">
        <f>IFERROR(ROUND(VLOOKUP(A211,[1]eco_bus_journals!$B:$X,4,0),2),"")</f>
        <v>0.38</v>
      </c>
      <c r="E211" s="37">
        <f>_xlfn.RANK.EQ(D211,D:D)</f>
        <v>207</v>
      </c>
      <c r="F211" s="44" t="str">
        <f>IFERROR(ROUND(VLOOKUP(A211,[1]eco_journals!B:E,4,0),2),"")</f>
        <v/>
      </c>
      <c r="G211" s="40" t="str">
        <f>IFERROR(_xlfn.RANK.EQ(F211,F:F),"")</f>
        <v/>
      </c>
      <c r="H211" s="46">
        <f>IFERROR(ROUND(VLOOKUP(A211,[1]fin_journals!B:E,4,0),2),"")</f>
        <v>0.76</v>
      </c>
      <c r="I211" s="18">
        <f>IFERROR(_xlfn.RANK.EQ(H211,H:H),"")</f>
        <v>46</v>
      </c>
      <c r="J211" s="42" t="str">
        <f>IFERROR(ROUND(VLOOKUP(A211,[1]bus_journals!B:E,4,0),2),"")</f>
        <v/>
      </c>
      <c r="K211" s="23" t="str">
        <f>IFERROR(_xlfn.RANK.EQ(J211,J:J),"")</f>
        <v/>
      </c>
      <c r="L211" s="43" t="str">
        <f>IFERROR(ROUND(VLOOKUP(A211,[1]man_journals!B:E,4,0),2),"")</f>
        <v/>
      </c>
      <c r="M211" s="26" t="str">
        <f>IFERROR(_xlfn.RANK.EQ(L211,L:L),"")</f>
        <v/>
      </c>
      <c r="N211" s="3" t="s">
        <v>1274</v>
      </c>
    </row>
    <row r="212" spans="1:16" x14ac:dyDescent="0.25">
      <c r="A212" t="s">
        <v>244</v>
      </c>
      <c r="B212" t="s">
        <v>1363</v>
      </c>
      <c r="C212" s="6">
        <f>IFERROR(VLOOKUP(A212,[1]eco_bus_journals!$B:$D,3,0),"")</f>
        <v>124</v>
      </c>
      <c r="D212" s="37">
        <f>IFERROR(ROUND(VLOOKUP(A212,[1]eco_bus_journals!$B:$X,4,0),2),"")</f>
        <v>0.35</v>
      </c>
      <c r="E212" s="37">
        <f>_xlfn.RANK.EQ(D212,D:D)</f>
        <v>225</v>
      </c>
      <c r="F212" s="44">
        <f>IFERROR(ROUND(VLOOKUP(A212,[1]eco_journals!B:E,4,0),2),"")</f>
        <v>0.33</v>
      </c>
      <c r="G212" s="40">
        <f>IFERROR(_xlfn.RANK.EQ(F212,F:F),"")</f>
        <v>87</v>
      </c>
      <c r="H212" s="46" t="str">
        <f>IFERROR(ROUND(VLOOKUP(A212,[1]fin_journals!B:E,4,0),2),"")</f>
        <v/>
      </c>
      <c r="I212" s="18" t="str">
        <f>IFERROR(_xlfn.RANK.EQ(H212,H:H),"")</f>
        <v/>
      </c>
      <c r="J212" s="42" t="str">
        <f>IFERROR(ROUND(VLOOKUP(A212,[1]bus_journals!B:E,4,0),2),"")</f>
        <v/>
      </c>
      <c r="K212" s="23" t="str">
        <f>IFERROR(_xlfn.RANK.EQ(J212,J:J),"")</f>
        <v/>
      </c>
      <c r="L212" s="43" t="str">
        <f>IFERROR(ROUND(VLOOKUP(A212,[1]man_journals!B:E,4,0),2),"")</f>
        <v/>
      </c>
      <c r="M212" s="26" t="str">
        <f>IFERROR(_xlfn.RANK.EQ(L212,L:L),"")</f>
        <v/>
      </c>
      <c r="N212" s="1" t="s">
        <v>1272</v>
      </c>
      <c r="O212" t="s">
        <v>1293</v>
      </c>
    </row>
    <row r="213" spans="1:16" x14ac:dyDescent="0.25">
      <c r="A213" t="s">
        <v>172</v>
      </c>
      <c r="B213" t="s">
        <v>1371</v>
      </c>
      <c r="C213" s="6">
        <f>IFERROR(VLOOKUP(A213,[1]eco_bus_journals!$B:$D,3,0),"")</f>
        <v>32</v>
      </c>
      <c r="D213" s="37">
        <f>IFERROR(ROUND(VLOOKUP(A213,[1]eco_bus_journals!$B:$X,4,0),2),"")</f>
        <v>0.32</v>
      </c>
      <c r="E213" s="37">
        <f>_xlfn.RANK.EQ(D213,D:D)</f>
        <v>234</v>
      </c>
      <c r="F213" s="44" t="str">
        <f>IFERROR(ROUND(VLOOKUP(A213,[1]eco_journals!B:E,4,0),2),"")</f>
        <v/>
      </c>
      <c r="G213" s="40" t="str">
        <f>IFERROR(_xlfn.RANK.EQ(F213,F:F),"")</f>
        <v/>
      </c>
      <c r="H213" s="46" t="str">
        <f>IFERROR(ROUND(VLOOKUP(A213,[1]fin_journals!B:E,4,0),2),"")</f>
        <v/>
      </c>
      <c r="I213" s="18" t="str">
        <f>IFERROR(_xlfn.RANK.EQ(H213,H:H),"")</f>
        <v/>
      </c>
      <c r="J213" s="42">
        <f>IFERROR(ROUND(VLOOKUP(A213,[1]bus_journals!B:E,4,0),2),"")</f>
        <v>0.87</v>
      </c>
      <c r="K213" s="23">
        <f>IFERROR(_xlfn.RANK.EQ(J213,J:J),"")</f>
        <v>71</v>
      </c>
      <c r="L213" s="43" t="str">
        <f>IFERROR(ROUND(VLOOKUP(A213,[1]man_journals!B:E,4,0),2),"")</f>
        <v/>
      </c>
      <c r="M213" s="26" t="str">
        <f>IFERROR(_xlfn.RANK.EQ(L213,L:L),"")</f>
        <v/>
      </c>
      <c r="N213" s="2" t="s">
        <v>1273</v>
      </c>
    </row>
    <row r="214" spans="1:16" x14ac:dyDescent="0.25">
      <c r="A214" t="s">
        <v>194</v>
      </c>
      <c r="B214" t="s">
        <v>1358</v>
      </c>
      <c r="C214" s="6">
        <f>IFERROR(VLOOKUP(A214,[1]eco_bus_journals!$B:$D,3,0),"")</f>
        <v>43</v>
      </c>
      <c r="D214" s="37">
        <f>IFERROR(ROUND(VLOOKUP(A214,[1]eco_bus_journals!$B:$X,4,0),2),"")</f>
        <v>0.37</v>
      </c>
      <c r="E214" s="37">
        <f>_xlfn.RANK.EQ(D214,D:D)</f>
        <v>212</v>
      </c>
      <c r="F214" s="44" t="str">
        <f>IFERROR(ROUND(VLOOKUP(A214,[1]eco_journals!B:E,4,0),2),"")</f>
        <v/>
      </c>
      <c r="G214" s="40" t="str">
        <f>IFERROR(_xlfn.RANK.EQ(F214,F:F),"")</f>
        <v/>
      </c>
      <c r="H214" s="46" t="str">
        <f>IFERROR(ROUND(VLOOKUP(A214,[1]fin_journals!B:E,4,0),2),"")</f>
        <v/>
      </c>
      <c r="I214" s="18" t="str">
        <f>IFERROR(_xlfn.RANK.EQ(H214,H:H),"")</f>
        <v/>
      </c>
      <c r="J214" s="42" t="str">
        <f>IFERROR(ROUND(VLOOKUP(A214,[1]bus_journals!B:E,4,0),2),"")</f>
        <v/>
      </c>
      <c r="K214" s="23" t="str">
        <f>IFERROR(_xlfn.RANK.EQ(J214,J:J),"")</f>
        <v/>
      </c>
      <c r="L214" s="43">
        <f>IFERROR(ROUND(VLOOKUP(A214,[1]man_journals!B:E,4,0),2),"")</f>
        <v>0.94</v>
      </c>
      <c r="M214" s="26">
        <f>IFERROR(_xlfn.RANK.EQ(L214,L:L),"")</f>
        <v>56</v>
      </c>
      <c r="N214" s="4" t="s">
        <v>1275</v>
      </c>
    </row>
    <row r="215" spans="1:16" x14ac:dyDescent="0.25">
      <c r="A215" t="s">
        <v>307</v>
      </c>
      <c r="B215" t="s">
        <v>1360</v>
      </c>
      <c r="C215" s="6">
        <f>IFERROR(VLOOKUP(A215,[1]eco_bus_journals!$B:$D,3,0),"")</f>
        <v>55</v>
      </c>
      <c r="D215" s="37">
        <f>IFERROR(ROUND(VLOOKUP(A215,[1]eco_bus_journals!$B:$X,4,0),2),"")</f>
        <v>0.38</v>
      </c>
      <c r="E215" s="37">
        <f>_xlfn.RANK.EQ(D215,D:D)</f>
        <v>207</v>
      </c>
      <c r="F215" s="44">
        <f>IFERROR(ROUND(VLOOKUP(A215,[1]eco_journals!B:E,4,0),2),"")</f>
        <v>0.39</v>
      </c>
      <c r="G215" s="40">
        <f>IFERROR(_xlfn.RANK.EQ(F215,F:F),"")</f>
        <v>79</v>
      </c>
      <c r="H215" s="46" t="str">
        <f>IFERROR(ROUND(VLOOKUP(A215,[1]fin_journals!B:E,4,0),2),"")</f>
        <v/>
      </c>
      <c r="I215" s="18" t="str">
        <f>IFERROR(_xlfn.RANK.EQ(H215,H:H),"")</f>
        <v/>
      </c>
      <c r="J215" s="42" t="str">
        <f>IFERROR(ROUND(VLOOKUP(A215,[1]bus_journals!B:E,4,0),2),"")</f>
        <v/>
      </c>
      <c r="K215" s="23" t="str">
        <f>IFERROR(_xlfn.RANK.EQ(J215,J:J),"")</f>
        <v/>
      </c>
      <c r="L215" s="43" t="str">
        <f>IFERROR(ROUND(VLOOKUP(A215,[1]man_journals!B:E,4,0),2),"")</f>
        <v/>
      </c>
      <c r="M215" s="26" t="str">
        <f>IFERROR(_xlfn.RANK.EQ(L215,L:L),"")</f>
        <v/>
      </c>
      <c r="N215" s="1" t="s">
        <v>1272</v>
      </c>
      <c r="O215" t="s">
        <v>1299</v>
      </c>
      <c r="P215" t="s">
        <v>1300</v>
      </c>
    </row>
    <row r="216" spans="1:16" x14ac:dyDescent="0.25">
      <c r="A216" t="s">
        <v>130</v>
      </c>
      <c r="B216" t="s">
        <v>1362</v>
      </c>
      <c r="C216" s="6">
        <f>IFERROR(VLOOKUP(A216,[1]eco_bus_journals!$B:$D,3,0),"")</f>
        <v>30</v>
      </c>
      <c r="D216" s="37">
        <f>IFERROR(ROUND(VLOOKUP(A216,[1]eco_bus_journals!$B:$X,4,0),2),"")</f>
        <v>0.41</v>
      </c>
      <c r="E216" s="37">
        <f>_xlfn.RANK.EQ(D216,D:D)</f>
        <v>195</v>
      </c>
      <c r="F216" s="44" t="str">
        <f>IFERROR(ROUND(VLOOKUP(A216,[1]eco_journals!B:E,4,0),2),"")</f>
        <v/>
      </c>
      <c r="G216" s="40" t="str">
        <f>IFERROR(_xlfn.RANK.EQ(F216,F:F),"")</f>
        <v/>
      </c>
      <c r="H216" s="46" t="str">
        <f>IFERROR(ROUND(VLOOKUP(A216,[1]fin_journals!B:E,4,0),2),"")</f>
        <v/>
      </c>
      <c r="I216" s="18" t="str">
        <f>IFERROR(_xlfn.RANK.EQ(H216,H:H),"")</f>
        <v/>
      </c>
      <c r="J216" s="42">
        <f>IFERROR(ROUND(VLOOKUP(A216,[1]bus_journals!B:E,4,0),2),"")</f>
        <v>1.05</v>
      </c>
      <c r="K216" s="23">
        <f>IFERROR(_xlfn.RANK.EQ(J216,J:J),"")</f>
        <v>63</v>
      </c>
      <c r="L216" s="43">
        <f>IFERROR(ROUND(VLOOKUP(A216,[1]man_journals!B:E,4,0),2),"")</f>
        <v>0.88</v>
      </c>
      <c r="M216" s="26">
        <f>IFERROR(_xlfn.RANK.EQ(L216,L:L),"")</f>
        <v>61</v>
      </c>
      <c r="N216" s="2" t="s">
        <v>1273</v>
      </c>
      <c r="O216" s="4" t="s">
        <v>1275</v>
      </c>
    </row>
    <row r="217" spans="1:16" x14ac:dyDescent="0.25">
      <c r="A217" t="s">
        <v>143</v>
      </c>
      <c r="B217" t="s">
        <v>1372</v>
      </c>
      <c r="C217" s="6">
        <f>IFERROR(VLOOKUP(A217,[1]eco_bus_journals!$B:$D,3,0),"")</f>
        <v>81</v>
      </c>
      <c r="D217" s="37">
        <f>IFERROR(ROUND(VLOOKUP(A217,[1]eco_bus_journals!$B:$X,4,0),2),"")</f>
        <v>0.41</v>
      </c>
      <c r="E217" s="37">
        <f>_xlfn.RANK.EQ(D217,D:D)</f>
        <v>195</v>
      </c>
      <c r="F217" s="44" t="str">
        <f>IFERROR(ROUND(VLOOKUP(A217,[1]eco_journals!B:E,4,0),2),"")</f>
        <v/>
      </c>
      <c r="G217" s="40" t="str">
        <f>IFERROR(_xlfn.RANK.EQ(F217,F:F),"")</f>
        <v/>
      </c>
      <c r="H217" s="46" t="str">
        <f>IFERROR(ROUND(VLOOKUP(A217,[1]fin_journals!B:E,4,0),2),"")</f>
        <v/>
      </c>
      <c r="I217" s="18" t="str">
        <f>IFERROR(_xlfn.RANK.EQ(H217,H:H),"")</f>
        <v/>
      </c>
      <c r="J217" s="42">
        <f>IFERROR(ROUND(VLOOKUP(A217,[1]bus_journals!B:E,4,0),2),"")</f>
        <v>1.32</v>
      </c>
      <c r="K217" s="23">
        <f>IFERROR(_xlfn.RANK.EQ(J217,J:J),"")</f>
        <v>50</v>
      </c>
      <c r="L217" s="43">
        <f>IFERROR(ROUND(VLOOKUP(A217,[1]man_journals!B:E,4,0),2),"")</f>
        <v>0.39</v>
      </c>
      <c r="M217" s="26">
        <f>IFERROR(_xlfn.RANK.EQ(L217,L:L),"")</f>
        <v>113</v>
      </c>
      <c r="N217" s="2" t="s">
        <v>1273</v>
      </c>
      <c r="O217" s="4" t="s">
        <v>1275</v>
      </c>
    </row>
    <row r="218" spans="1:16" x14ac:dyDescent="0.25">
      <c r="A218" t="s">
        <v>334</v>
      </c>
      <c r="B218" t="s">
        <v>1360</v>
      </c>
      <c r="C218" s="6">
        <f>IFERROR(VLOOKUP(A218,[1]eco_bus_journals!$B:$D,3,0),"")</f>
        <v>53</v>
      </c>
      <c r="D218" s="37">
        <f>IFERROR(ROUND(VLOOKUP(A218,[1]eco_bus_journals!$B:$X,4,0),2),"")</f>
        <v>0.34</v>
      </c>
      <c r="E218" s="37">
        <f>_xlfn.RANK.EQ(D218,D:D)</f>
        <v>226</v>
      </c>
      <c r="F218" s="44">
        <f>IFERROR(ROUND(VLOOKUP(A218,[1]eco_journals!B:E,4,0),2),"")</f>
        <v>0.32</v>
      </c>
      <c r="G218" s="40">
        <f>IFERROR(_xlfn.RANK.EQ(F218,F:F),"")</f>
        <v>88</v>
      </c>
      <c r="H218" s="46">
        <f>IFERROR(ROUND(VLOOKUP(A218,[1]fin_journals!B:E,4,0),2),"")</f>
        <v>0.89</v>
      </c>
      <c r="I218" s="18">
        <f>IFERROR(_xlfn.RANK.EQ(H218,H:H),"")</f>
        <v>40</v>
      </c>
      <c r="J218" s="42" t="str">
        <f>IFERROR(ROUND(VLOOKUP(A218,[1]bus_journals!B:E,4,0),2),"")</f>
        <v/>
      </c>
      <c r="K218" s="23" t="str">
        <f>IFERROR(_xlfn.RANK.EQ(J218,J:J),"")</f>
        <v/>
      </c>
      <c r="L218" s="43" t="str">
        <f>IFERROR(ROUND(VLOOKUP(A218,[1]man_journals!B:E,4,0),2),"")</f>
        <v/>
      </c>
      <c r="M218" s="26" t="str">
        <f>IFERROR(_xlfn.RANK.EQ(L218,L:L),"")</f>
        <v/>
      </c>
      <c r="N218" s="3" t="s">
        <v>1274</v>
      </c>
      <c r="O218" s="1" t="s">
        <v>1272</v>
      </c>
    </row>
    <row r="219" spans="1:16" x14ac:dyDescent="0.25">
      <c r="A219" t="s">
        <v>171</v>
      </c>
      <c r="B219" t="s">
        <v>1371</v>
      </c>
      <c r="C219" s="6">
        <f>IFERROR(VLOOKUP(A219,[1]eco_bus_journals!$B:$D,3,0),"")</f>
        <v>100</v>
      </c>
      <c r="D219" s="37">
        <f>IFERROR(ROUND(VLOOKUP(A219,[1]eco_bus_journals!$B:$X,4,0),2),"")</f>
        <v>0.37</v>
      </c>
      <c r="E219" s="37">
        <f>_xlfn.RANK.EQ(D219,D:D)</f>
        <v>212</v>
      </c>
      <c r="F219" s="44" t="str">
        <f>IFERROR(ROUND(VLOOKUP(A219,[1]eco_journals!B:E,4,0),2),"")</f>
        <v/>
      </c>
      <c r="G219" s="40" t="str">
        <f>IFERROR(_xlfn.RANK.EQ(F219,F:F),"")</f>
        <v/>
      </c>
      <c r="H219" s="46" t="str">
        <f>IFERROR(ROUND(VLOOKUP(A219,[1]fin_journals!B:E,4,0),2),"")</f>
        <v/>
      </c>
      <c r="I219" s="18" t="str">
        <f>IFERROR(_xlfn.RANK.EQ(H219,H:H),"")</f>
        <v/>
      </c>
      <c r="J219" s="42">
        <f>IFERROR(ROUND(VLOOKUP(A219,[1]bus_journals!B:E,4,0),2),"")</f>
        <v>1.35</v>
      </c>
      <c r="K219" s="23">
        <f>IFERROR(_xlfn.RANK.EQ(J219,J:J),"")</f>
        <v>49</v>
      </c>
      <c r="L219" s="43" t="str">
        <f>IFERROR(ROUND(VLOOKUP(A219,[1]man_journals!B:E,4,0),2),"")</f>
        <v/>
      </c>
      <c r="M219" s="26" t="str">
        <f>IFERROR(_xlfn.RANK.EQ(L219,L:L),"")</f>
        <v/>
      </c>
      <c r="N219" s="2" t="s">
        <v>1273</v>
      </c>
    </row>
    <row r="220" spans="1:16" x14ac:dyDescent="0.25">
      <c r="A220" t="s">
        <v>144</v>
      </c>
      <c r="B220" t="s">
        <v>1360</v>
      </c>
      <c r="C220" s="6">
        <f>IFERROR(VLOOKUP(A220,[1]eco_bus_journals!$B:$D,3,0),"")</f>
        <v>19</v>
      </c>
      <c r="D220" s="37">
        <f>IFERROR(ROUND(VLOOKUP(A220,[1]eco_bus_journals!$B:$X,4,0),2),"")</f>
        <v>0.48</v>
      </c>
      <c r="E220" s="37">
        <f>_xlfn.RANK.EQ(D220,D:D)</f>
        <v>167</v>
      </c>
      <c r="F220" s="44" t="str">
        <f>IFERROR(ROUND(VLOOKUP(A220,[1]eco_journals!B:E,4,0),2),"")</f>
        <v/>
      </c>
      <c r="G220" s="40" t="str">
        <f>IFERROR(_xlfn.RANK.EQ(F220,F:F),"")</f>
        <v/>
      </c>
      <c r="H220" s="46" t="str">
        <f>IFERROR(ROUND(VLOOKUP(A220,[1]fin_journals!B:E,4,0),2),"")</f>
        <v/>
      </c>
      <c r="I220" s="18" t="str">
        <f>IFERROR(_xlfn.RANK.EQ(H220,H:H),"")</f>
        <v/>
      </c>
      <c r="J220" s="42" t="str">
        <f>IFERROR(ROUND(VLOOKUP(A220,[1]bus_journals!B:E,4,0),2),"")</f>
        <v/>
      </c>
      <c r="K220" s="23" t="str">
        <f>IFERROR(_xlfn.RANK.EQ(J220,J:J),"")</f>
        <v/>
      </c>
      <c r="L220" s="43">
        <f>IFERROR(ROUND(VLOOKUP(A220,[1]man_journals!B:E,4,0),2),"")</f>
        <v>1.04</v>
      </c>
      <c r="M220" s="26">
        <f>IFERROR(_xlfn.RANK.EQ(L220,L:L),"")</f>
        <v>44</v>
      </c>
      <c r="N220" t="s">
        <v>1298</v>
      </c>
      <c r="O220" s="4" t="s">
        <v>1275</v>
      </c>
    </row>
    <row r="221" spans="1:16" x14ac:dyDescent="0.25">
      <c r="A221" t="s">
        <v>188</v>
      </c>
      <c r="B221" t="s">
        <v>1372</v>
      </c>
      <c r="C221" s="6">
        <f>IFERROR(VLOOKUP(A221,[1]eco_bus_journals!$B:$D,3,0),"")</f>
        <v>17</v>
      </c>
      <c r="D221" s="37">
        <f>IFERROR(ROUND(VLOOKUP(A221,[1]eco_bus_journals!$B:$X,4,0),2),"")</f>
        <v>0.36</v>
      </c>
      <c r="E221" s="37">
        <f>_xlfn.RANK.EQ(D221,D:D)</f>
        <v>219</v>
      </c>
      <c r="F221" s="44" t="str">
        <f>IFERROR(ROUND(VLOOKUP(A221,[1]eco_journals!B:E,4,0),2),"")</f>
        <v/>
      </c>
      <c r="G221" s="40" t="str">
        <f>IFERROR(_xlfn.RANK.EQ(F221,F:F),"")</f>
        <v/>
      </c>
      <c r="H221" s="46">
        <f>IFERROR(ROUND(VLOOKUP(A221,[1]fin_journals!B:E,4,0),2),"")</f>
        <v>0.42</v>
      </c>
      <c r="I221" s="18">
        <f>IFERROR(_xlfn.RANK.EQ(H221,H:H),"")</f>
        <v>71</v>
      </c>
      <c r="J221" s="42" t="str">
        <f>IFERROR(ROUND(VLOOKUP(A221,[1]bus_journals!B:E,4,0),2),"")</f>
        <v/>
      </c>
      <c r="K221" s="23" t="str">
        <f>IFERROR(_xlfn.RANK.EQ(J221,J:J),"")</f>
        <v/>
      </c>
      <c r="L221" s="43" t="str">
        <f>IFERROR(ROUND(VLOOKUP(A221,[1]man_journals!B:E,4,0),2),"")</f>
        <v/>
      </c>
      <c r="M221" s="26" t="str">
        <f>IFERROR(_xlfn.RANK.EQ(L221,L:L),"")</f>
        <v/>
      </c>
      <c r="N221" s="3" t="s">
        <v>1274</v>
      </c>
    </row>
    <row r="222" spans="1:16" x14ac:dyDescent="0.25">
      <c r="A222" t="s">
        <v>330</v>
      </c>
      <c r="B222" t="s">
        <v>1362</v>
      </c>
      <c r="C222" s="6">
        <f>IFERROR(VLOOKUP(A222,[1]eco_bus_journals!$B:$D,3,0),"")</f>
        <v>72</v>
      </c>
      <c r="D222" s="37">
        <f>IFERROR(ROUND(VLOOKUP(A222,[1]eco_bus_journals!$B:$X,4,0),2),"")</f>
        <v>0.36</v>
      </c>
      <c r="E222" s="37">
        <f>_xlfn.RANK.EQ(D222,D:D)</f>
        <v>219</v>
      </c>
      <c r="F222" s="44">
        <f>IFERROR(ROUND(VLOOKUP(A222,[1]eco_journals!B:E,4,0),2),"")</f>
        <v>0.35</v>
      </c>
      <c r="G222" s="40">
        <f>IFERROR(_xlfn.RANK.EQ(F222,F:F),"")</f>
        <v>83</v>
      </c>
      <c r="H222" s="46" t="str">
        <f>IFERROR(ROUND(VLOOKUP(A222,[1]fin_journals!B:E,4,0),2),"")</f>
        <v/>
      </c>
      <c r="I222" s="18" t="str">
        <f>IFERROR(_xlfn.RANK.EQ(H222,H:H),"")</f>
        <v/>
      </c>
      <c r="J222" s="42" t="str">
        <f>IFERROR(ROUND(VLOOKUP(A222,[1]bus_journals!B:E,4,0),2),"")</f>
        <v/>
      </c>
      <c r="K222" s="23" t="str">
        <f>IFERROR(_xlfn.RANK.EQ(J222,J:J),"")</f>
        <v/>
      </c>
      <c r="L222" s="43" t="str">
        <f>IFERROR(ROUND(VLOOKUP(A222,[1]man_journals!B:E,4,0),2),"")</f>
        <v/>
      </c>
      <c r="M222" s="26" t="str">
        <f>IFERROR(_xlfn.RANK.EQ(L222,L:L),"")</f>
        <v/>
      </c>
      <c r="N222" s="1" t="s">
        <v>1272</v>
      </c>
    </row>
    <row r="223" spans="1:16" x14ac:dyDescent="0.25">
      <c r="A223" t="s">
        <v>207</v>
      </c>
      <c r="B223" t="s">
        <v>1371</v>
      </c>
      <c r="C223" s="6">
        <f>IFERROR(VLOOKUP(A223,[1]eco_bus_journals!$B:$D,3,0),"")</f>
        <v>63</v>
      </c>
      <c r="D223" s="37">
        <f>IFERROR(ROUND(VLOOKUP(A223,[1]eco_bus_journals!$B:$X,4,0),2),"")</f>
        <v>0.36</v>
      </c>
      <c r="E223" s="37">
        <f>_xlfn.RANK.EQ(D223,D:D)</f>
        <v>219</v>
      </c>
      <c r="F223" s="44" t="str">
        <f>IFERROR(ROUND(VLOOKUP(A223,[1]eco_journals!B:E,4,0),2),"")</f>
        <v/>
      </c>
      <c r="G223" s="40" t="str">
        <f>IFERROR(_xlfn.RANK.EQ(F223,F:F),"")</f>
        <v/>
      </c>
      <c r="H223" s="46" t="str">
        <f>IFERROR(ROUND(VLOOKUP(A223,[1]fin_journals!B:E,4,0),2),"")</f>
        <v/>
      </c>
      <c r="I223" s="18" t="str">
        <f>IFERROR(_xlfn.RANK.EQ(H223,H:H),"")</f>
        <v/>
      </c>
      <c r="J223" s="42" t="str">
        <f>IFERROR(ROUND(VLOOKUP(A223,[1]bus_journals!B:E,4,0),2),"")</f>
        <v/>
      </c>
      <c r="K223" s="23" t="str">
        <f>IFERROR(_xlfn.RANK.EQ(J223,J:J),"")</f>
        <v/>
      </c>
      <c r="L223" s="43">
        <f>IFERROR(ROUND(VLOOKUP(A223,[1]man_journals!B:E,4,0),2),"")</f>
        <v>0.88</v>
      </c>
      <c r="M223" s="26">
        <f>IFERROR(_xlfn.RANK.EQ(L223,L:L),"")</f>
        <v>61</v>
      </c>
      <c r="N223" s="4" t="s">
        <v>1275</v>
      </c>
    </row>
    <row r="224" spans="1:16" x14ac:dyDescent="0.25">
      <c r="A224" t="s">
        <v>193</v>
      </c>
      <c r="B224" t="s">
        <v>1378</v>
      </c>
      <c r="C224" s="6">
        <f>IFERROR(VLOOKUP(A224,[1]eco_bus_journals!$B:$D,3,0),"")</f>
        <v>17</v>
      </c>
      <c r="D224" s="37">
        <f>IFERROR(ROUND(VLOOKUP(A224,[1]eco_bus_journals!$B:$X,4,0),2),"")</f>
        <v>0.39</v>
      </c>
      <c r="E224" s="37">
        <f>_xlfn.RANK.EQ(D224,D:D)</f>
        <v>203</v>
      </c>
      <c r="F224" s="44" t="str">
        <f>IFERROR(ROUND(VLOOKUP(A224,[1]eco_journals!B:E,4,0),2),"")</f>
        <v/>
      </c>
      <c r="G224" s="40" t="str">
        <f>IFERROR(_xlfn.RANK.EQ(F224,F:F),"")</f>
        <v/>
      </c>
      <c r="H224" s="46" t="str">
        <f>IFERROR(ROUND(VLOOKUP(A224,[1]fin_journals!B:E,4,0),2),"")</f>
        <v/>
      </c>
      <c r="I224" s="18" t="str">
        <f>IFERROR(_xlfn.RANK.EQ(H224,H:H),"")</f>
        <v/>
      </c>
      <c r="J224" s="42" t="str">
        <f>IFERROR(ROUND(VLOOKUP(A224,[1]bus_journals!B:E,4,0),2),"")</f>
        <v/>
      </c>
      <c r="K224" s="23" t="str">
        <f>IFERROR(_xlfn.RANK.EQ(J224,J:J),"")</f>
        <v/>
      </c>
      <c r="L224" s="43">
        <f>IFERROR(ROUND(VLOOKUP(A224,[1]man_journals!B:E,4,0),2),"")</f>
        <v>0.74</v>
      </c>
      <c r="M224" s="26">
        <f>IFERROR(_xlfn.RANK.EQ(L224,L:L),"")</f>
        <v>72</v>
      </c>
      <c r="N224" t="s">
        <v>1294</v>
      </c>
      <c r="O224" s="4" t="s">
        <v>1275</v>
      </c>
    </row>
    <row r="225" spans="1:17" x14ac:dyDescent="0.25">
      <c r="A225" t="s">
        <v>287</v>
      </c>
      <c r="B225" t="s">
        <v>1372</v>
      </c>
      <c r="C225" s="6">
        <f>IFERROR(VLOOKUP(A225,[1]eco_bus_journals!$B:$D,3,0),"")</f>
        <v>46</v>
      </c>
      <c r="D225" s="37">
        <f>IFERROR(ROUND(VLOOKUP(A225,[1]eco_bus_journals!$B:$X,4,0),2),"")</f>
        <v>0.28999999999999998</v>
      </c>
      <c r="E225" s="37">
        <f>_xlfn.RANK.EQ(D225,D:D)</f>
        <v>254</v>
      </c>
      <c r="F225" s="44">
        <f>IFERROR(ROUND(VLOOKUP(A225,[1]eco_journals!B:E,4,0),2),"")</f>
        <v>0.27</v>
      </c>
      <c r="G225" s="40">
        <f>IFERROR(_xlfn.RANK.EQ(F225,F:F),"")</f>
        <v>107</v>
      </c>
      <c r="H225" s="46" t="str">
        <f>IFERROR(ROUND(VLOOKUP(A225,[1]fin_journals!B:E,4,0),2),"")</f>
        <v/>
      </c>
      <c r="I225" s="18" t="str">
        <f>IFERROR(_xlfn.RANK.EQ(H225,H:H),"")</f>
        <v/>
      </c>
      <c r="J225" s="42" t="str">
        <f>IFERROR(ROUND(VLOOKUP(A225,[1]bus_journals!B:E,4,0),2),"")</f>
        <v/>
      </c>
      <c r="K225" s="23" t="str">
        <f>IFERROR(_xlfn.RANK.EQ(J225,J:J),"")</f>
        <v/>
      </c>
      <c r="L225" s="43" t="str">
        <f>IFERROR(ROUND(VLOOKUP(A225,[1]man_journals!B:E,4,0),2),"")</f>
        <v/>
      </c>
      <c r="M225" s="26" t="str">
        <f>IFERROR(_xlfn.RANK.EQ(L225,L:L),"")</f>
        <v/>
      </c>
      <c r="N225" s="1" t="s">
        <v>1272</v>
      </c>
      <c r="O225" t="s">
        <v>1279</v>
      </c>
      <c r="P225" t="s">
        <v>1280</v>
      </c>
      <c r="Q225" t="s">
        <v>1281</v>
      </c>
    </row>
    <row r="226" spans="1:17" x14ac:dyDescent="0.25">
      <c r="A226" t="s">
        <v>327</v>
      </c>
      <c r="B226" t="s">
        <v>1363</v>
      </c>
      <c r="C226" s="6">
        <f>IFERROR(VLOOKUP(A226,[1]eco_bus_journals!$B:$D,3,0),"")</f>
        <v>143</v>
      </c>
      <c r="D226" s="37">
        <f>IFERROR(ROUND(VLOOKUP(A226,[1]eco_bus_journals!$B:$X,4,0),2),"")</f>
        <v>0.34</v>
      </c>
      <c r="E226" s="37">
        <f>_xlfn.RANK.EQ(D226,D:D)</f>
        <v>226</v>
      </c>
      <c r="F226" s="44">
        <f>IFERROR(ROUND(VLOOKUP(A226,[1]eco_journals!B:E,4,0),2),"")</f>
        <v>0.36</v>
      </c>
      <c r="G226" s="40">
        <f>IFERROR(_xlfn.RANK.EQ(F226,F:F),"")</f>
        <v>81</v>
      </c>
      <c r="H226" s="46" t="str">
        <f>IFERROR(ROUND(VLOOKUP(A226,[1]fin_journals!B:E,4,0),2),"")</f>
        <v/>
      </c>
      <c r="I226" s="18" t="str">
        <f>IFERROR(_xlfn.RANK.EQ(H226,H:H),"")</f>
        <v/>
      </c>
      <c r="J226" s="42" t="str">
        <f>IFERROR(ROUND(VLOOKUP(A226,[1]bus_journals!B:E,4,0),2),"")</f>
        <v/>
      </c>
      <c r="K226" s="23" t="str">
        <f>IFERROR(_xlfn.RANK.EQ(J226,J:J),"")</f>
        <v/>
      </c>
      <c r="L226" s="43" t="str">
        <f>IFERROR(ROUND(VLOOKUP(A226,[1]man_journals!B:E,4,0),2),"")</f>
        <v/>
      </c>
      <c r="M226" s="26" t="str">
        <f>IFERROR(_xlfn.RANK.EQ(L226,L:L),"")</f>
        <v/>
      </c>
      <c r="N226" s="1" t="s">
        <v>1272</v>
      </c>
    </row>
    <row r="227" spans="1:17" x14ac:dyDescent="0.25">
      <c r="A227" t="s">
        <v>346</v>
      </c>
      <c r="B227" t="s">
        <v>1370</v>
      </c>
      <c r="C227" s="6">
        <f>IFERROR(VLOOKUP(A227,[1]eco_bus_journals!$B:$D,3,0),"")</f>
        <v>17</v>
      </c>
      <c r="D227" s="37">
        <f>IFERROR(ROUND(VLOOKUP(A227,[1]eco_bus_journals!$B:$X,4,0),2),"")</f>
        <v>0.34</v>
      </c>
      <c r="E227" s="37">
        <f>_xlfn.RANK.EQ(D227,D:D)</f>
        <v>226</v>
      </c>
      <c r="F227" s="44">
        <f>IFERROR(ROUND(VLOOKUP(A227,[1]eco_journals!B:E,4,0),2),"")</f>
        <v>0.27</v>
      </c>
      <c r="G227" s="40">
        <f>IFERROR(_xlfn.RANK.EQ(F227,F:F),"")</f>
        <v>107</v>
      </c>
      <c r="H227" s="46" t="str">
        <f>IFERROR(ROUND(VLOOKUP(A227,[1]fin_journals!B:E,4,0),2),"")</f>
        <v/>
      </c>
      <c r="I227" s="18" t="str">
        <f>IFERROR(_xlfn.RANK.EQ(H227,H:H),"")</f>
        <v/>
      </c>
      <c r="J227" s="42" t="str">
        <f>IFERROR(ROUND(VLOOKUP(A227,[1]bus_journals!B:E,4,0),2),"")</f>
        <v/>
      </c>
      <c r="K227" s="23" t="str">
        <f>IFERROR(_xlfn.RANK.EQ(J227,J:J),"")</f>
        <v/>
      </c>
      <c r="L227" s="43" t="str">
        <f>IFERROR(ROUND(VLOOKUP(A227,[1]man_journals!B:E,4,0),2),"")</f>
        <v/>
      </c>
      <c r="M227" s="26" t="str">
        <f>IFERROR(_xlfn.RANK.EQ(L227,L:L),"")</f>
        <v/>
      </c>
      <c r="N227" s="1" t="s">
        <v>1272</v>
      </c>
      <c r="O227" t="s">
        <v>1287</v>
      </c>
      <c r="P227" t="s">
        <v>1292</v>
      </c>
    </row>
    <row r="228" spans="1:17" x14ac:dyDescent="0.25">
      <c r="A228" t="s">
        <v>348</v>
      </c>
      <c r="B228" t="s">
        <v>1361</v>
      </c>
      <c r="C228" s="6">
        <f>IFERROR(VLOOKUP(A228,[1]eco_bus_journals!$B:$D,3,0),"")</f>
        <v>63</v>
      </c>
      <c r="D228" s="37">
        <f>IFERROR(ROUND(VLOOKUP(A228,[1]eco_bus_journals!$B:$X,4,0),2),"")</f>
        <v>0.28999999999999998</v>
      </c>
      <c r="E228" s="37">
        <f>_xlfn.RANK.EQ(D228,D:D)</f>
        <v>254</v>
      </c>
      <c r="F228" s="44">
        <f>IFERROR(ROUND(VLOOKUP(A228,[1]eco_journals!B:E,4,0),2),"")</f>
        <v>0.28000000000000003</v>
      </c>
      <c r="G228" s="40">
        <f>IFERROR(_xlfn.RANK.EQ(F228,F:F),"")</f>
        <v>104</v>
      </c>
      <c r="H228" s="46" t="str">
        <f>IFERROR(ROUND(VLOOKUP(A228,[1]fin_journals!B:E,4,0),2),"")</f>
        <v/>
      </c>
      <c r="I228" s="18" t="str">
        <f>IFERROR(_xlfn.RANK.EQ(H228,H:H),"")</f>
        <v/>
      </c>
      <c r="J228" s="42" t="str">
        <f>IFERROR(ROUND(VLOOKUP(A228,[1]bus_journals!B:E,4,0),2),"")</f>
        <v/>
      </c>
      <c r="K228" s="23" t="str">
        <f>IFERROR(_xlfn.RANK.EQ(J228,J:J),"")</f>
        <v/>
      </c>
      <c r="L228" s="43" t="str">
        <f>IFERROR(ROUND(VLOOKUP(A228,[1]man_journals!B:E,4,0),2),"")</f>
        <v/>
      </c>
      <c r="M228" s="26" t="str">
        <f>IFERROR(_xlfn.RANK.EQ(L228,L:L),"")</f>
        <v/>
      </c>
      <c r="N228" t="s">
        <v>1304</v>
      </c>
      <c r="O228" s="1" t="s">
        <v>1272</v>
      </c>
    </row>
    <row r="229" spans="1:17" x14ac:dyDescent="0.25">
      <c r="A229" t="s">
        <v>136</v>
      </c>
      <c r="B229" t="s">
        <v>1372</v>
      </c>
      <c r="C229" s="6">
        <f>IFERROR(VLOOKUP(A229,[1]eco_bus_journals!$B:$D,3,0),"")</f>
        <v>79</v>
      </c>
      <c r="D229" s="37">
        <f>IFERROR(ROUND(VLOOKUP(A229,[1]eco_bus_journals!$B:$X,4,0),2),"")</f>
        <v>0.4</v>
      </c>
      <c r="E229" s="37">
        <f>_xlfn.RANK.EQ(D229,D:D)</f>
        <v>198</v>
      </c>
      <c r="F229" s="44" t="str">
        <f>IFERROR(ROUND(VLOOKUP(A229,[1]eco_journals!B:E,4,0),2),"")</f>
        <v/>
      </c>
      <c r="G229" s="40" t="str">
        <f>IFERROR(_xlfn.RANK.EQ(F229,F:F),"")</f>
        <v/>
      </c>
      <c r="H229" s="46" t="str">
        <f>IFERROR(ROUND(VLOOKUP(A229,[1]fin_journals!B:E,4,0),2),"")</f>
        <v/>
      </c>
      <c r="I229" s="18" t="str">
        <f>IFERROR(_xlfn.RANK.EQ(H229,H:H),"")</f>
        <v/>
      </c>
      <c r="J229" s="42">
        <f>IFERROR(ROUND(VLOOKUP(A229,[1]bus_journals!B:E,4,0),2),"")</f>
        <v>1.4</v>
      </c>
      <c r="K229" s="23">
        <f>IFERROR(_xlfn.RANK.EQ(J229,J:J),"")</f>
        <v>46</v>
      </c>
      <c r="L229" s="43" t="str">
        <f>IFERROR(ROUND(VLOOKUP(A229,[1]man_journals!B:E,4,0),2),"")</f>
        <v/>
      </c>
      <c r="M229" s="26" t="str">
        <f>IFERROR(_xlfn.RANK.EQ(L229,L:L),"")</f>
        <v/>
      </c>
      <c r="N229" s="2" t="s">
        <v>1273</v>
      </c>
      <c r="O229" t="s">
        <v>1289</v>
      </c>
    </row>
    <row r="230" spans="1:17" x14ac:dyDescent="0.25">
      <c r="A230" t="s">
        <v>218</v>
      </c>
      <c r="B230" t="s">
        <v>1362</v>
      </c>
      <c r="C230" s="6">
        <f>IFERROR(VLOOKUP(A230,[1]eco_bus_journals!$B:$D,3,0),"")</f>
        <v>21</v>
      </c>
      <c r="D230" s="37">
        <f>IFERROR(ROUND(VLOOKUP(A230,[1]eco_bus_journals!$B:$X,4,0),2),"")</f>
        <v>0.3</v>
      </c>
      <c r="E230" s="37">
        <f>_xlfn.RANK.EQ(D230,D:D)</f>
        <v>245</v>
      </c>
      <c r="F230" s="44">
        <f>IFERROR(ROUND(VLOOKUP(A230,[1]eco_journals!B:E,4,0),2),"")</f>
        <v>0.23</v>
      </c>
      <c r="G230" s="40">
        <f>IFERROR(_xlfn.RANK.EQ(F230,F:F),"")</f>
        <v>126</v>
      </c>
      <c r="H230" s="46">
        <f>IFERROR(ROUND(VLOOKUP(A230,[1]fin_journals!B:E,4,0),2),"")</f>
        <v>0.47</v>
      </c>
      <c r="I230" s="18">
        <f>IFERROR(_xlfn.RANK.EQ(H230,H:H),"")</f>
        <v>68</v>
      </c>
      <c r="J230" s="42" t="str">
        <f>IFERROR(ROUND(VLOOKUP(A230,[1]bus_journals!B:E,4,0),2),"")</f>
        <v/>
      </c>
      <c r="K230" s="23" t="str">
        <f>IFERROR(_xlfn.RANK.EQ(J230,J:J),"")</f>
        <v/>
      </c>
      <c r="L230" s="43" t="str">
        <f>IFERROR(ROUND(VLOOKUP(A230,[1]man_journals!B:E,4,0),2),"")</f>
        <v/>
      </c>
      <c r="M230" s="26" t="str">
        <f>IFERROR(_xlfn.RANK.EQ(L230,L:L),"")</f>
        <v/>
      </c>
      <c r="N230" s="3" t="s">
        <v>1274</v>
      </c>
      <c r="O230" s="1" t="s">
        <v>1272</v>
      </c>
    </row>
    <row r="231" spans="1:17" x14ac:dyDescent="0.25">
      <c r="A231" t="s">
        <v>276</v>
      </c>
      <c r="B231" t="s">
        <v>1362</v>
      </c>
      <c r="C231" s="6">
        <f>IFERROR(VLOOKUP(A231,[1]eco_bus_journals!$B:$D,3,0),"")</f>
        <v>34</v>
      </c>
      <c r="D231" s="37">
        <f>IFERROR(ROUND(VLOOKUP(A231,[1]eco_bus_journals!$B:$X,4,0),2),"")</f>
        <v>0.31</v>
      </c>
      <c r="E231" s="37">
        <f>_xlfn.RANK.EQ(D231,D:D)</f>
        <v>241</v>
      </c>
      <c r="F231" s="44">
        <f>IFERROR(ROUND(VLOOKUP(A231,[1]eco_journals!B:E,4,0),2),"")</f>
        <v>0.31</v>
      </c>
      <c r="G231" s="40">
        <f>IFERROR(_xlfn.RANK.EQ(F231,F:F),"")</f>
        <v>91</v>
      </c>
      <c r="H231" s="46" t="str">
        <f>IFERROR(ROUND(VLOOKUP(A231,[1]fin_journals!B:E,4,0),2),"")</f>
        <v/>
      </c>
      <c r="I231" s="18" t="str">
        <f>IFERROR(_xlfn.RANK.EQ(H231,H:H),"")</f>
        <v/>
      </c>
      <c r="J231" s="42" t="str">
        <f>IFERROR(ROUND(VLOOKUP(A231,[1]bus_journals!B:E,4,0),2),"")</f>
        <v/>
      </c>
      <c r="K231" s="23" t="str">
        <f>IFERROR(_xlfn.RANK.EQ(J231,J:J),"")</f>
        <v/>
      </c>
      <c r="L231" s="43" t="str">
        <f>IFERROR(ROUND(VLOOKUP(A231,[1]man_journals!B:E,4,0),2),"")</f>
        <v/>
      </c>
      <c r="M231" s="26" t="str">
        <f>IFERROR(_xlfn.RANK.EQ(L231,L:L),"")</f>
        <v/>
      </c>
      <c r="N231" s="1" t="s">
        <v>1272</v>
      </c>
      <c r="O231" t="s">
        <v>1288</v>
      </c>
    </row>
    <row r="232" spans="1:17" x14ac:dyDescent="0.25">
      <c r="A232" t="s">
        <v>355</v>
      </c>
      <c r="B232" t="s">
        <v>1360</v>
      </c>
      <c r="C232" s="6">
        <f>IFERROR(VLOOKUP(A232,[1]eco_bus_journals!$B:$D,3,0),"")</f>
        <v>26</v>
      </c>
      <c r="D232" s="37">
        <f>IFERROR(ROUND(VLOOKUP(A232,[1]eco_bus_journals!$B:$X,4,0),2),"")</f>
        <v>0.31</v>
      </c>
      <c r="E232" s="37">
        <f>_xlfn.RANK.EQ(D232,D:D)</f>
        <v>241</v>
      </c>
      <c r="F232" s="44">
        <f>IFERROR(ROUND(VLOOKUP(A232,[1]eco_journals!B:E,4,0),2),"")</f>
        <v>0.28000000000000003</v>
      </c>
      <c r="G232" s="40">
        <f>IFERROR(_xlfn.RANK.EQ(F232,F:F),"")</f>
        <v>104</v>
      </c>
      <c r="H232" s="46">
        <f>IFERROR(ROUND(VLOOKUP(A232,[1]fin_journals!B:E,4,0),2),"")</f>
        <v>0.26</v>
      </c>
      <c r="I232" s="18">
        <f>IFERROR(_xlfn.RANK.EQ(H232,H:H),"")</f>
        <v>91</v>
      </c>
      <c r="J232" s="42" t="str">
        <f>IFERROR(ROUND(VLOOKUP(A232,[1]bus_journals!B:E,4,0),2),"")</f>
        <v/>
      </c>
      <c r="K232" s="23" t="str">
        <f>IFERROR(_xlfn.RANK.EQ(J232,J:J),"")</f>
        <v/>
      </c>
      <c r="L232" s="43" t="str">
        <f>IFERROR(ROUND(VLOOKUP(A232,[1]man_journals!B:E,4,0),2),"")</f>
        <v/>
      </c>
      <c r="M232" s="26" t="str">
        <f>IFERROR(_xlfn.RANK.EQ(L232,L:L),"")</f>
        <v/>
      </c>
      <c r="N232" s="3" t="s">
        <v>1274</v>
      </c>
      <c r="O232" s="1" t="s">
        <v>1272</v>
      </c>
    </row>
    <row r="233" spans="1:17" x14ac:dyDescent="0.25">
      <c r="A233" t="s">
        <v>248</v>
      </c>
      <c r="B233" t="s">
        <v>1362</v>
      </c>
      <c r="C233" s="6">
        <f>IFERROR(VLOOKUP(A233,[1]eco_bus_journals!$B:$D,3,0),"")</f>
        <v>20</v>
      </c>
      <c r="D233" s="37">
        <f>IFERROR(ROUND(VLOOKUP(A233,[1]eco_bus_journals!$B:$X,4,0),2),"")</f>
        <v>0.28999999999999998</v>
      </c>
      <c r="E233" s="37">
        <f>_xlfn.RANK.EQ(D233,D:D)</f>
        <v>254</v>
      </c>
      <c r="F233" s="44" t="str">
        <f>IFERROR(ROUND(VLOOKUP(A233,[1]eco_journals!B:E,4,0),2),"")</f>
        <v/>
      </c>
      <c r="G233" s="40" t="str">
        <f>IFERROR(_xlfn.RANK.EQ(F233,F:F),"")</f>
        <v/>
      </c>
      <c r="H233" s="46">
        <f>IFERROR(ROUND(VLOOKUP(A233,[1]fin_journals!B:E,4,0),2),"")</f>
        <v>0.72</v>
      </c>
      <c r="I233" s="18">
        <f>IFERROR(_xlfn.RANK.EQ(H233,H:H),"")</f>
        <v>50</v>
      </c>
      <c r="J233" s="42">
        <f>IFERROR(ROUND(VLOOKUP(A233,[1]bus_journals!B:E,4,0),2),"")</f>
        <v>0.55000000000000004</v>
      </c>
      <c r="K233" s="23">
        <f>IFERROR(_xlfn.RANK.EQ(J233,J:J),"")</f>
        <v>90</v>
      </c>
      <c r="L233" s="43">
        <f>IFERROR(ROUND(VLOOKUP(A233,[1]man_journals!B:E,4,0),2),"")</f>
        <v>0.39</v>
      </c>
      <c r="M233" s="26">
        <f>IFERROR(_xlfn.RANK.EQ(L233,L:L),"")</f>
        <v>113</v>
      </c>
      <c r="N233" s="2" t="s">
        <v>1273</v>
      </c>
      <c r="O233" t="s">
        <v>1274</v>
      </c>
      <c r="P233" s="4" t="s">
        <v>1275</v>
      </c>
    </row>
    <row r="234" spans="1:17" x14ac:dyDescent="0.25">
      <c r="A234" t="s">
        <v>153</v>
      </c>
      <c r="B234" t="s">
        <v>1360</v>
      </c>
      <c r="C234" s="6">
        <f>IFERROR(VLOOKUP(A234,[1]eco_bus_journals!$B:$D,3,0),"")</f>
        <v>81</v>
      </c>
      <c r="D234" s="37">
        <f>IFERROR(ROUND(VLOOKUP(A234,[1]eco_bus_journals!$B:$X,4,0),2),"")</f>
        <v>0.37</v>
      </c>
      <c r="E234" s="37">
        <f>_xlfn.RANK.EQ(D234,D:D)</f>
        <v>212</v>
      </c>
      <c r="F234" s="44" t="str">
        <f>IFERROR(ROUND(VLOOKUP(A234,[1]eco_journals!B:E,4,0),2),"")</f>
        <v/>
      </c>
      <c r="G234" s="40" t="str">
        <f>IFERROR(_xlfn.RANK.EQ(F234,F:F),"")</f>
        <v/>
      </c>
      <c r="H234" s="46" t="str">
        <f>IFERROR(ROUND(VLOOKUP(A234,[1]fin_journals!B:E,4,0),2),"")</f>
        <v/>
      </c>
      <c r="I234" s="18" t="str">
        <f>IFERROR(_xlfn.RANK.EQ(H234,H:H),"")</f>
        <v/>
      </c>
      <c r="J234" s="42">
        <f>IFERROR(ROUND(VLOOKUP(A234,[1]bus_journals!B:E,4,0),2),"")</f>
        <v>1.1000000000000001</v>
      </c>
      <c r="K234" s="23">
        <f>IFERROR(_xlfn.RANK.EQ(J234,J:J),"")</f>
        <v>60</v>
      </c>
      <c r="L234" s="43" t="str">
        <f>IFERROR(ROUND(VLOOKUP(A234,[1]man_journals!B:E,4,0),2),"")</f>
        <v/>
      </c>
      <c r="M234" s="26" t="str">
        <f>IFERROR(_xlfn.RANK.EQ(L234,L:L),"")</f>
        <v/>
      </c>
      <c r="N234" s="2" t="s">
        <v>1273</v>
      </c>
    </row>
    <row r="235" spans="1:17" x14ac:dyDescent="0.25">
      <c r="A235" t="s">
        <v>373</v>
      </c>
      <c r="B235" t="s">
        <v>1360</v>
      </c>
      <c r="C235" s="6">
        <f>IFERROR(VLOOKUP(A235,[1]eco_bus_journals!$B:$D,3,0),"")</f>
        <v>62</v>
      </c>
      <c r="D235" s="37">
        <f>IFERROR(ROUND(VLOOKUP(A235,[1]eco_bus_journals!$B:$X,4,0),2),"")</f>
        <v>0.3</v>
      </c>
      <c r="E235" s="37">
        <f>_xlfn.RANK.EQ(D235,D:D)</f>
        <v>245</v>
      </c>
      <c r="F235" s="44">
        <f>IFERROR(ROUND(VLOOKUP(A235,[1]eco_journals!B:E,4,0),2),"")</f>
        <v>0.3</v>
      </c>
      <c r="G235" s="40">
        <f>IFERROR(_xlfn.RANK.EQ(F235,F:F),"")</f>
        <v>96</v>
      </c>
      <c r="H235" s="46" t="str">
        <f>IFERROR(ROUND(VLOOKUP(A235,[1]fin_journals!B:E,4,0),2),"")</f>
        <v/>
      </c>
      <c r="I235" s="18" t="str">
        <f>IFERROR(_xlfn.RANK.EQ(H235,H:H),"")</f>
        <v/>
      </c>
      <c r="J235" s="42" t="str">
        <f>IFERROR(ROUND(VLOOKUP(A235,[1]bus_journals!B:E,4,0),2),"")</f>
        <v/>
      </c>
      <c r="K235" s="23" t="str">
        <f>IFERROR(_xlfn.RANK.EQ(J235,J:J),"")</f>
        <v/>
      </c>
      <c r="L235" s="43" t="str">
        <f>IFERROR(ROUND(VLOOKUP(A235,[1]man_journals!B:E,4,0),2),"")</f>
        <v/>
      </c>
      <c r="M235" s="26" t="str">
        <f>IFERROR(_xlfn.RANK.EQ(L235,L:L),"")</f>
        <v/>
      </c>
      <c r="N235" s="1" t="s">
        <v>1272</v>
      </c>
    </row>
    <row r="236" spans="1:17" x14ac:dyDescent="0.25">
      <c r="A236" t="s">
        <v>409</v>
      </c>
      <c r="B236" t="s">
        <v>1391</v>
      </c>
      <c r="C236" s="6">
        <f>IFERROR(VLOOKUP(A236,[1]eco_bus_journals!$B:$D,3,0),"")</f>
        <v>41</v>
      </c>
      <c r="D236" s="37">
        <f>IFERROR(ROUND(VLOOKUP(A236,[1]eco_bus_journals!$B:$X,4,0),2),"")</f>
        <v>0.39</v>
      </c>
      <c r="E236" s="37">
        <f>_xlfn.RANK.EQ(D236,D:D)</f>
        <v>203</v>
      </c>
      <c r="F236" s="44" t="str">
        <f>IFERROR(ROUND(VLOOKUP(A236,[1]eco_journals!B:E,4,0),2),"")</f>
        <v/>
      </c>
      <c r="G236" s="40" t="str">
        <f>IFERROR(_xlfn.RANK.EQ(F236,F:F),"")</f>
        <v/>
      </c>
      <c r="H236" s="46">
        <f>IFERROR(ROUND(VLOOKUP(A236,[1]fin_journals!B:E,4,0),2),"")</f>
        <v>0.99</v>
      </c>
      <c r="I236" s="18">
        <f>IFERROR(_xlfn.RANK.EQ(H236,H:H),"")</f>
        <v>35</v>
      </c>
      <c r="J236" s="42" t="str">
        <f>IFERROR(ROUND(VLOOKUP(A236,[1]bus_journals!B:E,4,0),2),"")</f>
        <v/>
      </c>
      <c r="K236" s="23" t="str">
        <f>IFERROR(_xlfn.RANK.EQ(J236,J:J),"")</f>
        <v/>
      </c>
      <c r="L236" s="43" t="str">
        <f>IFERROR(ROUND(VLOOKUP(A236,[1]man_journals!B:E,4,0),2),"")</f>
        <v/>
      </c>
      <c r="M236" s="26" t="str">
        <f>IFERROR(_xlfn.RANK.EQ(L236,L:L),"")</f>
        <v/>
      </c>
      <c r="N236" s="3" t="s">
        <v>1274</v>
      </c>
      <c r="O236" t="s">
        <v>1279</v>
      </c>
      <c r="P236" t="s">
        <v>1280</v>
      </c>
    </row>
    <row r="237" spans="1:17" x14ac:dyDescent="0.25">
      <c r="A237" t="s">
        <v>342</v>
      </c>
      <c r="B237" t="s">
        <v>1361</v>
      </c>
      <c r="C237" s="6">
        <f>IFERROR(VLOOKUP(A237,[1]eco_bus_journals!$B:$D,3,0),"")</f>
        <v>15</v>
      </c>
      <c r="D237" s="37">
        <f>IFERROR(ROUND(VLOOKUP(A237,[1]eco_bus_journals!$B:$X,4,0),2),"")</f>
        <v>0.26</v>
      </c>
      <c r="E237" s="37">
        <f>_xlfn.RANK.EQ(D237,D:D)</f>
        <v>280</v>
      </c>
      <c r="F237" s="44">
        <f>IFERROR(ROUND(VLOOKUP(A237,[1]eco_journals!B:E,4,0),2),"")</f>
        <v>0.28000000000000003</v>
      </c>
      <c r="G237" s="40">
        <f>IFERROR(_xlfn.RANK.EQ(F237,F:F),"")</f>
        <v>104</v>
      </c>
      <c r="H237" s="46" t="str">
        <f>IFERROR(ROUND(VLOOKUP(A237,[1]fin_journals!B:E,4,0),2),"")</f>
        <v/>
      </c>
      <c r="I237" s="18" t="str">
        <f>IFERROR(_xlfn.RANK.EQ(H237,H:H),"")</f>
        <v/>
      </c>
      <c r="J237" s="42" t="str">
        <f>IFERROR(ROUND(VLOOKUP(A237,[1]bus_journals!B:E,4,0),2),"")</f>
        <v/>
      </c>
      <c r="K237" s="23" t="str">
        <f>IFERROR(_xlfn.RANK.EQ(J237,J:J),"")</f>
        <v/>
      </c>
      <c r="L237" s="43" t="str">
        <f>IFERROR(ROUND(VLOOKUP(A237,[1]man_journals!B:E,4,0),2),"")</f>
        <v/>
      </c>
      <c r="M237" s="26" t="str">
        <f>IFERROR(_xlfn.RANK.EQ(L237,L:L),"")</f>
        <v/>
      </c>
      <c r="N237" s="1" t="s">
        <v>1272</v>
      </c>
    </row>
    <row r="238" spans="1:17" x14ac:dyDescent="0.25">
      <c r="A238" t="s">
        <v>326</v>
      </c>
      <c r="B238" t="s">
        <v>1370</v>
      </c>
      <c r="C238" s="6">
        <f>IFERROR(VLOOKUP(A238,[1]eco_bus_journals!$B:$D,3,0),"")</f>
        <v>34</v>
      </c>
      <c r="D238" s="37">
        <f>IFERROR(ROUND(VLOOKUP(A238,[1]eco_bus_journals!$B:$X,4,0),2),"")</f>
        <v>0.28999999999999998</v>
      </c>
      <c r="E238" s="37">
        <f>_xlfn.RANK.EQ(D238,D:D)</f>
        <v>254</v>
      </c>
      <c r="F238" s="44">
        <f>IFERROR(ROUND(VLOOKUP(A238,[1]eco_journals!B:E,4,0),2),"")</f>
        <v>0.31</v>
      </c>
      <c r="G238" s="40">
        <f>IFERROR(_xlfn.RANK.EQ(F238,F:F),"")</f>
        <v>91</v>
      </c>
      <c r="H238" s="46" t="str">
        <f>IFERROR(ROUND(VLOOKUP(A238,[1]fin_journals!B:E,4,0),2),"")</f>
        <v/>
      </c>
      <c r="I238" s="18" t="str">
        <f>IFERROR(_xlfn.RANK.EQ(H238,H:H),"")</f>
        <v/>
      </c>
      <c r="J238" s="42" t="str">
        <f>IFERROR(ROUND(VLOOKUP(A238,[1]bus_journals!B:E,4,0),2),"")</f>
        <v/>
      </c>
      <c r="K238" s="23" t="str">
        <f>IFERROR(_xlfn.RANK.EQ(J238,J:J),"")</f>
        <v/>
      </c>
      <c r="L238" s="43" t="str">
        <f>IFERROR(ROUND(VLOOKUP(A238,[1]man_journals!B:E,4,0),2),"")</f>
        <v/>
      </c>
      <c r="M238" s="26" t="str">
        <f>IFERROR(_xlfn.RANK.EQ(L238,L:L),"")</f>
        <v/>
      </c>
      <c r="N238" s="1" t="s">
        <v>1272</v>
      </c>
      <c r="O238" t="s">
        <v>1279</v>
      </c>
      <c r="P238" t="s">
        <v>1280</v>
      </c>
      <c r="Q238" t="s">
        <v>1281</v>
      </c>
    </row>
    <row r="239" spans="1:17" x14ac:dyDescent="0.25">
      <c r="A239" t="s">
        <v>350</v>
      </c>
      <c r="B239" t="s">
        <v>1360</v>
      </c>
      <c r="C239" s="6">
        <f>IFERROR(VLOOKUP(A239,[1]eco_bus_journals!$B:$D,3,0),"")</f>
        <v>157</v>
      </c>
      <c r="D239" s="37">
        <f>IFERROR(ROUND(VLOOKUP(A239,[1]eco_bus_journals!$B:$X,4,0),2),"")</f>
        <v>0.28999999999999998</v>
      </c>
      <c r="E239" s="37">
        <f>_xlfn.RANK.EQ(D239,D:D)</f>
        <v>254</v>
      </c>
      <c r="F239" s="44">
        <f>IFERROR(ROUND(VLOOKUP(A239,[1]eco_journals!B:E,4,0),2),"")</f>
        <v>0.31</v>
      </c>
      <c r="G239" s="40">
        <f>IFERROR(_xlfn.RANK.EQ(F239,F:F),"")</f>
        <v>91</v>
      </c>
      <c r="H239" s="46" t="str">
        <f>IFERROR(ROUND(VLOOKUP(A239,[1]fin_journals!B:E,4,0),2),"")</f>
        <v/>
      </c>
      <c r="I239" s="18" t="str">
        <f>IFERROR(_xlfn.RANK.EQ(H239,H:H),"")</f>
        <v/>
      </c>
      <c r="J239" s="42" t="str">
        <f>IFERROR(ROUND(VLOOKUP(A239,[1]bus_journals!B:E,4,0),2),"")</f>
        <v/>
      </c>
      <c r="K239" s="23" t="str">
        <f>IFERROR(_xlfn.RANK.EQ(J239,J:J),"")</f>
        <v/>
      </c>
      <c r="L239" s="43" t="str">
        <f>IFERROR(ROUND(VLOOKUP(A239,[1]man_journals!B:E,4,0),2),"")</f>
        <v/>
      </c>
      <c r="M239" s="26" t="str">
        <f>IFERROR(_xlfn.RANK.EQ(L239,L:L),"")</f>
        <v/>
      </c>
      <c r="N239" s="1" t="s">
        <v>1272</v>
      </c>
      <c r="O239" t="s">
        <v>1296</v>
      </c>
      <c r="P239" t="s">
        <v>1297</v>
      </c>
    </row>
    <row r="240" spans="1:17" x14ac:dyDescent="0.25">
      <c r="A240" t="s">
        <v>209</v>
      </c>
      <c r="B240" t="s">
        <v>1362</v>
      </c>
      <c r="C240" s="6">
        <f>IFERROR(VLOOKUP(A240,[1]eco_bus_journals!$B:$D,3,0),"")</f>
        <v>61</v>
      </c>
      <c r="D240" s="37">
        <f>IFERROR(ROUND(VLOOKUP(A240,[1]eco_bus_journals!$B:$X,4,0),2),"")</f>
        <v>0.3</v>
      </c>
      <c r="E240" s="37">
        <f>_xlfn.RANK.EQ(D240,D:D)</f>
        <v>245</v>
      </c>
      <c r="F240" s="44">
        <f>IFERROR(ROUND(VLOOKUP(A240,[1]eco_journals!B:E,4,0),2),"")</f>
        <v>0.18</v>
      </c>
      <c r="G240" s="40">
        <f>IFERROR(_xlfn.RANK.EQ(F240,F:F),"")</f>
        <v>148</v>
      </c>
      <c r="H240" s="46">
        <f>IFERROR(ROUND(VLOOKUP(A240,[1]fin_journals!B:E,4,0),2),"")</f>
        <v>0.63</v>
      </c>
      <c r="I240" s="18">
        <f>IFERROR(_xlfn.RANK.EQ(H240,H:H),"")</f>
        <v>56</v>
      </c>
      <c r="J240" s="42" t="str">
        <f>IFERROR(ROUND(VLOOKUP(A240,[1]bus_journals!B:E,4,0),2),"")</f>
        <v/>
      </c>
      <c r="K240" s="23" t="str">
        <f>IFERROR(_xlfn.RANK.EQ(J240,J:J),"")</f>
        <v/>
      </c>
      <c r="L240" s="43" t="str">
        <f>IFERROR(ROUND(VLOOKUP(A240,[1]man_journals!B:E,4,0),2),"")</f>
        <v/>
      </c>
      <c r="M240" s="26" t="str">
        <f>IFERROR(_xlfn.RANK.EQ(L240,L:L),"")</f>
        <v/>
      </c>
      <c r="N240" s="3" t="s">
        <v>1274</v>
      </c>
      <c r="O240" s="1" t="s">
        <v>1272</v>
      </c>
    </row>
    <row r="241" spans="1:16" x14ac:dyDescent="0.25">
      <c r="A241" t="s">
        <v>196</v>
      </c>
      <c r="B241" t="s">
        <v>1362</v>
      </c>
      <c r="C241" s="6">
        <f>IFERROR(VLOOKUP(A241,[1]eco_bus_journals!$B:$D,3,0),"")</f>
        <v>204</v>
      </c>
      <c r="D241" s="37">
        <f>IFERROR(ROUND(VLOOKUP(A241,[1]eco_bus_journals!$B:$X,4,0),2),"")</f>
        <v>0.32</v>
      </c>
      <c r="E241" s="37">
        <f>_xlfn.RANK.EQ(D241,D:D)</f>
        <v>234</v>
      </c>
      <c r="F241" s="44" t="str">
        <f>IFERROR(ROUND(VLOOKUP(A241,[1]eco_journals!B:E,4,0),2),"")</f>
        <v/>
      </c>
      <c r="G241" s="40" t="str">
        <f>IFERROR(_xlfn.RANK.EQ(F241,F:F),"")</f>
        <v/>
      </c>
      <c r="H241" s="46">
        <f>IFERROR(ROUND(VLOOKUP(A241,[1]fin_journals!B:E,4,0),2),"")</f>
        <v>0.61</v>
      </c>
      <c r="I241" s="18">
        <f>IFERROR(_xlfn.RANK.EQ(H241,H:H),"")</f>
        <v>58</v>
      </c>
      <c r="J241" s="42" t="str">
        <f>IFERROR(ROUND(VLOOKUP(A241,[1]bus_journals!B:E,4,0),2),"")</f>
        <v/>
      </c>
      <c r="K241" s="23" t="str">
        <f>IFERROR(_xlfn.RANK.EQ(J241,J:J),"")</f>
        <v/>
      </c>
      <c r="L241" s="43" t="str">
        <f>IFERROR(ROUND(VLOOKUP(A241,[1]man_journals!B:E,4,0),2),"")</f>
        <v/>
      </c>
      <c r="M241" s="26" t="str">
        <f>IFERROR(_xlfn.RANK.EQ(L241,L:L),"")</f>
        <v/>
      </c>
      <c r="N241" s="3" t="s">
        <v>1274</v>
      </c>
    </row>
    <row r="242" spans="1:16" x14ac:dyDescent="0.25">
      <c r="A242" t="s">
        <v>242</v>
      </c>
      <c r="B242" t="s">
        <v>1358</v>
      </c>
      <c r="C242" s="6">
        <f>IFERROR(VLOOKUP(A242,[1]eco_bus_journals!$B:$D,3,0),"")</f>
        <v>36</v>
      </c>
      <c r="D242" s="37">
        <f>IFERROR(ROUND(VLOOKUP(A242,[1]eco_bus_journals!$B:$X,4,0),2),"")</f>
        <v>0.33</v>
      </c>
      <c r="E242" s="37">
        <f>_xlfn.RANK.EQ(D242,D:D)</f>
        <v>230</v>
      </c>
      <c r="F242" s="44">
        <f>IFERROR(ROUND(VLOOKUP(A242,[1]eco_journals!B:E,4,0),2),"")</f>
        <v>0.26</v>
      </c>
      <c r="G242" s="40">
        <f>IFERROR(_xlfn.RANK.EQ(F242,F:F),"")</f>
        <v>113</v>
      </c>
      <c r="H242" s="46" t="str">
        <f>IFERROR(ROUND(VLOOKUP(A242,[1]fin_journals!B:E,4,0),2),"")</f>
        <v/>
      </c>
      <c r="I242" s="18" t="str">
        <f>IFERROR(_xlfn.RANK.EQ(H242,H:H),"")</f>
        <v/>
      </c>
      <c r="J242" s="42">
        <f>IFERROR(ROUND(VLOOKUP(A242,[1]bus_journals!B:E,4,0),2),"")</f>
        <v>0.53</v>
      </c>
      <c r="K242" s="23">
        <f>IFERROR(_xlfn.RANK.EQ(J242,J:J),"")</f>
        <v>93</v>
      </c>
      <c r="L242" s="43" t="str">
        <f>IFERROR(ROUND(VLOOKUP(A242,[1]man_journals!B:E,4,0),2),"")</f>
        <v/>
      </c>
      <c r="M242" s="26" t="str">
        <f>IFERROR(_xlfn.RANK.EQ(L242,L:L),"")</f>
        <v/>
      </c>
      <c r="N242" s="2" t="s">
        <v>1273</v>
      </c>
      <c r="O242" s="1" t="s">
        <v>1272</v>
      </c>
      <c r="P242" t="s">
        <v>1305</v>
      </c>
    </row>
    <row r="243" spans="1:16" x14ac:dyDescent="0.25">
      <c r="A243" t="s">
        <v>174</v>
      </c>
      <c r="B243" t="s">
        <v>1360</v>
      </c>
      <c r="C243" s="6">
        <f>IFERROR(VLOOKUP(A243,[1]eco_bus_journals!$B:$D,3,0),"")</f>
        <v>239</v>
      </c>
      <c r="D243" s="37">
        <f>IFERROR(ROUND(VLOOKUP(A243,[1]eco_bus_journals!$B:$X,4,0),2),"")</f>
        <v>0.34</v>
      </c>
      <c r="E243" s="37">
        <f>_xlfn.RANK.EQ(D243,D:D)</f>
        <v>226</v>
      </c>
      <c r="F243" s="44" t="str">
        <f>IFERROR(ROUND(VLOOKUP(A243,[1]eco_journals!B:E,4,0),2),"")</f>
        <v/>
      </c>
      <c r="G243" s="40" t="str">
        <f>IFERROR(_xlfn.RANK.EQ(F243,F:F),"")</f>
        <v/>
      </c>
      <c r="H243" s="46" t="str">
        <f>IFERROR(ROUND(VLOOKUP(A243,[1]fin_journals!B:E,4,0),2),"")</f>
        <v/>
      </c>
      <c r="I243" s="18" t="str">
        <f>IFERROR(_xlfn.RANK.EQ(H243,H:H),"")</f>
        <v/>
      </c>
      <c r="J243" s="42">
        <f>IFERROR(ROUND(VLOOKUP(A243,[1]bus_journals!B:E,4,0),2),"")</f>
        <v>0.76</v>
      </c>
      <c r="K243" s="23">
        <f>IFERROR(_xlfn.RANK.EQ(J243,J:J),"")</f>
        <v>78</v>
      </c>
      <c r="L243" s="43">
        <f>IFERROR(ROUND(VLOOKUP(A243,[1]man_journals!B:E,4,0),2),"")</f>
        <v>0.65</v>
      </c>
      <c r="M243" s="26">
        <f>IFERROR(_xlfn.RANK.EQ(L243,L:L),"")</f>
        <v>78</v>
      </c>
      <c r="N243" s="2" t="s">
        <v>1273</v>
      </c>
      <c r="O243" t="s">
        <v>1293</v>
      </c>
      <c r="P243" s="4" t="s">
        <v>1275</v>
      </c>
    </row>
    <row r="244" spans="1:16" x14ac:dyDescent="0.25">
      <c r="A244" t="s">
        <v>203</v>
      </c>
      <c r="B244" t="s">
        <v>1360</v>
      </c>
      <c r="C244" s="6">
        <f>IFERROR(VLOOKUP(A244,[1]eco_bus_journals!$B:$D,3,0),"")</f>
        <v>62</v>
      </c>
      <c r="D244" s="37">
        <f>IFERROR(ROUND(VLOOKUP(A244,[1]eco_bus_journals!$B:$X,4,0),2),"")</f>
        <v>0.32</v>
      </c>
      <c r="E244" s="37">
        <f>_xlfn.RANK.EQ(D244,D:D)</f>
        <v>234</v>
      </c>
      <c r="F244" s="44" t="str">
        <f>IFERROR(ROUND(VLOOKUP(A244,[1]eco_journals!B:E,4,0),2),"")</f>
        <v/>
      </c>
      <c r="G244" s="40" t="str">
        <f>IFERROR(_xlfn.RANK.EQ(F244,F:F),"")</f>
        <v/>
      </c>
      <c r="H244" s="46" t="str">
        <f>IFERROR(ROUND(VLOOKUP(A244,[1]fin_journals!B:E,4,0),2),"")</f>
        <v/>
      </c>
      <c r="I244" s="18" t="str">
        <f>IFERROR(_xlfn.RANK.EQ(H244,H:H),"")</f>
        <v/>
      </c>
      <c r="J244" s="42" t="str">
        <f>IFERROR(ROUND(VLOOKUP(A244,[1]bus_journals!B:E,4,0),2),"")</f>
        <v/>
      </c>
      <c r="K244" s="23" t="str">
        <f>IFERROR(_xlfn.RANK.EQ(J244,J:J),"")</f>
        <v/>
      </c>
      <c r="L244" s="43">
        <f>IFERROR(ROUND(VLOOKUP(A244,[1]man_journals!B:E,4,0),2),"")</f>
        <v>0.66</v>
      </c>
      <c r="M244" s="26">
        <f>IFERROR(_xlfn.RANK.EQ(L244,L:L),"")</f>
        <v>76</v>
      </c>
      <c r="N244" s="4" t="s">
        <v>1275</v>
      </c>
    </row>
    <row r="245" spans="1:16" x14ac:dyDescent="0.25">
      <c r="A245" t="s">
        <v>328</v>
      </c>
      <c r="B245" t="s">
        <v>1360</v>
      </c>
      <c r="C245" s="6">
        <f>IFERROR(VLOOKUP(A245,[1]eco_bus_journals!$B:$D,3,0),"")</f>
        <v>45</v>
      </c>
      <c r="D245" s="37">
        <f>IFERROR(ROUND(VLOOKUP(A245,[1]eco_bus_journals!$B:$X,4,0),2),"")</f>
        <v>0.32</v>
      </c>
      <c r="E245" s="37">
        <f>_xlfn.RANK.EQ(D245,D:D)</f>
        <v>234</v>
      </c>
      <c r="F245" s="44">
        <f>IFERROR(ROUND(VLOOKUP(A245,[1]eco_journals!B:E,4,0),2),"")</f>
        <v>0.34</v>
      </c>
      <c r="G245" s="40">
        <f>IFERROR(_xlfn.RANK.EQ(F245,F:F),"")</f>
        <v>85</v>
      </c>
      <c r="H245" s="46" t="str">
        <f>IFERROR(ROUND(VLOOKUP(A245,[1]fin_journals!B:E,4,0),2),"")</f>
        <v/>
      </c>
      <c r="I245" s="18" t="str">
        <f>IFERROR(_xlfn.RANK.EQ(H245,H:H),"")</f>
        <v/>
      </c>
      <c r="J245" s="42" t="str">
        <f>IFERROR(ROUND(VLOOKUP(A245,[1]bus_journals!B:E,4,0),2),"")</f>
        <v/>
      </c>
      <c r="K245" s="23" t="str">
        <f>IFERROR(_xlfn.RANK.EQ(J245,J:J),"")</f>
        <v/>
      </c>
      <c r="L245" s="43" t="str">
        <f>IFERROR(ROUND(VLOOKUP(A245,[1]man_journals!B:E,4,0),2),"")</f>
        <v/>
      </c>
      <c r="M245" s="26" t="str">
        <f>IFERROR(_xlfn.RANK.EQ(L245,L:L),"")</f>
        <v/>
      </c>
      <c r="N245" s="1" t="s">
        <v>1272</v>
      </c>
    </row>
    <row r="246" spans="1:16" x14ac:dyDescent="0.25">
      <c r="A246" t="s">
        <v>161</v>
      </c>
      <c r="B246" t="s">
        <v>1363</v>
      </c>
      <c r="C246" s="6">
        <f>IFERROR(VLOOKUP(A246,[1]eco_bus_journals!$B:$D,3,0),"")</f>
        <v>66</v>
      </c>
      <c r="D246" s="37">
        <f>IFERROR(ROUND(VLOOKUP(A246,[1]eco_bus_journals!$B:$X,4,0),2),"")</f>
        <v>0.32</v>
      </c>
      <c r="E246" s="37">
        <f>_xlfn.RANK.EQ(D246,D:D)</f>
        <v>234</v>
      </c>
      <c r="F246" s="44" t="str">
        <f>IFERROR(ROUND(VLOOKUP(A246,[1]eco_journals!B:E,4,0),2),"")</f>
        <v/>
      </c>
      <c r="G246" s="40" t="str">
        <f>IFERROR(_xlfn.RANK.EQ(F246,F:F),"")</f>
        <v/>
      </c>
      <c r="H246" s="46" t="str">
        <f>IFERROR(ROUND(VLOOKUP(A246,[1]fin_journals!B:E,4,0),2),"")</f>
        <v/>
      </c>
      <c r="I246" s="18" t="str">
        <f>IFERROR(_xlfn.RANK.EQ(H246,H:H),"")</f>
        <v/>
      </c>
      <c r="J246" s="42">
        <f>IFERROR(ROUND(VLOOKUP(A246,[1]bus_journals!B:E,4,0),2),"")</f>
        <v>0.98</v>
      </c>
      <c r="K246" s="23">
        <f>IFERROR(_xlfn.RANK.EQ(J246,J:J),"")</f>
        <v>67</v>
      </c>
      <c r="L246" s="43">
        <f>IFERROR(ROUND(VLOOKUP(A246,[1]man_journals!B:E,4,0),2),"")</f>
        <v>0.54</v>
      </c>
      <c r="M246" s="26">
        <f>IFERROR(_xlfn.RANK.EQ(L246,L:L),"")</f>
        <v>92</v>
      </c>
      <c r="N246" s="2" t="s">
        <v>1273</v>
      </c>
      <c r="O246" s="4" t="s">
        <v>1275</v>
      </c>
    </row>
    <row r="247" spans="1:16" x14ac:dyDescent="0.25">
      <c r="A247" t="s">
        <v>178</v>
      </c>
      <c r="B247" t="s">
        <v>1363</v>
      </c>
      <c r="C247" s="6">
        <f>IFERROR(VLOOKUP(A247,[1]eco_bus_journals!$B:$D,3,0),"")</f>
        <v>110</v>
      </c>
      <c r="D247" s="37">
        <f>IFERROR(ROUND(VLOOKUP(A247,[1]eco_bus_journals!$B:$X,4,0),2),"")</f>
        <v>0.33</v>
      </c>
      <c r="E247" s="37">
        <f>_xlfn.RANK.EQ(D247,D:D)</f>
        <v>230</v>
      </c>
      <c r="F247" s="44" t="str">
        <f>IFERROR(ROUND(VLOOKUP(A247,[1]eco_journals!B:E,4,0),2),"")</f>
        <v/>
      </c>
      <c r="G247" s="40" t="str">
        <f>IFERROR(_xlfn.RANK.EQ(F247,F:F),"")</f>
        <v/>
      </c>
      <c r="H247" s="46" t="str">
        <f>IFERROR(ROUND(VLOOKUP(A247,[1]fin_journals!B:E,4,0),2),"")</f>
        <v/>
      </c>
      <c r="I247" s="18" t="str">
        <f>IFERROR(_xlfn.RANK.EQ(H247,H:H),"")</f>
        <v/>
      </c>
      <c r="J247" s="42">
        <f>IFERROR(ROUND(VLOOKUP(A247,[1]bus_journals!B:E,4,0),2),"")</f>
        <v>0.82</v>
      </c>
      <c r="K247" s="23">
        <f>IFERROR(_xlfn.RANK.EQ(J247,J:J),"")</f>
        <v>73</v>
      </c>
      <c r="L247" s="43">
        <f>IFERROR(ROUND(VLOOKUP(A247,[1]man_journals!B:E,4,0),2),"")</f>
        <v>0.73</v>
      </c>
      <c r="M247" s="26">
        <f>IFERROR(_xlfn.RANK.EQ(L247,L:L),"")</f>
        <v>73</v>
      </c>
      <c r="N247" s="2" t="s">
        <v>1273</v>
      </c>
      <c r="O247" s="4" t="s">
        <v>1275</v>
      </c>
    </row>
    <row r="248" spans="1:16" x14ac:dyDescent="0.25">
      <c r="A248" t="s">
        <v>137</v>
      </c>
      <c r="B248" t="s">
        <v>1372</v>
      </c>
      <c r="C248" s="6">
        <f>IFERROR(VLOOKUP(A248,[1]eco_bus_journals!$B:$D,3,0),"")</f>
        <v>20</v>
      </c>
      <c r="D248" s="37">
        <f>IFERROR(ROUND(VLOOKUP(A248,[1]eco_bus_journals!$B:$X,4,0),2),"")</f>
        <v>0.36</v>
      </c>
      <c r="E248" s="37">
        <f>_xlfn.RANK.EQ(D248,D:D)</f>
        <v>219</v>
      </c>
      <c r="F248" s="44" t="str">
        <f>IFERROR(ROUND(VLOOKUP(A248,[1]eco_journals!B:E,4,0),2),"")</f>
        <v/>
      </c>
      <c r="G248" s="40" t="str">
        <f>IFERROR(_xlfn.RANK.EQ(F248,F:F),"")</f>
        <v/>
      </c>
      <c r="H248" s="46" t="str">
        <f>IFERROR(ROUND(VLOOKUP(A248,[1]fin_journals!B:E,4,0),2),"")</f>
        <v/>
      </c>
      <c r="I248" s="18" t="str">
        <f>IFERROR(_xlfn.RANK.EQ(H248,H:H),"")</f>
        <v/>
      </c>
      <c r="J248" s="42">
        <f>IFERROR(ROUND(VLOOKUP(A248,[1]bus_journals!B:E,4,0),2),"")</f>
        <v>1.2</v>
      </c>
      <c r="K248" s="23">
        <f>IFERROR(_xlfn.RANK.EQ(J248,J:J),"")</f>
        <v>56</v>
      </c>
      <c r="L248" s="43" t="str">
        <f>IFERROR(ROUND(VLOOKUP(A248,[1]man_journals!B:E,4,0),2),"")</f>
        <v/>
      </c>
      <c r="M248" s="26" t="str">
        <f>IFERROR(_xlfn.RANK.EQ(L248,L:L),"")</f>
        <v/>
      </c>
      <c r="N248" s="2" t="s">
        <v>1273</v>
      </c>
      <c r="O248" t="s">
        <v>1303</v>
      </c>
    </row>
    <row r="249" spans="1:16" x14ac:dyDescent="0.25">
      <c r="A249" t="s">
        <v>206</v>
      </c>
      <c r="B249" t="s">
        <v>1372</v>
      </c>
      <c r="C249" s="6">
        <f>IFERROR(VLOOKUP(A249,[1]eco_bus_journals!$B:$D,3,0),"")</f>
        <v>191</v>
      </c>
      <c r="D249" s="37">
        <f>IFERROR(ROUND(VLOOKUP(A249,[1]eco_bus_journals!$B:$X,4,0),2),"")</f>
        <v>0.31</v>
      </c>
      <c r="E249" s="37">
        <f>_xlfn.RANK.EQ(D249,D:D)</f>
        <v>241</v>
      </c>
      <c r="F249" s="44" t="str">
        <f>IFERROR(ROUND(VLOOKUP(A249,[1]eco_journals!B:E,4,0),2),"")</f>
        <v/>
      </c>
      <c r="G249" s="40" t="str">
        <f>IFERROR(_xlfn.RANK.EQ(F249,F:F),"")</f>
        <v/>
      </c>
      <c r="H249" s="46" t="str">
        <f>IFERROR(ROUND(VLOOKUP(A249,[1]fin_journals!B:E,4,0),2),"")</f>
        <v/>
      </c>
      <c r="I249" s="18" t="str">
        <f>IFERROR(_xlfn.RANK.EQ(H249,H:H),"")</f>
        <v/>
      </c>
      <c r="J249" s="42" t="str">
        <f>IFERROR(ROUND(VLOOKUP(A249,[1]bus_journals!B:E,4,0),2),"")</f>
        <v/>
      </c>
      <c r="K249" s="23" t="str">
        <f>IFERROR(_xlfn.RANK.EQ(J249,J:J),"")</f>
        <v/>
      </c>
      <c r="L249" s="43">
        <f>IFERROR(ROUND(VLOOKUP(A249,[1]man_journals!B:E,4,0),2),"")</f>
        <v>0.72</v>
      </c>
      <c r="M249" s="26">
        <f>IFERROR(_xlfn.RANK.EQ(L249,L:L),"")</f>
        <v>74</v>
      </c>
      <c r="N249" s="4" t="s">
        <v>1275</v>
      </c>
    </row>
    <row r="250" spans="1:16" x14ac:dyDescent="0.25">
      <c r="A250" t="s">
        <v>274</v>
      </c>
      <c r="B250" t="s">
        <v>1363</v>
      </c>
      <c r="C250" s="6">
        <f>IFERROR(VLOOKUP(A250,[1]eco_bus_journals!$B:$D,3,0),"")</f>
        <v>34</v>
      </c>
      <c r="D250" s="37">
        <f>IFERROR(ROUND(VLOOKUP(A250,[1]eco_bus_journals!$B:$X,4,0),2),"")</f>
        <v>0.32</v>
      </c>
      <c r="E250" s="37">
        <f>_xlfn.RANK.EQ(D250,D:D)</f>
        <v>234</v>
      </c>
      <c r="F250" s="44" t="str">
        <f>IFERROR(ROUND(VLOOKUP(A250,[1]eco_journals!B:E,4,0),2),"")</f>
        <v/>
      </c>
      <c r="G250" s="40" t="str">
        <f>IFERROR(_xlfn.RANK.EQ(F250,F:F),"")</f>
        <v/>
      </c>
      <c r="H250" s="46">
        <f>IFERROR(ROUND(VLOOKUP(A250,[1]fin_journals!B:E,4,0),2),"")</f>
        <v>0.8</v>
      </c>
      <c r="I250" s="18">
        <f>IFERROR(_xlfn.RANK.EQ(H250,H:H),"")</f>
        <v>43</v>
      </c>
      <c r="J250" s="42" t="str">
        <f>IFERROR(ROUND(VLOOKUP(A250,[1]bus_journals!B:E,4,0),2),"")</f>
        <v/>
      </c>
      <c r="K250" s="23" t="str">
        <f>IFERROR(_xlfn.RANK.EQ(J250,J:J),"")</f>
        <v/>
      </c>
      <c r="L250" s="43" t="str">
        <f>IFERROR(ROUND(VLOOKUP(A250,[1]man_journals!B:E,4,0),2),"")</f>
        <v/>
      </c>
      <c r="M250" s="26" t="str">
        <f>IFERROR(_xlfn.RANK.EQ(L250,L:L),"")</f>
        <v/>
      </c>
      <c r="N250" s="3" t="s">
        <v>1274</v>
      </c>
    </row>
    <row r="251" spans="1:16" x14ac:dyDescent="0.25">
      <c r="A251" t="s">
        <v>211</v>
      </c>
      <c r="B251" t="s">
        <v>1370</v>
      </c>
      <c r="C251" s="6">
        <f>IFERROR(VLOOKUP(A251,[1]eco_bus_journals!$B:$D,3,0),"")</f>
        <v>43</v>
      </c>
      <c r="D251" s="37">
        <f>IFERROR(ROUND(VLOOKUP(A251,[1]eco_bus_journals!$B:$X,4,0),2),"")</f>
        <v>0.28000000000000003</v>
      </c>
      <c r="E251" s="37">
        <f>_xlfn.RANK.EQ(D251,D:D)</f>
        <v>264</v>
      </c>
      <c r="F251" s="44" t="str">
        <f>IFERROR(ROUND(VLOOKUP(A251,[1]eco_journals!B:E,4,0),2),"")</f>
        <v/>
      </c>
      <c r="G251" s="40" t="str">
        <f>IFERROR(_xlfn.RANK.EQ(F251,F:F),"")</f>
        <v/>
      </c>
      <c r="H251" s="46" t="str">
        <f>IFERROR(ROUND(VLOOKUP(A251,[1]fin_journals!B:E,4,0),2),"")</f>
        <v/>
      </c>
      <c r="I251" s="18" t="str">
        <f>IFERROR(_xlfn.RANK.EQ(H251,H:H),"")</f>
        <v/>
      </c>
      <c r="J251" s="42" t="str">
        <f>IFERROR(ROUND(VLOOKUP(A251,[1]bus_journals!B:E,4,0),2),"")</f>
        <v/>
      </c>
      <c r="K251" s="23" t="str">
        <f>IFERROR(_xlfn.RANK.EQ(J251,J:J),"")</f>
        <v/>
      </c>
      <c r="L251" s="43">
        <f>IFERROR(ROUND(VLOOKUP(A251,[1]man_journals!B:E,4,0),2),"")</f>
        <v>0.56000000000000005</v>
      </c>
      <c r="M251" s="26">
        <f>IFERROR(_xlfn.RANK.EQ(L251,L:L),"")</f>
        <v>91</v>
      </c>
      <c r="N251" s="4" t="s">
        <v>1275</v>
      </c>
    </row>
    <row r="252" spans="1:16" x14ac:dyDescent="0.25">
      <c r="A252" t="s">
        <v>199</v>
      </c>
      <c r="B252" t="s">
        <v>1363</v>
      </c>
      <c r="C252" s="6">
        <f>IFERROR(VLOOKUP(A252,[1]eco_bus_journals!$B:$D,3,0),"")</f>
        <v>89</v>
      </c>
      <c r="D252" s="37">
        <f>IFERROR(ROUND(VLOOKUP(A252,[1]eco_bus_journals!$B:$X,4,0),2),"")</f>
        <v>0.3</v>
      </c>
      <c r="E252" s="37">
        <f>_xlfn.RANK.EQ(D252,D:D)</f>
        <v>245</v>
      </c>
      <c r="F252" s="44" t="str">
        <f>IFERROR(ROUND(VLOOKUP(A252,[1]eco_journals!B:E,4,0),2),"")</f>
        <v/>
      </c>
      <c r="G252" s="40" t="str">
        <f>IFERROR(_xlfn.RANK.EQ(F252,F:F),"")</f>
        <v/>
      </c>
      <c r="H252" s="46" t="str">
        <f>IFERROR(ROUND(VLOOKUP(A252,[1]fin_journals!B:E,4,0),2),"")</f>
        <v/>
      </c>
      <c r="I252" s="18" t="str">
        <f>IFERROR(_xlfn.RANK.EQ(H252,H:H),"")</f>
        <v/>
      </c>
      <c r="J252" s="42" t="str">
        <f>IFERROR(ROUND(VLOOKUP(A252,[1]bus_journals!B:E,4,0),2),"")</f>
        <v/>
      </c>
      <c r="K252" s="23" t="str">
        <f>IFERROR(_xlfn.RANK.EQ(J252,J:J),"")</f>
        <v/>
      </c>
      <c r="L252" s="43">
        <f>IFERROR(ROUND(VLOOKUP(A252,[1]man_journals!B:E,4,0),2),"")</f>
        <v>0.6</v>
      </c>
      <c r="M252" s="26">
        <f>IFERROR(_xlfn.RANK.EQ(L252,L:L),"")</f>
        <v>88</v>
      </c>
      <c r="N252" s="4" t="s">
        <v>1275</v>
      </c>
    </row>
    <row r="253" spans="1:16" x14ac:dyDescent="0.25">
      <c r="A253" t="s">
        <v>239</v>
      </c>
      <c r="B253" t="s">
        <v>1360</v>
      </c>
      <c r="C253" s="6">
        <f>IFERROR(VLOOKUP(A253,[1]eco_bus_journals!$B:$D,3,0),"")</f>
        <v>24</v>
      </c>
      <c r="D253" s="37">
        <f>IFERROR(ROUND(VLOOKUP(A253,[1]eco_bus_journals!$B:$X,4,0),2),"")</f>
        <v>0.27</v>
      </c>
      <c r="E253" s="37">
        <f>_xlfn.RANK.EQ(D253,D:D)</f>
        <v>271</v>
      </c>
      <c r="F253" s="44" t="str">
        <f>IFERROR(ROUND(VLOOKUP(A253,[1]eco_journals!B:E,4,0),2),"")</f>
        <v/>
      </c>
      <c r="G253" s="40" t="str">
        <f>IFERROR(_xlfn.RANK.EQ(F253,F:F),"")</f>
        <v/>
      </c>
      <c r="H253" s="46">
        <f>IFERROR(ROUND(VLOOKUP(A253,[1]fin_journals!B:E,4,0),2),"")</f>
        <v>0.8</v>
      </c>
      <c r="I253" s="18">
        <f>IFERROR(_xlfn.RANK.EQ(H253,H:H),"")</f>
        <v>43</v>
      </c>
      <c r="J253" s="42" t="str">
        <f>IFERROR(ROUND(VLOOKUP(A253,[1]bus_journals!B:E,4,0),2),"")</f>
        <v/>
      </c>
      <c r="K253" s="23" t="str">
        <f>IFERROR(_xlfn.RANK.EQ(J253,J:J),"")</f>
        <v/>
      </c>
      <c r="L253" s="43" t="str">
        <f>IFERROR(ROUND(VLOOKUP(A253,[1]man_journals!B:E,4,0),2),"")</f>
        <v/>
      </c>
      <c r="M253" s="26" t="str">
        <f>IFERROR(_xlfn.RANK.EQ(L253,L:L),"")</f>
        <v/>
      </c>
      <c r="N253" s="3" t="s">
        <v>1274</v>
      </c>
    </row>
    <row r="254" spans="1:16" x14ac:dyDescent="0.25">
      <c r="A254" t="s">
        <v>325</v>
      </c>
      <c r="B254" t="s">
        <v>1360</v>
      </c>
      <c r="C254" s="6">
        <f>IFERROR(VLOOKUP(A254,[1]eco_bus_journals!$B:$D,3,0),"")</f>
        <v>55</v>
      </c>
      <c r="D254" s="37">
        <f>IFERROR(ROUND(VLOOKUP(A254,[1]eco_bus_journals!$B:$X,4,0),2),"")</f>
        <v>0.28999999999999998</v>
      </c>
      <c r="E254" s="37">
        <f>_xlfn.RANK.EQ(D254,D:D)</f>
        <v>254</v>
      </c>
      <c r="F254" s="44">
        <f>IFERROR(ROUND(VLOOKUP(A254,[1]eco_journals!B:E,4,0),2),"")</f>
        <v>0.3</v>
      </c>
      <c r="G254" s="40">
        <f>IFERROR(_xlfn.RANK.EQ(F254,F:F),"")</f>
        <v>96</v>
      </c>
      <c r="H254" s="46" t="str">
        <f>IFERROR(ROUND(VLOOKUP(A254,[1]fin_journals!B:E,4,0),2),"")</f>
        <v/>
      </c>
      <c r="I254" s="18" t="str">
        <f>IFERROR(_xlfn.RANK.EQ(H254,H:H),"")</f>
        <v/>
      </c>
      <c r="J254" s="42" t="str">
        <f>IFERROR(ROUND(VLOOKUP(A254,[1]bus_journals!B:E,4,0),2),"")</f>
        <v/>
      </c>
      <c r="K254" s="23" t="str">
        <f>IFERROR(_xlfn.RANK.EQ(J254,J:J),"")</f>
        <v/>
      </c>
      <c r="L254" s="43" t="str">
        <f>IFERROR(ROUND(VLOOKUP(A254,[1]man_journals!B:E,4,0),2),"")</f>
        <v/>
      </c>
      <c r="M254" s="26" t="str">
        <f>IFERROR(_xlfn.RANK.EQ(L254,L:L),"")</f>
        <v/>
      </c>
      <c r="N254" s="1" t="s">
        <v>1272</v>
      </c>
    </row>
    <row r="255" spans="1:16" x14ac:dyDescent="0.25">
      <c r="A255" t="s">
        <v>202</v>
      </c>
      <c r="B255" t="s">
        <v>1362</v>
      </c>
      <c r="C255" s="6">
        <f>IFERROR(VLOOKUP(A255,[1]eco_bus_journals!$B:$D,3,0),"")</f>
        <v>179</v>
      </c>
      <c r="D255" s="37">
        <f>IFERROR(ROUND(VLOOKUP(A255,[1]eco_bus_journals!$B:$X,4,0),2),"")</f>
        <v>0.28999999999999998</v>
      </c>
      <c r="E255" s="37">
        <f>_xlfn.RANK.EQ(D255,D:D)</f>
        <v>254</v>
      </c>
      <c r="F255" s="44">
        <f>IFERROR(ROUND(VLOOKUP(A255,[1]eco_journals!B:E,4,0),2),"")</f>
        <v>0.25</v>
      </c>
      <c r="G255" s="40">
        <f>IFERROR(_xlfn.RANK.EQ(F255,F:F),"")</f>
        <v>117</v>
      </c>
      <c r="H255" s="46" t="str">
        <f>IFERROR(ROUND(VLOOKUP(A255,[1]fin_journals!B:E,4,0),2),"")</f>
        <v/>
      </c>
      <c r="I255" s="18" t="str">
        <f>IFERROR(_xlfn.RANK.EQ(H255,H:H),"")</f>
        <v/>
      </c>
      <c r="J255" s="42" t="str">
        <f>IFERROR(ROUND(VLOOKUP(A255,[1]bus_journals!B:E,4,0),2),"")</f>
        <v/>
      </c>
      <c r="K255" s="23" t="str">
        <f>IFERROR(_xlfn.RANK.EQ(J255,J:J),"")</f>
        <v/>
      </c>
      <c r="L255" s="43" t="str">
        <f>IFERROR(ROUND(VLOOKUP(A255,[1]man_journals!B:E,4,0),2),"")</f>
        <v/>
      </c>
      <c r="M255" s="26" t="str">
        <f>IFERROR(_xlfn.RANK.EQ(L255,L:L),"")</f>
        <v/>
      </c>
      <c r="N255" s="1" t="s">
        <v>1272</v>
      </c>
    </row>
    <row r="256" spans="1:16" x14ac:dyDescent="0.25">
      <c r="A256" t="s">
        <v>229</v>
      </c>
      <c r="B256" t="s">
        <v>1372</v>
      </c>
      <c r="C256" s="6">
        <f>IFERROR(VLOOKUP(A256,[1]eco_bus_journals!$B:$D,3,0),"")</f>
        <v>59</v>
      </c>
      <c r="D256" s="37">
        <f>IFERROR(ROUND(VLOOKUP(A256,[1]eco_bus_journals!$B:$X,4,0),2),"")</f>
        <v>0.28000000000000003</v>
      </c>
      <c r="E256" s="37">
        <f>_xlfn.RANK.EQ(D256,D:D)</f>
        <v>264</v>
      </c>
      <c r="F256" s="44">
        <f>IFERROR(ROUND(VLOOKUP(A256,[1]eco_journals!B:E,4,0),2),"")</f>
        <v>0.15</v>
      </c>
      <c r="G256" s="40">
        <f>IFERROR(_xlfn.RANK.EQ(F256,F:F),"")</f>
        <v>170</v>
      </c>
      <c r="H256" s="46" t="str">
        <f>IFERROR(ROUND(VLOOKUP(A256,[1]fin_journals!B:E,4,0),2),"")</f>
        <v/>
      </c>
      <c r="I256" s="18" t="str">
        <f>IFERROR(_xlfn.RANK.EQ(H256,H:H),"")</f>
        <v/>
      </c>
      <c r="J256" s="42" t="str">
        <f>IFERROR(ROUND(VLOOKUP(A256,[1]bus_journals!B:E,4,0),2),"")</f>
        <v/>
      </c>
      <c r="K256" s="23" t="str">
        <f>IFERROR(_xlfn.RANK.EQ(J256,J:J),"")</f>
        <v/>
      </c>
      <c r="L256" s="43">
        <f>IFERROR(ROUND(VLOOKUP(A256,[1]man_journals!B:E,4,0),2),"")</f>
        <v>0.57999999999999996</v>
      </c>
      <c r="M256" s="26">
        <f>IFERROR(_xlfn.RANK.EQ(L256,L:L),"")</f>
        <v>89</v>
      </c>
      <c r="N256" s="1" t="s">
        <v>1272</v>
      </c>
      <c r="O256" s="4" t="s">
        <v>1275</v>
      </c>
    </row>
    <row r="257" spans="1:17" x14ac:dyDescent="0.25">
      <c r="A257" t="s">
        <v>294</v>
      </c>
      <c r="B257" t="s">
        <v>1372</v>
      </c>
      <c r="C257" s="6">
        <f>IFERROR(VLOOKUP(A257,[1]eco_bus_journals!$B:$D,3,0),"")</f>
        <v>24</v>
      </c>
      <c r="D257" s="37">
        <f>IFERROR(ROUND(VLOOKUP(A257,[1]eco_bus_journals!$B:$X,4,0),2),"")</f>
        <v>0.2</v>
      </c>
      <c r="E257" s="37">
        <f>_xlfn.RANK.EQ(D257,D:D)</f>
        <v>336</v>
      </c>
      <c r="F257" s="44" t="str">
        <f>IFERROR(ROUND(VLOOKUP(A257,[1]eco_journals!B:E,4,0),2),"")</f>
        <v/>
      </c>
      <c r="G257" s="40" t="str">
        <f>IFERROR(_xlfn.RANK.EQ(F257,F:F),"")</f>
        <v/>
      </c>
      <c r="H257" s="46" t="str">
        <f>IFERROR(ROUND(VLOOKUP(A257,[1]fin_journals!B:E,4,0),2),"")</f>
        <v/>
      </c>
      <c r="I257" s="18" t="str">
        <f>IFERROR(_xlfn.RANK.EQ(H257,H:H),"")</f>
        <v/>
      </c>
      <c r="J257" s="42" t="str">
        <f>IFERROR(ROUND(VLOOKUP(A257,[1]bus_journals!B:E,4,0),2),"")</f>
        <v/>
      </c>
      <c r="K257" s="23" t="str">
        <f>IFERROR(_xlfn.RANK.EQ(J257,J:J),"")</f>
        <v/>
      </c>
      <c r="L257" s="43">
        <f>IFERROR(ROUND(VLOOKUP(A257,[1]man_journals!B:E,4,0),2),"")</f>
        <v>0.4</v>
      </c>
      <c r="M257" s="26">
        <f>IFERROR(_xlfn.RANK.EQ(L257,L:L),"")</f>
        <v>111</v>
      </c>
      <c r="N257" s="4" t="s">
        <v>1275</v>
      </c>
    </row>
    <row r="258" spans="1:17" x14ac:dyDescent="0.25">
      <c r="A258" t="s">
        <v>232</v>
      </c>
      <c r="B258" t="s">
        <v>1362</v>
      </c>
      <c r="C258" s="6">
        <f>IFERROR(VLOOKUP(A258,[1]eco_bus_journals!$B:$D,3,0),"")</f>
        <v>62</v>
      </c>
      <c r="D258" s="37">
        <f>IFERROR(ROUND(VLOOKUP(A258,[1]eco_bus_journals!$B:$X,4,0),2),"")</f>
        <v>0.28999999999999998</v>
      </c>
      <c r="E258" s="37">
        <f>_xlfn.RANK.EQ(D258,D:D)</f>
        <v>254</v>
      </c>
      <c r="F258" s="44">
        <f>IFERROR(ROUND(VLOOKUP(A258,[1]eco_journals!B:E,4,0),2),"")</f>
        <v>0.17</v>
      </c>
      <c r="G258" s="40">
        <f>IFERROR(_xlfn.RANK.EQ(F258,F:F),"")</f>
        <v>155</v>
      </c>
      <c r="H258" s="46">
        <f>IFERROR(ROUND(VLOOKUP(A258,[1]fin_journals!B:E,4,0),2),"")</f>
        <v>0.55000000000000004</v>
      </c>
      <c r="I258" s="18">
        <f>IFERROR(_xlfn.RANK.EQ(H258,H:H),"")</f>
        <v>62</v>
      </c>
      <c r="J258" s="42" t="str">
        <f>IFERROR(ROUND(VLOOKUP(A258,[1]bus_journals!B:E,4,0),2),"")</f>
        <v/>
      </c>
      <c r="K258" s="23" t="str">
        <f>IFERROR(_xlfn.RANK.EQ(J258,J:J),"")</f>
        <v/>
      </c>
      <c r="L258" s="43" t="str">
        <f>IFERROR(ROUND(VLOOKUP(A258,[1]man_journals!B:E,4,0),2),"")</f>
        <v/>
      </c>
      <c r="M258" s="26" t="str">
        <f>IFERROR(_xlfn.RANK.EQ(L258,L:L),"")</f>
        <v/>
      </c>
      <c r="N258" s="3" t="s">
        <v>1274</v>
      </c>
      <c r="O258" s="1" t="s">
        <v>1272</v>
      </c>
    </row>
    <row r="259" spans="1:17" x14ac:dyDescent="0.25">
      <c r="A259" t="s">
        <v>368</v>
      </c>
      <c r="B259" t="s">
        <v>1370</v>
      </c>
      <c r="C259" s="6">
        <f>IFERROR(VLOOKUP(A259,[1]eco_bus_journals!$B:$D,3,0),"")</f>
        <v>27</v>
      </c>
      <c r="D259" s="37">
        <f>IFERROR(ROUND(VLOOKUP(A259,[1]eco_bus_journals!$B:$X,4,0),2),"")</f>
        <v>0.27</v>
      </c>
      <c r="E259" s="37">
        <f>_xlfn.RANK.EQ(D259,D:D)</f>
        <v>271</v>
      </c>
      <c r="F259" s="44">
        <f>IFERROR(ROUND(VLOOKUP(A259,[1]eco_journals!B:E,4,0),2),"")</f>
        <v>0.25</v>
      </c>
      <c r="G259" s="40">
        <f>IFERROR(_xlfn.RANK.EQ(F259,F:F),"")</f>
        <v>117</v>
      </c>
      <c r="H259" s="46">
        <f>IFERROR(ROUND(VLOOKUP(A259,[1]fin_journals!B:E,4,0),2),"")</f>
        <v>0.38</v>
      </c>
      <c r="I259" s="18">
        <f>IFERROR(_xlfn.RANK.EQ(H259,H:H),"")</f>
        <v>75</v>
      </c>
      <c r="J259" s="42" t="str">
        <f>IFERROR(ROUND(VLOOKUP(A259,[1]bus_journals!B:E,4,0),2),"")</f>
        <v/>
      </c>
      <c r="K259" s="23" t="str">
        <f>IFERROR(_xlfn.RANK.EQ(J259,J:J),"")</f>
        <v/>
      </c>
      <c r="L259" s="43" t="str">
        <f>IFERROR(ROUND(VLOOKUP(A259,[1]man_journals!B:E,4,0),2),"")</f>
        <v/>
      </c>
      <c r="M259" s="26" t="str">
        <f>IFERROR(_xlfn.RANK.EQ(L259,L:L),"")</f>
        <v/>
      </c>
      <c r="N259" s="3" t="s">
        <v>1274</v>
      </c>
      <c r="O259" s="1" t="s">
        <v>1272</v>
      </c>
    </row>
    <row r="260" spans="1:17" x14ac:dyDescent="0.25">
      <c r="A260" t="s">
        <v>186</v>
      </c>
      <c r="B260" t="s">
        <v>1371</v>
      </c>
      <c r="C260" s="6">
        <f>IFERROR(VLOOKUP(A260,[1]eco_bus_journals!$B:$D,3,0),"")</f>
        <v>99</v>
      </c>
      <c r="D260" s="37">
        <f>IFERROR(ROUND(VLOOKUP(A260,[1]eco_bus_journals!$B:$X,4,0),2),"")</f>
        <v>0.32</v>
      </c>
      <c r="E260" s="37">
        <f>_xlfn.RANK.EQ(D260,D:D)</f>
        <v>234</v>
      </c>
      <c r="F260" s="44" t="str">
        <f>IFERROR(ROUND(VLOOKUP(A260,[1]eco_journals!B:E,4,0),2),"")</f>
        <v/>
      </c>
      <c r="G260" s="40" t="str">
        <f>IFERROR(_xlfn.RANK.EQ(F260,F:F),"")</f>
        <v/>
      </c>
      <c r="H260" s="46" t="str">
        <f>IFERROR(ROUND(VLOOKUP(A260,[1]fin_journals!B:E,4,0),2),"")</f>
        <v/>
      </c>
      <c r="I260" s="18" t="str">
        <f>IFERROR(_xlfn.RANK.EQ(H260,H:H),"")</f>
        <v/>
      </c>
      <c r="J260" s="42">
        <f>IFERROR(ROUND(VLOOKUP(A260,[1]bus_journals!B:E,4,0),2),"")</f>
        <v>1.06</v>
      </c>
      <c r="K260" s="23">
        <f>IFERROR(_xlfn.RANK.EQ(J260,J:J),"")</f>
        <v>62</v>
      </c>
      <c r="L260" s="43">
        <f>IFERROR(ROUND(VLOOKUP(A260,[1]man_journals!B:E,4,0),2),"")</f>
        <v>0.41</v>
      </c>
      <c r="M260" s="26">
        <f>IFERROR(_xlfn.RANK.EQ(L260,L:L),"")</f>
        <v>108</v>
      </c>
      <c r="N260" s="2" t="s">
        <v>1273</v>
      </c>
      <c r="O260" s="4" t="s">
        <v>1275</v>
      </c>
    </row>
    <row r="261" spans="1:17" x14ac:dyDescent="0.25">
      <c r="A261" t="s">
        <v>300</v>
      </c>
      <c r="B261" t="s">
        <v>1358</v>
      </c>
      <c r="C261" s="6">
        <f>IFERROR(VLOOKUP(A261,[1]eco_bus_journals!$B:$D,3,0),"")</f>
        <v>25</v>
      </c>
      <c r="D261" s="37">
        <f>IFERROR(ROUND(VLOOKUP(A261,[1]eco_bus_journals!$B:$X,4,0),2),"")</f>
        <v>0.23</v>
      </c>
      <c r="E261" s="37">
        <f>_xlfn.RANK.EQ(D261,D:D)</f>
        <v>310</v>
      </c>
      <c r="F261" s="44" t="str">
        <f>IFERROR(ROUND(VLOOKUP(A261,[1]eco_journals!B:E,4,0),2),"")</f>
        <v/>
      </c>
      <c r="G261" s="40" t="str">
        <f>IFERROR(_xlfn.RANK.EQ(F261,F:F),"")</f>
        <v/>
      </c>
      <c r="H261" s="46" t="str">
        <f>IFERROR(ROUND(VLOOKUP(A261,[1]fin_journals!B:E,4,0),2),"")</f>
        <v/>
      </c>
      <c r="I261" s="18" t="str">
        <f>IFERROR(_xlfn.RANK.EQ(H261,H:H),"")</f>
        <v/>
      </c>
      <c r="J261" s="42" t="str">
        <f>IFERROR(ROUND(VLOOKUP(A261,[1]bus_journals!B:E,4,0),2),"")</f>
        <v/>
      </c>
      <c r="K261" s="23" t="str">
        <f>IFERROR(_xlfn.RANK.EQ(J261,J:J),"")</f>
        <v/>
      </c>
      <c r="L261" s="43">
        <f>IFERROR(ROUND(VLOOKUP(A261,[1]man_journals!B:E,4,0),2),"")</f>
        <v>0.5</v>
      </c>
      <c r="M261" s="26">
        <f>IFERROR(_xlfn.RANK.EQ(L261,L:L),"")</f>
        <v>95</v>
      </c>
      <c r="N261" t="s">
        <v>1289</v>
      </c>
      <c r="O261" s="4" t="s">
        <v>1275</v>
      </c>
    </row>
    <row r="262" spans="1:17" x14ac:dyDescent="0.25">
      <c r="A262" t="s">
        <v>266</v>
      </c>
      <c r="B262" t="s">
        <v>1372</v>
      </c>
      <c r="C262" s="6">
        <f>IFERROR(VLOOKUP(A262,[1]eco_bus_journals!$B:$D,3,0),"")</f>
        <v>46</v>
      </c>
      <c r="D262" s="37">
        <f>IFERROR(ROUND(VLOOKUP(A262,[1]eco_bus_journals!$B:$X,4,0),2),"")</f>
        <v>0.27</v>
      </c>
      <c r="E262" s="37">
        <f>_xlfn.RANK.EQ(D262,D:D)</f>
        <v>271</v>
      </c>
      <c r="F262" s="44" t="str">
        <f>IFERROR(ROUND(VLOOKUP(A262,[1]eco_journals!B:E,4,0),2),"")</f>
        <v/>
      </c>
      <c r="G262" s="40" t="str">
        <f>IFERROR(_xlfn.RANK.EQ(F262,F:F),"")</f>
        <v/>
      </c>
      <c r="H262" s="46">
        <f>IFERROR(ROUND(VLOOKUP(A262,[1]fin_journals!B:E,4,0),2),"")</f>
        <v>0.87</v>
      </c>
      <c r="I262" s="18">
        <f>IFERROR(_xlfn.RANK.EQ(H262,H:H),"")</f>
        <v>41</v>
      </c>
      <c r="J262" s="42" t="str">
        <f>IFERROR(ROUND(VLOOKUP(A262,[1]bus_journals!B:E,4,0),2),"")</f>
        <v/>
      </c>
      <c r="K262" s="23" t="str">
        <f>IFERROR(_xlfn.RANK.EQ(J262,J:J),"")</f>
        <v/>
      </c>
      <c r="L262" s="43" t="str">
        <f>IFERROR(ROUND(VLOOKUP(A262,[1]man_journals!B:E,4,0),2),"")</f>
        <v/>
      </c>
      <c r="M262" s="26" t="str">
        <f>IFERROR(_xlfn.RANK.EQ(L262,L:L),"")</f>
        <v/>
      </c>
      <c r="N262" s="3" t="s">
        <v>1274</v>
      </c>
    </row>
    <row r="263" spans="1:17" x14ac:dyDescent="0.25">
      <c r="A263" t="s">
        <v>268</v>
      </c>
      <c r="B263" t="s">
        <v>1362</v>
      </c>
      <c r="C263" s="6">
        <f>IFERROR(VLOOKUP(A263,[1]eco_bus_journals!$B:$D,3,0),"")</f>
        <v>255</v>
      </c>
      <c r="D263" s="37">
        <f>IFERROR(ROUND(VLOOKUP(A263,[1]eco_bus_journals!$B:$X,4,0),2),"")</f>
        <v>0.26</v>
      </c>
      <c r="E263" s="37">
        <f>_xlfn.RANK.EQ(D263,D:D)</f>
        <v>280</v>
      </c>
      <c r="F263" s="44">
        <f>IFERROR(ROUND(VLOOKUP(A263,[1]eco_journals!B:E,4,0),2),"")</f>
        <v>0.24</v>
      </c>
      <c r="G263" s="40">
        <f>IFERROR(_xlfn.RANK.EQ(F263,F:F),"")</f>
        <v>120</v>
      </c>
      <c r="H263" s="46" t="str">
        <f>IFERROR(ROUND(VLOOKUP(A263,[1]fin_journals!B:E,4,0),2),"")</f>
        <v/>
      </c>
      <c r="I263" s="18" t="str">
        <f>IFERROR(_xlfn.RANK.EQ(H263,H:H),"")</f>
        <v/>
      </c>
      <c r="J263" s="42" t="str">
        <f>IFERROR(ROUND(VLOOKUP(A263,[1]bus_journals!B:E,4,0),2),"")</f>
        <v/>
      </c>
      <c r="K263" s="23" t="str">
        <f>IFERROR(_xlfn.RANK.EQ(J263,J:J),"")</f>
        <v/>
      </c>
      <c r="L263" s="43" t="str">
        <f>IFERROR(ROUND(VLOOKUP(A263,[1]man_journals!B:E,4,0),2),"")</f>
        <v/>
      </c>
      <c r="M263" s="26" t="str">
        <f>IFERROR(_xlfn.RANK.EQ(L263,L:L),"")</f>
        <v/>
      </c>
      <c r="N263" t="s">
        <v>1307</v>
      </c>
      <c r="O263" s="1" t="s">
        <v>1272</v>
      </c>
      <c r="P263" t="s">
        <v>1308</v>
      </c>
      <c r="Q263" t="s">
        <v>1293</v>
      </c>
    </row>
    <row r="264" spans="1:17" x14ac:dyDescent="0.25">
      <c r="A264" t="s">
        <v>245</v>
      </c>
      <c r="B264" t="s">
        <v>1372</v>
      </c>
      <c r="C264" s="6">
        <f>IFERROR(VLOOKUP(A264,[1]eco_bus_journals!$B:$D,3,0),"")</f>
        <v>114</v>
      </c>
      <c r="D264" s="37">
        <f>IFERROR(ROUND(VLOOKUP(A264,[1]eco_bus_journals!$B:$X,4,0),2),"")</f>
        <v>0.27</v>
      </c>
      <c r="E264" s="37">
        <f>_xlfn.RANK.EQ(D264,D:D)</f>
        <v>271</v>
      </c>
      <c r="F264" s="44" t="str">
        <f>IFERROR(ROUND(VLOOKUP(A264,[1]eco_journals!B:E,4,0),2),"")</f>
        <v/>
      </c>
      <c r="G264" s="40" t="str">
        <f>IFERROR(_xlfn.RANK.EQ(F264,F:F),"")</f>
        <v/>
      </c>
      <c r="H264" s="46">
        <f>IFERROR(ROUND(VLOOKUP(A264,[1]fin_journals!B:E,4,0),2),"")</f>
        <v>0.46</v>
      </c>
      <c r="I264" s="18">
        <f>IFERROR(_xlfn.RANK.EQ(H264,H:H),"")</f>
        <v>70</v>
      </c>
      <c r="J264" s="42" t="str">
        <f>IFERROR(ROUND(VLOOKUP(A264,[1]bus_journals!B:E,4,0),2),"")</f>
        <v/>
      </c>
      <c r="K264" s="23" t="str">
        <f>IFERROR(_xlfn.RANK.EQ(J264,J:J),"")</f>
        <v/>
      </c>
      <c r="L264" s="43" t="str">
        <f>IFERROR(ROUND(VLOOKUP(A264,[1]man_journals!B:E,4,0),2),"")</f>
        <v/>
      </c>
      <c r="M264" s="26" t="str">
        <f>IFERROR(_xlfn.RANK.EQ(L264,L:L),"")</f>
        <v/>
      </c>
      <c r="N264" s="3" t="s">
        <v>1274</v>
      </c>
    </row>
    <row r="265" spans="1:17" x14ac:dyDescent="0.25">
      <c r="A265" t="s">
        <v>247</v>
      </c>
      <c r="B265" t="s">
        <v>1361</v>
      </c>
      <c r="C265" s="6">
        <f>IFERROR(VLOOKUP(A265,[1]eco_bus_journals!$B:$D,3,0),"")</f>
        <v>70</v>
      </c>
      <c r="D265" s="37">
        <f>IFERROR(ROUND(VLOOKUP(A265,[1]eco_bus_journals!$B:$X,4,0),2),"")</f>
        <v>0.28999999999999998</v>
      </c>
      <c r="E265" s="37">
        <f>_xlfn.RANK.EQ(D265,D:D)</f>
        <v>254</v>
      </c>
      <c r="F265" s="44">
        <f>IFERROR(ROUND(VLOOKUP(A265,[1]eco_journals!B:E,4,0),2),"")</f>
        <v>0.15</v>
      </c>
      <c r="G265" s="40">
        <f>IFERROR(_xlfn.RANK.EQ(F265,F:F),"")</f>
        <v>170</v>
      </c>
      <c r="H265" s="46" t="str">
        <f>IFERROR(ROUND(VLOOKUP(A265,[1]fin_journals!B:E,4,0),2),"")</f>
        <v/>
      </c>
      <c r="I265" s="18" t="str">
        <f>IFERROR(_xlfn.RANK.EQ(H265,H:H),"")</f>
        <v/>
      </c>
      <c r="J265" s="42">
        <f>IFERROR(ROUND(VLOOKUP(A265,[1]bus_journals!B:E,4,0),2),"")</f>
        <v>0.56999999999999995</v>
      </c>
      <c r="K265" s="23">
        <f>IFERROR(_xlfn.RANK.EQ(J265,J:J),"")</f>
        <v>88</v>
      </c>
      <c r="L265" s="43">
        <f>IFERROR(ROUND(VLOOKUP(A265,[1]man_journals!B:E,4,0),2),"")</f>
        <v>0.53</v>
      </c>
      <c r="M265" s="26">
        <f>IFERROR(_xlfn.RANK.EQ(L265,L:L),"")</f>
        <v>94</v>
      </c>
      <c r="N265" s="2" t="s">
        <v>1273</v>
      </c>
      <c r="O265" s="1" t="s">
        <v>1272</v>
      </c>
      <c r="P265" s="4" t="s">
        <v>1275</v>
      </c>
    </row>
    <row r="266" spans="1:17" x14ac:dyDescent="0.25">
      <c r="A266" t="s">
        <v>181</v>
      </c>
      <c r="B266" t="s">
        <v>1364</v>
      </c>
      <c r="C266" s="6">
        <f>IFERROR(VLOOKUP(A266,[1]eco_bus_journals!$B:$D,3,0),"")</f>
        <v>46</v>
      </c>
      <c r="D266" s="37">
        <f>IFERROR(ROUND(VLOOKUP(A266,[1]eco_bus_journals!$B:$X,4,0),2),"")</f>
        <v>0.3</v>
      </c>
      <c r="E266" s="37">
        <f>_xlfn.RANK.EQ(D266,D:D)</f>
        <v>245</v>
      </c>
      <c r="F266" s="44" t="str">
        <f>IFERROR(ROUND(VLOOKUP(A266,[1]eco_journals!B:E,4,0),2),"")</f>
        <v/>
      </c>
      <c r="G266" s="40" t="str">
        <f>IFERROR(_xlfn.RANK.EQ(F266,F:F),"")</f>
        <v/>
      </c>
      <c r="H266" s="46" t="str">
        <f>IFERROR(ROUND(VLOOKUP(A266,[1]fin_journals!B:E,4,0),2),"")</f>
        <v/>
      </c>
      <c r="I266" s="18" t="str">
        <f>IFERROR(_xlfn.RANK.EQ(H266,H:H),"")</f>
        <v/>
      </c>
      <c r="J266" s="42">
        <f>IFERROR(ROUND(VLOOKUP(A266,[1]bus_journals!B:E,4,0),2),"")</f>
        <v>0.92</v>
      </c>
      <c r="K266" s="23">
        <f>IFERROR(_xlfn.RANK.EQ(J266,J:J),"")</f>
        <v>69</v>
      </c>
      <c r="L266" s="43">
        <f>IFERROR(ROUND(VLOOKUP(A266,[1]man_journals!B:E,4,0),2),"")</f>
        <v>0.42</v>
      </c>
      <c r="M266" s="26">
        <f>IFERROR(_xlfn.RANK.EQ(L266,L:L),"")</f>
        <v>105</v>
      </c>
      <c r="N266" s="2" t="s">
        <v>1273</v>
      </c>
      <c r="O266" s="4" t="s">
        <v>1275</v>
      </c>
    </row>
    <row r="267" spans="1:17" x14ac:dyDescent="0.25">
      <c r="A267" t="s">
        <v>332</v>
      </c>
      <c r="B267" t="s">
        <v>1361</v>
      </c>
      <c r="C267" s="6">
        <f>IFERROR(VLOOKUP(A267,[1]eco_bus_journals!$B:$D,3,0),"")</f>
        <v>17</v>
      </c>
      <c r="D267" s="37">
        <f>IFERROR(ROUND(VLOOKUP(A267,[1]eco_bus_journals!$B:$X,4,0),2),"")</f>
        <v>0.3</v>
      </c>
      <c r="E267" s="37">
        <f>_xlfn.RANK.EQ(D267,D:D)</f>
        <v>245</v>
      </c>
      <c r="F267" s="44">
        <f>IFERROR(ROUND(VLOOKUP(A267,[1]eco_journals!B:E,4,0),2),"")</f>
        <v>0.22</v>
      </c>
      <c r="G267" s="40">
        <f>IFERROR(_xlfn.RANK.EQ(F267,F:F),"")</f>
        <v>128</v>
      </c>
      <c r="H267" s="46" t="str">
        <f>IFERROR(ROUND(VLOOKUP(A267,[1]fin_journals!B:E,4,0),2),"")</f>
        <v/>
      </c>
      <c r="I267" s="18" t="str">
        <f>IFERROR(_xlfn.RANK.EQ(H267,H:H),"")</f>
        <v/>
      </c>
      <c r="J267" s="42" t="str">
        <f>IFERROR(ROUND(VLOOKUP(A267,[1]bus_journals!B:E,4,0),2),"")</f>
        <v/>
      </c>
      <c r="K267" s="23" t="str">
        <f>IFERROR(_xlfn.RANK.EQ(J267,J:J),"")</f>
        <v/>
      </c>
      <c r="L267" s="43" t="str">
        <f>IFERROR(ROUND(VLOOKUP(A267,[1]man_journals!B:E,4,0),2),"")</f>
        <v/>
      </c>
      <c r="M267" s="26" t="str">
        <f>IFERROR(_xlfn.RANK.EQ(L267,L:L),"")</f>
        <v/>
      </c>
      <c r="N267" s="1" t="s">
        <v>1272</v>
      </c>
      <c r="O267" t="s">
        <v>1295</v>
      </c>
    </row>
    <row r="268" spans="1:17" x14ac:dyDescent="0.25">
      <c r="A268" t="s">
        <v>142</v>
      </c>
      <c r="B268" t="s">
        <v>1376</v>
      </c>
      <c r="C268" s="6">
        <f>IFERROR(VLOOKUP(A268,[1]eco_bus_journals!$B:$D,3,0),"")</f>
        <v>16</v>
      </c>
      <c r="D268" s="37">
        <f>IFERROR(ROUND(VLOOKUP(A268,[1]eco_bus_journals!$B:$X,4,0),2),"")</f>
        <v>0.28999999999999998</v>
      </c>
      <c r="E268" s="37">
        <f>_xlfn.RANK.EQ(D268,D:D)</f>
        <v>254</v>
      </c>
      <c r="F268" s="44" t="str">
        <f>IFERROR(ROUND(VLOOKUP(A268,[1]eco_journals!B:E,4,0),2),"")</f>
        <v/>
      </c>
      <c r="G268" s="40" t="str">
        <f>IFERROR(_xlfn.RANK.EQ(F268,F:F),"")</f>
        <v/>
      </c>
      <c r="H268" s="46" t="str">
        <f>IFERROR(ROUND(VLOOKUP(A268,[1]fin_journals!B:E,4,0),2),"")</f>
        <v/>
      </c>
      <c r="I268" s="18" t="str">
        <f>IFERROR(_xlfn.RANK.EQ(H268,H:H),"")</f>
        <v/>
      </c>
      <c r="J268" s="42">
        <f>IFERROR(ROUND(VLOOKUP(A268,[1]bus_journals!B:E,4,0),2),"")</f>
        <v>1.02</v>
      </c>
      <c r="K268" s="23">
        <f>IFERROR(_xlfn.RANK.EQ(J268,J:J),"")</f>
        <v>65</v>
      </c>
      <c r="L268" s="43" t="str">
        <f>IFERROR(ROUND(VLOOKUP(A268,[1]man_journals!B:E,4,0),2),"")</f>
        <v/>
      </c>
      <c r="M268" s="26" t="str">
        <f>IFERROR(_xlfn.RANK.EQ(L268,L:L),"")</f>
        <v/>
      </c>
      <c r="N268" s="2" t="s">
        <v>1273</v>
      </c>
    </row>
    <row r="269" spans="1:17" x14ac:dyDescent="0.25">
      <c r="A269" t="s">
        <v>231</v>
      </c>
      <c r="B269" t="s">
        <v>1360</v>
      </c>
      <c r="C269" s="6">
        <f>IFERROR(VLOOKUP(A269,[1]eco_bus_journals!$B:$D,3,0),"")</f>
        <v>24</v>
      </c>
      <c r="D269" s="37">
        <f>IFERROR(ROUND(VLOOKUP(A269,[1]eco_bus_journals!$B:$X,4,0),2),"")</f>
        <v>0.28000000000000003</v>
      </c>
      <c r="E269" s="37">
        <f>_xlfn.RANK.EQ(D269,D:D)</f>
        <v>264</v>
      </c>
      <c r="F269" s="44" t="str">
        <f>IFERROR(ROUND(VLOOKUP(A269,[1]eco_journals!B:E,4,0),2),"")</f>
        <v/>
      </c>
      <c r="G269" s="40" t="str">
        <f>IFERROR(_xlfn.RANK.EQ(F269,F:F),"")</f>
        <v/>
      </c>
      <c r="H269" s="46">
        <f>IFERROR(ROUND(VLOOKUP(A269,[1]fin_journals!B:E,4,0),2),"")</f>
        <v>0.75</v>
      </c>
      <c r="I269" s="18">
        <f>IFERROR(_xlfn.RANK.EQ(H269,H:H),"")</f>
        <v>47</v>
      </c>
      <c r="J269" s="42" t="str">
        <f>IFERROR(ROUND(VLOOKUP(A269,[1]bus_journals!B:E,4,0),2),"")</f>
        <v/>
      </c>
      <c r="K269" s="23" t="str">
        <f>IFERROR(_xlfn.RANK.EQ(J269,J:J),"")</f>
        <v/>
      </c>
      <c r="L269" s="43" t="str">
        <f>IFERROR(ROUND(VLOOKUP(A269,[1]man_journals!B:E,4,0),2),"")</f>
        <v/>
      </c>
      <c r="M269" s="26" t="str">
        <f>IFERROR(_xlfn.RANK.EQ(L269,L:L),"")</f>
        <v/>
      </c>
      <c r="N269" s="3" t="s">
        <v>1274</v>
      </c>
    </row>
    <row r="270" spans="1:17" x14ac:dyDescent="0.25">
      <c r="A270" t="s">
        <v>252</v>
      </c>
      <c r="B270" t="s">
        <v>1358</v>
      </c>
      <c r="C270" s="6">
        <f>IFERROR(VLOOKUP(A270,[1]eco_bus_journals!$B:$D,3,0),"")</f>
        <v>66</v>
      </c>
      <c r="D270" s="37">
        <f>IFERROR(ROUND(VLOOKUP(A270,[1]eco_bus_journals!$B:$X,4,0),2),"")</f>
        <v>0.3</v>
      </c>
      <c r="E270" s="37">
        <f>_xlfn.RANK.EQ(D270,D:D)</f>
        <v>245</v>
      </c>
      <c r="F270" s="44" t="str">
        <f>IFERROR(ROUND(VLOOKUP(A270,[1]eco_journals!B:E,4,0),2),"")</f>
        <v/>
      </c>
      <c r="G270" s="40" t="str">
        <f>IFERROR(_xlfn.RANK.EQ(F270,F:F),"")</f>
        <v/>
      </c>
      <c r="H270" s="46" t="str">
        <f>IFERROR(ROUND(VLOOKUP(A270,[1]fin_journals!B:E,4,0),2),"")</f>
        <v/>
      </c>
      <c r="I270" s="18" t="str">
        <f>IFERROR(_xlfn.RANK.EQ(H270,H:H),"")</f>
        <v/>
      </c>
      <c r="J270" s="42">
        <f>IFERROR(ROUND(VLOOKUP(A270,[1]bus_journals!B:E,4,0),2),"")</f>
        <v>0.96</v>
      </c>
      <c r="K270" s="23">
        <f>IFERROR(_xlfn.RANK.EQ(J270,J:J),"")</f>
        <v>68</v>
      </c>
      <c r="L270" s="43" t="str">
        <f>IFERROR(ROUND(VLOOKUP(A270,[1]man_journals!B:E,4,0),2),"")</f>
        <v/>
      </c>
      <c r="M270" s="26" t="str">
        <f>IFERROR(_xlfn.RANK.EQ(L270,L:L),"")</f>
        <v/>
      </c>
      <c r="N270" s="2" t="s">
        <v>1273</v>
      </c>
    </row>
    <row r="271" spans="1:17" x14ac:dyDescent="0.25">
      <c r="A271" t="s">
        <v>422</v>
      </c>
      <c r="B271" t="s">
        <v>1360</v>
      </c>
      <c r="C271" s="6">
        <f>IFERROR(VLOOKUP(A271,[1]eco_bus_journals!$B:$D,3,0),"")</f>
        <v>73</v>
      </c>
      <c r="D271" s="37">
        <f>IFERROR(ROUND(VLOOKUP(A271,[1]eco_bus_journals!$B:$X,4,0),2),"")</f>
        <v>0.27</v>
      </c>
      <c r="E271" s="37">
        <f>_xlfn.RANK.EQ(D271,D:D)</f>
        <v>271</v>
      </c>
      <c r="F271" s="44">
        <f>IFERROR(ROUND(VLOOKUP(A271,[1]eco_journals!B:E,4,0),2),"")</f>
        <v>0.28999999999999998</v>
      </c>
      <c r="G271" s="40">
        <f>IFERROR(_xlfn.RANK.EQ(F271,F:F),"")</f>
        <v>101</v>
      </c>
      <c r="H271" s="46" t="str">
        <f>IFERROR(ROUND(VLOOKUP(A271,[1]fin_journals!B:E,4,0),2),"")</f>
        <v/>
      </c>
      <c r="I271" s="18" t="str">
        <f>IFERROR(_xlfn.RANK.EQ(H271,H:H),"")</f>
        <v/>
      </c>
      <c r="J271" s="42" t="str">
        <f>IFERROR(ROUND(VLOOKUP(A271,[1]bus_journals!B:E,4,0),2),"")</f>
        <v/>
      </c>
      <c r="K271" s="23" t="str">
        <f>IFERROR(_xlfn.RANK.EQ(J271,J:J),"")</f>
        <v/>
      </c>
      <c r="L271" s="43" t="str">
        <f>IFERROR(ROUND(VLOOKUP(A271,[1]man_journals!B:E,4,0),2),"")</f>
        <v/>
      </c>
      <c r="M271" s="26" t="str">
        <f>IFERROR(_xlfn.RANK.EQ(L271,L:L),"")</f>
        <v/>
      </c>
      <c r="N271" s="1" t="s">
        <v>1272</v>
      </c>
    </row>
    <row r="272" spans="1:17" x14ac:dyDescent="0.25">
      <c r="A272" t="s">
        <v>222</v>
      </c>
      <c r="B272" t="s">
        <v>1363</v>
      </c>
      <c r="C272" s="6">
        <f>IFERROR(VLOOKUP(A272,[1]eco_bus_journals!$B:$D,3,0),"")</f>
        <v>117</v>
      </c>
      <c r="D272" s="37">
        <f>IFERROR(ROUND(VLOOKUP(A272,[1]eco_bus_journals!$B:$X,4,0),2),"")</f>
        <v>0.31</v>
      </c>
      <c r="E272" s="37">
        <f>_xlfn.RANK.EQ(D272,D:D)</f>
        <v>241</v>
      </c>
      <c r="F272" s="44" t="str">
        <f>IFERROR(ROUND(VLOOKUP(A272,[1]eco_journals!B:E,4,0),2),"")</f>
        <v/>
      </c>
      <c r="G272" s="40" t="str">
        <f>IFERROR(_xlfn.RANK.EQ(F272,F:F),"")</f>
        <v/>
      </c>
      <c r="H272" s="46" t="str">
        <f>IFERROR(ROUND(VLOOKUP(A272,[1]fin_journals!B:E,4,0),2),"")</f>
        <v/>
      </c>
      <c r="I272" s="18" t="str">
        <f>IFERROR(_xlfn.RANK.EQ(H272,H:H),"")</f>
        <v/>
      </c>
      <c r="J272" s="42" t="str">
        <f>IFERROR(ROUND(VLOOKUP(A272,[1]bus_journals!B:E,4,0),2),"")</f>
        <v/>
      </c>
      <c r="K272" s="23" t="str">
        <f>IFERROR(_xlfn.RANK.EQ(J272,J:J),"")</f>
        <v/>
      </c>
      <c r="L272" s="43">
        <f>IFERROR(ROUND(VLOOKUP(A272,[1]man_journals!B:E,4,0),2),"")</f>
        <v>0.61</v>
      </c>
      <c r="M272" s="26">
        <f>IFERROR(_xlfn.RANK.EQ(L272,L:L),"")</f>
        <v>83</v>
      </c>
      <c r="N272" s="4" t="s">
        <v>1275</v>
      </c>
    </row>
    <row r="273" spans="1:18" x14ac:dyDescent="0.25">
      <c r="A273" t="s">
        <v>318</v>
      </c>
      <c r="B273" t="s">
        <v>1360</v>
      </c>
      <c r="C273" s="6">
        <f>IFERROR(VLOOKUP(A273,[1]eco_bus_journals!$B:$D,3,0),"")</f>
        <v>60</v>
      </c>
      <c r="D273" s="37">
        <f>IFERROR(ROUND(VLOOKUP(A273,[1]eco_bus_journals!$B:$X,4,0),2),"")</f>
        <v>0.28000000000000003</v>
      </c>
      <c r="E273" s="37">
        <f>_xlfn.RANK.EQ(D273,D:D)</f>
        <v>264</v>
      </c>
      <c r="F273" s="44">
        <f>IFERROR(ROUND(VLOOKUP(A273,[1]eco_journals!B:E,4,0),2),"")</f>
        <v>0.3</v>
      </c>
      <c r="G273" s="40">
        <f>IFERROR(_xlfn.RANK.EQ(F273,F:F),"")</f>
        <v>96</v>
      </c>
      <c r="H273" s="46" t="str">
        <f>IFERROR(ROUND(VLOOKUP(A273,[1]fin_journals!B:E,4,0),2),"")</f>
        <v/>
      </c>
      <c r="I273" s="18" t="str">
        <f>IFERROR(_xlfn.RANK.EQ(H273,H:H),"")</f>
        <v/>
      </c>
      <c r="J273" s="42" t="str">
        <f>IFERROR(ROUND(VLOOKUP(A273,[1]bus_journals!B:E,4,0),2),"")</f>
        <v/>
      </c>
      <c r="K273" s="23" t="str">
        <f>IFERROR(_xlfn.RANK.EQ(J273,J:J),"")</f>
        <v/>
      </c>
      <c r="L273" s="43" t="str">
        <f>IFERROR(ROUND(VLOOKUP(A273,[1]man_journals!B:E,4,0),2),"")</f>
        <v/>
      </c>
      <c r="M273" s="26" t="str">
        <f>IFERROR(_xlfn.RANK.EQ(L273,L:L),"")</f>
        <v/>
      </c>
      <c r="N273" s="1" t="s">
        <v>1272</v>
      </c>
      <c r="O273" t="s">
        <v>1280</v>
      </c>
      <c r="P273" t="s">
        <v>1281</v>
      </c>
    </row>
    <row r="274" spans="1:18" x14ac:dyDescent="0.25">
      <c r="A274" t="s">
        <v>320</v>
      </c>
      <c r="B274" t="s">
        <v>1360</v>
      </c>
      <c r="C274" s="6">
        <f>IFERROR(VLOOKUP(A274,[1]eco_bus_journals!$B:$D,3,0),"")</f>
        <v>53</v>
      </c>
      <c r="D274" s="37">
        <f>IFERROR(ROUND(VLOOKUP(A274,[1]eco_bus_journals!$B:$X,4,0),2),"")</f>
        <v>0.33</v>
      </c>
      <c r="E274" s="37">
        <f>_xlfn.RANK.EQ(D274,D:D)</f>
        <v>230</v>
      </c>
      <c r="F274" s="44">
        <f>IFERROR(ROUND(VLOOKUP(A274,[1]eco_journals!B:E,4,0),2),"")</f>
        <v>0.32</v>
      </c>
      <c r="G274" s="40">
        <f>IFERROR(_xlfn.RANK.EQ(F274,F:F),"")</f>
        <v>88</v>
      </c>
      <c r="H274" s="46" t="str">
        <f>IFERROR(ROUND(VLOOKUP(A274,[1]fin_journals!B:E,4,0),2),"")</f>
        <v/>
      </c>
      <c r="I274" s="18" t="str">
        <f>IFERROR(_xlfn.RANK.EQ(H274,H:H),"")</f>
        <v/>
      </c>
      <c r="J274" s="42" t="str">
        <f>IFERROR(ROUND(VLOOKUP(A274,[1]bus_journals!B:E,4,0),2),"")</f>
        <v/>
      </c>
      <c r="K274" s="23" t="str">
        <f>IFERROR(_xlfn.RANK.EQ(J274,J:J),"")</f>
        <v/>
      </c>
      <c r="L274" s="43" t="str">
        <f>IFERROR(ROUND(VLOOKUP(A274,[1]man_journals!B:E,4,0),2),"")</f>
        <v/>
      </c>
      <c r="M274" s="26" t="str">
        <f>IFERROR(_xlfn.RANK.EQ(L274,L:L),"")</f>
        <v/>
      </c>
      <c r="N274" s="1" t="s">
        <v>1272</v>
      </c>
    </row>
    <row r="275" spans="1:18" x14ac:dyDescent="0.25">
      <c r="A275" t="s">
        <v>200</v>
      </c>
      <c r="B275" t="s">
        <v>1362</v>
      </c>
      <c r="C275" s="6">
        <f>IFERROR(VLOOKUP(A275,[1]eco_bus_journals!$B:$D,3,0),"")</f>
        <v>20</v>
      </c>
      <c r="D275" s="37">
        <f>IFERROR(ROUND(VLOOKUP(A275,[1]eco_bus_journals!$B:$X,4,0),2),"")</f>
        <v>0.27</v>
      </c>
      <c r="E275" s="37">
        <f>_xlfn.RANK.EQ(D275,D:D)</f>
        <v>271</v>
      </c>
      <c r="F275" s="44" t="str">
        <f>IFERROR(ROUND(VLOOKUP(A275,[1]eco_journals!B:E,4,0),2),"")</f>
        <v/>
      </c>
      <c r="G275" s="40" t="str">
        <f>IFERROR(_xlfn.RANK.EQ(F275,F:F),"")</f>
        <v/>
      </c>
      <c r="H275" s="46" t="str">
        <f>IFERROR(ROUND(VLOOKUP(A275,[1]fin_journals!B:E,4,0),2),"")</f>
        <v/>
      </c>
      <c r="I275" s="18" t="str">
        <f>IFERROR(_xlfn.RANK.EQ(H275,H:H),"")</f>
        <v/>
      </c>
      <c r="J275" s="42" t="str">
        <f>IFERROR(ROUND(VLOOKUP(A275,[1]bus_journals!B:E,4,0),2),"")</f>
        <v/>
      </c>
      <c r="K275" s="23" t="str">
        <f>IFERROR(_xlfn.RANK.EQ(J275,J:J),"")</f>
        <v/>
      </c>
      <c r="L275" s="43">
        <f>IFERROR(ROUND(VLOOKUP(A275,[1]man_journals!B:E,4,0),2),"")</f>
        <v>0.65</v>
      </c>
      <c r="M275" s="26">
        <f>IFERROR(_xlfn.RANK.EQ(L275,L:L),"")</f>
        <v>78</v>
      </c>
      <c r="N275" s="4" t="s">
        <v>1275</v>
      </c>
    </row>
    <row r="276" spans="1:18" x14ac:dyDescent="0.25">
      <c r="A276" t="s">
        <v>376</v>
      </c>
      <c r="B276" t="s">
        <v>1370</v>
      </c>
      <c r="C276" s="6">
        <f>IFERROR(VLOOKUP(A276,[1]eco_bus_journals!$B:$D,3,0),"")</f>
        <v>8</v>
      </c>
      <c r="D276" s="37">
        <f>IFERROR(ROUND(VLOOKUP(A276,[1]eco_bus_journals!$B:$X,4,0),2),"")</f>
        <v>0.27</v>
      </c>
      <c r="E276" s="37">
        <f>_xlfn.RANK.EQ(D276,D:D)</f>
        <v>271</v>
      </c>
      <c r="F276" s="44">
        <f>IFERROR(ROUND(VLOOKUP(A276,[1]eco_journals!B:E,4,0),2),"")</f>
        <v>0.25</v>
      </c>
      <c r="G276" s="40">
        <f>IFERROR(_xlfn.RANK.EQ(F276,F:F),"")</f>
        <v>117</v>
      </c>
      <c r="H276" s="46" t="str">
        <f>IFERROR(ROUND(VLOOKUP(A276,[1]fin_journals!B:E,4,0),2),"")</f>
        <v/>
      </c>
      <c r="I276" s="18" t="str">
        <f>IFERROR(_xlfn.RANK.EQ(H276,H:H),"")</f>
        <v/>
      </c>
      <c r="J276" s="42" t="str">
        <f>IFERROR(ROUND(VLOOKUP(A276,[1]bus_journals!B:E,4,0),2),"")</f>
        <v/>
      </c>
      <c r="K276" s="23" t="str">
        <f>IFERROR(_xlfn.RANK.EQ(J276,J:J),"")</f>
        <v/>
      </c>
      <c r="L276" s="43" t="str">
        <f>IFERROR(ROUND(VLOOKUP(A276,[1]man_journals!B:E,4,0),2),"")</f>
        <v/>
      </c>
      <c r="M276" s="26" t="str">
        <f>IFERROR(_xlfn.RANK.EQ(L276,L:L),"")</f>
        <v/>
      </c>
      <c r="N276" s="1" t="s">
        <v>1272</v>
      </c>
      <c r="O276" t="s">
        <v>1279</v>
      </c>
      <c r="P276" t="s">
        <v>1280</v>
      </c>
      <c r="Q276" t="s">
        <v>1281</v>
      </c>
    </row>
    <row r="277" spans="1:18" x14ac:dyDescent="0.25">
      <c r="A277" t="s">
        <v>378</v>
      </c>
      <c r="B277" t="s">
        <v>1362</v>
      </c>
      <c r="C277" s="6">
        <f>IFERROR(VLOOKUP(A277,[1]eco_bus_journals!$B:$D,3,0),"")</f>
        <v>97</v>
      </c>
      <c r="D277" s="37">
        <f>IFERROR(ROUND(VLOOKUP(A277,[1]eco_bus_journals!$B:$X,4,0),2),"")</f>
        <v>0.25</v>
      </c>
      <c r="E277" s="37">
        <f>_xlfn.RANK.EQ(D277,D:D)</f>
        <v>293</v>
      </c>
      <c r="F277" s="44">
        <f>IFERROR(ROUND(VLOOKUP(A277,[1]eco_journals!B:E,4,0),2),"")</f>
        <v>0.27</v>
      </c>
      <c r="G277" s="40">
        <f>IFERROR(_xlfn.RANK.EQ(F277,F:F),"")</f>
        <v>107</v>
      </c>
      <c r="H277" s="46" t="str">
        <f>IFERROR(ROUND(VLOOKUP(A277,[1]fin_journals!B:E,4,0),2),"")</f>
        <v/>
      </c>
      <c r="I277" s="18" t="str">
        <f>IFERROR(_xlfn.RANK.EQ(H277,H:H),"")</f>
        <v/>
      </c>
      <c r="J277" s="42" t="str">
        <f>IFERROR(ROUND(VLOOKUP(A277,[1]bus_journals!B:E,4,0),2),"")</f>
        <v/>
      </c>
      <c r="K277" s="23" t="str">
        <f>IFERROR(_xlfn.RANK.EQ(J277,J:J),"")</f>
        <v/>
      </c>
      <c r="L277" s="43" t="str">
        <f>IFERROR(ROUND(VLOOKUP(A277,[1]man_journals!B:E,4,0),2),"")</f>
        <v/>
      </c>
      <c r="M277" s="26" t="str">
        <f>IFERROR(_xlfn.RANK.EQ(L277,L:L),"")</f>
        <v/>
      </c>
      <c r="N277" s="1" t="s">
        <v>1272</v>
      </c>
      <c r="O277" t="s">
        <v>1320</v>
      </c>
    </row>
    <row r="278" spans="1:18" x14ac:dyDescent="0.25">
      <c r="A278" t="s">
        <v>310</v>
      </c>
      <c r="B278" t="s">
        <v>1362</v>
      </c>
      <c r="C278" s="6">
        <f>IFERROR(VLOOKUP(A278,[1]eco_bus_journals!$B:$D,3,0),"")</f>
        <v>102</v>
      </c>
      <c r="D278" s="37">
        <f>IFERROR(ROUND(VLOOKUP(A278,[1]eco_bus_journals!$B:$X,4,0),2),"")</f>
        <v>0.28000000000000003</v>
      </c>
      <c r="E278" s="37">
        <f>_xlfn.RANK.EQ(D278,D:D)</f>
        <v>264</v>
      </c>
      <c r="F278" s="44">
        <f>IFERROR(ROUND(VLOOKUP(A278,[1]eco_journals!B:E,4,0),2),"")</f>
        <v>0.28999999999999998</v>
      </c>
      <c r="G278" s="40">
        <f>IFERROR(_xlfn.RANK.EQ(F278,F:F),"")</f>
        <v>101</v>
      </c>
      <c r="H278" s="46" t="str">
        <f>IFERROR(ROUND(VLOOKUP(A278,[1]fin_journals!B:E,4,0),2),"")</f>
        <v/>
      </c>
      <c r="I278" s="18" t="str">
        <f>IFERROR(_xlfn.RANK.EQ(H278,H:H),"")</f>
        <v/>
      </c>
      <c r="J278" s="42" t="str">
        <f>IFERROR(ROUND(VLOOKUP(A278,[1]bus_journals!B:E,4,0),2),"")</f>
        <v/>
      </c>
      <c r="K278" s="23" t="str">
        <f>IFERROR(_xlfn.RANK.EQ(J278,J:J),"")</f>
        <v/>
      </c>
      <c r="L278" s="43" t="str">
        <f>IFERROR(ROUND(VLOOKUP(A278,[1]man_journals!B:E,4,0),2),"")</f>
        <v/>
      </c>
      <c r="M278" s="26" t="str">
        <f>IFERROR(_xlfn.RANK.EQ(L278,L:L),"")</f>
        <v/>
      </c>
      <c r="N278" t="s">
        <v>1304</v>
      </c>
      <c r="O278" s="1" t="s">
        <v>1272</v>
      </c>
      <c r="P278" t="s">
        <v>1313</v>
      </c>
      <c r="Q278" t="s">
        <v>1314</v>
      </c>
      <c r="R278" t="s">
        <v>1285</v>
      </c>
    </row>
    <row r="279" spans="1:18" x14ac:dyDescent="0.25">
      <c r="A279" t="s">
        <v>476</v>
      </c>
      <c r="B279" t="s">
        <v>1383</v>
      </c>
      <c r="C279" s="6">
        <f>IFERROR(VLOOKUP(A279,[1]eco_bus_journals!$B:$D,3,0),"")</f>
        <v>16</v>
      </c>
      <c r="D279" s="37">
        <f>IFERROR(ROUND(VLOOKUP(A279,[1]eco_bus_journals!$B:$X,4,0),2),"")</f>
        <v>0.25</v>
      </c>
      <c r="E279" s="37">
        <f>_xlfn.RANK.EQ(D279,D:D)</f>
        <v>293</v>
      </c>
      <c r="F279" s="44" t="str">
        <f>IFERROR(ROUND(VLOOKUP(A279,[1]eco_journals!B:E,4,0),2),"")</f>
        <v/>
      </c>
      <c r="G279" s="40" t="str">
        <f>IFERROR(_xlfn.RANK.EQ(F279,F:F),"")</f>
        <v/>
      </c>
      <c r="H279" s="46">
        <f>IFERROR(ROUND(VLOOKUP(A279,[1]fin_journals!B:E,4,0),2),"")</f>
        <v>0.67</v>
      </c>
      <c r="I279" s="18">
        <f>IFERROR(_xlfn.RANK.EQ(H279,H:H),"")</f>
        <v>52</v>
      </c>
      <c r="J279" s="42" t="str">
        <f>IFERROR(ROUND(VLOOKUP(A279,[1]bus_journals!B:E,4,0),2),"")</f>
        <v/>
      </c>
      <c r="K279" s="23" t="str">
        <f>IFERROR(_xlfn.RANK.EQ(J279,J:J),"")</f>
        <v/>
      </c>
      <c r="L279" s="43" t="str">
        <f>IFERROR(ROUND(VLOOKUP(A279,[1]man_journals!B:E,4,0),2),"")</f>
        <v/>
      </c>
      <c r="M279" s="26" t="str">
        <f>IFERROR(_xlfn.RANK.EQ(L279,L:L),"")</f>
        <v/>
      </c>
      <c r="N279" s="3" t="s">
        <v>1274</v>
      </c>
    </row>
    <row r="280" spans="1:18" x14ac:dyDescent="0.25">
      <c r="A280" t="s">
        <v>158</v>
      </c>
      <c r="B280" t="s">
        <v>1372</v>
      </c>
      <c r="C280" s="6">
        <f>IFERROR(VLOOKUP(A280,[1]eco_bus_journals!$B:$D,3,0),"")</f>
        <v>38</v>
      </c>
      <c r="D280" s="37">
        <f>IFERROR(ROUND(VLOOKUP(A280,[1]eco_bus_journals!$B:$X,4,0),2),"")</f>
        <v>0.3</v>
      </c>
      <c r="E280" s="37">
        <f>_xlfn.RANK.EQ(D280,D:D)</f>
        <v>245</v>
      </c>
      <c r="F280" s="44" t="str">
        <f>IFERROR(ROUND(VLOOKUP(A280,[1]eco_journals!B:E,4,0),2),"")</f>
        <v/>
      </c>
      <c r="G280" s="40" t="str">
        <f>IFERROR(_xlfn.RANK.EQ(F280,F:F),"")</f>
        <v/>
      </c>
      <c r="H280" s="46" t="str">
        <f>IFERROR(ROUND(VLOOKUP(A280,[1]fin_journals!B:E,4,0),2),"")</f>
        <v/>
      </c>
      <c r="I280" s="18" t="str">
        <f>IFERROR(_xlfn.RANK.EQ(H280,H:H),"")</f>
        <v/>
      </c>
      <c r="J280" s="42">
        <f>IFERROR(ROUND(VLOOKUP(A280,[1]bus_journals!B:E,4,0),2),"")</f>
        <v>0.79</v>
      </c>
      <c r="K280" s="23">
        <f>IFERROR(_xlfn.RANK.EQ(J280,J:J),"")</f>
        <v>74</v>
      </c>
      <c r="L280" s="43">
        <f>IFERROR(ROUND(VLOOKUP(A280,[1]man_journals!B:E,4,0),2),"")</f>
        <v>0.54</v>
      </c>
      <c r="M280" s="26">
        <f>IFERROR(_xlfn.RANK.EQ(L280,L:L),"")</f>
        <v>92</v>
      </c>
      <c r="N280" s="2" t="s">
        <v>1273</v>
      </c>
      <c r="O280" t="s">
        <v>1301</v>
      </c>
      <c r="P280" s="4" t="s">
        <v>1275</v>
      </c>
    </row>
    <row r="281" spans="1:18" x14ac:dyDescent="0.25">
      <c r="A281" t="s">
        <v>390</v>
      </c>
      <c r="B281" t="s">
        <v>1359</v>
      </c>
      <c r="C281" s="6">
        <f>IFERROR(VLOOKUP(A281,[1]eco_bus_journals!$B:$D,3,0),"")</f>
        <v>21</v>
      </c>
      <c r="D281" s="37">
        <f>IFERROR(ROUND(VLOOKUP(A281,[1]eco_bus_journals!$B:$X,4,0),2),"")</f>
        <v>0.28000000000000003</v>
      </c>
      <c r="E281" s="37">
        <f>_xlfn.RANK.EQ(D281,D:D)</f>
        <v>264</v>
      </c>
      <c r="F281" s="44">
        <f>IFERROR(ROUND(VLOOKUP(A281,[1]eco_journals!B:E,4,0),2),"")</f>
        <v>0.21</v>
      </c>
      <c r="G281" s="40">
        <f>IFERROR(_xlfn.RANK.EQ(F281,F:F),"")</f>
        <v>131</v>
      </c>
      <c r="H281" s="46" t="str">
        <f>IFERROR(ROUND(VLOOKUP(A281,[1]fin_journals!B:E,4,0),2),"")</f>
        <v/>
      </c>
      <c r="I281" s="18" t="str">
        <f>IFERROR(_xlfn.RANK.EQ(H281,H:H),"")</f>
        <v/>
      </c>
      <c r="J281" s="42" t="str">
        <f>IFERROR(ROUND(VLOOKUP(A281,[1]bus_journals!B:E,4,0),2),"")</f>
        <v/>
      </c>
      <c r="K281" s="23" t="str">
        <f>IFERROR(_xlfn.RANK.EQ(J281,J:J),"")</f>
        <v/>
      </c>
      <c r="L281" s="43" t="str">
        <f>IFERROR(ROUND(VLOOKUP(A281,[1]man_journals!B:E,4,0),2),"")</f>
        <v/>
      </c>
      <c r="M281" s="26" t="str">
        <f>IFERROR(_xlfn.RANK.EQ(L281,L:L),"")</f>
        <v/>
      </c>
      <c r="N281" s="1" t="s">
        <v>1272</v>
      </c>
      <c r="O281" t="s">
        <v>1293</v>
      </c>
      <c r="P281" t="s">
        <v>1321</v>
      </c>
    </row>
    <row r="282" spans="1:18" x14ac:dyDescent="0.25">
      <c r="A282" t="s">
        <v>254</v>
      </c>
      <c r="B282" t="s">
        <v>1372</v>
      </c>
      <c r="C282" s="6">
        <f>IFERROR(VLOOKUP(A282,[1]eco_bus_journals!$B:$D,3,0),"")</f>
        <v>105</v>
      </c>
      <c r="D282" s="37">
        <f>IFERROR(ROUND(VLOOKUP(A282,[1]eco_bus_journals!$B:$X,4,0),2),"")</f>
        <v>0.28000000000000003</v>
      </c>
      <c r="E282" s="37">
        <f>_xlfn.RANK.EQ(D282,D:D)</f>
        <v>264</v>
      </c>
      <c r="F282" s="44" t="str">
        <f>IFERROR(ROUND(VLOOKUP(A282,[1]eco_journals!B:E,4,0),2),"")</f>
        <v/>
      </c>
      <c r="G282" s="40" t="str">
        <f>IFERROR(_xlfn.RANK.EQ(F282,F:F),"")</f>
        <v/>
      </c>
      <c r="H282" s="46" t="str">
        <f>IFERROR(ROUND(VLOOKUP(A282,[1]fin_journals!B:E,4,0),2),"")</f>
        <v/>
      </c>
      <c r="I282" s="18" t="str">
        <f>IFERROR(_xlfn.RANK.EQ(H282,H:H),"")</f>
        <v/>
      </c>
      <c r="J282" s="42" t="str">
        <f>IFERROR(ROUND(VLOOKUP(A282,[1]bus_journals!B:E,4,0),2),"")</f>
        <v/>
      </c>
      <c r="K282" s="23" t="str">
        <f>IFERROR(_xlfn.RANK.EQ(J282,J:J),"")</f>
        <v/>
      </c>
      <c r="L282" s="43">
        <f>IFERROR(ROUND(VLOOKUP(A282,[1]man_journals!B:E,4,0),2),"")</f>
        <v>0.66</v>
      </c>
      <c r="M282" s="26">
        <f>IFERROR(_xlfn.RANK.EQ(L282,L:L),"")</f>
        <v>76</v>
      </c>
      <c r="N282" s="4" t="s">
        <v>1275</v>
      </c>
      <c r="O282" t="s">
        <v>1311</v>
      </c>
    </row>
    <row r="283" spans="1:18" x14ac:dyDescent="0.25">
      <c r="A283" t="s">
        <v>304</v>
      </c>
      <c r="B283" t="s">
        <v>1360</v>
      </c>
      <c r="C283" s="6">
        <f>IFERROR(VLOOKUP(A283,[1]eco_bus_journals!$B:$D,3,0),"")</f>
        <v>29</v>
      </c>
      <c r="D283" s="37">
        <f>IFERROR(ROUND(VLOOKUP(A283,[1]eco_bus_journals!$B:$X,4,0),2),"")</f>
        <v>0.23</v>
      </c>
      <c r="E283" s="37">
        <f>_xlfn.RANK.EQ(D283,D:D)</f>
        <v>310</v>
      </c>
      <c r="F283" s="44" t="str">
        <f>IFERROR(ROUND(VLOOKUP(A283,[1]eco_journals!B:E,4,0),2),"")</f>
        <v/>
      </c>
      <c r="G283" s="40" t="str">
        <f>IFERROR(_xlfn.RANK.EQ(F283,F:F),"")</f>
        <v/>
      </c>
      <c r="H283" s="46">
        <f>IFERROR(ROUND(VLOOKUP(A283,[1]fin_journals!B:E,4,0),2),"")</f>
        <v>0.65</v>
      </c>
      <c r="I283" s="18">
        <f>IFERROR(_xlfn.RANK.EQ(H283,H:H),"")</f>
        <v>55</v>
      </c>
      <c r="J283" s="42" t="str">
        <f>IFERROR(ROUND(VLOOKUP(A283,[1]bus_journals!B:E,4,0),2),"")</f>
        <v/>
      </c>
      <c r="K283" s="23" t="str">
        <f>IFERROR(_xlfn.RANK.EQ(J283,J:J),"")</f>
        <v/>
      </c>
      <c r="L283" s="43" t="str">
        <f>IFERROR(ROUND(VLOOKUP(A283,[1]man_journals!B:E,4,0),2),"")</f>
        <v/>
      </c>
      <c r="M283" s="26" t="str">
        <f>IFERROR(_xlfn.RANK.EQ(L283,L:L),"")</f>
        <v/>
      </c>
      <c r="N283" s="3" t="s">
        <v>1274</v>
      </c>
    </row>
    <row r="284" spans="1:18" x14ac:dyDescent="0.25">
      <c r="A284" t="s">
        <v>226</v>
      </c>
      <c r="B284" t="s">
        <v>1362</v>
      </c>
      <c r="C284" s="6">
        <f>IFERROR(VLOOKUP(A284,[1]eco_bus_journals!$B:$D,3,0),"")</f>
        <v>375</v>
      </c>
      <c r="D284" s="37">
        <f>IFERROR(ROUND(VLOOKUP(A284,[1]eco_bus_journals!$B:$X,4,0),2),"")</f>
        <v>0.26</v>
      </c>
      <c r="E284" s="37">
        <f>_xlfn.RANK.EQ(D284,D:D)</f>
        <v>280</v>
      </c>
      <c r="F284" s="44">
        <f>IFERROR(ROUND(VLOOKUP(A284,[1]eco_journals!B:E,4,0),2),"")</f>
        <v>0.2</v>
      </c>
      <c r="G284" s="40">
        <f>IFERROR(_xlfn.RANK.EQ(F284,F:F),"")</f>
        <v>139</v>
      </c>
      <c r="H284" s="46" t="str">
        <f>IFERROR(ROUND(VLOOKUP(A284,[1]fin_journals!B:E,4,0),2),"")</f>
        <v/>
      </c>
      <c r="I284" s="18" t="str">
        <f>IFERROR(_xlfn.RANK.EQ(H284,H:H),"")</f>
        <v/>
      </c>
      <c r="J284" s="42" t="str">
        <f>IFERROR(ROUND(VLOOKUP(A284,[1]bus_journals!B:E,4,0),2),"")</f>
        <v/>
      </c>
      <c r="K284" s="23" t="str">
        <f>IFERROR(_xlfn.RANK.EQ(J284,J:J),"")</f>
        <v/>
      </c>
      <c r="L284" s="43" t="str">
        <f>IFERROR(ROUND(VLOOKUP(A284,[1]man_journals!B:E,4,0),2),"")</f>
        <v/>
      </c>
      <c r="M284" s="26" t="str">
        <f>IFERROR(_xlfn.RANK.EQ(L284,L:L),"")</f>
        <v/>
      </c>
      <c r="N284" s="1" t="s">
        <v>1272</v>
      </c>
    </row>
    <row r="285" spans="1:18" x14ac:dyDescent="0.25">
      <c r="A285" t="s">
        <v>227</v>
      </c>
      <c r="B285" t="s">
        <v>1362</v>
      </c>
      <c r="C285" s="6">
        <f>IFERROR(VLOOKUP(A285,[1]eco_bus_journals!$B:$D,3,0),"")</f>
        <v>57</v>
      </c>
      <c r="D285" s="37">
        <f>IFERROR(ROUND(VLOOKUP(A285,[1]eco_bus_journals!$B:$X,4,0),2),"")</f>
        <v>0.26</v>
      </c>
      <c r="E285" s="37">
        <f>_xlfn.RANK.EQ(D285,D:D)</f>
        <v>280</v>
      </c>
      <c r="F285" s="44">
        <f>IFERROR(ROUND(VLOOKUP(A285,[1]eco_journals!B:E,4,0),2),"")</f>
        <v>0.16</v>
      </c>
      <c r="G285" s="40">
        <f>IFERROR(_xlfn.RANK.EQ(F285,F:F),"")</f>
        <v>165</v>
      </c>
      <c r="H285" s="46">
        <f>IFERROR(ROUND(VLOOKUP(A285,[1]fin_journals!B:E,4,0),2),"")</f>
        <v>0.47</v>
      </c>
      <c r="I285" s="18">
        <f>IFERROR(_xlfn.RANK.EQ(H285,H:H),"")</f>
        <v>68</v>
      </c>
      <c r="J285" s="42" t="str">
        <f>IFERROR(ROUND(VLOOKUP(A285,[1]bus_journals!B:E,4,0),2),"")</f>
        <v/>
      </c>
      <c r="K285" s="23" t="str">
        <f>IFERROR(_xlfn.RANK.EQ(J285,J:J),"")</f>
        <v/>
      </c>
      <c r="L285" s="43" t="str">
        <f>IFERROR(ROUND(VLOOKUP(A285,[1]man_journals!B:E,4,0),2),"")</f>
        <v/>
      </c>
      <c r="M285" s="26" t="str">
        <f>IFERROR(_xlfn.RANK.EQ(L285,L:L),"")</f>
        <v/>
      </c>
      <c r="N285" s="3" t="s">
        <v>1274</v>
      </c>
      <c r="O285" s="1" t="s">
        <v>1272</v>
      </c>
    </row>
    <row r="286" spans="1:18" x14ac:dyDescent="0.25">
      <c r="A286" t="s">
        <v>308</v>
      </c>
      <c r="B286" t="s">
        <v>1372</v>
      </c>
      <c r="C286" s="6">
        <f>IFERROR(VLOOKUP(A286,[1]eco_bus_journals!$B:$D,3,0),"")</f>
        <v>32</v>
      </c>
      <c r="D286" s="37">
        <f>IFERROR(ROUND(VLOOKUP(A286,[1]eco_bus_journals!$B:$X,4,0),2),"")</f>
        <v>0.3</v>
      </c>
      <c r="E286" s="37">
        <f>_xlfn.RANK.EQ(D286,D:D)</f>
        <v>245</v>
      </c>
      <c r="F286" s="44">
        <f>IFERROR(ROUND(VLOOKUP(A286,[1]eco_journals!B:E,4,0),2),"")</f>
        <v>0.26</v>
      </c>
      <c r="G286" s="40">
        <f>IFERROR(_xlfn.RANK.EQ(F286,F:F),"")</f>
        <v>113</v>
      </c>
      <c r="H286" s="46" t="str">
        <f>IFERROR(ROUND(VLOOKUP(A286,[1]fin_journals!B:E,4,0),2),"")</f>
        <v/>
      </c>
      <c r="I286" s="18" t="str">
        <f>IFERROR(_xlfn.RANK.EQ(H286,H:H),"")</f>
        <v/>
      </c>
      <c r="J286" s="42" t="str">
        <f>IFERROR(ROUND(VLOOKUP(A286,[1]bus_journals!B:E,4,0),2),"")</f>
        <v/>
      </c>
      <c r="K286" s="23" t="str">
        <f>IFERROR(_xlfn.RANK.EQ(J286,J:J),"")</f>
        <v/>
      </c>
      <c r="L286" s="43" t="str">
        <f>IFERROR(ROUND(VLOOKUP(A286,[1]man_journals!B:E,4,0),2),"")</f>
        <v/>
      </c>
      <c r="M286" s="26" t="str">
        <f>IFERROR(_xlfn.RANK.EQ(L286,L:L),"")</f>
        <v/>
      </c>
      <c r="N286" s="1" t="s">
        <v>1272</v>
      </c>
      <c r="O286" t="s">
        <v>1316</v>
      </c>
    </row>
    <row r="287" spans="1:18" x14ac:dyDescent="0.25">
      <c r="A287" t="s">
        <v>295</v>
      </c>
      <c r="B287" t="s">
        <v>1360</v>
      </c>
      <c r="C287" s="6">
        <f>IFERROR(VLOOKUP(A287,[1]eco_bus_journals!$B:$D,3,0),"")</f>
        <v>31</v>
      </c>
      <c r="D287" s="37">
        <f>IFERROR(ROUND(VLOOKUP(A287,[1]eco_bus_journals!$B:$X,4,0),2),"")</f>
        <v>0.25</v>
      </c>
      <c r="E287" s="37">
        <f>_xlfn.RANK.EQ(D287,D:D)</f>
        <v>293</v>
      </c>
      <c r="F287" s="44" t="str">
        <f>IFERROR(ROUND(VLOOKUP(A287,[1]eco_journals!B:E,4,0),2),"")</f>
        <v/>
      </c>
      <c r="G287" s="40" t="str">
        <f>IFERROR(_xlfn.RANK.EQ(F287,F:F),"")</f>
        <v/>
      </c>
      <c r="H287" s="46">
        <f>IFERROR(ROUND(VLOOKUP(A287,[1]fin_journals!B:E,4,0),2),"")</f>
        <v>0.73</v>
      </c>
      <c r="I287" s="18">
        <f>IFERROR(_xlfn.RANK.EQ(H287,H:H),"")</f>
        <v>49</v>
      </c>
      <c r="J287" s="42" t="str">
        <f>IFERROR(ROUND(VLOOKUP(A287,[1]bus_journals!B:E,4,0),2),"")</f>
        <v/>
      </c>
      <c r="K287" s="23" t="str">
        <f>IFERROR(_xlfn.RANK.EQ(J287,J:J),"")</f>
        <v/>
      </c>
      <c r="L287" s="43" t="str">
        <f>IFERROR(ROUND(VLOOKUP(A287,[1]man_journals!B:E,4,0),2),"")</f>
        <v/>
      </c>
      <c r="M287" s="26" t="str">
        <f>IFERROR(_xlfn.RANK.EQ(L287,L:L),"")</f>
        <v/>
      </c>
      <c r="N287" s="3" t="s">
        <v>1274</v>
      </c>
    </row>
    <row r="288" spans="1:18" x14ac:dyDescent="0.25">
      <c r="A288" t="s">
        <v>230</v>
      </c>
      <c r="B288" t="s">
        <v>1372</v>
      </c>
      <c r="C288" s="6">
        <f>IFERROR(VLOOKUP(A288,[1]eco_bus_journals!$B:$D,3,0),"")</f>
        <v>70</v>
      </c>
      <c r="D288" s="37">
        <f>IFERROR(ROUND(VLOOKUP(A288,[1]eco_bus_journals!$B:$X,4,0),2),"")</f>
        <v>0.27</v>
      </c>
      <c r="E288" s="37">
        <f>_xlfn.RANK.EQ(D288,D:D)</f>
        <v>271</v>
      </c>
      <c r="F288" s="44" t="str">
        <f>IFERROR(ROUND(VLOOKUP(A288,[1]eco_journals!B:E,4,0),2),"")</f>
        <v/>
      </c>
      <c r="G288" s="40" t="str">
        <f>IFERROR(_xlfn.RANK.EQ(F288,F:F),"")</f>
        <v/>
      </c>
      <c r="H288" s="46" t="str">
        <f>IFERROR(ROUND(VLOOKUP(A288,[1]fin_journals!B:E,4,0),2),"")</f>
        <v/>
      </c>
      <c r="I288" s="18" t="str">
        <f>IFERROR(_xlfn.RANK.EQ(H288,H:H),"")</f>
        <v/>
      </c>
      <c r="J288" s="42" t="str">
        <f>IFERROR(ROUND(VLOOKUP(A288,[1]bus_journals!B:E,4,0),2),"")</f>
        <v/>
      </c>
      <c r="K288" s="23" t="str">
        <f>IFERROR(_xlfn.RANK.EQ(J288,J:J),"")</f>
        <v/>
      </c>
      <c r="L288" s="43">
        <f>IFERROR(ROUND(VLOOKUP(A288,[1]man_journals!B:E,4,0),2),"")</f>
        <v>0.61</v>
      </c>
      <c r="M288" s="26">
        <f>IFERROR(_xlfn.RANK.EQ(L288,L:L),"")</f>
        <v>83</v>
      </c>
      <c r="N288" s="4" t="s">
        <v>1275</v>
      </c>
    </row>
    <row r="289" spans="1:16" x14ac:dyDescent="0.25">
      <c r="A289" t="s">
        <v>219</v>
      </c>
      <c r="B289" t="s">
        <v>1360</v>
      </c>
      <c r="C289" s="6">
        <f>IFERROR(VLOOKUP(A289,[1]eco_bus_journals!$B:$D,3,0),"")</f>
        <v>109</v>
      </c>
      <c r="D289" s="37">
        <f>IFERROR(ROUND(VLOOKUP(A289,[1]eco_bus_journals!$B:$X,4,0),2),"")</f>
        <v>0.26</v>
      </c>
      <c r="E289" s="37">
        <f>_xlfn.RANK.EQ(D289,D:D)</f>
        <v>280</v>
      </c>
      <c r="F289" s="44" t="str">
        <f>IFERROR(ROUND(VLOOKUP(A289,[1]eco_journals!B:E,4,0),2),"")</f>
        <v/>
      </c>
      <c r="G289" s="40" t="str">
        <f>IFERROR(_xlfn.RANK.EQ(F289,F:F),"")</f>
        <v/>
      </c>
      <c r="H289" s="46" t="str">
        <f>IFERROR(ROUND(VLOOKUP(A289,[1]fin_journals!B:E,4,0),2),"")</f>
        <v/>
      </c>
      <c r="I289" s="18" t="str">
        <f>IFERROR(_xlfn.RANK.EQ(H289,H:H),"")</f>
        <v/>
      </c>
      <c r="J289" s="42">
        <f>IFERROR(ROUND(VLOOKUP(A289,[1]bus_journals!B:E,4,0),2),"")</f>
        <v>0.77</v>
      </c>
      <c r="K289" s="23">
        <f>IFERROR(_xlfn.RANK.EQ(J289,J:J),"")</f>
        <v>77</v>
      </c>
      <c r="L289" s="43" t="str">
        <f>IFERROR(ROUND(VLOOKUP(A289,[1]man_journals!B:E,4,0),2),"")</f>
        <v/>
      </c>
      <c r="M289" s="26" t="str">
        <f>IFERROR(_xlfn.RANK.EQ(L289,L:L),"")</f>
        <v/>
      </c>
      <c r="N289" s="2" t="s">
        <v>1273</v>
      </c>
    </row>
    <row r="290" spans="1:16" x14ac:dyDescent="0.25">
      <c r="A290" t="s">
        <v>374</v>
      </c>
      <c r="B290" t="s">
        <v>1361</v>
      </c>
      <c r="C290" s="6">
        <f>IFERROR(VLOOKUP(A290,[1]eco_bus_journals!$B:$D,3,0),"")</f>
        <v>6</v>
      </c>
      <c r="D290" s="37">
        <f>IFERROR(ROUND(VLOOKUP(A290,[1]eco_bus_journals!$B:$X,4,0),2),"")</f>
        <v>0.26</v>
      </c>
      <c r="E290" s="37">
        <f>_xlfn.RANK.EQ(D290,D:D)</f>
        <v>280</v>
      </c>
      <c r="F290" s="44">
        <f>IFERROR(ROUND(VLOOKUP(A290,[1]eco_journals!B:E,4,0),2),"")</f>
        <v>0.26</v>
      </c>
      <c r="G290" s="40">
        <f>IFERROR(_xlfn.RANK.EQ(F290,F:F),"")</f>
        <v>113</v>
      </c>
      <c r="H290" s="46" t="str">
        <f>IFERROR(ROUND(VLOOKUP(A290,[1]fin_journals!B:E,4,0),2),"")</f>
        <v/>
      </c>
      <c r="I290" s="18" t="str">
        <f>IFERROR(_xlfn.RANK.EQ(H290,H:H),"")</f>
        <v/>
      </c>
      <c r="J290" s="42" t="str">
        <f>IFERROR(ROUND(VLOOKUP(A290,[1]bus_journals!B:E,4,0),2),"")</f>
        <v/>
      </c>
      <c r="K290" s="23" t="str">
        <f>IFERROR(_xlfn.RANK.EQ(J290,J:J),"")</f>
        <v/>
      </c>
      <c r="L290" s="43" t="str">
        <f>IFERROR(ROUND(VLOOKUP(A290,[1]man_journals!B:E,4,0),2),"")</f>
        <v/>
      </c>
      <c r="M290" s="26" t="str">
        <f>IFERROR(_xlfn.RANK.EQ(L290,L:L),"")</f>
        <v/>
      </c>
      <c r="N290" t="s">
        <v>1284</v>
      </c>
      <c r="O290" s="1" t="s">
        <v>1272</v>
      </c>
      <c r="P290" t="s">
        <v>1285</v>
      </c>
    </row>
    <row r="291" spans="1:16" x14ac:dyDescent="0.25">
      <c r="A291" t="s">
        <v>256</v>
      </c>
      <c r="B291" t="s">
        <v>1372</v>
      </c>
      <c r="C291" s="6">
        <f>IFERROR(VLOOKUP(A291,[1]eco_bus_journals!$B:$D,3,0),"")</f>
        <v>20</v>
      </c>
      <c r="D291" s="37">
        <f>IFERROR(ROUND(VLOOKUP(A291,[1]eco_bus_journals!$B:$X,4,0),2),"")</f>
        <v>0.26</v>
      </c>
      <c r="E291" s="37">
        <f>_xlfn.RANK.EQ(D291,D:D)</f>
        <v>280</v>
      </c>
      <c r="F291" s="44" t="str">
        <f>IFERROR(ROUND(VLOOKUP(A291,[1]eco_journals!B:E,4,0),2),"")</f>
        <v/>
      </c>
      <c r="G291" s="40" t="str">
        <f>IFERROR(_xlfn.RANK.EQ(F291,F:F),"")</f>
        <v/>
      </c>
      <c r="H291" s="46">
        <f>IFERROR(ROUND(VLOOKUP(A291,[1]fin_journals!B:E,4,0),2),"")</f>
        <v>0.54</v>
      </c>
      <c r="I291" s="18">
        <f>IFERROR(_xlfn.RANK.EQ(H291,H:H),"")</f>
        <v>64</v>
      </c>
      <c r="J291" s="42" t="str">
        <f>IFERROR(ROUND(VLOOKUP(A291,[1]bus_journals!B:E,4,0),2),"")</f>
        <v/>
      </c>
      <c r="K291" s="23" t="str">
        <f>IFERROR(_xlfn.RANK.EQ(J291,J:J),"")</f>
        <v/>
      </c>
      <c r="L291" s="43" t="str">
        <f>IFERROR(ROUND(VLOOKUP(A291,[1]man_journals!B:E,4,0),2),"")</f>
        <v/>
      </c>
      <c r="M291" s="26" t="str">
        <f>IFERROR(_xlfn.RANK.EQ(L291,L:L),"")</f>
        <v/>
      </c>
      <c r="N291" s="3" t="s">
        <v>1274</v>
      </c>
    </row>
    <row r="292" spans="1:16" x14ac:dyDescent="0.25">
      <c r="A292" t="s">
        <v>225</v>
      </c>
      <c r="B292" t="s">
        <v>1360</v>
      </c>
      <c r="C292" s="6">
        <f>IFERROR(VLOOKUP(A292,[1]eco_bus_journals!$B:$D,3,0),"")</f>
        <v>39</v>
      </c>
      <c r="D292" s="37">
        <f>IFERROR(ROUND(VLOOKUP(A292,[1]eco_bus_journals!$B:$X,4,0),2),"")</f>
        <v>0.26</v>
      </c>
      <c r="E292" s="37">
        <f>_xlfn.RANK.EQ(D292,D:D)</f>
        <v>280</v>
      </c>
      <c r="F292" s="44" t="str">
        <f>IFERROR(ROUND(VLOOKUP(A292,[1]eco_journals!B:E,4,0),2),"")</f>
        <v/>
      </c>
      <c r="G292" s="40" t="str">
        <f>IFERROR(_xlfn.RANK.EQ(F292,F:F),"")</f>
        <v/>
      </c>
      <c r="H292" s="46" t="str">
        <f>IFERROR(ROUND(VLOOKUP(A292,[1]fin_journals!B:E,4,0),2),"")</f>
        <v/>
      </c>
      <c r="I292" s="18" t="str">
        <f>IFERROR(_xlfn.RANK.EQ(H292,H:H),"")</f>
        <v/>
      </c>
      <c r="J292" s="42">
        <f>IFERROR(ROUND(VLOOKUP(A292,[1]bus_journals!B:E,4,0),2),"")</f>
        <v>0.7</v>
      </c>
      <c r="K292" s="23">
        <f>IFERROR(_xlfn.RANK.EQ(J292,J:J),"")</f>
        <v>81</v>
      </c>
      <c r="L292" s="43" t="str">
        <f>IFERROR(ROUND(VLOOKUP(A292,[1]man_journals!B:E,4,0),2),"")</f>
        <v/>
      </c>
      <c r="M292" s="26" t="str">
        <f>IFERROR(_xlfn.RANK.EQ(L292,L:L),"")</f>
        <v/>
      </c>
      <c r="N292" s="2" t="s">
        <v>1273</v>
      </c>
      <c r="O292" t="s">
        <v>1287</v>
      </c>
    </row>
    <row r="293" spans="1:16" x14ac:dyDescent="0.25">
      <c r="A293" t="s">
        <v>228</v>
      </c>
      <c r="B293" t="s">
        <v>1379</v>
      </c>
      <c r="C293" s="6">
        <f>IFERROR(VLOOKUP(A293,[1]eco_bus_journals!$B:$D,3,0),"")</f>
        <v>107</v>
      </c>
      <c r="D293" s="37">
        <f>IFERROR(ROUND(VLOOKUP(A293,[1]eco_bus_journals!$B:$X,4,0),2),"")</f>
        <v>0.25</v>
      </c>
      <c r="E293" s="37">
        <f>_xlfn.RANK.EQ(D293,D:D)</f>
        <v>293</v>
      </c>
      <c r="F293" s="44" t="str">
        <f>IFERROR(ROUND(VLOOKUP(A293,[1]eco_journals!B:E,4,0),2),"")</f>
        <v/>
      </c>
      <c r="G293" s="40" t="str">
        <f>IFERROR(_xlfn.RANK.EQ(F293,F:F),"")</f>
        <v/>
      </c>
      <c r="H293" s="46" t="str">
        <f>IFERROR(ROUND(VLOOKUP(A293,[1]fin_journals!B:E,4,0),2),"")</f>
        <v/>
      </c>
      <c r="I293" s="18" t="str">
        <f>IFERROR(_xlfn.RANK.EQ(H293,H:H),"")</f>
        <v/>
      </c>
      <c r="J293" s="42">
        <f>IFERROR(ROUND(VLOOKUP(A293,[1]bus_journals!B:E,4,0),2),"")</f>
        <v>0.78</v>
      </c>
      <c r="K293" s="23">
        <f>IFERROR(_xlfn.RANK.EQ(J293,J:J),"")</f>
        <v>76</v>
      </c>
      <c r="L293" s="43">
        <f>IFERROR(ROUND(VLOOKUP(A293,[1]man_journals!B:E,4,0),2),"")</f>
        <v>0.62</v>
      </c>
      <c r="M293" s="26">
        <f>IFERROR(_xlfn.RANK.EQ(L293,L:L),"")</f>
        <v>82</v>
      </c>
      <c r="N293" s="2" t="s">
        <v>1273</v>
      </c>
      <c r="O293" t="s">
        <v>1282</v>
      </c>
      <c r="P293" s="4" t="s">
        <v>1275</v>
      </c>
    </row>
    <row r="294" spans="1:16" x14ac:dyDescent="0.25">
      <c r="A294" t="s">
        <v>263</v>
      </c>
      <c r="B294" t="s">
        <v>1360</v>
      </c>
      <c r="C294" s="6">
        <f>IFERROR(VLOOKUP(A294,[1]eco_bus_journals!$B:$D,3,0),"")</f>
        <v>11</v>
      </c>
      <c r="D294" s="37">
        <f>IFERROR(ROUND(VLOOKUP(A294,[1]eco_bus_journals!$B:$X,4,0),2),"")</f>
        <v>0.23</v>
      </c>
      <c r="E294" s="37">
        <f>_xlfn.RANK.EQ(D294,D:D)</f>
        <v>310</v>
      </c>
      <c r="F294" s="44" t="str">
        <f>IFERROR(ROUND(VLOOKUP(A294,[1]eco_journals!B:E,4,0),2),"")</f>
        <v/>
      </c>
      <c r="G294" s="40" t="str">
        <f>IFERROR(_xlfn.RANK.EQ(F294,F:F),"")</f>
        <v/>
      </c>
      <c r="H294" s="46">
        <f>IFERROR(ROUND(VLOOKUP(A294,[1]fin_journals!B:E,4,0),2),"")</f>
        <v>0.39</v>
      </c>
      <c r="I294" s="18">
        <f>IFERROR(_xlfn.RANK.EQ(H294,H:H),"")</f>
        <v>74</v>
      </c>
      <c r="J294" s="42" t="str">
        <f>IFERROR(ROUND(VLOOKUP(A294,[1]bus_journals!B:E,4,0),2),"")</f>
        <v/>
      </c>
      <c r="K294" s="23" t="str">
        <f>IFERROR(_xlfn.RANK.EQ(J294,J:J),"")</f>
        <v/>
      </c>
      <c r="L294" s="43" t="str">
        <f>IFERROR(ROUND(VLOOKUP(A294,[1]man_journals!B:E,4,0),2),"")</f>
        <v/>
      </c>
      <c r="M294" s="26" t="str">
        <f>IFERROR(_xlfn.RANK.EQ(L294,L:L),"")</f>
        <v/>
      </c>
      <c r="N294" s="3" t="s">
        <v>1274</v>
      </c>
    </row>
    <row r="295" spans="1:16" x14ac:dyDescent="0.25">
      <c r="A295" t="s">
        <v>221</v>
      </c>
      <c r="B295" t="s">
        <v>1362</v>
      </c>
      <c r="C295" s="6">
        <f>IFERROR(VLOOKUP(A295,[1]eco_bus_journals!$B:$D,3,0),"")</f>
        <v>28</v>
      </c>
      <c r="D295" s="37">
        <f>IFERROR(ROUND(VLOOKUP(A295,[1]eco_bus_journals!$B:$X,4,0),2),"")</f>
        <v>0.26</v>
      </c>
      <c r="E295" s="37">
        <f>_xlfn.RANK.EQ(D295,D:D)</f>
        <v>280</v>
      </c>
      <c r="F295" s="44" t="str">
        <f>IFERROR(ROUND(VLOOKUP(A295,[1]eco_journals!B:E,4,0),2),"")</f>
        <v/>
      </c>
      <c r="G295" s="40" t="str">
        <f>IFERROR(_xlfn.RANK.EQ(F295,F:F),"")</f>
        <v/>
      </c>
      <c r="H295" s="46">
        <f>IFERROR(ROUND(VLOOKUP(A295,[1]fin_journals!B:E,4,0),2),"")</f>
        <v>0.48</v>
      </c>
      <c r="I295" s="18">
        <f>IFERROR(_xlfn.RANK.EQ(H295,H:H),"")</f>
        <v>66</v>
      </c>
      <c r="J295" s="42" t="str">
        <f>IFERROR(ROUND(VLOOKUP(A295,[1]bus_journals!B:E,4,0),2),"")</f>
        <v/>
      </c>
      <c r="K295" s="23" t="str">
        <f>IFERROR(_xlfn.RANK.EQ(J295,J:J),"")</f>
        <v/>
      </c>
      <c r="L295" s="43" t="str">
        <f>IFERROR(ROUND(VLOOKUP(A295,[1]man_journals!B:E,4,0),2),"")</f>
        <v/>
      </c>
      <c r="M295" s="26" t="str">
        <f>IFERROR(_xlfn.RANK.EQ(L295,L:L),"")</f>
        <v/>
      </c>
      <c r="N295" s="3" t="s">
        <v>1274</v>
      </c>
    </row>
    <row r="296" spans="1:16" x14ac:dyDescent="0.25">
      <c r="A296" t="s">
        <v>303</v>
      </c>
      <c r="B296" t="s">
        <v>1372</v>
      </c>
      <c r="C296" s="6">
        <f>IFERROR(VLOOKUP(A296,[1]eco_bus_journals!$B:$D,3,0),"")</f>
        <v>109</v>
      </c>
      <c r="D296" s="37">
        <f>IFERROR(ROUND(VLOOKUP(A296,[1]eco_bus_journals!$B:$X,4,0),2),"")</f>
        <v>0.26</v>
      </c>
      <c r="E296" s="37">
        <f>_xlfn.RANK.EQ(D296,D:D)</f>
        <v>280</v>
      </c>
      <c r="F296" s="44">
        <f>IFERROR(ROUND(VLOOKUP(A296,[1]eco_journals!B:E,4,0),2),"")</f>
        <v>0.27</v>
      </c>
      <c r="G296" s="40">
        <f>IFERROR(_xlfn.RANK.EQ(F296,F:F),"")</f>
        <v>107</v>
      </c>
      <c r="H296" s="46" t="str">
        <f>IFERROR(ROUND(VLOOKUP(A296,[1]fin_journals!B:E,4,0),2),"")</f>
        <v/>
      </c>
      <c r="I296" s="18" t="str">
        <f>IFERROR(_xlfn.RANK.EQ(H296,H:H),"")</f>
        <v/>
      </c>
      <c r="J296" s="42" t="str">
        <f>IFERROR(ROUND(VLOOKUP(A296,[1]bus_journals!B:E,4,0),2),"")</f>
        <v/>
      </c>
      <c r="K296" s="23" t="str">
        <f>IFERROR(_xlfn.RANK.EQ(J296,J:J),"")</f>
        <v/>
      </c>
      <c r="L296" s="43" t="str">
        <f>IFERROR(ROUND(VLOOKUP(A296,[1]man_journals!B:E,4,0),2),"")</f>
        <v/>
      </c>
      <c r="M296" s="26" t="str">
        <f>IFERROR(_xlfn.RANK.EQ(L296,L:L),"")</f>
        <v/>
      </c>
      <c r="N296" s="1" t="s">
        <v>1272</v>
      </c>
      <c r="O296" t="s">
        <v>1312</v>
      </c>
      <c r="P296" t="s">
        <v>1319</v>
      </c>
    </row>
    <row r="297" spans="1:16" x14ac:dyDescent="0.25">
      <c r="A297" t="s">
        <v>146</v>
      </c>
      <c r="B297" t="s">
        <v>1372</v>
      </c>
      <c r="C297" s="6">
        <f>IFERROR(VLOOKUP(A297,[1]eco_bus_journals!$B:$D,3,0),"")</f>
        <v>57</v>
      </c>
      <c r="D297" s="37">
        <f>IFERROR(ROUND(VLOOKUP(A297,[1]eco_bus_journals!$B:$X,4,0),2),"")</f>
        <v>0.33</v>
      </c>
      <c r="E297" s="37">
        <f>_xlfn.RANK.EQ(D297,D:D)</f>
        <v>230</v>
      </c>
      <c r="F297" s="44" t="str">
        <f>IFERROR(ROUND(VLOOKUP(A297,[1]eco_journals!B:E,4,0),2),"")</f>
        <v/>
      </c>
      <c r="G297" s="40" t="str">
        <f>IFERROR(_xlfn.RANK.EQ(F297,F:F),"")</f>
        <v/>
      </c>
      <c r="H297" s="46" t="str">
        <f>IFERROR(ROUND(VLOOKUP(A297,[1]fin_journals!B:E,4,0),2),"")</f>
        <v/>
      </c>
      <c r="I297" s="18" t="str">
        <f>IFERROR(_xlfn.RANK.EQ(H297,H:H),"")</f>
        <v/>
      </c>
      <c r="J297" s="42" t="str">
        <f>IFERROR(ROUND(VLOOKUP(A297,[1]bus_journals!B:E,4,0),2),"")</f>
        <v/>
      </c>
      <c r="K297" s="23" t="str">
        <f>IFERROR(_xlfn.RANK.EQ(J297,J:J),"")</f>
        <v/>
      </c>
      <c r="L297" s="43">
        <f>IFERROR(ROUND(VLOOKUP(A297,[1]man_journals!B:E,4,0),2),"")</f>
        <v>0.61</v>
      </c>
      <c r="M297" s="26">
        <f>IFERROR(_xlfn.RANK.EQ(L297,L:L),"")</f>
        <v>83</v>
      </c>
      <c r="N297" s="4" t="s">
        <v>1275</v>
      </c>
    </row>
    <row r="298" spans="1:16" x14ac:dyDescent="0.25">
      <c r="A298" t="s">
        <v>281</v>
      </c>
      <c r="B298" t="s">
        <v>1361</v>
      </c>
      <c r="C298" s="6">
        <f>IFERROR(VLOOKUP(A298,[1]eco_bus_journals!$B:$D,3,0),"")</f>
        <v>26</v>
      </c>
      <c r="D298" s="37">
        <f>IFERROR(ROUND(VLOOKUP(A298,[1]eco_bus_journals!$B:$X,4,0),2),"")</f>
        <v>0.26</v>
      </c>
      <c r="E298" s="37">
        <f>_xlfn.RANK.EQ(D298,D:D)</f>
        <v>280</v>
      </c>
      <c r="F298" s="44" t="str">
        <f>IFERROR(ROUND(VLOOKUP(A298,[1]eco_journals!B:E,4,0),2),"")</f>
        <v/>
      </c>
      <c r="G298" s="40" t="str">
        <f>IFERROR(_xlfn.RANK.EQ(F298,F:F),"")</f>
        <v/>
      </c>
      <c r="H298" s="46" t="str">
        <f>IFERROR(ROUND(VLOOKUP(A298,[1]fin_journals!B:E,4,0),2),"")</f>
        <v/>
      </c>
      <c r="I298" s="18" t="str">
        <f>IFERROR(_xlfn.RANK.EQ(H298,H:H),"")</f>
        <v/>
      </c>
      <c r="J298" s="42" t="str">
        <f>IFERROR(ROUND(VLOOKUP(A298,[1]bus_journals!B:E,4,0),2),"")</f>
        <v/>
      </c>
      <c r="K298" s="23" t="str">
        <f>IFERROR(_xlfn.RANK.EQ(J298,J:J),"")</f>
        <v/>
      </c>
      <c r="L298" s="43">
        <f>IFERROR(ROUND(VLOOKUP(A298,[1]man_journals!B:E,4,0),2),"")</f>
        <v>0.63</v>
      </c>
      <c r="M298" s="26">
        <f>IFERROR(_xlfn.RANK.EQ(L298,L:L),"")</f>
        <v>80</v>
      </c>
      <c r="N298" t="s">
        <v>1283</v>
      </c>
      <c r="O298" s="4" t="s">
        <v>1275</v>
      </c>
      <c r="P298" t="s">
        <v>1278</v>
      </c>
    </row>
    <row r="299" spans="1:16" x14ac:dyDescent="0.25">
      <c r="A299" t="s">
        <v>375</v>
      </c>
      <c r="B299" t="s">
        <v>1360</v>
      </c>
      <c r="C299" s="6">
        <f>IFERROR(VLOOKUP(A299,[1]eco_bus_journals!$B:$D,3,0),"")</f>
        <v>49</v>
      </c>
      <c r="D299" s="37">
        <f>IFERROR(ROUND(VLOOKUP(A299,[1]eco_bus_journals!$B:$X,4,0),2),"")</f>
        <v>0.26</v>
      </c>
      <c r="E299" s="37">
        <f>_xlfn.RANK.EQ(D299,D:D)</f>
        <v>280</v>
      </c>
      <c r="F299" s="44">
        <f>IFERROR(ROUND(VLOOKUP(A299,[1]eco_journals!B:E,4,0),2),"")</f>
        <v>0.27</v>
      </c>
      <c r="G299" s="40">
        <f>IFERROR(_xlfn.RANK.EQ(F299,F:F),"")</f>
        <v>107</v>
      </c>
      <c r="H299" s="46" t="str">
        <f>IFERROR(ROUND(VLOOKUP(A299,[1]fin_journals!B:E,4,0),2),"")</f>
        <v/>
      </c>
      <c r="I299" s="18" t="str">
        <f>IFERROR(_xlfn.RANK.EQ(H299,H:H),"")</f>
        <v/>
      </c>
      <c r="J299" s="42" t="str">
        <f>IFERROR(ROUND(VLOOKUP(A299,[1]bus_journals!B:E,4,0),2),"")</f>
        <v/>
      </c>
      <c r="K299" s="23" t="str">
        <f>IFERROR(_xlfn.RANK.EQ(J299,J:J),"")</f>
        <v/>
      </c>
      <c r="L299" s="43" t="str">
        <f>IFERROR(ROUND(VLOOKUP(A299,[1]man_journals!B:E,4,0),2),"")</f>
        <v/>
      </c>
      <c r="M299" s="26" t="str">
        <f>IFERROR(_xlfn.RANK.EQ(L299,L:L),"")</f>
        <v/>
      </c>
      <c r="N299" t="s">
        <v>1304</v>
      </c>
      <c r="O299" s="1" t="s">
        <v>1272</v>
      </c>
    </row>
    <row r="300" spans="1:16" x14ac:dyDescent="0.25">
      <c r="A300" t="s">
        <v>359</v>
      </c>
      <c r="B300" t="s">
        <v>1355</v>
      </c>
      <c r="C300" s="6">
        <f>IFERROR(VLOOKUP(A300,[1]eco_bus_journals!$B:$D,3,0),"")</f>
        <v>10</v>
      </c>
      <c r="D300" s="37">
        <f>IFERROR(ROUND(VLOOKUP(A300,[1]eco_bus_journals!$B:$X,4,0),2),"")</f>
        <v>0.25</v>
      </c>
      <c r="E300" s="37">
        <f>_xlfn.RANK.EQ(D300,D:D)</f>
        <v>293</v>
      </c>
      <c r="F300" s="44">
        <f>IFERROR(ROUND(VLOOKUP(A300,[1]eco_journals!B:E,4,0),2),"")</f>
        <v>0.22</v>
      </c>
      <c r="G300" s="40">
        <f>IFERROR(_xlfn.RANK.EQ(F300,F:F),"")</f>
        <v>128</v>
      </c>
      <c r="H300" s="46" t="str">
        <f>IFERROR(ROUND(VLOOKUP(A300,[1]fin_journals!B:E,4,0),2),"")</f>
        <v/>
      </c>
      <c r="I300" s="18" t="str">
        <f>IFERROR(_xlfn.RANK.EQ(H300,H:H),"")</f>
        <v/>
      </c>
      <c r="J300" s="42" t="str">
        <f>IFERROR(ROUND(VLOOKUP(A300,[1]bus_journals!B:E,4,0),2),"")</f>
        <v/>
      </c>
      <c r="K300" s="23" t="str">
        <f>IFERROR(_xlfn.RANK.EQ(J300,J:J),"")</f>
        <v/>
      </c>
      <c r="L300" s="43" t="str">
        <f>IFERROR(ROUND(VLOOKUP(A300,[1]man_journals!B:E,4,0),2),"")</f>
        <v/>
      </c>
      <c r="M300" s="26" t="str">
        <f>IFERROR(_xlfn.RANK.EQ(L300,L:L),"")</f>
        <v/>
      </c>
      <c r="N300" s="1" t="s">
        <v>1272</v>
      </c>
      <c r="O300" t="s">
        <v>1295</v>
      </c>
    </row>
    <row r="301" spans="1:16" x14ac:dyDescent="0.25">
      <c r="A301" t="s">
        <v>224</v>
      </c>
      <c r="B301" t="s">
        <v>1358</v>
      </c>
      <c r="C301" s="6">
        <f>IFERROR(VLOOKUP(A301,[1]eco_bus_journals!$B:$D,3,0),"")</f>
        <v>47</v>
      </c>
      <c r="D301" s="37">
        <f>IFERROR(ROUND(VLOOKUP(A301,[1]eco_bus_journals!$B:$X,4,0),2),"")</f>
        <v>0.23</v>
      </c>
      <c r="E301" s="37">
        <f>_xlfn.RANK.EQ(D301,D:D)</f>
        <v>310</v>
      </c>
      <c r="F301" s="44" t="str">
        <f>IFERROR(ROUND(VLOOKUP(A301,[1]eco_journals!B:E,4,0),2),"")</f>
        <v/>
      </c>
      <c r="G301" s="40" t="str">
        <f>IFERROR(_xlfn.RANK.EQ(F301,F:F),"")</f>
        <v/>
      </c>
      <c r="H301" s="46" t="str">
        <f>IFERROR(ROUND(VLOOKUP(A301,[1]fin_journals!B:E,4,0),2),"")</f>
        <v/>
      </c>
      <c r="I301" s="18" t="str">
        <f>IFERROR(_xlfn.RANK.EQ(H301,H:H),"")</f>
        <v/>
      </c>
      <c r="J301" s="42">
        <f>IFERROR(ROUND(VLOOKUP(A301,[1]bus_journals!B:E,4,0),2),"")</f>
        <v>0.36</v>
      </c>
      <c r="K301" s="23">
        <f>IFERROR(_xlfn.RANK.EQ(J301,J:J),"")</f>
        <v>105</v>
      </c>
      <c r="L301" s="43">
        <f>IFERROR(ROUND(VLOOKUP(A301,[1]man_journals!B:E,4,0),2),"")</f>
        <v>0.34</v>
      </c>
      <c r="M301" s="26">
        <f>IFERROR(_xlfn.RANK.EQ(L301,L:L),"")</f>
        <v>121</v>
      </c>
      <c r="N301" s="2" t="s">
        <v>1273</v>
      </c>
      <c r="O301" s="4" t="s">
        <v>1275</v>
      </c>
    </row>
    <row r="302" spans="1:16" x14ac:dyDescent="0.25">
      <c r="A302" t="s">
        <v>275</v>
      </c>
      <c r="B302" t="s">
        <v>1360</v>
      </c>
      <c r="C302" s="6">
        <f>IFERROR(VLOOKUP(A302,[1]eco_bus_journals!$B:$D,3,0),"")</f>
        <v>80</v>
      </c>
      <c r="D302" s="37">
        <f>IFERROR(ROUND(VLOOKUP(A302,[1]eco_bus_journals!$B:$X,4,0),2),"")</f>
        <v>0.23</v>
      </c>
      <c r="E302" s="37">
        <f>_xlfn.RANK.EQ(D302,D:D)</f>
        <v>310</v>
      </c>
      <c r="F302" s="44" t="str">
        <f>IFERROR(ROUND(VLOOKUP(A302,[1]eco_journals!B:E,4,0),2),"")</f>
        <v/>
      </c>
      <c r="G302" s="40" t="str">
        <f>IFERROR(_xlfn.RANK.EQ(F302,F:F),"")</f>
        <v/>
      </c>
      <c r="H302" s="46">
        <f>IFERROR(ROUND(VLOOKUP(A302,[1]fin_journals!B:E,4,0),2),"")</f>
        <v>0.56000000000000005</v>
      </c>
      <c r="I302" s="18">
        <f>IFERROR(_xlfn.RANK.EQ(H302,H:H),"")</f>
        <v>60</v>
      </c>
      <c r="J302" s="42" t="str">
        <f>IFERROR(ROUND(VLOOKUP(A302,[1]bus_journals!B:E,4,0),2),"")</f>
        <v/>
      </c>
      <c r="K302" s="23" t="str">
        <f>IFERROR(_xlfn.RANK.EQ(J302,J:J),"")</f>
        <v/>
      </c>
      <c r="L302" s="43" t="str">
        <f>IFERROR(ROUND(VLOOKUP(A302,[1]man_journals!B:E,4,0),2),"")</f>
        <v/>
      </c>
      <c r="M302" s="26" t="str">
        <f>IFERROR(_xlfn.RANK.EQ(L302,L:L),"")</f>
        <v/>
      </c>
      <c r="N302" s="3" t="s">
        <v>1274</v>
      </c>
    </row>
    <row r="303" spans="1:16" x14ac:dyDescent="0.25">
      <c r="A303" t="s">
        <v>233</v>
      </c>
      <c r="B303" t="s">
        <v>1358</v>
      </c>
      <c r="C303" s="6">
        <f>IFERROR(VLOOKUP(A303,[1]eco_bus_journals!$B:$D,3,0),"")</f>
        <v>36</v>
      </c>
      <c r="D303" s="37">
        <f>IFERROR(ROUND(VLOOKUP(A303,[1]eco_bus_journals!$B:$X,4,0),2),"")</f>
        <v>0.24</v>
      </c>
      <c r="E303" s="37">
        <f>_xlfn.RANK.EQ(D303,D:D)</f>
        <v>303</v>
      </c>
      <c r="F303" s="44" t="str">
        <f>IFERROR(ROUND(VLOOKUP(A303,[1]eco_journals!B:E,4,0),2),"")</f>
        <v/>
      </c>
      <c r="G303" s="40" t="str">
        <f>IFERROR(_xlfn.RANK.EQ(F303,F:F),"")</f>
        <v/>
      </c>
      <c r="H303" s="46" t="str">
        <f>IFERROR(ROUND(VLOOKUP(A303,[1]fin_journals!B:E,4,0),2),"")</f>
        <v/>
      </c>
      <c r="I303" s="18" t="str">
        <f>IFERROR(_xlfn.RANK.EQ(H303,H:H),"")</f>
        <v/>
      </c>
      <c r="J303" s="42" t="str">
        <f>IFERROR(ROUND(VLOOKUP(A303,[1]bus_journals!B:E,4,0),2),"")</f>
        <v/>
      </c>
      <c r="K303" s="23" t="str">
        <f>IFERROR(_xlfn.RANK.EQ(J303,J:J),"")</f>
        <v/>
      </c>
      <c r="L303" s="43">
        <f>IFERROR(ROUND(VLOOKUP(A303,[1]man_journals!B:E,4,0),2),"")</f>
        <v>0.57999999999999996</v>
      </c>
      <c r="M303" s="26">
        <f>IFERROR(_xlfn.RANK.EQ(L303,L:L),"")</f>
        <v>89</v>
      </c>
      <c r="N303" s="4" t="s">
        <v>1275</v>
      </c>
    </row>
    <row r="304" spans="1:16" x14ac:dyDescent="0.25">
      <c r="A304" t="s">
        <v>404</v>
      </c>
      <c r="B304" t="s">
        <v>1362</v>
      </c>
      <c r="C304" s="6">
        <f>IFERROR(VLOOKUP(A304,[1]eco_bus_journals!$B:$D,3,0),"")</f>
        <v>64</v>
      </c>
      <c r="D304" s="37">
        <f>IFERROR(ROUND(VLOOKUP(A304,[1]eco_bus_journals!$B:$X,4,0),2),"")</f>
        <v>0.24</v>
      </c>
      <c r="E304" s="37">
        <f>_xlfn.RANK.EQ(D304,D:D)</f>
        <v>303</v>
      </c>
      <c r="F304" s="44">
        <f>IFERROR(ROUND(VLOOKUP(A304,[1]eco_journals!B:E,4,0),2),"")</f>
        <v>0.24</v>
      </c>
      <c r="G304" s="40">
        <f>IFERROR(_xlfn.RANK.EQ(F304,F:F),"")</f>
        <v>120</v>
      </c>
      <c r="H304" s="46" t="str">
        <f>IFERROR(ROUND(VLOOKUP(A304,[1]fin_journals!B:E,4,0),2),"")</f>
        <v/>
      </c>
      <c r="I304" s="18" t="str">
        <f>IFERROR(_xlfn.RANK.EQ(H304,H:H),"")</f>
        <v/>
      </c>
      <c r="J304" s="42" t="str">
        <f>IFERROR(ROUND(VLOOKUP(A304,[1]bus_journals!B:E,4,0),2),"")</f>
        <v/>
      </c>
      <c r="K304" s="23" t="str">
        <f>IFERROR(_xlfn.RANK.EQ(J304,J:J),"")</f>
        <v/>
      </c>
      <c r="L304" s="43" t="str">
        <f>IFERROR(ROUND(VLOOKUP(A304,[1]man_journals!B:E,4,0),2),"")</f>
        <v/>
      </c>
      <c r="M304" s="26" t="str">
        <f>IFERROR(_xlfn.RANK.EQ(L304,L:L),"")</f>
        <v/>
      </c>
      <c r="N304" s="1" t="s">
        <v>1272</v>
      </c>
    </row>
    <row r="305" spans="1:17" x14ac:dyDescent="0.25">
      <c r="A305" t="s">
        <v>356</v>
      </c>
      <c r="B305" t="s">
        <v>1381</v>
      </c>
      <c r="C305" s="6">
        <f>IFERROR(VLOOKUP(A305,[1]eco_bus_journals!$B:$D,3,0),"")</f>
        <v>75</v>
      </c>
      <c r="D305" s="37">
        <f>IFERROR(ROUND(VLOOKUP(A305,[1]eco_bus_journals!$B:$X,4,0),2),"")</f>
        <v>0.27</v>
      </c>
      <c r="E305" s="37">
        <f>_xlfn.RANK.EQ(D305,D:D)</f>
        <v>271</v>
      </c>
      <c r="F305" s="44" t="str">
        <f>IFERROR(ROUND(VLOOKUP(A305,[1]eco_journals!B:E,4,0),2),"")</f>
        <v/>
      </c>
      <c r="G305" s="40" t="str">
        <f>IFERROR(_xlfn.RANK.EQ(F305,F:F),"")</f>
        <v/>
      </c>
      <c r="H305" s="46">
        <f>IFERROR(ROUND(VLOOKUP(A305,[1]fin_journals!B:E,4,0),2),"")</f>
        <v>0.75</v>
      </c>
      <c r="I305" s="18">
        <f>IFERROR(_xlfn.RANK.EQ(H305,H:H),"")</f>
        <v>47</v>
      </c>
      <c r="J305" s="42" t="str">
        <f>IFERROR(ROUND(VLOOKUP(A305,[1]bus_journals!B:E,4,0),2),"")</f>
        <v/>
      </c>
      <c r="K305" s="23" t="str">
        <f>IFERROR(_xlfn.RANK.EQ(J305,J:J),"")</f>
        <v/>
      </c>
      <c r="L305" s="43" t="str">
        <f>IFERROR(ROUND(VLOOKUP(A305,[1]man_journals!B:E,4,0),2),"")</f>
        <v/>
      </c>
      <c r="M305" s="26" t="str">
        <f>IFERROR(_xlfn.RANK.EQ(L305,L:L),"")</f>
        <v/>
      </c>
      <c r="N305" s="3" t="s">
        <v>1274</v>
      </c>
    </row>
    <row r="306" spans="1:17" x14ac:dyDescent="0.25">
      <c r="A306" t="s">
        <v>387</v>
      </c>
      <c r="B306" t="s">
        <v>1363</v>
      </c>
      <c r="C306" s="6">
        <f>IFERROR(VLOOKUP(A306,[1]eco_bus_journals!$B:$D,3,0),"")</f>
        <v>98</v>
      </c>
      <c r="D306" s="37">
        <f>IFERROR(ROUND(VLOOKUP(A306,[1]eco_bus_journals!$B:$X,4,0),2),"")</f>
        <v>0.24</v>
      </c>
      <c r="E306" s="37">
        <f>_xlfn.RANK.EQ(D306,D:D)</f>
        <v>303</v>
      </c>
      <c r="F306" s="44">
        <f>IFERROR(ROUND(VLOOKUP(A306,[1]eco_journals!B:E,4,0),2),"")</f>
        <v>0.21</v>
      </c>
      <c r="G306" s="40">
        <f>IFERROR(_xlfn.RANK.EQ(F306,F:F),"")</f>
        <v>131</v>
      </c>
      <c r="H306" s="46">
        <f>IFERROR(ROUND(VLOOKUP(A306,[1]fin_journals!B:E,4,0),2),"")</f>
        <v>0.71</v>
      </c>
      <c r="I306" s="18">
        <f>IFERROR(_xlfn.RANK.EQ(H306,H:H),"")</f>
        <v>51</v>
      </c>
      <c r="J306" s="42" t="str">
        <f>IFERROR(ROUND(VLOOKUP(A306,[1]bus_journals!B:E,4,0),2),"")</f>
        <v/>
      </c>
      <c r="K306" s="23" t="str">
        <f>IFERROR(_xlfn.RANK.EQ(J306,J:J),"")</f>
        <v/>
      </c>
      <c r="L306" s="43" t="str">
        <f>IFERROR(ROUND(VLOOKUP(A306,[1]man_journals!B:E,4,0),2),"")</f>
        <v/>
      </c>
      <c r="M306" s="26" t="str">
        <f>IFERROR(_xlfn.RANK.EQ(L306,L:L),"")</f>
        <v/>
      </c>
      <c r="N306" s="3" t="s">
        <v>1274</v>
      </c>
      <c r="O306" s="1" t="s">
        <v>1272</v>
      </c>
      <c r="P306" t="s">
        <v>1288</v>
      </c>
    </row>
    <row r="307" spans="1:17" x14ac:dyDescent="0.25">
      <c r="A307" t="s">
        <v>298</v>
      </c>
      <c r="B307" t="s">
        <v>1358</v>
      </c>
      <c r="C307" s="6">
        <f>IFERROR(VLOOKUP(A307,[1]eco_bus_journals!$B:$D,3,0),"")</f>
        <v>50</v>
      </c>
      <c r="D307" s="37">
        <f>IFERROR(ROUND(VLOOKUP(A307,[1]eco_bus_journals!$B:$X,4,0),2),"")</f>
        <v>0.37</v>
      </c>
      <c r="E307" s="37">
        <f>_xlfn.RANK.EQ(D307,D:D)</f>
        <v>212</v>
      </c>
      <c r="F307" s="44" t="str">
        <f>IFERROR(ROUND(VLOOKUP(A307,[1]eco_journals!B:E,4,0),2),"")</f>
        <v/>
      </c>
      <c r="G307" s="40" t="str">
        <f>IFERROR(_xlfn.RANK.EQ(F307,F:F),"")</f>
        <v/>
      </c>
      <c r="H307" s="46" t="str">
        <f>IFERROR(ROUND(VLOOKUP(A307,[1]fin_journals!B:E,4,0),2),"")</f>
        <v/>
      </c>
      <c r="I307" s="18" t="str">
        <f>IFERROR(_xlfn.RANK.EQ(H307,H:H),"")</f>
        <v/>
      </c>
      <c r="J307" s="42" t="str">
        <f>IFERROR(ROUND(VLOOKUP(A307,[1]bus_journals!B:E,4,0),2),"")</f>
        <v/>
      </c>
      <c r="K307" s="23" t="str">
        <f>IFERROR(_xlfn.RANK.EQ(J307,J:J),"")</f>
        <v/>
      </c>
      <c r="L307" s="43">
        <f>IFERROR(ROUND(VLOOKUP(A307,[1]man_journals!B:E,4,0),2),"")</f>
        <v>0.78</v>
      </c>
      <c r="M307" s="26">
        <f>IFERROR(_xlfn.RANK.EQ(L307,L:L),"")</f>
        <v>70</v>
      </c>
      <c r="N307" s="4" t="s">
        <v>1275</v>
      </c>
    </row>
    <row r="308" spans="1:17" x14ac:dyDescent="0.25">
      <c r="A308" t="s">
        <v>370</v>
      </c>
      <c r="B308" t="s">
        <v>1360</v>
      </c>
      <c r="C308" s="6">
        <f>IFERROR(VLOOKUP(A308,[1]eco_bus_journals!$B:$D,3,0),"")</f>
        <v>43</v>
      </c>
      <c r="D308" s="37">
        <f>IFERROR(ROUND(VLOOKUP(A308,[1]eco_bus_journals!$B:$X,4,0),2),"")</f>
        <v>0.25</v>
      </c>
      <c r="E308" s="37">
        <f>_xlfn.RANK.EQ(D308,D:D)</f>
        <v>293</v>
      </c>
      <c r="F308" s="44" t="str">
        <f>IFERROR(ROUND(VLOOKUP(A308,[1]eco_journals!B:E,4,0),2),"")</f>
        <v/>
      </c>
      <c r="G308" s="40" t="str">
        <f>IFERROR(_xlfn.RANK.EQ(F308,F:F),"")</f>
        <v/>
      </c>
      <c r="H308" s="46" t="str">
        <f>IFERROR(ROUND(VLOOKUP(A308,[1]fin_journals!B:E,4,0),2),"")</f>
        <v/>
      </c>
      <c r="I308" s="18" t="str">
        <f>IFERROR(_xlfn.RANK.EQ(H308,H:H),"")</f>
        <v/>
      </c>
      <c r="J308" s="42" t="str">
        <f>IFERROR(ROUND(VLOOKUP(A308,[1]bus_journals!B:E,4,0),2),"")</f>
        <v/>
      </c>
      <c r="K308" s="23" t="str">
        <f>IFERROR(_xlfn.RANK.EQ(J308,J:J),"")</f>
        <v/>
      </c>
      <c r="L308" s="43">
        <f>IFERROR(ROUND(VLOOKUP(A308,[1]man_journals!B:E,4,0),2),"")</f>
        <v>0.63</v>
      </c>
      <c r="M308" s="26">
        <f>IFERROR(_xlfn.RANK.EQ(L308,L:L),"")</f>
        <v>80</v>
      </c>
      <c r="N308" s="4" t="s">
        <v>1275</v>
      </c>
      <c r="O308" t="s">
        <v>1311</v>
      </c>
    </row>
    <row r="309" spans="1:17" x14ac:dyDescent="0.25">
      <c r="A309" t="s">
        <v>236</v>
      </c>
      <c r="B309" t="s">
        <v>1362</v>
      </c>
      <c r="C309" s="6">
        <f>IFERROR(VLOOKUP(A309,[1]eco_bus_journals!$B:$D,3,0),"")</f>
        <v>166</v>
      </c>
      <c r="D309" s="37">
        <f>IFERROR(ROUND(VLOOKUP(A309,[1]eco_bus_journals!$B:$X,4,0),2),"")</f>
        <v>0.24</v>
      </c>
      <c r="E309" s="37">
        <f>_xlfn.RANK.EQ(D309,D:D)</f>
        <v>303</v>
      </c>
      <c r="F309" s="44" t="str">
        <f>IFERROR(ROUND(VLOOKUP(A309,[1]eco_journals!B:E,4,0),2),"")</f>
        <v/>
      </c>
      <c r="G309" s="40" t="str">
        <f>IFERROR(_xlfn.RANK.EQ(F309,F:F),"")</f>
        <v/>
      </c>
      <c r="H309" s="46">
        <f>IFERROR(ROUND(VLOOKUP(A309,[1]fin_journals!B:E,4,0),2),"")</f>
        <v>0.48</v>
      </c>
      <c r="I309" s="18">
        <f>IFERROR(_xlfn.RANK.EQ(H309,H:H),"")</f>
        <v>66</v>
      </c>
      <c r="J309" s="42" t="str">
        <f>IFERROR(ROUND(VLOOKUP(A309,[1]bus_journals!B:E,4,0),2),"")</f>
        <v/>
      </c>
      <c r="K309" s="23" t="str">
        <f>IFERROR(_xlfn.RANK.EQ(J309,J:J),"")</f>
        <v/>
      </c>
      <c r="L309" s="43" t="str">
        <f>IFERROR(ROUND(VLOOKUP(A309,[1]man_journals!B:E,4,0),2),"")</f>
        <v/>
      </c>
      <c r="M309" s="26" t="str">
        <f>IFERROR(_xlfn.RANK.EQ(L309,L:L),"")</f>
        <v/>
      </c>
      <c r="N309" s="3" t="s">
        <v>1274</v>
      </c>
    </row>
    <row r="310" spans="1:17" x14ac:dyDescent="0.25">
      <c r="A310" t="s">
        <v>372</v>
      </c>
      <c r="B310" t="s">
        <v>1363</v>
      </c>
      <c r="C310" s="6">
        <f>IFERROR(VLOOKUP(A310,[1]eco_bus_journals!$B:$D,3,0),"")</f>
        <v>76</v>
      </c>
      <c r="D310" s="37">
        <f>IFERROR(ROUND(VLOOKUP(A310,[1]eco_bus_journals!$B:$X,4,0),2),"")</f>
        <v>0.25</v>
      </c>
      <c r="E310" s="37">
        <f>_xlfn.RANK.EQ(D310,D:D)</f>
        <v>293</v>
      </c>
      <c r="F310" s="44">
        <f>IFERROR(ROUND(VLOOKUP(A310,[1]eco_journals!B:E,4,0),2),"")</f>
        <v>0.24</v>
      </c>
      <c r="G310" s="40">
        <f>IFERROR(_xlfn.RANK.EQ(F310,F:F),"")</f>
        <v>120</v>
      </c>
      <c r="H310" s="46" t="str">
        <f>IFERROR(ROUND(VLOOKUP(A310,[1]fin_journals!B:E,4,0),2),"")</f>
        <v/>
      </c>
      <c r="I310" s="18" t="str">
        <f>IFERROR(_xlfn.RANK.EQ(H310,H:H),"")</f>
        <v/>
      </c>
      <c r="J310" s="42" t="str">
        <f>IFERROR(ROUND(VLOOKUP(A310,[1]bus_journals!B:E,4,0),2),"")</f>
        <v/>
      </c>
      <c r="K310" s="23" t="str">
        <f>IFERROR(_xlfn.RANK.EQ(J310,J:J),"")</f>
        <v/>
      </c>
      <c r="L310" s="43">
        <f>IFERROR(ROUND(VLOOKUP(A310,[1]man_journals!B:E,4,0),2),"")</f>
        <v>0.18</v>
      </c>
      <c r="M310" s="26">
        <f>IFERROR(_xlfn.RANK.EQ(L310,L:L),"")</f>
        <v>152</v>
      </c>
      <c r="N310" s="1" t="s">
        <v>1272</v>
      </c>
      <c r="O310" s="4" t="s">
        <v>1275</v>
      </c>
    </row>
    <row r="311" spans="1:17" x14ac:dyDescent="0.25">
      <c r="A311" t="s">
        <v>212</v>
      </c>
      <c r="B311" t="s">
        <v>1371</v>
      </c>
      <c r="C311" s="6">
        <f>IFERROR(VLOOKUP(A311,[1]eco_bus_journals!$B:$D,3,0),"")</f>
        <v>74</v>
      </c>
      <c r="D311" s="37">
        <f>IFERROR(ROUND(VLOOKUP(A311,[1]eco_bus_journals!$B:$X,4,0),2),"")</f>
        <v>0.25</v>
      </c>
      <c r="E311" s="37">
        <f>_xlfn.RANK.EQ(D311,D:D)</f>
        <v>293</v>
      </c>
      <c r="F311" s="44" t="str">
        <f>IFERROR(ROUND(VLOOKUP(A311,[1]eco_journals!B:E,4,0),2),"")</f>
        <v/>
      </c>
      <c r="G311" s="40" t="str">
        <f>IFERROR(_xlfn.RANK.EQ(F311,F:F),"")</f>
        <v/>
      </c>
      <c r="H311" s="46">
        <f>IFERROR(ROUND(VLOOKUP(A311,[1]fin_journals!B:E,4,0),2),"")</f>
        <v>0.33</v>
      </c>
      <c r="I311" s="18">
        <f>IFERROR(_xlfn.RANK.EQ(H311,H:H),"")</f>
        <v>82</v>
      </c>
      <c r="J311" s="42" t="str">
        <f>IFERROR(ROUND(VLOOKUP(A311,[1]bus_journals!B:E,4,0),2),"")</f>
        <v/>
      </c>
      <c r="K311" s="23" t="str">
        <f>IFERROR(_xlfn.RANK.EQ(J311,J:J),"")</f>
        <v/>
      </c>
      <c r="L311" s="43">
        <f>IFERROR(ROUND(VLOOKUP(A311,[1]man_journals!B:E,4,0),2),"")</f>
        <v>0.46</v>
      </c>
      <c r="M311" s="26">
        <f>IFERROR(_xlfn.RANK.EQ(L311,L:L),"")</f>
        <v>98</v>
      </c>
      <c r="N311" s="3" t="s">
        <v>1274</v>
      </c>
      <c r="O311" t="s">
        <v>1293</v>
      </c>
      <c r="P311" s="4" t="s">
        <v>1275</v>
      </c>
    </row>
    <row r="312" spans="1:17" x14ac:dyDescent="0.25">
      <c r="A312" t="s">
        <v>241</v>
      </c>
      <c r="B312" t="s">
        <v>1360</v>
      </c>
      <c r="C312" s="6">
        <f>IFERROR(VLOOKUP(A312,[1]eco_bus_journals!$B:$D,3,0),"")</f>
        <v>11</v>
      </c>
      <c r="D312" s="37">
        <f>IFERROR(ROUND(VLOOKUP(A312,[1]eco_bus_journals!$B:$X,4,0),2),"")</f>
        <v>0.23</v>
      </c>
      <c r="E312" s="37">
        <f>_xlfn.RANK.EQ(D312,D:D)</f>
        <v>310</v>
      </c>
      <c r="F312" s="44">
        <f>IFERROR(ROUND(VLOOKUP(A312,[1]eco_journals!B:E,4,0),2),"")</f>
        <v>0.19</v>
      </c>
      <c r="G312" s="40">
        <f>IFERROR(_xlfn.RANK.EQ(F312,F:F),"")</f>
        <v>144</v>
      </c>
      <c r="H312" s="46" t="str">
        <f>IFERROR(ROUND(VLOOKUP(A312,[1]fin_journals!B:E,4,0),2),"")</f>
        <v/>
      </c>
      <c r="I312" s="18" t="str">
        <f>IFERROR(_xlfn.RANK.EQ(H312,H:H),"")</f>
        <v/>
      </c>
      <c r="J312" s="42" t="str">
        <f>IFERROR(ROUND(VLOOKUP(A312,[1]bus_journals!B:E,4,0),2),"")</f>
        <v/>
      </c>
      <c r="K312" s="23" t="str">
        <f>IFERROR(_xlfn.RANK.EQ(J312,J:J),"")</f>
        <v/>
      </c>
      <c r="L312" s="43" t="str">
        <f>IFERROR(ROUND(VLOOKUP(A312,[1]man_journals!B:E,4,0),2),"")</f>
        <v/>
      </c>
      <c r="M312" s="26" t="str">
        <f>IFERROR(_xlfn.RANK.EQ(L312,L:L),"")</f>
        <v/>
      </c>
      <c r="N312" s="1" t="s">
        <v>1272</v>
      </c>
    </row>
    <row r="313" spans="1:17" x14ac:dyDescent="0.25">
      <c r="A313" t="s">
        <v>445</v>
      </c>
      <c r="B313" t="s">
        <v>1366</v>
      </c>
      <c r="C313" s="6">
        <f>IFERROR(VLOOKUP(A313,[1]eco_bus_journals!$B:$D,3,0),"")</f>
        <v>20</v>
      </c>
      <c r="D313" s="37">
        <f>IFERROR(ROUND(VLOOKUP(A313,[1]eco_bus_journals!$B:$X,4,0),2),"")</f>
        <v>0.2</v>
      </c>
      <c r="E313" s="37">
        <f>_xlfn.RANK.EQ(D313,D:D)</f>
        <v>336</v>
      </c>
      <c r="F313" s="44" t="str">
        <f>IFERROR(ROUND(VLOOKUP(A313,[1]eco_journals!B:E,4,0),2),"")</f>
        <v/>
      </c>
      <c r="G313" s="40" t="str">
        <f>IFERROR(_xlfn.RANK.EQ(F313,F:F),"")</f>
        <v/>
      </c>
      <c r="H313" s="46" t="str">
        <f>IFERROR(ROUND(VLOOKUP(A313,[1]fin_journals!B:E,4,0),2),"")</f>
        <v/>
      </c>
      <c r="I313" s="18" t="str">
        <f>IFERROR(_xlfn.RANK.EQ(H313,H:H),"")</f>
        <v/>
      </c>
      <c r="J313" s="42" t="str">
        <f>IFERROR(ROUND(VLOOKUP(A313,[1]bus_journals!B:E,4,0),2),"")</f>
        <v/>
      </c>
      <c r="K313" s="23" t="str">
        <f>IFERROR(_xlfn.RANK.EQ(J313,J:J),"")</f>
        <v/>
      </c>
      <c r="L313" s="43">
        <f>IFERROR(ROUND(VLOOKUP(A313,[1]man_journals!B:E,4,0),2),"")</f>
        <v>0.44</v>
      </c>
      <c r="M313" s="26">
        <f>IFERROR(_xlfn.RANK.EQ(L313,L:L),"")</f>
        <v>103</v>
      </c>
      <c r="N313" s="4" t="s">
        <v>1275</v>
      </c>
    </row>
    <row r="314" spans="1:17" x14ac:dyDescent="0.25">
      <c r="A314" t="s">
        <v>383</v>
      </c>
      <c r="B314" t="s">
        <v>1362</v>
      </c>
      <c r="C314" s="6">
        <f>IFERROR(VLOOKUP(A314,[1]eco_bus_journals!$B:$D,3,0),"")</f>
        <v>90</v>
      </c>
      <c r="D314" s="37">
        <f>IFERROR(ROUND(VLOOKUP(A314,[1]eco_bus_journals!$B:$X,4,0),2),"")</f>
        <v>0.22</v>
      </c>
      <c r="E314" s="37">
        <f>_xlfn.RANK.EQ(D314,D:D)</f>
        <v>319</v>
      </c>
      <c r="F314" s="44">
        <f>IFERROR(ROUND(VLOOKUP(A314,[1]eco_journals!B:E,4,0),2),"")</f>
        <v>0.22</v>
      </c>
      <c r="G314" s="40">
        <f>IFERROR(_xlfn.RANK.EQ(F314,F:F),"")</f>
        <v>128</v>
      </c>
      <c r="H314" s="46" t="str">
        <f>IFERROR(ROUND(VLOOKUP(A314,[1]fin_journals!B:E,4,0),2),"")</f>
        <v/>
      </c>
      <c r="I314" s="18" t="str">
        <f>IFERROR(_xlfn.RANK.EQ(H314,H:H),"")</f>
        <v/>
      </c>
      <c r="J314" s="42" t="str">
        <f>IFERROR(ROUND(VLOOKUP(A314,[1]bus_journals!B:E,4,0),2),"")</f>
        <v/>
      </c>
      <c r="K314" s="23" t="str">
        <f>IFERROR(_xlfn.RANK.EQ(J314,J:J),"")</f>
        <v/>
      </c>
      <c r="L314" s="43" t="str">
        <f>IFERROR(ROUND(VLOOKUP(A314,[1]man_journals!B:E,4,0),2),"")</f>
        <v/>
      </c>
      <c r="M314" s="26" t="str">
        <f>IFERROR(_xlfn.RANK.EQ(L314,L:L),"")</f>
        <v/>
      </c>
      <c r="N314" s="1" t="s">
        <v>1272</v>
      </c>
      <c r="O314" t="s">
        <v>1319</v>
      </c>
    </row>
    <row r="315" spans="1:17" x14ac:dyDescent="0.25">
      <c r="A315" t="s">
        <v>216</v>
      </c>
      <c r="B315" t="s">
        <v>1371</v>
      </c>
      <c r="C315" s="6">
        <f>IFERROR(VLOOKUP(A315,[1]eco_bus_journals!$B:$D,3,0),"")</f>
        <v>89</v>
      </c>
      <c r="D315" s="37">
        <f>IFERROR(ROUND(VLOOKUP(A315,[1]eco_bus_journals!$B:$X,4,0),2),"")</f>
        <v>0.25</v>
      </c>
      <c r="E315" s="37">
        <f>_xlfn.RANK.EQ(D315,D:D)</f>
        <v>293</v>
      </c>
      <c r="F315" s="44" t="str">
        <f>IFERROR(ROUND(VLOOKUP(A315,[1]eco_journals!B:E,4,0),2),"")</f>
        <v/>
      </c>
      <c r="G315" s="40" t="str">
        <f>IFERROR(_xlfn.RANK.EQ(F315,F:F),"")</f>
        <v/>
      </c>
      <c r="H315" s="46" t="str">
        <f>IFERROR(ROUND(VLOOKUP(A315,[1]fin_journals!B:E,4,0),2),"")</f>
        <v/>
      </c>
      <c r="I315" s="18" t="str">
        <f>IFERROR(_xlfn.RANK.EQ(H315,H:H),"")</f>
        <v/>
      </c>
      <c r="J315" s="42">
        <f>IFERROR(ROUND(VLOOKUP(A315,[1]bus_journals!B:E,4,0),2),"")</f>
        <v>0.79</v>
      </c>
      <c r="K315" s="23">
        <f>IFERROR(_xlfn.RANK.EQ(J315,J:J),"")</f>
        <v>74</v>
      </c>
      <c r="L315" s="43">
        <f>IFERROR(ROUND(VLOOKUP(A315,[1]man_journals!B:E,4,0),2),"")</f>
        <v>0.42</v>
      </c>
      <c r="M315" s="26">
        <f>IFERROR(_xlfn.RANK.EQ(L315,L:L),"")</f>
        <v>105</v>
      </c>
      <c r="N315" s="2" t="s">
        <v>1273</v>
      </c>
      <c r="O315" s="4" t="s">
        <v>1275</v>
      </c>
    </row>
    <row r="316" spans="1:17" x14ac:dyDescent="0.25">
      <c r="A316" t="s">
        <v>250</v>
      </c>
      <c r="B316" t="s">
        <v>1362</v>
      </c>
      <c r="C316" s="6">
        <f>IFERROR(VLOOKUP(A316,[1]eco_bus_journals!$B:$D,3,0),"")</f>
        <v>178</v>
      </c>
      <c r="D316" s="37">
        <f>IFERROR(ROUND(VLOOKUP(A316,[1]eco_bus_journals!$B:$X,4,0),2),"")</f>
        <v>0.22</v>
      </c>
      <c r="E316" s="37">
        <f>_xlfn.RANK.EQ(D316,D:D)</f>
        <v>319</v>
      </c>
      <c r="F316" s="44">
        <f>IFERROR(ROUND(VLOOKUP(A316,[1]eco_journals!B:E,4,0),2),"")</f>
        <v>0.15</v>
      </c>
      <c r="G316" s="40">
        <f>IFERROR(_xlfn.RANK.EQ(F316,F:F),"")</f>
        <v>170</v>
      </c>
      <c r="H316" s="46">
        <f>IFERROR(ROUND(VLOOKUP(A316,[1]fin_journals!B:E,4,0),2),"")</f>
        <v>0.4</v>
      </c>
      <c r="I316" s="18">
        <f>IFERROR(_xlfn.RANK.EQ(H316,H:H),"")</f>
        <v>72</v>
      </c>
      <c r="J316" s="42" t="str">
        <f>IFERROR(ROUND(VLOOKUP(A316,[1]bus_journals!B:E,4,0),2),"")</f>
        <v/>
      </c>
      <c r="K316" s="23" t="str">
        <f>IFERROR(_xlfn.RANK.EQ(J316,J:J),"")</f>
        <v/>
      </c>
      <c r="L316" s="43" t="str">
        <f>IFERROR(ROUND(VLOOKUP(A316,[1]man_journals!B:E,4,0),2),"")</f>
        <v/>
      </c>
      <c r="M316" s="26" t="str">
        <f>IFERROR(_xlfn.RANK.EQ(L316,L:L),"")</f>
        <v/>
      </c>
      <c r="N316" s="3" t="s">
        <v>1274</v>
      </c>
      <c r="O316" s="1" t="s">
        <v>1272</v>
      </c>
    </row>
    <row r="317" spans="1:17" x14ac:dyDescent="0.25">
      <c r="A317" t="s">
        <v>314</v>
      </c>
      <c r="B317" t="s">
        <v>1362</v>
      </c>
      <c r="C317" s="6">
        <f>IFERROR(VLOOKUP(A317,[1]eco_bus_journals!$B:$D,3,0),"")</f>
        <v>36</v>
      </c>
      <c r="D317" s="37">
        <f>IFERROR(ROUND(VLOOKUP(A317,[1]eco_bus_journals!$B:$X,4,0),2),"")</f>
        <v>0.19</v>
      </c>
      <c r="E317" s="37">
        <f>_xlfn.RANK.EQ(D317,D:D)</f>
        <v>349</v>
      </c>
      <c r="F317" s="44">
        <f>IFERROR(ROUND(VLOOKUP(A317,[1]eco_journals!B:E,4,0),2),"")</f>
        <v>0.18</v>
      </c>
      <c r="G317" s="40">
        <f>IFERROR(_xlfn.RANK.EQ(F317,F:F),"")</f>
        <v>148</v>
      </c>
      <c r="H317" s="46" t="str">
        <f>IFERROR(ROUND(VLOOKUP(A317,[1]fin_journals!B:E,4,0),2),"")</f>
        <v/>
      </c>
      <c r="I317" s="18" t="str">
        <f>IFERROR(_xlfn.RANK.EQ(H317,H:H),"")</f>
        <v/>
      </c>
      <c r="J317" s="42" t="str">
        <f>IFERROR(ROUND(VLOOKUP(A317,[1]bus_journals!B:E,4,0),2),"")</f>
        <v/>
      </c>
      <c r="K317" s="23" t="str">
        <f>IFERROR(_xlfn.RANK.EQ(J317,J:J),"")</f>
        <v/>
      </c>
      <c r="L317" s="43" t="str">
        <f>IFERROR(ROUND(VLOOKUP(A317,[1]man_journals!B:E,4,0),2),"")</f>
        <v/>
      </c>
      <c r="M317" s="26" t="str">
        <f>IFERROR(_xlfn.RANK.EQ(L317,L:L),"")</f>
        <v/>
      </c>
      <c r="N317" s="1" t="s">
        <v>1272</v>
      </c>
    </row>
    <row r="318" spans="1:17" x14ac:dyDescent="0.25">
      <c r="A318" t="s">
        <v>386</v>
      </c>
      <c r="B318" t="s">
        <v>1362</v>
      </c>
      <c r="C318" s="6">
        <f>IFERROR(VLOOKUP(A318,[1]eco_bus_journals!$B:$D,3,0),"")</f>
        <v>84</v>
      </c>
      <c r="D318" s="37">
        <f>IFERROR(ROUND(VLOOKUP(A318,[1]eco_bus_journals!$B:$X,4,0),2),"")</f>
        <v>0.23</v>
      </c>
      <c r="E318" s="37">
        <f>_xlfn.RANK.EQ(D318,D:D)</f>
        <v>310</v>
      </c>
      <c r="F318" s="44">
        <f>IFERROR(ROUND(VLOOKUP(A318,[1]eco_journals!B:E,4,0),2),"")</f>
        <v>0.21</v>
      </c>
      <c r="G318" s="40">
        <f>IFERROR(_xlfn.RANK.EQ(F318,F:F),"")</f>
        <v>131</v>
      </c>
      <c r="H318" s="46" t="str">
        <f>IFERROR(ROUND(VLOOKUP(A318,[1]fin_journals!B:E,4,0),2),"")</f>
        <v/>
      </c>
      <c r="I318" s="18" t="str">
        <f>IFERROR(_xlfn.RANK.EQ(H318,H:H),"")</f>
        <v/>
      </c>
      <c r="J318" s="42" t="str">
        <f>IFERROR(ROUND(VLOOKUP(A318,[1]bus_journals!B:E,4,0),2),"")</f>
        <v/>
      </c>
      <c r="K318" s="23" t="str">
        <f>IFERROR(_xlfn.RANK.EQ(J318,J:J),"")</f>
        <v/>
      </c>
      <c r="L318" s="43" t="str">
        <f>IFERROR(ROUND(VLOOKUP(A318,[1]man_journals!B:E,4,0),2),"")</f>
        <v/>
      </c>
      <c r="M318" s="26" t="str">
        <f>IFERROR(_xlfn.RANK.EQ(L318,L:L),"")</f>
        <v/>
      </c>
      <c r="N318" s="1" t="s">
        <v>1272</v>
      </c>
    </row>
    <row r="319" spans="1:17" x14ac:dyDescent="0.25">
      <c r="A319" t="s">
        <v>423</v>
      </c>
      <c r="B319" t="s">
        <v>1362</v>
      </c>
      <c r="C319" s="6">
        <f>IFERROR(VLOOKUP(A319,[1]eco_bus_journals!$B:$D,3,0),"")</f>
        <v>59</v>
      </c>
      <c r="D319" s="37">
        <f>IFERROR(ROUND(VLOOKUP(A319,[1]eco_bus_journals!$B:$X,4,0),2),"")</f>
        <v>0.24</v>
      </c>
      <c r="E319" s="37">
        <f>_xlfn.RANK.EQ(D319,D:D)</f>
        <v>303</v>
      </c>
      <c r="F319" s="44">
        <f>IFERROR(ROUND(VLOOKUP(A319,[1]eco_journals!B:E,4,0),2),"")</f>
        <v>0.21</v>
      </c>
      <c r="G319" s="40">
        <f>IFERROR(_xlfn.RANK.EQ(F319,F:F),"")</f>
        <v>131</v>
      </c>
      <c r="H319" s="46" t="str">
        <f>IFERROR(ROUND(VLOOKUP(A319,[1]fin_journals!B:E,4,0),2),"")</f>
        <v/>
      </c>
      <c r="I319" s="18" t="str">
        <f>IFERROR(_xlfn.RANK.EQ(H319,H:H),"")</f>
        <v/>
      </c>
      <c r="J319" s="42" t="str">
        <f>IFERROR(ROUND(VLOOKUP(A319,[1]bus_journals!B:E,4,0),2),"")</f>
        <v/>
      </c>
      <c r="K319" s="23" t="str">
        <f>IFERROR(_xlfn.RANK.EQ(J319,J:J),"")</f>
        <v/>
      </c>
      <c r="L319" s="43" t="str">
        <f>IFERROR(ROUND(VLOOKUP(A319,[1]man_journals!B:E,4,0),2),"")</f>
        <v/>
      </c>
      <c r="M319" s="26" t="str">
        <f>IFERROR(_xlfn.RANK.EQ(L319,L:L),"")</f>
        <v/>
      </c>
      <c r="N319" t="s">
        <v>1302</v>
      </c>
      <c r="O319" s="1" t="s">
        <v>1272</v>
      </c>
      <c r="P319" t="s">
        <v>1325</v>
      </c>
    </row>
    <row r="320" spans="1:17" x14ac:dyDescent="0.25">
      <c r="A320" t="s">
        <v>371</v>
      </c>
      <c r="B320" t="s">
        <v>1382</v>
      </c>
      <c r="C320" s="6">
        <f>IFERROR(VLOOKUP(A320,[1]eco_bus_journals!$B:$D,3,0),"")</f>
        <v>61</v>
      </c>
      <c r="D320" s="37">
        <f>IFERROR(ROUND(VLOOKUP(A320,[1]eco_bus_journals!$B:$X,4,0),2),"")</f>
        <v>0.22</v>
      </c>
      <c r="E320" s="37">
        <f>_xlfn.RANK.EQ(D320,D:D)</f>
        <v>319</v>
      </c>
      <c r="F320" s="44">
        <f>IFERROR(ROUND(VLOOKUP(A320,[1]eco_journals!B:E,4,0),2),"")</f>
        <v>0.24</v>
      </c>
      <c r="G320" s="40">
        <f>IFERROR(_xlfn.RANK.EQ(F320,F:F),"")</f>
        <v>120</v>
      </c>
      <c r="H320" s="46" t="str">
        <f>IFERROR(ROUND(VLOOKUP(A320,[1]fin_journals!B:E,4,0),2),"")</f>
        <v/>
      </c>
      <c r="I320" s="18" t="str">
        <f>IFERROR(_xlfn.RANK.EQ(H320,H:H),"")</f>
        <v/>
      </c>
      <c r="J320" s="42" t="str">
        <f>IFERROR(ROUND(VLOOKUP(A320,[1]bus_journals!B:E,4,0),2),"")</f>
        <v/>
      </c>
      <c r="K320" s="23" t="str">
        <f>IFERROR(_xlfn.RANK.EQ(J320,J:J),"")</f>
        <v/>
      </c>
      <c r="L320" s="43" t="str">
        <f>IFERROR(ROUND(VLOOKUP(A320,[1]man_journals!B:E,4,0),2),"")</f>
        <v/>
      </c>
      <c r="M320" s="26" t="str">
        <f>IFERROR(_xlfn.RANK.EQ(L320,L:L),"")</f>
        <v/>
      </c>
      <c r="N320" s="1" t="s">
        <v>1272</v>
      </c>
      <c r="O320" t="s">
        <v>1296</v>
      </c>
      <c r="P320" t="s">
        <v>1297</v>
      </c>
      <c r="Q320" t="s">
        <v>1317</v>
      </c>
    </row>
    <row r="321" spans="1:17" x14ac:dyDescent="0.25">
      <c r="A321" t="s">
        <v>391</v>
      </c>
      <c r="B321" t="s">
        <v>1372</v>
      </c>
      <c r="C321" s="6">
        <f>IFERROR(VLOOKUP(A321,[1]eco_bus_journals!$B:$D,3,0),"")</f>
        <v>132</v>
      </c>
      <c r="D321" s="37">
        <f>IFERROR(ROUND(VLOOKUP(A321,[1]eco_bus_journals!$B:$X,4,0),2),"")</f>
        <v>0.24</v>
      </c>
      <c r="E321" s="37">
        <f>_xlfn.RANK.EQ(D321,D:D)</f>
        <v>303</v>
      </c>
      <c r="F321" s="44">
        <f>IFERROR(ROUND(VLOOKUP(A321,[1]eco_journals!B:E,4,0),2),"")</f>
        <v>0.2</v>
      </c>
      <c r="G321" s="40">
        <f>IFERROR(_xlfn.RANK.EQ(F321,F:F),"")</f>
        <v>139</v>
      </c>
      <c r="H321" s="46">
        <f>IFERROR(ROUND(VLOOKUP(A321,[1]fin_journals!B:E,4,0),2),"")</f>
        <v>0.51</v>
      </c>
      <c r="I321" s="18">
        <f>IFERROR(_xlfn.RANK.EQ(H321,H:H),"")</f>
        <v>65</v>
      </c>
      <c r="J321" s="42" t="str">
        <f>IFERROR(ROUND(VLOOKUP(A321,[1]bus_journals!B:E,4,0),2),"")</f>
        <v/>
      </c>
      <c r="K321" s="23" t="str">
        <f>IFERROR(_xlfn.RANK.EQ(J321,J:J),"")</f>
        <v/>
      </c>
      <c r="L321" s="43" t="str">
        <f>IFERROR(ROUND(VLOOKUP(A321,[1]man_journals!B:E,4,0),2),"")</f>
        <v/>
      </c>
      <c r="M321" s="26" t="str">
        <f>IFERROR(_xlfn.RANK.EQ(L321,L:L),"")</f>
        <v/>
      </c>
      <c r="N321" s="3" t="s">
        <v>1274</v>
      </c>
      <c r="O321" s="1" t="s">
        <v>1272</v>
      </c>
      <c r="P321" t="s">
        <v>1279</v>
      </c>
      <c r="Q321" t="s">
        <v>1280</v>
      </c>
    </row>
    <row r="322" spans="1:17" x14ac:dyDescent="0.25">
      <c r="A322" t="s">
        <v>302</v>
      </c>
      <c r="B322" t="s">
        <v>1372</v>
      </c>
      <c r="C322" s="6">
        <f>IFERROR(VLOOKUP(A322,[1]eco_bus_journals!$B:$D,3,0),"")</f>
        <v>32</v>
      </c>
      <c r="D322" s="37">
        <f>IFERROR(ROUND(VLOOKUP(A322,[1]eco_bus_journals!$B:$X,4,0),2),"")</f>
        <v>0.24</v>
      </c>
      <c r="E322" s="37">
        <f>_xlfn.RANK.EQ(D322,D:D)</f>
        <v>303</v>
      </c>
      <c r="F322" s="44" t="str">
        <f>IFERROR(ROUND(VLOOKUP(A322,[1]eco_journals!B:E,4,0),2),"")</f>
        <v/>
      </c>
      <c r="G322" s="40" t="str">
        <f>IFERROR(_xlfn.RANK.EQ(F322,F:F),"")</f>
        <v/>
      </c>
      <c r="H322" s="46" t="str">
        <f>IFERROR(ROUND(VLOOKUP(A322,[1]fin_journals!B:E,4,0),2),"")</f>
        <v/>
      </c>
      <c r="I322" s="18" t="str">
        <f>IFERROR(_xlfn.RANK.EQ(H322,H:H),"")</f>
        <v/>
      </c>
      <c r="J322" s="42">
        <f>IFERROR(ROUND(VLOOKUP(A322,[1]bus_journals!B:E,4,0),2),"")</f>
        <v>0.64</v>
      </c>
      <c r="K322" s="23">
        <f>IFERROR(_xlfn.RANK.EQ(J322,J:J),"")</f>
        <v>82</v>
      </c>
      <c r="L322" s="43">
        <f>IFERROR(ROUND(VLOOKUP(A322,[1]man_journals!B:E,4,0),2),"")</f>
        <v>0.61</v>
      </c>
      <c r="M322" s="26">
        <f>IFERROR(_xlfn.RANK.EQ(L322,L:L),"")</f>
        <v>83</v>
      </c>
      <c r="N322" s="2" t="s">
        <v>1273</v>
      </c>
      <c r="O322" t="s">
        <v>1282</v>
      </c>
      <c r="P322" s="4" t="s">
        <v>1275</v>
      </c>
    </row>
    <row r="323" spans="1:17" x14ac:dyDescent="0.25">
      <c r="A323" t="s">
        <v>337</v>
      </c>
      <c r="B323" t="s">
        <v>1362</v>
      </c>
      <c r="C323" s="6">
        <f>IFERROR(VLOOKUP(A323,[1]eco_bus_journals!$B:$D,3,0),"")</f>
        <v>48</v>
      </c>
      <c r="D323" s="37">
        <f>IFERROR(ROUND(VLOOKUP(A323,[1]eco_bus_journals!$B:$X,4,0),2),"")</f>
        <v>0.23</v>
      </c>
      <c r="E323" s="37">
        <f>_xlfn.RANK.EQ(D323,D:D)</f>
        <v>310</v>
      </c>
      <c r="F323" s="44">
        <f>IFERROR(ROUND(VLOOKUP(A323,[1]eco_journals!B:E,4,0),2),"")</f>
        <v>0.23</v>
      </c>
      <c r="G323" s="40">
        <f>IFERROR(_xlfn.RANK.EQ(F323,F:F),"")</f>
        <v>126</v>
      </c>
      <c r="H323" s="46" t="str">
        <f>IFERROR(ROUND(VLOOKUP(A323,[1]fin_journals!B:E,4,0),2),"")</f>
        <v/>
      </c>
      <c r="I323" s="18" t="str">
        <f>IFERROR(_xlfn.RANK.EQ(H323,H:H),"")</f>
        <v/>
      </c>
      <c r="J323" s="42" t="str">
        <f>IFERROR(ROUND(VLOOKUP(A323,[1]bus_journals!B:E,4,0),2),"")</f>
        <v/>
      </c>
      <c r="K323" s="23" t="str">
        <f>IFERROR(_xlfn.RANK.EQ(J323,J:J),"")</f>
        <v/>
      </c>
      <c r="L323" s="43" t="str">
        <f>IFERROR(ROUND(VLOOKUP(A323,[1]man_journals!B:E,4,0),2),"")</f>
        <v/>
      </c>
      <c r="M323" s="26" t="str">
        <f>IFERROR(_xlfn.RANK.EQ(L323,L:L),"")</f>
        <v/>
      </c>
      <c r="N323" s="1" t="s">
        <v>1272</v>
      </c>
      <c r="O323" t="s">
        <v>1293</v>
      </c>
    </row>
    <row r="324" spans="1:17" x14ac:dyDescent="0.25">
      <c r="A324" t="s">
        <v>500</v>
      </c>
      <c r="B324" t="s">
        <v>1370</v>
      </c>
      <c r="C324" s="6">
        <f>IFERROR(VLOOKUP(A324,[1]eco_bus_journals!$B:$D,3,0),"")</f>
        <v>18</v>
      </c>
      <c r="D324" s="37">
        <f>IFERROR(ROUND(VLOOKUP(A324,[1]eco_bus_journals!$B:$X,4,0),2),"")</f>
        <v>0.16</v>
      </c>
      <c r="E324" s="37">
        <f>_xlfn.RANK.EQ(D324,D:D)</f>
        <v>384</v>
      </c>
      <c r="F324" s="44">
        <f>IFERROR(ROUND(VLOOKUP(A324,[1]eco_journals!B:E,4,0),2),"")</f>
        <v>0.16</v>
      </c>
      <c r="G324" s="40">
        <f>IFERROR(_xlfn.RANK.EQ(F324,F:F),"")</f>
        <v>165</v>
      </c>
      <c r="H324" s="46" t="str">
        <f>IFERROR(ROUND(VLOOKUP(A324,[1]fin_journals!B:E,4,0),2),"")</f>
        <v/>
      </c>
      <c r="I324" s="18" t="str">
        <f>IFERROR(_xlfn.RANK.EQ(H324,H:H),"")</f>
        <v/>
      </c>
      <c r="J324" s="42" t="str">
        <f>IFERROR(ROUND(VLOOKUP(A324,[1]bus_journals!B:E,4,0),2),"")</f>
        <v/>
      </c>
      <c r="K324" s="23" t="str">
        <f>IFERROR(_xlfn.RANK.EQ(J324,J:J),"")</f>
        <v/>
      </c>
      <c r="L324" s="43" t="str">
        <f>IFERROR(ROUND(VLOOKUP(A324,[1]man_journals!B:E,4,0),2),"")</f>
        <v/>
      </c>
      <c r="M324" s="26" t="str">
        <f>IFERROR(_xlfn.RANK.EQ(L324,L:L),"")</f>
        <v/>
      </c>
      <c r="N324" s="1" t="s">
        <v>1272</v>
      </c>
      <c r="O324" t="s">
        <v>1299</v>
      </c>
      <c r="P324" t="s">
        <v>1300</v>
      </c>
    </row>
    <row r="325" spans="1:17" x14ac:dyDescent="0.25">
      <c r="A325" t="s">
        <v>289</v>
      </c>
      <c r="B325" t="s">
        <v>1372</v>
      </c>
      <c r="C325" s="6">
        <f>IFERROR(VLOOKUP(A325,[1]eco_bus_journals!$B:$D,3,0),"")</f>
        <v>202</v>
      </c>
      <c r="D325" s="37">
        <f>IFERROR(ROUND(VLOOKUP(A325,[1]eco_bus_journals!$B:$X,4,0),2),"")</f>
        <v>0.22</v>
      </c>
      <c r="E325" s="37">
        <f>_xlfn.RANK.EQ(D325,D:D)</f>
        <v>319</v>
      </c>
      <c r="F325" s="44">
        <f>IFERROR(ROUND(VLOOKUP(A325,[1]eco_journals!B:E,4,0),2),"")</f>
        <v>0.14000000000000001</v>
      </c>
      <c r="G325" s="40">
        <f>IFERROR(_xlfn.RANK.EQ(F325,F:F),"")</f>
        <v>182</v>
      </c>
      <c r="H325" s="46" t="str">
        <f>IFERROR(ROUND(VLOOKUP(A325,[1]fin_journals!B:E,4,0),2),"")</f>
        <v/>
      </c>
      <c r="I325" s="18" t="str">
        <f>IFERROR(_xlfn.RANK.EQ(H325,H:H),"")</f>
        <v/>
      </c>
      <c r="J325" s="42">
        <f>IFERROR(ROUND(VLOOKUP(A325,[1]bus_journals!B:E,4,0),2),"")</f>
        <v>0.2</v>
      </c>
      <c r="K325" s="23">
        <f>IFERROR(_xlfn.RANK.EQ(J325,J:J),"")</f>
        <v>124</v>
      </c>
      <c r="L325" s="43" t="str">
        <f>IFERROR(ROUND(VLOOKUP(A325,[1]man_journals!B:E,4,0),2),"")</f>
        <v/>
      </c>
      <c r="M325" s="26" t="str">
        <f>IFERROR(_xlfn.RANK.EQ(L325,L:L),"")</f>
        <v/>
      </c>
      <c r="N325" s="2" t="s">
        <v>1273</v>
      </c>
      <c r="O325" s="1" t="s">
        <v>1272</v>
      </c>
      <c r="P325" t="s">
        <v>1312</v>
      </c>
    </row>
    <row r="326" spans="1:17" x14ac:dyDescent="0.25">
      <c r="A326" t="s">
        <v>477</v>
      </c>
      <c r="B326" t="s">
        <v>1372</v>
      </c>
      <c r="C326" s="6">
        <f>IFERROR(VLOOKUP(A326,[1]eco_bus_journals!$B:$D,3,0),"")</f>
        <v>9</v>
      </c>
      <c r="D326" s="37">
        <f>IFERROR(ROUND(VLOOKUP(A326,[1]eco_bus_journals!$B:$X,4,0),2),"")</f>
        <v>0.22</v>
      </c>
      <c r="E326" s="37">
        <f>_xlfn.RANK.EQ(D326,D:D)</f>
        <v>319</v>
      </c>
      <c r="F326" s="44">
        <f>IFERROR(ROUND(VLOOKUP(A326,[1]eco_journals!B:E,4,0),2),"")</f>
        <v>0.19</v>
      </c>
      <c r="G326" s="40">
        <f>IFERROR(_xlfn.RANK.EQ(F326,F:F),"")</f>
        <v>144</v>
      </c>
      <c r="H326" s="46" t="str">
        <f>IFERROR(ROUND(VLOOKUP(A326,[1]fin_journals!B:E,4,0),2),"")</f>
        <v/>
      </c>
      <c r="I326" s="18" t="str">
        <f>IFERROR(_xlfn.RANK.EQ(H326,H:H),"")</f>
        <v/>
      </c>
      <c r="J326" s="42" t="str">
        <f>IFERROR(ROUND(VLOOKUP(A326,[1]bus_journals!B:E,4,0),2),"")</f>
        <v/>
      </c>
      <c r="K326" s="23" t="str">
        <f>IFERROR(_xlfn.RANK.EQ(J326,J:J),"")</f>
        <v/>
      </c>
      <c r="L326" s="43" t="str">
        <f>IFERROR(ROUND(VLOOKUP(A326,[1]man_journals!B:E,4,0),2),"")</f>
        <v/>
      </c>
      <c r="M326" s="26" t="str">
        <f>IFERROR(_xlfn.RANK.EQ(L326,L:L),"")</f>
        <v/>
      </c>
      <c r="N326" s="1" t="s">
        <v>1272</v>
      </c>
    </row>
    <row r="327" spans="1:17" x14ac:dyDescent="0.25">
      <c r="A327" t="s">
        <v>366</v>
      </c>
      <c r="B327" t="s">
        <v>1367</v>
      </c>
      <c r="C327" s="6">
        <f>IFERROR(VLOOKUP(A327,[1]eco_bus_journals!$B:$D,3,0),"")</f>
        <v>33</v>
      </c>
      <c r="D327" s="37">
        <f>IFERROR(ROUND(VLOOKUP(A327,[1]eco_bus_journals!$B:$X,4,0),2),"")</f>
        <v>0.22</v>
      </c>
      <c r="E327" s="37">
        <f>_xlfn.RANK.EQ(D327,D:D)</f>
        <v>319</v>
      </c>
      <c r="F327" s="44" t="str">
        <f>IFERROR(ROUND(VLOOKUP(A327,[1]eco_journals!B:E,4,0),2),"")</f>
        <v/>
      </c>
      <c r="G327" s="40" t="str">
        <f>IFERROR(_xlfn.RANK.EQ(F327,F:F),"")</f>
        <v/>
      </c>
      <c r="H327" s="46">
        <f>IFERROR(ROUND(VLOOKUP(A327,[1]fin_journals!B:E,4,0),2),"")</f>
        <v>0.67</v>
      </c>
      <c r="I327" s="18">
        <f>IFERROR(_xlfn.RANK.EQ(H327,H:H),"")</f>
        <v>52</v>
      </c>
      <c r="J327" s="42" t="str">
        <f>IFERROR(ROUND(VLOOKUP(A327,[1]bus_journals!B:E,4,0),2),"")</f>
        <v/>
      </c>
      <c r="K327" s="23" t="str">
        <f>IFERROR(_xlfn.RANK.EQ(J327,J:J),"")</f>
        <v/>
      </c>
      <c r="L327" s="43" t="str">
        <f>IFERROR(ROUND(VLOOKUP(A327,[1]man_journals!B:E,4,0),2),"")</f>
        <v/>
      </c>
      <c r="M327" s="26" t="str">
        <f>IFERROR(_xlfn.RANK.EQ(L327,L:L),"")</f>
        <v/>
      </c>
      <c r="N327" s="3" t="s">
        <v>1274</v>
      </c>
    </row>
    <row r="328" spans="1:17" x14ac:dyDescent="0.25">
      <c r="A328" t="s">
        <v>279</v>
      </c>
      <c r="B328" t="s">
        <v>1362</v>
      </c>
      <c r="C328" s="6">
        <f>IFERROR(VLOOKUP(A328,[1]eco_bus_journals!$B:$D,3,0),"")</f>
        <v>144</v>
      </c>
      <c r="D328" s="37">
        <f>IFERROR(ROUND(VLOOKUP(A328,[1]eco_bus_journals!$B:$X,4,0),2),"")</f>
        <v>0.22</v>
      </c>
      <c r="E328" s="37">
        <f>_xlfn.RANK.EQ(D328,D:D)</f>
        <v>319</v>
      </c>
      <c r="F328" s="44" t="str">
        <f>IFERROR(ROUND(VLOOKUP(A328,[1]eco_journals!B:E,4,0),2),"")</f>
        <v/>
      </c>
      <c r="G328" s="40" t="str">
        <f>IFERROR(_xlfn.RANK.EQ(F328,F:F),"")</f>
        <v/>
      </c>
      <c r="H328" s="46" t="str">
        <f>IFERROR(ROUND(VLOOKUP(A328,[1]fin_journals!B:E,4,0),2),"")</f>
        <v/>
      </c>
      <c r="I328" s="18" t="str">
        <f>IFERROR(_xlfn.RANK.EQ(H328,H:H),"")</f>
        <v/>
      </c>
      <c r="J328" s="42" t="str">
        <f>IFERROR(ROUND(VLOOKUP(A328,[1]bus_journals!B:E,4,0),2),"")</f>
        <v/>
      </c>
      <c r="K328" s="23" t="str">
        <f>IFERROR(_xlfn.RANK.EQ(J328,J:J),"")</f>
        <v/>
      </c>
      <c r="L328" s="43">
        <f>IFERROR(ROUND(VLOOKUP(A328,[1]man_journals!B:E,4,0),2),"")</f>
        <v>0.5</v>
      </c>
      <c r="M328" s="26">
        <f>IFERROR(_xlfn.RANK.EQ(L328,L:L),"")</f>
        <v>95</v>
      </c>
      <c r="N328" s="4" t="s">
        <v>1275</v>
      </c>
      <c r="O328" t="s">
        <v>1277</v>
      </c>
    </row>
    <row r="329" spans="1:17" x14ac:dyDescent="0.25">
      <c r="A329" t="s">
        <v>442</v>
      </c>
      <c r="B329" t="s">
        <v>1360</v>
      </c>
      <c r="C329" s="6">
        <f>IFERROR(VLOOKUP(A329,[1]eco_bus_journals!$B:$D,3,0),"")</f>
        <v>26</v>
      </c>
      <c r="D329" s="37">
        <f>IFERROR(ROUND(VLOOKUP(A329,[1]eco_bus_journals!$B:$X,4,0),2),"")</f>
        <v>0.17</v>
      </c>
      <c r="E329" s="37">
        <f>_xlfn.RANK.EQ(D329,D:D)</f>
        <v>370</v>
      </c>
      <c r="F329" s="44">
        <f>IFERROR(ROUND(VLOOKUP(A329,[1]eco_journals!B:E,4,0),2),"")</f>
        <v>0.17</v>
      </c>
      <c r="G329" s="40">
        <f>IFERROR(_xlfn.RANK.EQ(F329,F:F),"")</f>
        <v>155</v>
      </c>
      <c r="H329" s="46" t="str">
        <f>IFERROR(ROUND(VLOOKUP(A329,[1]fin_journals!B:E,4,0),2),"")</f>
        <v/>
      </c>
      <c r="I329" s="18" t="str">
        <f>IFERROR(_xlfn.RANK.EQ(H329,H:H),"")</f>
        <v/>
      </c>
      <c r="J329" s="42" t="str">
        <f>IFERROR(ROUND(VLOOKUP(A329,[1]bus_journals!B:E,4,0),2),"")</f>
        <v/>
      </c>
      <c r="K329" s="23" t="str">
        <f>IFERROR(_xlfn.RANK.EQ(J329,J:J),"")</f>
        <v/>
      </c>
      <c r="L329" s="43" t="str">
        <f>IFERROR(ROUND(VLOOKUP(A329,[1]man_journals!B:E,4,0),2),"")</f>
        <v/>
      </c>
      <c r="M329" s="26" t="str">
        <f>IFERROR(_xlfn.RANK.EQ(L329,L:L),"")</f>
        <v/>
      </c>
      <c r="N329" s="1" t="s">
        <v>1272</v>
      </c>
      <c r="O329" t="s">
        <v>1319</v>
      </c>
    </row>
    <row r="330" spans="1:17" x14ac:dyDescent="0.25">
      <c r="A330" t="s">
        <v>267</v>
      </c>
      <c r="B330" t="s">
        <v>1360</v>
      </c>
      <c r="C330" s="6">
        <f>IFERROR(VLOOKUP(A330,[1]eco_bus_journals!$B:$D,3,0),"")</f>
        <v>229</v>
      </c>
      <c r="D330" s="37">
        <f>IFERROR(ROUND(VLOOKUP(A330,[1]eco_bus_journals!$B:$X,4,0),2),"")</f>
        <v>0.2</v>
      </c>
      <c r="E330" s="37">
        <f>_xlfn.RANK.EQ(D330,D:D)</f>
        <v>336</v>
      </c>
      <c r="F330" s="44" t="str">
        <f>IFERROR(ROUND(VLOOKUP(A330,[1]eco_journals!B:E,4,0),2),"")</f>
        <v/>
      </c>
      <c r="G330" s="40" t="str">
        <f>IFERROR(_xlfn.RANK.EQ(F330,F:F),"")</f>
        <v/>
      </c>
      <c r="H330" s="46">
        <f>IFERROR(ROUND(VLOOKUP(A330,[1]fin_journals!B:E,4,0),2),"")</f>
        <v>0.37</v>
      </c>
      <c r="I330" s="18">
        <f>IFERROR(_xlfn.RANK.EQ(H330,H:H),"")</f>
        <v>77</v>
      </c>
      <c r="J330" s="42" t="str">
        <f>IFERROR(ROUND(VLOOKUP(A330,[1]bus_journals!B:E,4,0),2),"")</f>
        <v/>
      </c>
      <c r="K330" s="23" t="str">
        <f>IFERROR(_xlfn.RANK.EQ(J330,J:J),"")</f>
        <v/>
      </c>
      <c r="L330" s="43" t="str">
        <f>IFERROR(ROUND(VLOOKUP(A330,[1]man_journals!B:E,4,0),2),"")</f>
        <v/>
      </c>
      <c r="M330" s="26" t="str">
        <f>IFERROR(_xlfn.RANK.EQ(L330,L:L),"")</f>
        <v/>
      </c>
      <c r="N330" s="3" t="s">
        <v>1274</v>
      </c>
    </row>
    <row r="331" spans="1:17" x14ac:dyDescent="0.25">
      <c r="A331" t="s">
        <v>361</v>
      </c>
      <c r="B331" t="s">
        <v>1371</v>
      </c>
      <c r="C331" s="6">
        <f>IFERROR(VLOOKUP(A331,[1]eco_bus_journals!$B:$D,3,0),"")</f>
        <v>42</v>
      </c>
      <c r="D331" s="37">
        <f>IFERROR(ROUND(VLOOKUP(A331,[1]eco_bus_journals!$B:$X,4,0),2),"")</f>
        <v>0.2</v>
      </c>
      <c r="E331" s="37">
        <f>_xlfn.RANK.EQ(D331,D:D)</f>
        <v>336</v>
      </c>
      <c r="F331" s="44" t="str">
        <f>IFERROR(ROUND(VLOOKUP(A331,[1]eco_journals!B:E,4,0),2),"")</f>
        <v/>
      </c>
      <c r="G331" s="40" t="str">
        <f>IFERROR(_xlfn.RANK.EQ(F331,F:F),"")</f>
        <v/>
      </c>
      <c r="H331" s="46" t="str">
        <f>IFERROR(ROUND(VLOOKUP(A331,[1]fin_journals!B:E,4,0),2),"")</f>
        <v/>
      </c>
      <c r="I331" s="18" t="str">
        <f>IFERROR(_xlfn.RANK.EQ(H331,H:H),"")</f>
        <v/>
      </c>
      <c r="J331" s="42" t="str">
        <f>IFERROR(ROUND(VLOOKUP(A331,[1]bus_journals!B:E,4,0),2),"")</f>
        <v/>
      </c>
      <c r="K331" s="23" t="str">
        <f>IFERROR(_xlfn.RANK.EQ(J331,J:J),"")</f>
        <v/>
      </c>
      <c r="L331" s="43">
        <f>IFERROR(ROUND(VLOOKUP(A331,[1]man_journals!B:E,4,0),2),"")</f>
        <v>0.45</v>
      </c>
      <c r="M331" s="26">
        <f>IFERROR(_xlfn.RANK.EQ(L331,L:L),"")</f>
        <v>102</v>
      </c>
      <c r="N331" s="4" t="s">
        <v>1275</v>
      </c>
      <c r="O331" t="s">
        <v>1278</v>
      </c>
    </row>
    <row r="332" spans="1:17" x14ac:dyDescent="0.25">
      <c r="A332" t="s">
        <v>363</v>
      </c>
      <c r="B332" t="s">
        <v>1360</v>
      </c>
      <c r="C332" s="6">
        <f>IFERROR(VLOOKUP(A332,[1]eco_bus_journals!$B:$D,3,0),"")</f>
        <v>60</v>
      </c>
      <c r="D332" s="37">
        <f>IFERROR(ROUND(VLOOKUP(A332,[1]eco_bus_journals!$B:$X,4,0),2),"")</f>
        <v>0.23</v>
      </c>
      <c r="E332" s="37">
        <f>_xlfn.RANK.EQ(D332,D:D)</f>
        <v>310</v>
      </c>
      <c r="F332" s="44">
        <f>IFERROR(ROUND(VLOOKUP(A332,[1]eco_journals!B:E,4,0),2),"")</f>
        <v>0.21</v>
      </c>
      <c r="G332" s="40">
        <f>IFERROR(_xlfn.RANK.EQ(F332,F:F),"")</f>
        <v>131</v>
      </c>
      <c r="H332" s="46" t="str">
        <f>IFERROR(ROUND(VLOOKUP(A332,[1]fin_journals!B:E,4,0),2),"")</f>
        <v/>
      </c>
      <c r="I332" s="18" t="str">
        <f>IFERROR(_xlfn.RANK.EQ(H332,H:H),"")</f>
        <v/>
      </c>
      <c r="J332" s="42" t="str">
        <f>IFERROR(ROUND(VLOOKUP(A332,[1]bus_journals!B:E,4,0),2),"")</f>
        <v/>
      </c>
      <c r="K332" s="23" t="str">
        <f>IFERROR(_xlfn.RANK.EQ(J332,J:J),"")</f>
        <v/>
      </c>
      <c r="L332" s="43" t="str">
        <f>IFERROR(ROUND(VLOOKUP(A332,[1]man_journals!B:E,4,0),2),"")</f>
        <v/>
      </c>
      <c r="M332" s="26" t="str">
        <f>IFERROR(_xlfn.RANK.EQ(L332,L:L),"")</f>
        <v/>
      </c>
      <c r="N332" s="1" t="s">
        <v>1272</v>
      </c>
      <c r="O332" t="s">
        <v>1311</v>
      </c>
    </row>
    <row r="333" spans="1:17" x14ac:dyDescent="0.25">
      <c r="A333" t="s">
        <v>379</v>
      </c>
      <c r="B333" t="s">
        <v>1362</v>
      </c>
      <c r="C333" s="6">
        <f>IFERROR(VLOOKUP(A333,[1]eco_bus_journals!$B:$D,3,0),"")</f>
        <v>438</v>
      </c>
      <c r="D333" s="37">
        <f>IFERROR(ROUND(VLOOKUP(A333,[1]eco_bus_journals!$B:$X,4,0),2),"")</f>
        <v>0.2</v>
      </c>
      <c r="E333" s="37">
        <f>_xlfn.RANK.EQ(D333,D:D)</f>
        <v>336</v>
      </c>
      <c r="F333" s="44">
        <f>IFERROR(ROUND(VLOOKUP(A333,[1]eco_journals!B:E,4,0),2),"")</f>
        <v>0.17</v>
      </c>
      <c r="G333" s="40">
        <f>IFERROR(_xlfn.RANK.EQ(F333,F:F),"")</f>
        <v>155</v>
      </c>
      <c r="H333" s="46" t="str">
        <f>IFERROR(ROUND(VLOOKUP(A333,[1]fin_journals!B:E,4,0),2),"")</f>
        <v/>
      </c>
      <c r="I333" s="18" t="str">
        <f>IFERROR(_xlfn.RANK.EQ(H333,H:H),"")</f>
        <v/>
      </c>
      <c r="J333" s="42" t="str">
        <f>IFERROR(ROUND(VLOOKUP(A333,[1]bus_journals!B:E,4,0),2),"")</f>
        <v/>
      </c>
      <c r="K333" s="23" t="str">
        <f>IFERROR(_xlfn.RANK.EQ(J333,J:J),"")</f>
        <v/>
      </c>
      <c r="L333" s="43" t="str">
        <f>IFERROR(ROUND(VLOOKUP(A333,[1]man_journals!B:E,4,0),2),"")</f>
        <v/>
      </c>
      <c r="M333" s="26" t="str">
        <f>IFERROR(_xlfn.RANK.EQ(L333,L:L),"")</f>
        <v/>
      </c>
      <c r="N333" s="1" t="s">
        <v>1272</v>
      </c>
    </row>
    <row r="334" spans="1:17" x14ac:dyDescent="0.25">
      <c r="A334" t="s">
        <v>292</v>
      </c>
      <c r="B334" t="s">
        <v>1362</v>
      </c>
      <c r="C334" s="6">
        <f>IFERROR(VLOOKUP(A334,[1]eco_bus_journals!$B:$D,3,0),"")</f>
        <v>32</v>
      </c>
      <c r="D334" s="37">
        <f>IFERROR(ROUND(VLOOKUP(A334,[1]eco_bus_journals!$B:$X,4,0),2),"")</f>
        <v>0.21</v>
      </c>
      <c r="E334" s="37">
        <f>_xlfn.RANK.EQ(D334,D:D)</f>
        <v>331</v>
      </c>
      <c r="F334" s="44" t="str">
        <f>IFERROR(ROUND(VLOOKUP(A334,[1]eco_journals!B:E,4,0),2),"")</f>
        <v/>
      </c>
      <c r="G334" s="40" t="str">
        <f>IFERROR(_xlfn.RANK.EQ(F334,F:F),"")</f>
        <v/>
      </c>
      <c r="H334" s="46">
        <f>IFERROR(ROUND(VLOOKUP(A334,[1]fin_journals!B:E,4,0),2),"")</f>
        <v>0.36</v>
      </c>
      <c r="I334" s="18">
        <f>IFERROR(_xlfn.RANK.EQ(H334,H:H),"")</f>
        <v>78</v>
      </c>
      <c r="J334" s="42" t="str">
        <f>IFERROR(ROUND(VLOOKUP(A334,[1]bus_journals!B:E,4,0),2),"")</f>
        <v/>
      </c>
      <c r="K334" s="23" t="str">
        <f>IFERROR(_xlfn.RANK.EQ(J334,J:J),"")</f>
        <v/>
      </c>
      <c r="L334" s="43" t="str">
        <f>IFERROR(ROUND(VLOOKUP(A334,[1]man_journals!B:E,4,0),2),"")</f>
        <v/>
      </c>
      <c r="M334" s="26" t="str">
        <f>IFERROR(_xlfn.RANK.EQ(L334,L:L),"")</f>
        <v/>
      </c>
      <c r="N334" s="3" t="s">
        <v>1274</v>
      </c>
    </row>
    <row r="335" spans="1:17" x14ac:dyDescent="0.25">
      <c r="A335" t="s">
        <v>351</v>
      </c>
      <c r="B335" t="s">
        <v>1362</v>
      </c>
      <c r="C335" s="6">
        <f>IFERROR(VLOOKUP(A335,[1]eco_bus_journals!$B:$D,3,0),"")</f>
        <v>19</v>
      </c>
      <c r="D335" s="37">
        <f>IFERROR(ROUND(VLOOKUP(A335,[1]eco_bus_journals!$B:$X,4,0),2),"")</f>
        <v>0.19</v>
      </c>
      <c r="E335" s="37">
        <f>_xlfn.RANK.EQ(D335,D:D)</f>
        <v>349</v>
      </c>
      <c r="F335" s="44">
        <f>IFERROR(ROUND(VLOOKUP(A335,[1]eco_journals!B:E,4,0),2),"")</f>
        <v>0.14000000000000001</v>
      </c>
      <c r="G335" s="40">
        <f>IFERROR(_xlfn.RANK.EQ(F335,F:F),"")</f>
        <v>182</v>
      </c>
      <c r="H335" s="46" t="str">
        <f>IFERROR(ROUND(VLOOKUP(A335,[1]fin_journals!B:E,4,0),2),"")</f>
        <v/>
      </c>
      <c r="I335" s="18" t="str">
        <f>IFERROR(_xlfn.RANK.EQ(H335,H:H),"")</f>
        <v/>
      </c>
      <c r="J335" s="42" t="str">
        <f>IFERROR(ROUND(VLOOKUP(A335,[1]bus_journals!B:E,4,0),2),"")</f>
        <v/>
      </c>
      <c r="K335" s="23" t="str">
        <f>IFERROR(_xlfn.RANK.EQ(J335,J:J),"")</f>
        <v/>
      </c>
      <c r="L335" s="43" t="str">
        <f>IFERROR(ROUND(VLOOKUP(A335,[1]man_journals!B:E,4,0),2),"")</f>
        <v/>
      </c>
      <c r="M335" s="26" t="str">
        <f>IFERROR(_xlfn.RANK.EQ(L335,L:L),"")</f>
        <v/>
      </c>
      <c r="N335" s="1" t="s">
        <v>1272</v>
      </c>
    </row>
    <row r="336" spans="1:17" x14ac:dyDescent="0.25">
      <c r="A336" t="s">
        <v>440</v>
      </c>
      <c r="B336" t="s">
        <v>1363</v>
      </c>
      <c r="C336" s="6">
        <f>IFERROR(VLOOKUP(A336,[1]eco_bus_journals!$B:$D,3,0),"")</f>
        <v>35</v>
      </c>
      <c r="D336" s="37">
        <f>IFERROR(ROUND(VLOOKUP(A336,[1]eco_bus_journals!$B:$X,4,0),2),"")</f>
        <v>0.16</v>
      </c>
      <c r="E336" s="37">
        <f>_xlfn.RANK.EQ(D336,D:D)</f>
        <v>384</v>
      </c>
      <c r="F336" s="44">
        <f>IFERROR(ROUND(VLOOKUP(A336,[1]eco_journals!B:E,4,0),2),"")</f>
        <v>0.17</v>
      </c>
      <c r="G336" s="40">
        <f>IFERROR(_xlfn.RANK.EQ(F336,F:F),"")</f>
        <v>155</v>
      </c>
      <c r="H336" s="46" t="str">
        <f>IFERROR(ROUND(VLOOKUP(A336,[1]fin_journals!B:E,4,0),2),"")</f>
        <v/>
      </c>
      <c r="I336" s="18" t="str">
        <f>IFERROR(_xlfn.RANK.EQ(H336,H:H),"")</f>
        <v/>
      </c>
      <c r="J336" s="42" t="str">
        <f>IFERROR(ROUND(VLOOKUP(A336,[1]bus_journals!B:E,4,0),2),"")</f>
        <v/>
      </c>
      <c r="K336" s="23" t="str">
        <f>IFERROR(_xlfn.RANK.EQ(J336,J:J),"")</f>
        <v/>
      </c>
      <c r="L336" s="43" t="str">
        <f>IFERROR(ROUND(VLOOKUP(A336,[1]man_journals!B:E,4,0),2),"")</f>
        <v/>
      </c>
      <c r="M336" s="26" t="str">
        <f>IFERROR(_xlfn.RANK.EQ(L336,L:L),"")</f>
        <v/>
      </c>
      <c r="N336" s="1" t="s">
        <v>1272</v>
      </c>
    </row>
    <row r="337" spans="1:16" x14ac:dyDescent="0.25">
      <c r="A337" t="s">
        <v>424</v>
      </c>
      <c r="B337" t="s">
        <v>1370</v>
      </c>
      <c r="C337" s="6">
        <f>IFERROR(VLOOKUP(A337,[1]eco_bus_journals!$B:$D,3,0),"")</f>
        <v>74</v>
      </c>
      <c r="D337" s="37">
        <f>IFERROR(ROUND(VLOOKUP(A337,[1]eco_bus_journals!$B:$X,4,0),2),"")</f>
        <v>0.21</v>
      </c>
      <c r="E337" s="37">
        <f>_xlfn.RANK.EQ(D337,D:D)</f>
        <v>331</v>
      </c>
      <c r="F337" s="44">
        <f>IFERROR(ROUND(VLOOKUP(A337,[1]eco_journals!B:E,4,0),2),"")</f>
        <v>0.21</v>
      </c>
      <c r="G337" s="40">
        <f>IFERROR(_xlfn.RANK.EQ(F337,F:F),"")</f>
        <v>131</v>
      </c>
      <c r="H337" s="46" t="str">
        <f>IFERROR(ROUND(VLOOKUP(A337,[1]fin_journals!B:E,4,0),2),"")</f>
        <v/>
      </c>
      <c r="I337" s="18" t="str">
        <f>IFERROR(_xlfn.RANK.EQ(H337,H:H),"")</f>
        <v/>
      </c>
      <c r="J337" s="42" t="str">
        <f>IFERROR(ROUND(VLOOKUP(A337,[1]bus_journals!B:E,4,0),2),"")</f>
        <v/>
      </c>
      <c r="K337" s="23" t="str">
        <f>IFERROR(_xlfn.RANK.EQ(J337,J:J),"")</f>
        <v/>
      </c>
      <c r="L337" s="43" t="str">
        <f>IFERROR(ROUND(VLOOKUP(A337,[1]man_journals!B:E,4,0),2),"")</f>
        <v/>
      </c>
      <c r="M337" s="26" t="str">
        <f>IFERROR(_xlfn.RANK.EQ(L337,L:L),"")</f>
        <v/>
      </c>
      <c r="N337" s="1" t="s">
        <v>1272</v>
      </c>
    </row>
    <row r="338" spans="1:16" x14ac:dyDescent="0.25">
      <c r="A338" t="s">
        <v>253</v>
      </c>
      <c r="B338" t="s">
        <v>1371</v>
      </c>
      <c r="C338" s="6">
        <f>IFERROR(VLOOKUP(A338,[1]eco_bus_journals!$B:$D,3,0),"")</f>
        <v>210</v>
      </c>
      <c r="D338" s="37">
        <f>IFERROR(ROUND(VLOOKUP(A338,[1]eco_bus_journals!$B:$X,4,0),2),"")</f>
        <v>0.21</v>
      </c>
      <c r="E338" s="37">
        <f>_xlfn.RANK.EQ(D338,D:D)</f>
        <v>331</v>
      </c>
      <c r="F338" s="44" t="str">
        <f>IFERROR(ROUND(VLOOKUP(A338,[1]eco_journals!B:E,4,0),2),"")</f>
        <v/>
      </c>
      <c r="G338" s="40" t="str">
        <f>IFERROR(_xlfn.RANK.EQ(F338,F:F),"")</f>
        <v/>
      </c>
      <c r="H338" s="46" t="str">
        <f>IFERROR(ROUND(VLOOKUP(A338,[1]fin_journals!B:E,4,0),2),"")</f>
        <v/>
      </c>
      <c r="I338" s="18" t="str">
        <f>IFERROR(_xlfn.RANK.EQ(H338,H:H),"")</f>
        <v/>
      </c>
      <c r="J338" s="42">
        <f>IFERROR(ROUND(VLOOKUP(A338,[1]bus_journals!B:E,4,0),2),"")</f>
        <v>0.54</v>
      </c>
      <c r="K338" s="23">
        <f>IFERROR(_xlfn.RANK.EQ(J338,J:J),"")</f>
        <v>92</v>
      </c>
      <c r="L338" s="43">
        <f>IFERROR(ROUND(VLOOKUP(A338,[1]man_journals!B:E,4,0),2),"")</f>
        <v>0.46</v>
      </c>
      <c r="M338" s="26">
        <f>IFERROR(_xlfn.RANK.EQ(L338,L:L),"")</f>
        <v>98</v>
      </c>
      <c r="N338" s="2" t="s">
        <v>1273</v>
      </c>
      <c r="O338" s="4" t="s">
        <v>1275</v>
      </c>
    </row>
    <row r="339" spans="1:16" x14ac:dyDescent="0.25">
      <c r="A339" t="s">
        <v>392</v>
      </c>
      <c r="B339" t="s">
        <v>1363</v>
      </c>
      <c r="C339" s="6">
        <f>IFERROR(VLOOKUP(A339,[1]eco_bus_journals!$B:$D,3,0),"")</f>
        <v>41</v>
      </c>
      <c r="D339" s="37">
        <f>IFERROR(ROUND(VLOOKUP(A339,[1]eco_bus_journals!$B:$X,4,0),2),"")</f>
        <v>0.22</v>
      </c>
      <c r="E339" s="37">
        <f>_xlfn.RANK.EQ(D339,D:D)</f>
        <v>319</v>
      </c>
      <c r="F339" s="44">
        <f>IFERROR(ROUND(VLOOKUP(A339,[1]eco_journals!B:E,4,0),2),"")</f>
        <v>0.24</v>
      </c>
      <c r="G339" s="40">
        <f>IFERROR(_xlfn.RANK.EQ(F339,F:F),"")</f>
        <v>120</v>
      </c>
      <c r="H339" s="46" t="str">
        <f>IFERROR(ROUND(VLOOKUP(A339,[1]fin_journals!B:E,4,0),2),"")</f>
        <v/>
      </c>
      <c r="I339" s="18" t="str">
        <f>IFERROR(_xlfn.RANK.EQ(H339,H:H),"")</f>
        <v/>
      </c>
      <c r="J339" s="42" t="str">
        <f>IFERROR(ROUND(VLOOKUP(A339,[1]bus_journals!B:E,4,0),2),"")</f>
        <v/>
      </c>
      <c r="K339" s="23" t="str">
        <f>IFERROR(_xlfn.RANK.EQ(J339,J:J),"")</f>
        <v/>
      </c>
      <c r="L339" s="43" t="str">
        <f>IFERROR(ROUND(VLOOKUP(A339,[1]man_journals!B:E,4,0),2),"")</f>
        <v/>
      </c>
      <c r="M339" s="26" t="str">
        <f>IFERROR(_xlfn.RANK.EQ(L339,L:L),"")</f>
        <v/>
      </c>
      <c r="N339" s="1" t="s">
        <v>1272</v>
      </c>
      <c r="O339" t="s">
        <v>1312</v>
      </c>
    </row>
    <row r="340" spans="1:16" x14ac:dyDescent="0.25">
      <c r="A340" t="s">
        <v>237</v>
      </c>
      <c r="B340" t="s">
        <v>1363</v>
      </c>
      <c r="C340" s="6">
        <f>IFERROR(VLOOKUP(A340,[1]eco_bus_journals!$B:$D,3,0),"")</f>
        <v>22</v>
      </c>
      <c r="D340" s="37">
        <f>IFERROR(ROUND(VLOOKUP(A340,[1]eco_bus_journals!$B:$X,4,0),2),"")</f>
        <v>0.25</v>
      </c>
      <c r="E340" s="37">
        <f>_xlfn.RANK.EQ(D340,D:D)</f>
        <v>293</v>
      </c>
      <c r="F340" s="44" t="str">
        <f>IFERROR(ROUND(VLOOKUP(A340,[1]eco_journals!B:E,4,0),2),"")</f>
        <v/>
      </c>
      <c r="G340" s="40" t="str">
        <f>IFERROR(_xlfn.RANK.EQ(F340,F:F),"")</f>
        <v/>
      </c>
      <c r="H340" s="46" t="str">
        <f>IFERROR(ROUND(VLOOKUP(A340,[1]fin_journals!B:E,4,0),2),"")</f>
        <v/>
      </c>
      <c r="I340" s="18" t="str">
        <f>IFERROR(_xlfn.RANK.EQ(H340,H:H),"")</f>
        <v/>
      </c>
      <c r="J340" s="42">
        <f>IFERROR(ROUND(VLOOKUP(A340,[1]bus_journals!B:E,4,0),2),"")</f>
        <v>0.84</v>
      </c>
      <c r="K340" s="23">
        <f>IFERROR(_xlfn.RANK.EQ(J340,J:J),"")</f>
        <v>72</v>
      </c>
      <c r="L340" s="43">
        <f>IFERROR(ROUND(VLOOKUP(A340,[1]man_journals!B:E,4,0),2),"")</f>
        <v>0.61</v>
      </c>
      <c r="M340" s="26">
        <f>IFERROR(_xlfn.RANK.EQ(L340,L:L),"")</f>
        <v>83</v>
      </c>
      <c r="N340" s="2" t="s">
        <v>1273</v>
      </c>
      <c r="O340" s="4" t="s">
        <v>1275</v>
      </c>
    </row>
    <row r="341" spans="1:16" x14ac:dyDescent="0.25">
      <c r="A341" t="s">
        <v>338</v>
      </c>
      <c r="B341" t="s">
        <v>1366</v>
      </c>
      <c r="C341" s="6">
        <f>IFERROR(VLOOKUP(A341,[1]eco_bus_journals!$B:$D,3,0),"")</f>
        <v>10</v>
      </c>
      <c r="D341" s="37">
        <f>IFERROR(ROUND(VLOOKUP(A341,[1]eco_bus_journals!$B:$X,4,0),2),"")</f>
        <v>0.19</v>
      </c>
      <c r="E341" s="37">
        <f>_xlfn.RANK.EQ(D341,D:D)</f>
        <v>349</v>
      </c>
      <c r="F341" s="44" t="str">
        <f>IFERROR(ROUND(VLOOKUP(A341,[1]eco_journals!B:E,4,0),2),"")</f>
        <v/>
      </c>
      <c r="G341" s="40" t="str">
        <f>IFERROR(_xlfn.RANK.EQ(F341,F:F),"")</f>
        <v/>
      </c>
      <c r="H341" s="46" t="str">
        <f>IFERROR(ROUND(VLOOKUP(A341,[1]fin_journals!B:E,4,0),2),"")</f>
        <v/>
      </c>
      <c r="I341" s="18" t="str">
        <f>IFERROR(_xlfn.RANK.EQ(H341,H:H),"")</f>
        <v/>
      </c>
      <c r="J341" s="42">
        <f>IFERROR(ROUND(VLOOKUP(A341,[1]bus_journals!B:E,4,0),2),"")</f>
        <v>0.26</v>
      </c>
      <c r="K341" s="23">
        <f>IFERROR(_xlfn.RANK.EQ(J341,J:J),"")</f>
        <v>117</v>
      </c>
      <c r="L341" s="43">
        <f>IFERROR(ROUND(VLOOKUP(A341,[1]man_journals!B:E,4,0),2),"")</f>
        <v>0.34</v>
      </c>
      <c r="M341" s="26">
        <f>IFERROR(_xlfn.RANK.EQ(L341,L:L),"")</f>
        <v>121</v>
      </c>
      <c r="N341" s="2" t="s">
        <v>1273</v>
      </c>
      <c r="O341" s="4" t="s">
        <v>1275</v>
      </c>
    </row>
    <row r="342" spans="1:16" x14ac:dyDescent="0.25">
      <c r="A342" t="s">
        <v>411</v>
      </c>
      <c r="B342" t="s">
        <v>1360</v>
      </c>
      <c r="C342" s="6">
        <f>IFERROR(VLOOKUP(A342,[1]eco_bus_journals!$B:$D,3,0),"")</f>
        <v>51</v>
      </c>
      <c r="D342" s="37">
        <f>IFERROR(ROUND(VLOOKUP(A342,[1]eco_bus_journals!$B:$X,4,0),2),"")</f>
        <v>0.22</v>
      </c>
      <c r="E342" s="37">
        <f>_xlfn.RANK.EQ(D342,D:D)</f>
        <v>319</v>
      </c>
      <c r="F342" s="44">
        <f>IFERROR(ROUND(VLOOKUP(A342,[1]eco_journals!B:E,4,0),2),"")</f>
        <v>0.2</v>
      </c>
      <c r="G342" s="40">
        <f>IFERROR(_xlfn.RANK.EQ(F342,F:F),"")</f>
        <v>139</v>
      </c>
      <c r="H342" s="46" t="str">
        <f>IFERROR(ROUND(VLOOKUP(A342,[1]fin_journals!B:E,4,0),2),"")</f>
        <v/>
      </c>
      <c r="I342" s="18" t="str">
        <f>IFERROR(_xlfn.RANK.EQ(H342,H:H),"")</f>
        <v/>
      </c>
      <c r="J342" s="42" t="str">
        <f>IFERROR(ROUND(VLOOKUP(A342,[1]bus_journals!B:E,4,0),2),"")</f>
        <v/>
      </c>
      <c r="K342" s="23" t="str">
        <f>IFERROR(_xlfn.RANK.EQ(J342,J:J),"")</f>
        <v/>
      </c>
      <c r="L342" s="43" t="str">
        <f>IFERROR(ROUND(VLOOKUP(A342,[1]man_journals!B:E,4,0),2),"")</f>
        <v/>
      </c>
      <c r="M342" s="26" t="str">
        <f>IFERROR(_xlfn.RANK.EQ(L342,L:L),"")</f>
        <v/>
      </c>
      <c r="N342" s="1" t="s">
        <v>1272</v>
      </c>
    </row>
    <row r="343" spans="1:16" x14ac:dyDescent="0.25">
      <c r="A343" t="s">
        <v>393</v>
      </c>
      <c r="B343" t="s">
        <v>1360</v>
      </c>
      <c r="C343" s="6">
        <f>IFERROR(VLOOKUP(A343,[1]eco_bus_journals!$B:$D,3,0),"")</f>
        <v>159</v>
      </c>
      <c r="D343" s="37">
        <f>IFERROR(ROUND(VLOOKUP(A343,[1]eco_bus_journals!$B:$X,4,0),2),"")</f>
        <v>0.2</v>
      </c>
      <c r="E343" s="37">
        <f>_xlfn.RANK.EQ(D343,D:D)</f>
        <v>336</v>
      </c>
      <c r="F343" s="44">
        <f>IFERROR(ROUND(VLOOKUP(A343,[1]eco_journals!B:E,4,0),2),"")</f>
        <v>0.18</v>
      </c>
      <c r="G343" s="40">
        <f>IFERROR(_xlfn.RANK.EQ(F343,F:F),"")</f>
        <v>148</v>
      </c>
      <c r="H343" s="46">
        <f>IFERROR(ROUND(VLOOKUP(A343,[1]fin_journals!B:E,4,0),2),"")</f>
        <v>0.15</v>
      </c>
      <c r="I343" s="18">
        <f>IFERROR(_xlfn.RANK.EQ(H343,H:H),"")</f>
        <v>100</v>
      </c>
      <c r="J343" s="42" t="str">
        <f>IFERROR(ROUND(VLOOKUP(A343,[1]bus_journals!B:E,4,0),2),"")</f>
        <v/>
      </c>
      <c r="K343" s="23" t="str">
        <f>IFERROR(_xlfn.RANK.EQ(J343,J:J),"")</f>
        <v/>
      </c>
      <c r="L343" s="43" t="str">
        <f>IFERROR(ROUND(VLOOKUP(A343,[1]man_journals!B:E,4,0),2),"")</f>
        <v/>
      </c>
      <c r="M343" s="26" t="str">
        <f>IFERROR(_xlfn.RANK.EQ(L343,L:L),"")</f>
        <v/>
      </c>
      <c r="N343" s="3" t="s">
        <v>1274</v>
      </c>
      <c r="O343" s="1" t="s">
        <v>1272</v>
      </c>
      <c r="P343" t="s">
        <v>1312</v>
      </c>
    </row>
    <row r="344" spans="1:16" x14ac:dyDescent="0.25">
      <c r="A344" t="s">
        <v>258</v>
      </c>
      <c r="B344" t="s">
        <v>1372</v>
      </c>
      <c r="C344" s="6">
        <f>IFERROR(VLOOKUP(A344,[1]eco_bus_journals!$B:$D,3,0),"")</f>
        <v>42</v>
      </c>
      <c r="D344" s="37">
        <f>IFERROR(ROUND(VLOOKUP(A344,[1]eco_bus_journals!$B:$X,4,0),2),"")</f>
        <v>0.22</v>
      </c>
      <c r="E344" s="37">
        <f>_xlfn.RANK.EQ(D344,D:D)</f>
        <v>319</v>
      </c>
      <c r="F344" s="44" t="str">
        <f>IFERROR(ROUND(VLOOKUP(A344,[1]eco_journals!B:E,4,0),2),"")</f>
        <v/>
      </c>
      <c r="G344" s="40" t="str">
        <f>IFERROR(_xlfn.RANK.EQ(F344,F:F),"")</f>
        <v/>
      </c>
      <c r="H344" s="46" t="str">
        <f>IFERROR(ROUND(VLOOKUP(A344,[1]fin_journals!B:E,4,0),2),"")</f>
        <v/>
      </c>
      <c r="I344" s="18" t="str">
        <f>IFERROR(_xlfn.RANK.EQ(H344,H:H),"")</f>
        <v/>
      </c>
      <c r="J344" s="42">
        <f>IFERROR(ROUND(VLOOKUP(A344,[1]bus_journals!B:E,4,0),2),"")</f>
        <v>0.72</v>
      </c>
      <c r="K344" s="23">
        <f>IFERROR(_xlfn.RANK.EQ(J344,J:J),"")</f>
        <v>79</v>
      </c>
      <c r="L344" s="43" t="str">
        <f>IFERROR(ROUND(VLOOKUP(A344,[1]man_journals!B:E,4,0),2),"")</f>
        <v/>
      </c>
      <c r="M344" s="26" t="str">
        <f>IFERROR(_xlfn.RANK.EQ(L344,L:L),"")</f>
        <v/>
      </c>
      <c r="N344" s="2" t="s">
        <v>1273</v>
      </c>
    </row>
    <row r="345" spans="1:16" x14ac:dyDescent="0.25">
      <c r="A345" t="s">
        <v>432</v>
      </c>
      <c r="B345" t="s">
        <v>1360</v>
      </c>
      <c r="C345" s="6">
        <f>IFERROR(VLOOKUP(A345,[1]eco_bus_journals!$B:$D,3,0),"")</f>
        <v>20</v>
      </c>
      <c r="D345" s="37">
        <f>IFERROR(ROUND(VLOOKUP(A345,[1]eco_bus_journals!$B:$X,4,0),2),"")</f>
        <v>0.16</v>
      </c>
      <c r="E345" s="37">
        <f>_xlfn.RANK.EQ(D345,D:D)</f>
        <v>384</v>
      </c>
      <c r="F345" s="44">
        <f>IFERROR(ROUND(VLOOKUP(A345,[1]eco_journals!B:E,4,0),2),"")</f>
        <v>0.17</v>
      </c>
      <c r="G345" s="40">
        <f>IFERROR(_xlfn.RANK.EQ(F345,F:F),"")</f>
        <v>155</v>
      </c>
      <c r="H345" s="46" t="str">
        <f>IFERROR(ROUND(VLOOKUP(A345,[1]fin_journals!B:E,4,0),2),"")</f>
        <v/>
      </c>
      <c r="I345" s="18" t="str">
        <f>IFERROR(_xlfn.RANK.EQ(H345,H:H),"")</f>
        <v/>
      </c>
      <c r="J345" s="42" t="str">
        <f>IFERROR(ROUND(VLOOKUP(A345,[1]bus_journals!B:E,4,0),2),"")</f>
        <v/>
      </c>
      <c r="K345" s="23" t="str">
        <f>IFERROR(_xlfn.RANK.EQ(J345,J:J),"")</f>
        <v/>
      </c>
      <c r="L345" s="43" t="str">
        <f>IFERROR(ROUND(VLOOKUP(A345,[1]man_journals!B:E,4,0),2),"")</f>
        <v/>
      </c>
      <c r="M345" s="26" t="str">
        <f>IFERROR(_xlfn.RANK.EQ(L345,L:L),"")</f>
        <v/>
      </c>
      <c r="N345" s="1" t="s">
        <v>1272</v>
      </c>
      <c r="O345" t="s">
        <v>1319</v>
      </c>
    </row>
    <row r="346" spans="1:16" x14ac:dyDescent="0.25">
      <c r="A346" t="s">
        <v>246</v>
      </c>
      <c r="B346" t="s">
        <v>1371</v>
      </c>
      <c r="C346" s="6">
        <f>IFERROR(VLOOKUP(A346,[1]eco_bus_journals!$B:$D,3,0),"")</f>
        <v>127</v>
      </c>
      <c r="D346" s="37">
        <f>IFERROR(ROUND(VLOOKUP(A346,[1]eco_bus_journals!$B:$X,4,0),2),"")</f>
        <v>0.2</v>
      </c>
      <c r="E346" s="37">
        <f>_xlfn.RANK.EQ(D346,D:D)</f>
        <v>336</v>
      </c>
      <c r="F346" s="44" t="str">
        <f>IFERROR(ROUND(VLOOKUP(A346,[1]eco_journals!B:E,4,0),2),"")</f>
        <v/>
      </c>
      <c r="G346" s="40" t="str">
        <f>IFERROR(_xlfn.RANK.EQ(F346,F:F),"")</f>
        <v/>
      </c>
      <c r="H346" s="46" t="str">
        <f>IFERROR(ROUND(VLOOKUP(A346,[1]fin_journals!B:E,4,0),2),"")</f>
        <v/>
      </c>
      <c r="I346" s="18" t="str">
        <f>IFERROR(_xlfn.RANK.EQ(H346,H:H),"")</f>
        <v/>
      </c>
      <c r="J346" s="42">
        <f>IFERROR(ROUND(VLOOKUP(A346,[1]bus_journals!B:E,4,0),2),"")</f>
        <v>0.44</v>
      </c>
      <c r="K346" s="23">
        <f>IFERROR(_xlfn.RANK.EQ(J346,J:J),"")</f>
        <v>98</v>
      </c>
      <c r="L346" s="43">
        <f>IFERROR(ROUND(VLOOKUP(A346,[1]man_journals!B:E,4,0),2),"")</f>
        <v>0.43</v>
      </c>
      <c r="M346" s="26">
        <f>IFERROR(_xlfn.RANK.EQ(L346,L:L),"")</f>
        <v>104</v>
      </c>
      <c r="N346" s="2" t="s">
        <v>1273</v>
      </c>
      <c r="O346" s="4" t="s">
        <v>1275</v>
      </c>
    </row>
    <row r="347" spans="1:16" x14ac:dyDescent="0.25">
      <c r="A347" t="s">
        <v>271</v>
      </c>
      <c r="B347" t="s">
        <v>1371</v>
      </c>
      <c r="C347" s="6">
        <f>IFERROR(VLOOKUP(A347,[1]eco_bus_journals!$B:$D,3,0),"")</f>
        <v>232</v>
      </c>
      <c r="D347" s="37">
        <f>IFERROR(ROUND(VLOOKUP(A347,[1]eco_bus_journals!$B:$X,4,0),2),"")</f>
        <v>0.2</v>
      </c>
      <c r="E347" s="37">
        <f>_xlfn.RANK.EQ(D347,D:D)</f>
        <v>336</v>
      </c>
      <c r="F347" s="44" t="str">
        <f>IFERROR(ROUND(VLOOKUP(A347,[1]eco_journals!B:E,4,0),2),"")</f>
        <v/>
      </c>
      <c r="G347" s="40" t="str">
        <f>IFERROR(_xlfn.RANK.EQ(F347,F:F),"")</f>
        <v/>
      </c>
      <c r="H347" s="46" t="str">
        <f>IFERROR(ROUND(VLOOKUP(A347,[1]fin_journals!B:E,4,0),2),"")</f>
        <v/>
      </c>
      <c r="I347" s="18" t="str">
        <f>IFERROR(_xlfn.RANK.EQ(H347,H:H),"")</f>
        <v/>
      </c>
      <c r="J347" s="42">
        <f>IFERROR(ROUND(VLOOKUP(A347,[1]bus_journals!B:E,4,0),2),"")</f>
        <v>0.62</v>
      </c>
      <c r="K347" s="23">
        <f>IFERROR(_xlfn.RANK.EQ(J347,J:J),"")</f>
        <v>84</v>
      </c>
      <c r="L347" s="43" t="str">
        <f>IFERROR(ROUND(VLOOKUP(A347,[1]man_journals!B:E,4,0),2),"")</f>
        <v/>
      </c>
      <c r="M347" s="26" t="str">
        <f>IFERROR(_xlfn.RANK.EQ(L347,L:L),"")</f>
        <v/>
      </c>
      <c r="N347" s="2" t="s">
        <v>1273</v>
      </c>
    </row>
    <row r="348" spans="1:16" x14ac:dyDescent="0.25">
      <c r="A348" t="s">
        <v>333</v>
      </c>
      <c r="B348" t="s">
        <v>1360</v>
      </c>
      <c r="C348" s="6">
        <f>IFERROR(VLOOKUP(A348,[1]eco_bus_journals!$B:$D,3,0),"")</f>
        <v>49</v>
      </c>
      <c r="D348" s="37">
        <f>IFERROR(ROUND(VLOOKUP(A348,[1]eco_bus_journals!$B:$X,4,0),2),"")</f>
        <v>0.2</v>
      </c>
      <c r="E348" s="37">
        <f>_xlfn.RANK.EQ(D348,D:D)</f>
        <v>336</v>
      </c>
      <c r="F348" s="44">
        <f>IFERROR(ROUND(VLOOKUP(A348,[1]eco_journals!B:E,4,0),2),"")</f>
        <v>0.12</v>
      </c>
      <c r="G348" s="40">
        <f>IFERROR(_xlfn.RANK.EQ(F348,F:F),"")</f>
        <v>206</v>
      </c>
      <c r="H348" s="46" t="str">
        <f>IFERROR(ROUND(VLOOKUP(A348,[1]fin_journals!B:E,4,0),2),"")</f>
        <v/>
      </c>
      <c r="I348" s="18" t="str">
        <f>IFERROR(_xlfn.RANK.EQ(H348,H:H),"")</f>
        <v/>
      </c>
      <c r="J348" s="42">
        <f>IFERROR(ROUND(VLOOKUP(A348,[1]bus_journals!B:E,4,0),2),"")</f>
        <v>0.53</v>
      </c>
      <c r="K348" s="23">
        <f>IFERROR(_xlfn.RANK.EQ(J348,J:J),"")</f>
        <v>93</v>
      </c>
      <c r="L348" s="43" t="str">
        <f>IFERROR(ROUND(VLOOKUP(A348,[1]man_journals!B:E,4,0),2),"")</f>
        <v/>
      </c>
      <c r="M348" s="26" t="str">
        <f>IFERROR(_xlfn.RANK.EQ(L348,L:L),"")</f>
        <v/>
      </c>
      <c r="N348" s="2" t="s">
        <v>1273</v>
      </c>
      <c r="O348" s="1" t="s">
        <v>1272</v>
      </c>
    </row>
    <row r="349" spans="1:16" x14ac:dyDescent="0.25">
      <c r="A349" t="s">
        <v>439</v>
      </c>
      <c r="B349" t="s">
        <v>1383</v>
      </c>
      <c r="C349" s="6">
        <f>IFERROR(VLOOKUP(A349,[1]eco_bus_journals!$B:$D,3,0),"")</f>
        <v>13</v>
      </c>
      <c r="D349" s="37">
        <f>IFERROR(ROUND(VLOOKUP(A349,[1]eco_bus_journals!$B:$X,4,0),2),"")</f>
        <v>0.17</v>
      </c>
      <c r="E349" s="37">
        <f>_xlfn.RANK.EQ(D349,D:D)</f>
        <v>370</v>
      </c>
      <c r="F349" s="44" t="str">
        <f>IFERROR(ROUND(VLOOKUP(A349,[1]eco_journals!B:E,4,0),2),"")</f>
        <v/>
      </c>
      <c r="G349" s="40" t="str">
        <f>IFERROR(_xlfn.RANK.EQ(F349,F:F),"")</f>
        <v/>
      </c>
      <c r="H349" s="46">
        <f>IFERROR(ROUND(VLOOKUP(A349,[1]fin_journals!B:E,4,0),2),"")</f>
        <v>0.31</v>
      </c>
      <c r="I349" s="18">
        <f>IFERROR(_xlfn.RANK.EQ(H349,H:H),"")</f>
        <v>86</v>
      </c>
      <c r="J349" s="42" t="str">
        <f>IFERROR(ROUND(VLOOKUP(A349,[1]bus_journals!B:E,4,0),2),"")</f>
        <v/>
      </c>
      <c r="K349" s="23" t="str">
        <f>IFERROR(_xlfn.RANK.EQ(J349,J:J),"")</f>
        <v/>
      </c>
      <c r="L349" s="43" t="str">
        <f>IFERROR(ROUND(VLOOKUP(A349,[1]man_journals!B:E,4,0),2),"")</f>
        <v/>
      </c>
      <c r="M349" s="26" t="str">
        <f>IFERROR(_xlfn.RANK.EQ(L349,L:L),"")</f>
        <v/>
      </c>
      <c r="N349" s="3" t="s">
        <v>1274</v>
      </c>
    </row>
    <row r="350" spans="1:16" x14ac:dyDescent="0.25">
      <c r="A350" t="s">
        <v>354</v>
      </c>
      <c r="B350" t="s">
        <v>1370</v>
      </c>
      <c r="C350" s="6">
        <f>IFERROR(VLOOKUP(A350,[1]eco_bus_journals!$B:$D,3,0),"")</f>
        <v>16</v>
      </c>
      <c r="D350" s="37">
        <f>IFERROR(ROUND(VLOOKUP(A350,[1]eco_bus_journals!$B:$X,4,0),2),"")</f>
        <v>0.18</v>
      </c>
      <c r="E350" s="37">
        <f>_xlfn.RANK.EQ(D350,D:D)</f>
        <v>357</v>
      </c>
      <c r="F350" s="44">
        <f>IFERROR(ROUND(VLOOKUP(A350,[1]eco_journals!B:E,4,0),2),"")</f>
        <v>0.2</v>
      </c>
      <c r="G350" s="40">
        <f>IFERROR(_xlfn.RANK.EQ(F350,F:F),"")</f>
        <v>139</v>
      </c>
      <c r="H350" s="46" t="str">
        <f>IFERROR(ROUND(VLOOKUP(A350,[1]fin_journals!B:E,4,0),2),"")</f>
        <v/>
      </c>
      <c r="I350" s="18" t="str">
        <f>IFERROR(_xlfn.RANK.EQ(H350,H:H),"")</f>
        <v/>
      </c>
      <c r="J350" s="42" t="str">
        <f>IFERROR(ROUND(VLOOKUP(A350,[1]bus_journals!B:E,4,0),2),"")</f>
        <v/>
      </c>
      <c r="K350" s="23" t="str">
        <f>IFERROR(_xlfn.RANK.EQ(J350,J:J),"")</f>
        <v/>
      </c>
      <c r="L350" s="43" t="str">
        <f>IFERROR(ROUND(VLOOKUP(A350,[1]man_journals!B:E,4,0),2),"")</f>
        <v/>
      </c>
      <c r="M350" s="26" t="str">
        <f>IFERROR(_xlfn.RANK.EQ(L350,L:L),"")</f>
        <v/>
      </c>
      <c r="N350" t="s">
        <v>1302</v>
      </c>
      <c r="O350" s="1" t="s">
        <v>1272</v>
      </c>
    </row>
    <row r="351" spans="1:16" x14ac:dyDescent="0.25">
      <c r="A351" t="s">
        <v>367</v>
      </c>
      <c r="B351" t="s">
        <v>1370</v>
      </c>
      <c r="C351" s="6">
        <f>IFERROR(VLOOKUP(A351,[1]eco_bus_journals!$B:$D,3,0),"")</f>
        <v>51</v>
      </c>
      <c r="D351" s="37">
        <f>IFERROR(ROUND(VLOOKUP(A351,[1]eco_bus_journals!$B:$X,4,0),2),"")</f>
        <v>0.26</v>
      </c>
      <c r="E351" s="37">
        <f>_xlfn.RANK.EQ(D351,D:D)</f>
        <v>280</v>
      </c>
      <c r="F351" s="44">
        <f>IFERROR(ROUND(VLOOKUP(A351,[1]eco_journals!B:E,4,0),2),"")</f>
        <v>0.26</v>
      </c>
      <c r="G351" s="40">
        <f>IFERROR(_xlfn.RANK.EQ(F351,F:F),"")</f>
        <v>113</v>
      </c>
      <c r="H351" s="46" t="str">
        <f>IFERROR(ROUND(VLOOKUP(A351,[1]fin_journals!B:E,4,0),2),"")</f>
        <v/>
      </c>
      <c r="I351" s="18" t="str">
        <f>IFERROR(_xlfn.RANK.EQ(H351,H:H),"")</f>
        <v/>
      </c>
      <c r="J351" s="42" t="str">
        <f>IFERROR(ROUND(VLOOKUP(A351,[1]bus_journals!B:E,4,0),2),"")</f>
        <v/>
      </c>
      <c r="K351" s="23" t="str">
        <f>IFERROR(_xlfn.RANK.EQ(J351,J:J),"")</f>
        <v/>
      </c>
      <c r="L351" s="43" t="str">
        <f>IFERROR(ROUND(VLOOKUP(A351,[1]man_journals!B:E,4,0),2),"")</f>
        <v/>
      </c>
      <c r="M351" s="26" t="str">
        <f>IFERROR(_xlfn.RANK.EQ(L351,L:L),"")</f>
        <v/>
      </c>
      <c r="N351" s="1" t="s">
        <v>1272</v>
      </c>
    </row>
    <row r="352" spans="1:16" x14ac:dyDescent="0.25">
      <c r="A352" t="s">
        <v>301</v>
      </c>
      <c r="B352" t="s">
        <v>1380</v>
      </c>
      <c r="C352" s="6">
        <f>IFERROR(VLOOKUP(A352,[1]eco_bus_journals!$B:$D,3,0),"")</f>
        <v>44</v>
      </c>
      <c r="D352" s="37">
        <f>IFERROR(ROUND(VLOOKUP(A352,[1]eco_bus_journals!$B:$X,4,0),2),"")</f>
        <v>0.21</v>
      </c>
      <c r="E352" s="37">
        <f>_xlfn.RANK.EQ(D352,D:D)</f>
        <v>331</v>
      </c>
      <c r="F352" s="44" t="str">
        <f>IFERROR(ROUND(VLOOKUP(A352,[1]eco_journals!B:E,4,0),2),"")</f>
        <v/>
      </c>
      <c r="G352" s="40" t="str">
        <f>IFERROR(_xlfn.RANK.EQ(F352,F:F),"")</f>
        <v/>
      </c>
      <c r="H352" s="46" t="str">
        <f>IFERROR(ROUND(VLOOKUP(A352,[1]fin_journals!B:E,4,0),2),"")</f>
        <v/>
      </c>
      <c r="I352" s="18" t="str">
        <f>IFERROR(_xlfn.RANK.EQ(H352,H:H),"")</f>
        <v/>
      </c>
      <c r="J352" s="42">
        <f>IFERROR(ROUND(VLOOKUP(A352,[1]bus_journals!B:E,4,0),2),"")</f>
        <v>0.56000000000000005</v>
      </c>
      <c r="K352" s="23">
        <f>IFERROR(_xlfn.RANK.EQ(J352,J:J),"")</f>
        <v>89</v>
      </c>
      <c r="L352" s="43">
        <f>IFERROR(ROUND(VLOOKUP(A352,[1]man_journals!B:E,4,0),2),"")</f>
        <v>0.4</v>
      </c>
      <c r="M352" s="26">
        <f>IFERROR(_xlfn.RANK.EQ(L352,L:L),"")</f>
        <v>111</v>
      </c>
      <c r="N352" s="2" t="s">
        <v>1273</v>
      </c>
      <c r="O352" s="4" t="s">
        <v>1275</v>
      </c>
    </row>
    <row r="353" spans="1:17" x14ac:dyDescent="0.25">
      <c r="A353" t="s">
        <v>427</v>
      </c>
      <c r="B353" t="s">
        <v>1361</v>
      </c>
      <c r="C353" s="6">
        <f>IFERROR(VLOOKUP(A353,[1]eco_bus_journals!$B:$D,3,0),"")</f>
        <v>51</v>
      </c>
      <c r="D353" s="37">
        <f>IFERROR(ROUND(VLOOKUP(A353,[1]eco_bus_journals!$B:$X,4,0),2),"")</f>
        <v>0.2</v>
      </c>
      <c r="E353" s="37">
        <f>_xlfn.RANK.EQ(D353,D:D)</f>
        <v>336</v>
      </c>
      <c r="F353" s="44">
        <f>IFERROR(ROUND(VLOOKUP(A353,[1]eco_journals!B:E,4,0),2),"")</f>
        <v>0.21</v>
      </c>
      <c r="G353" s="40">
        <f>IFERROR(_xlfn.RANK.EQ(F353,F:F),"")</f>
        <v>131</v>
      </c>
      <c r="H353" s="46" t="str">
        <f>IFERROR(ROUND(VLOOKUP(A353,[1]fin_journals!B:E,4,0),2),"")</f>
        <v/>
      </c>
      <c r="I353" s="18" t="str">
        <f>IFERROR(_xlfn.RANK.EQ(H353,H:H),"")</f>
        <v/>
      </c>
      <c r="J353" s="42" t="str">
        <f>IFERROR(ROUND(VLOOKUP(A353,[1]bus_journals!B:E,4,0),2),"")</f>
        <v/>
      </c>
      <c r="K353" s="23" t="str">
        <f>IFERROR(_xlfn.RANK.EQ(J353,J:J),"")</f>
        <v/>
      </c>
      <c r="L353" s="43" t="str">
        <f>IFERROR(ROUND(VLOOKUP(A353,[1]man_journals!B:E,4,0),2),"")</f>
        <v/>
      </c>
      <c r="M353" s="26" t="str">
        <f>IFERROR(_xlfn.RANK.EQ(L353,L:L),"")</f>
        <v/>
      </c>
      <c r="N353" s="1" t="s">
        <v>1272</v>
      </c>
    </row>
    <row r="354" spans="1:17" x14ac:dyDescent="0.25">
      <c r="A354" t="s">
        <v>284</v>
      </c>
      <c r="B354" t="s">
        <v>1364</v>
      </c>
      <c r="C354" s="6">
        <f>IFERROR(VLOOKUP(A354,[1]eco_bus_journals!$B:$D,3,0),"")</f>
        <v>52</v>
      </c>
      <c r="D354" s="37">
        <f>IFERROR(ROUND(VLOOKUP(A354,[1]eco_bus_journals!$B:$X,4,0),2),"")</f>
        <v>0.18</v>
      </c>
      <c r="E354" s="37">
        <f>_xlfn.RANK.EQ(D354,D:D)</f>
        <v>357</v>
      </c>
      <c r="F354" s="44" t="str">
        <f>IFERROR(ROUND(VLOOKUP(A354,[1]eco_journals!B:E,4,0),2),"")</f>
        <v/>
      </c>
      <c r="G354" s="40" t="str">
        <f>IFERROR(_xlfn.RANK.EQ(F354,F:F),"")</f>
        <v/>
      </c>
      <c r="H354" s="46" t="str">
        <f>IFERROR(ROUND(VLOOKUP(A354,[1]fin_journals!B:E,4,0),2),"")</f>
        <v/>
      </c>
      <c r="I354" s="18" t="str">
        <f>IFERROR(_xlfn.RANK.EQ(H354,H:H),"")</f>
        <v/>
      </c>
      <c r="J354" s="42">
        <f>IFERROR(ROUND(VLOOKUP(A354,[1]bus_journals!B:E,4,0),2),"")</f>
        <v>0.4</v>
      </c>
      <c r="K354" s="23">
        <f>IFERROR(_xlfn.RANK.EQ(J354,J:J),"")</f>
        <v>100</v>
      </c>
      <c r="L354" s="43">
        <f>IFERROR(ROUND(VLOOKUP(A354,[1]man_journals!B:E,4,0),2),"")</f>
        <v>0.38</v>
      </c>
      <c r="M354" s="26">
        <f>IFERROR(_xlfn.RANK.EQ(L354,L:L),"")</f>
        <v>115</v>
      </c>
      <c r="N354" s="2" t="s">
        <v>1273</v>
      </c>
      <c r="O354" s="4" t="s">
        <v>1275</v>
      </c>
    </row>
    <row r="355" spans="1:17" x14ac:dyDescent="0.25">
      <c r="A355" t="s">
        <v>305</v>
      </c>
      <c r="B355" t="s">
        <v>1360</v>
      </c>
      <c r="C355" s="6">
        <f>IFERROR(VLOOKUP(A355,[1]eco_bus_journals!$B:$D,3,0),"")</f>
        <v>27</v>
      </c>
      <c r="D355" s="37">
        <f>IFERROR(ROUND(VLOOKUP(A355,[1]eco_bus_journals!$B:$X,4,0),2),"")</f>
        <v>0.16</v>
      </c>
      <c r="E355" s="37">
        <f>_xlfn.RANK.EQ(D355,D:D)</f>
        <v>384</v>
      </c>
      <c r="F355" s="44" t="str">
        <f>IFERROR(ROUND(VLOOKUP(A355,[1]eco_journals!B:E,4,0),2),"")</f>
        <v/>
      </c>
      <c r="G355" s="40" t="str">
        <f>IFERROR(_xlfn.RANK.EQ(F355,F:F),"")</f>
        <v/>
      </c>
      <c r="H355" s="46">
        <f>IFERROR(ROUND(VLOOKUP(A355,[1]fin_journals!B:E,4,0),2),"")</f>
        <v>0.33</v>
      </c>
      <c r="I355" s="18">
        <f>IFERROR(_xlfn.RANK.EQ(H355,H:H),"")</f>
        <v>82</v>
      </c>
      <c r="J355" s="42" t="str">
        <f>IFERROR(ROUND(VLOOKUP(A355,[1]bus_journals!B:E,4,0),2),"")</f>
        <v/>
      </c>
      <c r="K355" s="23" t="str">
        <f>IFERROR(_xlfn.RANK.EQ(J355,J:J),"")</f>
        <v/>
      </c>
      <c r="L355" s="43" t="str">
        <f>IFERROR(ROUND(VLOOKUP(A355,[1]man_journals!B:E,4,0),2),"")</f>
        <v/>
      </c>
      <c r="M355" s="26" t="str">
        <f>IFERROR(_xlfn.RANK.EQ(L355,L:L),"")</f>
        <v/>
      </c>
      <c r="N355" s="3" t="s">
        <v>1274</v>
      </c>
    </row>
    <row r="356" spans="1:17" x14ac:dyDescent="0.25">
      <c r="A356" t="s">
        <v>341</v>
      </c>
      <c r="B356" t="s">
        <v>1360</v>
      </c>
      <c r="C356" s="6">
        <f>IFERROR(VLOOKUP(A356,[1]eco_bus_journals!$B:$D,3,0),"")</f>
        <v>18</v>
      </c>
      <c r="D356" s="37">
        <f>IFERROR(ROUND(VLOOKUP(A356,[1]eco_bus_journals!$B:$X,4,0),2),"")</f>
        <v>0.15</v>
      </c>
      <c r="E356" s="37">
        <f>_xlfn.RANK.EQ(D356,D:D)</f>
        <v>400</v>
      </c>
      <c r="F356" s="44" t="str">
        <f>IFERROR(ROUND(VLOOKUP(A356,[1]eco_journals!B:E,4,0),2),"")</f>
        <v/>
      </c>
      <c r="G356" s="40" t="str">
        <f>IFERROR(_xlfn.RANK.EQ(F356,F:F),"")</f>
        <v/>
      </c>
      <c r="H356" s="46" t="str">
        <f>IFERROR(ROUND(VLOOKUP(A356,[1]fin_journals!B:E,4,0),2),"")</f>
        <v/>
      </c>
      <c r="I356" s="18" t="str">
        <f>IFERROR(_xlfn.RANK.EQ(H356,H:H),"")</f>
        <v/>
      </c>
      <c r="J356" s="42">
        <f>IFERROR(ROUND(VLOOKUP(A356,[1]bus_journals!B:E,4,0),2),"")</f>
        <v>0.37</v>
      </c>
      <c r="K356" s="23">
        <f>IFERROR(_xlfn.RANK.EQ(J356,J:J),"")</f>
        <v>104</v>
      </c>
      <c r="L356" s="43" t="str">
        <f>IFERROR(ROUND(VLOOKUP(A356,[1]man_journals!B:E,4,0),2),"")</f>
        <v/>
      </c>
      <c r="M356" s="26" t="str">
        <f>IFERROR(_xlfn.RANK.EQ(L356,L:L),"")</f>
        <v/>
      </c>
      <c r="N356" s="2" t="s">
        <v>1273</v>
      </c>
      <c r="O356" t="s">
        <v>1287</v>
      </c>
    </row>
    <row r="357" spans="1:17" x14ac:dyDescent="0.25">
      <c r="A357" t="s">
        <v>313</v>
      </c>
      <c r="B357" t="s">
        <v>1371</v>
      </c>
      <c r="C357" s="6">
        <f>IFERROR(VLOOKUP(A357,[1]eco_bus_journals!$B:$D,3,0),"")</f>
        <v>90</v>
      </c>
      <c r="D357" s="37">
        <f>IFERROR(ROUND(VLOOKUP(A357,[1]eco_bus_journals!$B:$X,4,0),2),"")</f>
        <v>0.2</v>
      </c>
      <c r="E357" s="37">
        <f>_xlfn.RANK.EQ(D357,D:D)</f>
        <v>336</v>
      </c>
      <c r="F357" s="44" t="str">
        <f>IFERROR(ROUND(VLOOKUP(A357,[1]eco_journals!B:E,4,0),2),"")</f>
        <v/>
      </c>
      <c r="G357" s="40" t="str">
        <f>IFERROR(_xlfn.RANK.EQ(F357,F:F),"")</f>
        <v/>
      </c>
      <c r="H357" s="46" t="str">
        <f>IFERROR(ROUND(VLOOKUP(A357,[1]fin_journals!B:E,4,0),2),"")</f>
        <v/>
      </c>
      <c r="I357" s="18" t="str">
        <f>IFERROR(_xlfn.RANK.EQ(H357,H:H),"")</f>
        <v/>
      </c>
      <c r="J357" s="42">
        <f>IFERROR(ROUND(VLOOKUP(A357,[1]bus_journals!B:E,4,0),2),"")</f>
        <v>0.63</v>
      </c>
      <c r="K357" s="23">
        <f>IFERROR(_xlfn.RANK.EQ(J357,J:J),"")</f>
        <v>83</v>
      </c>
      <c r="L357" s="43" t="str">
        <f>IFERROR(ROUND(VLOOKUP(A357,[1]man_journals!B:E,4,0),2),"")</f>
        <v/>
      </c>
      <c r="M357" s="26" t="str">
        <f>IFERROR(_xlfn.RANK.EQ(L357,L:L),"")</f>
        <v/>
      </c>
      <c r="N357" s="2" t="s">
        <v>1273</v>
      </c>
    </row>
    <row r="358" spans="1:17" x14ac:dyDescent="0.25">
      <c r="A358" t="s">
        <v>417</v>
      </c>
      <c r="B358" t="s">
        <v>1363</v>
      </c>
      <c r="C358" s="6">
        <f>IFERROR(VLOOKUP(A358,[1]eco_bus_journals!$B:$D,3,0),"")</f>
        <v>74</v>
      </c>
      <c r="D358" s="37">
        <f>IFERROR(ROUND(VLOOKUP(A358,[1]eco_bus_journals!$B:$X,4,0),2),"")</f>
        <v>0.15</v>
      </c>
      <c r="E358" s="37">
        <f>_xlfn.RANK.EQ(D358,D:D)</f>
        <v>400</v>
      </c>
      <c r="F358" s="44">
        <f>IFERROR(ROUND(VLOOKUP(A358,[1]eco_journals!B:E,4,0),2),"")</f>
        <v>0.15</v>
      </c>
      <c r="G358" s="40">
        <f>IFERROR(_xlfn.RANK.EQ(F358,F:F),"")</f>
        <v>170</v>
      </c>
      <c r="H358" s="46">
        <f>IFERROR(ROUND(VLOOKUP(A358,[1]fin_journals!B:E,4,0),2),"")</f>
        <v>0.16</v>
      </c>
      <c r="I358" s="18">
        <f>IFERROR(_xlfn.RANK.EQ(H358,H:H),"")</f>
        <v>98</v>
      </c>
      <c r="J358" s="42" t="str">
        <f>IFERROR(ROUND(VLOOKUP(A358,[1]bus_journals!B:E,4,0),2),"")</f>
        <v/>
      </c>
      <c r="K358" s="23" t="str">
        <f>IFERROR(_xlfn.RANK.EQ(J358,J:J),"")</f>
        <v/>
      </c>
      <c r="L358" s="43" t="str">
        <f>IFERROR(ROUND(VLOOKUP(A358,[1]man_journals!B:E,4,0),2),"")</f>
        <v/>
      </c>
      <c r="M358" s="26" t="str">
        <f>IFERROR(_xlfn.RANK.EQ(L358,L:L),"")</f>
        <v/>
      </c>
      <c r="N358" s="3" t="s">
        <v>1274</v>
      </c>
      <c r="O358" s="1" t="s">
        <v>1272</v>
      </c>
    </row>
    <row r="359" spans="1:17" x14ac:dyDescent="0.25">
      <c r="A359" t="s">
        <v>438</v>
      </c>
      <c r="B359" t="s">
        <v>1362</v>
      </c>
      <c r="C359" s="6">
        <f>IFERROR(VLOOKUP(A359,[1]eco_bus_journals!$B:$D,3,0),"")</f>
        <v>26</v>
      </c>
      <c r="D359" s="37">
        <f>IFERROR(ROUND(VLOOKUP(A359,[1]eco_bus_journals!$B:$X,4,0),2),"")</f>
        <v>0.14000000000000001</v>
      </c>
      <c r="E359" s="37">
        <f>_xlfn.RANK.EQ(D359,D:D)</f>
        <v>413</v>
      </c>
      <c r="F359" s="44">
        <f>IFERROR(ROUND(VLOOKUP(A359,[1]eco_journals!B:E,4,0),2),"")</f>
        <v>0.15</v>
      </c>
      <c r="G359" s="40">
        <f>IFERROR(_xlfn.RANK.EQ(F359,F:F),"")</f>
        <v>170</v>
      </c>
      <c r="H359" s="46" t="str">
        <f>IFERROR(ROUND(VLOOKUP(A359,[1]fin_journals!B:E,4,0),2),"")</f>
        <v/>
      </c>
      <c r="I359" s="18" t="str">
        <f>IFERROR(_xlfn.RANK.EQ(H359,H:H),"")</f>
        <v/>
      </c>
      <c r="J359" s="42" t="str">
        <f>IFERROR(ROUND(VLOOKUP(A359,[1]bus_journals!B:E,4,0),2),"")</f>
        <v/>
      </c>
      <c r="K359" s="23" t="str">
        <f>IFERROR(_xlfn.RANK.EQ(J359,J:J),"")</f>
        <v/>
      </c>
      <c r="L359" s="43" t="str">
        <f>IFERROR(ROUND(VLOOKUP(A359,[1]man_journals!B:E,4,0),2),"")</f>
        <v/>
      </c>
      <c r="M359" s="26" t="str">
        <f>IFERROR(_xlfn.RANK.EQ(L359,L:L),"")</f>
        <v/>
      </c>
      <c r="N359" s="1" t="s">
        <v>1272</v>
      </c>
    </row>
    <row r="360" spans="1:17" x14ac:dyDescent="0.25">
      <c r="A360" t="s">
        <v>272</v>
      </c>
      <c r="B360" t="s">
        <v>1362</v>
      </c>
      <c r="C360" s="6">
        <f>IFERROR(VLOOKUP(A360,[1]eco_bus_journals!$B:$D,3,0),"")</f>
        <v>30</v>
      </c>
      <c r="D360" s="37">
        <f>IFERROR(ROUND(VLOOKUP(A360,[1]eco_bus_journals!$B:$X,4,0),2),"")</f>
        <v>0.17</v>
      </c>
      <c r="E360" s="37">
        <f>_xlfn.RANK.EQ(D360,D:D)</f>
        <v>370</v>
      </c>
      <c r="F360" s="44">
        <f>IFERROR(ROUND(VLOOKUP(A360,[1]eco_journals!B:E,4,0),2),"")</f>
        <v>0.06</v>
      </c>
      <c r="G360" s="40">
        <f>IFERROR(_xlfn.RANK.EQ(F360,F:F),"")</f>
        <v>257</v>
      </c>
      <c r="H360" s="46">
        <f>IFERROR(ROUND(VLOOKUP(A360,[1]fin_journals!B:E,4,0),2),"")</f>
        <v>0.38</v>
      </c>
      <c r="I360" s="18">
        <f>IFERROR(_xlfn.RANK.EQ(H360,H:H),"")</f>
        <v>75</v>
      </c>
      <c r="J360" s="42" t="str">
        <f>IFERROR(ROUND(VLOOKUP(A360,[1]bus_journals!B:E,4,0),2),"")</f>
        <v/>
      </c>
      <c r="K360" s="23" t="str">
        <f>IFERROR(_xlfn.RANK.EQ(J360,J:J),"")</f>
        <v/>
      </c>
      <c r="L360" s="43" t="str">
        <f>IFERROR(ROUND(VLOOKUP(A360,[1]man_journals!B:E,4,0),2),"")</f>
        <v/>
      </c>
      <c r="M360" s="26" t="str">
        <f>IFERROR(_xlfn.RANK.EQ(L360,L:L),"")</f>
        <v/>
      </c>
      <c r="N360" s="3" t="s">
        <v>1274</v>
      </c>
      <c r="O360" s="1" t="s">
        <v>1272</v>
      </c>
    </row>
    <row r="361" spans="1:17" x14ac:dyDescent="0.25">
      <c r="A361" t="s">
        <v>406</v>
      </c>
      <c r="B361" t="s">
        <v>1362</v>
      </c>
      <c r="C361" s="6">
        <f>IFERROR(VLOOKUP(A361,[1]eco_bus_journals!$B:$D,3,0),"")</f>
        <v>81</v>
      </c>
      <c r="D361" s="37">
        <f>IFERROR(ROUND(VLOOKUP(A361,[1]eco_bus_journals!$B:$X,4,0),2),"")</f>
        <v>0.21</v>
      </c>
      <c r="E361" s="37">
        <f>_xlfn.RANK.EQ(D361,D:D)</f>
        <v>331</v>
      </c>
      <c r="F361" s="44">
        <f>IFERROR(ROUND(VLOOKUP(A361,[1]eco_journals!B:E,4,0),2),"")</f>
        <v>0.2</v>
      </c>
      <c r="G361" s="40">
        <f>IFERROR(_xlfn.RANK.EQ(F361,F:F),"")</f>
        <v>139</v>
      </c>
      <c r="H361" s="46" t="str">
        <f>IFERROR(ROUND(VLOOKUP(A361,[1]fin_journals!B:E,4,0),2),"")</f>
        <v/>
      </c>
      <c r="I361" s="18" t="str">
        <f>IFERROR(_xlfn.RANK.EQ(H361,H:H),"")</f>
        <v/>
      </c>
      <c r="J361" s="42" t="str">
        <f>IFERROR(ROUND(VLOOKUP(A361,[1]bus_journals!B:E,4,0),2),"")</f>
        <v/>
      </c>
      <c r="K361" s="23" t="str">
        <f>IFERROR(_xlfn.RANK.EQ(J361,J:J),"")</f>
        <v/>
      </c>
      <c r="L361" s="43" t="str">
        <f>IFERROR(ROUND(VLOOKUP(A361,[1]man_journals!B:E,4,0),2),"")</f>
        <v/>
      </c>
      <c r="M361" s="26" t="str">
        <f>IFERROR(_xlfn.RANK.EQ(L361,L:L),"")</f>
        <v/>
      </c>
      <c r="N361" s="1" t="s">
        <v>1272</v>
      </c>
    </row>
    <row r="362" spans="1:17" x14ac:dyDescent="0.25">
      <c r="A362" t="s">
        <v>407</v>
      </c>
      <c r="B362" t="s">
        <v>1363</v>
      </c>
      <c r="C362" s="6">
        <f>IFERROR(VLOOKUP(A362,[1]eco_bus_journals!$B:$D,3,0),"")</f>
        <v>23</v>
      </c>
      <c r="D362" s="37">
        <f>IFERROR(ROUND(VLOOKUP(A362,[1]eco_bus_journals!$B:$X,4,0),2),"")</f>
        <v>0.19</v>
      </c>
      <c r="E362" s="37">
        <f>_xlfn.RANK.EQ(D362,D:D)</f>
        <v>349</v>
      </c>
      <c r="F362" s="44">
        <f>IFERROR(ROUND(VLOOKUP(A362,[1]eco_journals!B:E,4,0),2),"")</f>
        <v>0.17</v>
      </c>
      <c r="G362" s="40">
        <f>IFERROR(_xlfn.RANK.EQ(F362,F:F),"")</f>
        <v>155</v>
      </c>
      <c r="H362" s="46" t="str">
        <f>IFERROR(ROUND(VLOOKUP(A362,[1]fin_journals!B:E,4,0),2),"")</f>
        <v/>
      </c>
      <c r="I362" s="18" t="str">
        <f>IFERROR(_xlfn.RANK.EQ(H362,H:H),"")</f>
        <v/>
      </c>
      <c r="J362" s="42">
        <f>IFERROR(ROUND(VLOOKUP(A362,[1]bus_journals!B:E,4,0),2),"")</f>
        <v>0.17</v>
      </c>
      <c r="K362" s="23">
        <f>IFERROR(_xlfn.RANK.EQ(J362,J:J),"")</f>
        <v>126</v>
      </c>
      <c r="L362" s="43" t="str">
        <f>IFERROR(ROUND(VLOOKUP(A362,[1]man_journals!B:E,4,0),2),"")</f>
        <v/>
      </c>
      <c r="M362" s="26" t="str">
        <f>IFERROR(_xlfn.RANK.EQ(L362,L:L),"")</f>
        <v/>
      </c>
      <c r="N362" s="2" t="s">
        <v>1273</v>
      </c>
      <c r="O362" s="1" t="s">
        <v>1272</v>
      </c>
      <c r="P362" t="s">
        <v>1280</v>
      </c>
    </row>
    <row r="363" spans="1:17" x14ac:dyDescent="0.25">
      <c r="A363" t="s">
        <v>496</v>
      </c>
      <c r="B363" t="s">
        <v>1363</v>
      </c>
      <c r="C363" s="6">
        <f>IFERROR(VLOOKUP(A363,[1]eco_bus_journals!$B:$D,3,0),"")</f>
        <v>38</v>
      </c>
      <c r="D363" s="37">
        <f>IFERROR(ROUND(VLOOKUP(A363,[1]eco_bus_journals!$B:$X,4,0),2),"")</f>
        <v>0.18</v>
      </c>
      <c r="E363" s="37">
        <f>_xlfn.RANK.EQ(D363,D:D)</f>
        <v>357</v>
      </c>
      <c r="F363" s="44">
        <f>IFERROR(ROUND(VLOOKUP(A363,[1]eco_journals!B:E,4,0),2),"")</f>
        <v>0.13</v>
      </c>
      <c r="G363" s="40">
        <f>IFERROR(_xlfn.RANK.EQ(F363,F:F),"")</f>
        <v>196</v>
      </c>
      <c r="H363" s="46">
        <f>IFERROR(ROUND(VLOOKUP(A363,[1]fin_journals!B:E,4,0),2),"")</f>
        <v>0.55000000000000004</v>
      </c>
      <c r="I363" s="18">
        <f>IFERROR(_xlfn.RANK.EQ(H363,H:H),"")</f>
        <v>62</v>
      </c>
      <c r="J363" s="42" t="str">
        <f>IFERROR(ROUND(VLOOKUP(A363,[1]bus_journals!B:E,4,0),2),"")</f>
        <v/>
      </c>
      <c r="K363" s="23" t="str">
        <f>IFERROR(_xlfn.RANK.EQ(J363,J:J),"")</f>
        <v/>
      </c>
      <c r="L363" s="43" t="str">
        <f>IFERROR(ROUND(VLOOKUP(A363,[1]man_journals!B:E,4,0),2),"")</f>
        <v/>
      </c>
      <c r="M363" s="26" t="str">
        <f>IFERROR(_xlfn.RANK.EQ(L363,L:L),"")</f>
        <v/>
      </c>
      <c r="N363" s="3" t="s">
        <v>1274</v>
      </c>
      <c r="O363" s="1" t="s">
        <v>1272</v>
      </c>
      <c r="P363" t="s">
        <v>1279</v>
      </c>
      <c r="Q363" t="s">
        <v>1280</v>
      </c>
    </row>
    <row r="364" spans="1:17" x14ac:dyDescent="0.25">
      <c r="A364" t="s">
        <v>369</v>
      </c>
      <c r="B364" t="s">
        <v>1372</v>
      </c>
      <c r="C364" s="6">
        <f>IFERROR(VLOOKUP(A364,[1]eco_bus_journals!$B:$D,3,0),"")</f>
        <v>90</v>
      </c>
      <c r="D364" s="37">
        <f>IFERROR(ROUND(VLOOKUP(A364,[1]eco_bus_journals!$B:$X,4,0),2),"")</f>
        <v>0.22</v>
      </c>
      <c r="E364" s="37">
        <f>_xlfn.RANK.EQ(D364,D:D)</f>
        <v>319</v>
      </c>
      <c r="F364" s="44">
        <f>IFERROR(ROUND(VLOOKUP(A364,[1]eco_journals!B:E,4,0),2),"")</f>
        <v>0.24</v>
      </c>
      <c r="G364" s="40">
        <f>IFERROR(_xlfn.RANK.EQ(F364,F:F),"")</f>
        <v>120</v>
      </c>
      <c r="H364" s="46" t="str">
        <f>IFERROR(ROUND(VLOOKUP(A364,[1]fin_journals!B:E,4,0),2),"")</f>
        <v/>
      </c>
      <c r="I364" s="18" t="str">
        <f>IFERROR(_xlfn.RANK.EQ(H364,H:H),"")</f>
        <v/>
      </c>
      <c r="J364" s="42" t="str">
        <f>IFERROR(ROUND(VLOOKUP(A364,[1]bus_journals!B:E,4,0),2),"")</f>
        <v/>
      </c>
      <c r="K364" s="23" t="str">
        <f>IFERROR(_xlfn.RANK.EQ(J364,J:J),"")</f>
        <v/>
      </c>
      <c r="L364" s="43" t="str">
        <f>IFERROR(ROUND(VLOOKUP(A364,[1]man_journals!B:E,4,0),2),"")</f>
        <v/>
      </c>
      <c r="M364" s="26" t="str">
        <f>IFERROR(_xlfn.RANK.EQ(L364,L:L),"")</f>
        <v/>
      </c>
      <c r="N364" s="1" t="s">
        <v>1272</v>
      </c>
      <c r="O364" t="s">
        <v>1312</v>
      </c>
      <c r="P364" t="s">
        <v>1319</v>
      </c>
    </row>
    <row r="365" spans="1:17" x14ac:dyDescent="0.25">
      <c r="A365" t="s">
        <v>319</v>
      </c>
      <c r="B365" t="s">
        <v>1362</v>
      </c>
      <c r="C365" s="6">
        <f>IFERROR(VLOOKUP(A365,[1]eco_bus_journals!$B:$D,3,0),"")</f>
        <v>119</v>
      </c>
      <c r="D365" s="37">
        <f>IFERROR(ROUND(VLOOKUP(A365,[1]eco_bus_journals!$B:$X,4,0),2),"")</f>
        <v>0.19</v>
      </c>
      <c r="E365" s="37">
        <f>_xlfn.RANK.EQ(D365,D:D)</f>
        <v>349</v>
      </c>
      <c r="F365" s="44">
        <f>IFERROR(ROUND(VLOOKUP(A365,[1]eco_journals!B:E,4,0),2),"")</f>
        <v>0.12</v>
      </c>
      <c r="G365" s="40">
        <f>IFERROR(_xlfn.RANK.EQ(F365,F:F),"")</f>
        <v>206</v>
      </c>
      <c r="H365" s="46">
        <f>IFERROR(ROUND(VLOOKUP(A365,[1]fin_journals!B:E,4,0),2),"")</f>
        <v>0.31</v>
      </c>
      <c r="I365" s="18">
        <f>IFERROR(_xlfn.RANK.EQ(H365,H:H),"")</f>
        <v>86</v>
      </c>
      <c r="J365" s="42" t="str">
        <f>IFERROR(ROUND(VLOOKUP(A365,[1]bus_journals!B:E,4,0),2),"")</f>
        <v/>
      </c>
      <c r="K365" s="23" t="str">
        <f>IFERROR(_xlfn.RANK.EQ(J365,J:J),"")</f>
        <v/>
      </c>
      <c r="L365" s="43" t="str">
        <f>IFERROR(ROUND(VLOOKUP(A365,[1]man_journals!B:E,4,0),2),"")</f>
        <v/>
      </c>
      <c r="M365" s="26" t="str">
        <f>IFERROR(_xlfn.RANK.EQ(L365,L:L),"")</f>
        <v/>
      </c>
      <c r="N365" s="3" t="s">
        <v>1274</v>
      </c>
      <c r="O365" s="1" t="s">
        <v>1272</v>
      </c>
    </row>
    <row r="366" spans="1:17" x14ac:dyDescent="0.25">
      <c r="A366" t="s">
        <v>321</v>
      </c>
      <c r="B366" t="s">
        <v>1362</v>
      </c>
      <c r="C366" s="6">
        <f>IFERROR(VLOOKUP(A366,[1]eco_bus_journals!$B:$D,3,0),"")</f>
        <v>113</v>
      </c>
      <c r="D366" s="37">
        <f>IFERROR(ROUND(VLOOKUP(A366,[1]eco_bus_journals!$B:$X,4,0),2),"")</f>
        <v>0.2</v>
      </c>
      <c r="E366" s="37">
        <f>_xlfn.RANK.EQ(D366,D:D)</f>
        <v>336</v>
      </c>
      <c r="F366" s="44">
        <f>IFERROR(ROUND(VLOOKUP(A366,[1]eco_journals!B:E,4,0),2),"")</f>
        <v>0.19</v>
      </c>
      <c r="G366" s="40">
        <f>IFERROR(_xlfn.RANK.EQ(F366,F:F),"")</f>
        <v>144</v>
      </c>
      <c r="H366" s="46" t="str">
        <f>IFERROR(ROUND(VLOOKUP(A366,[1]fin_journals!B:E,4,0),2),"")</f>
        <v/>
      </c>
      <c r="I366" s="18" t="str">
        <f>IFERROR(_xlfn.RANK.EQ(H366,H:H),"")</f>
        <v/>
      </c>
      <c r="J366" s="42" t="str">
        <f>IFERROR(ROUND(VLOOKUP(A366,[1]bus_journals!B:E,4,0),2),"")</f>
        <v/>
      </c>
      <c r="K366" s="23" t="str">
        <f>IFERROR(_xlfn.RANK.EQ(J366,J:J),"")</f>
        <v/>
      </c>
      <c r="L366" s="43" t="str">
        <f>IFERROR(ROUND(VLOOKUP(A366,[1]man_journals!B:E,4,0),2),"")</f>
        <v/>
      </c>
      <c r="M366" s="26" t="str">
        <f>IFERROR(_xlfn.RANK.EQ(L366,L:L),"")</f>
        <v/>
      </c>
      <c r="N366" s="1" t="s">
        <v>1272</v>
      </c>
    </row>
    <row r="367" spans="1:17" x14ac:dyDescent="0.25">
      <c r="A367" t="s">
        <v>285</v>
      </c>
      <c r="B367" t="s">
        <v>1358</v>
      </c>
      <c r="C367" s="6">
        <f>IFERROR(VLOOKUP(A367,[1]eco_bus_journals!$B:$D,3,0),"")</f>
        <v>34</v>
      </c>
      <c r="D367" s="37">
        <f>IFERROR(ROUND(VLOOKUP(A367,[1]eco_bus_journals!$B:$X,4,0),2),"")</f>
        <v>0.16</v>
      </c>
      <c r="E367" s="37">
        <f>_xlfn.RANK.EQ(D367,D:D)</f>
        <v>384</v>
      </c>
      <c r="F367" s="44" t="str">
        <f>IFERROR(ROUND(VLOOKUP(A367,[1]eco_journals!B:E,4,0),2),"")</f>
        <v/>
      </c>
      <c r="G367" s="40" t="str">
        <f>IFERROR(_xlfn.RANK.EQ(F367,F:F),"")</f>
        <v/>
      </c>
      <c r="H367" s="46" t="str">
        <f>IFERROR(ROUND(VLOOKUP(A367,[1]fin_journals!B:E,4,0),2),"")</f>
        <v/>
      </c>
      <c r="I367" s="18" t="str">
        <f>IFERROR(_xlfn.RANK.EQ(H367,H:H),"")</f>
        <v/>
      </c>
      <c r="J367" s="42">
        <f>IFERROR(ROUND(VLOOKUP(A367,[1]bus_journals!B:E,4,0),2),"")</f>
        <v>0.36</v>
      </c>
      <c r="K367" s="23">
        <f>IFERROR(_xlfn.RANK.EQ(J367,J:J),"")</f>
        <v>105</v>
      </c>
      <c r="L367" s="43">
        <f>IFERROR(ROUND(VLOOKUP(A367,[1]man_journals!B:E,4,0),2),"")</f>
        <v>0.33</v>
      </c>
      <c r="M367" s="26">
        <f>IFERROR(_xlfn.RANK.EQ(L367,L:L),"")</f>
        <v>123</v>
      </c>
      <c r="N367" s="2" t="s">
        <v>1273</v>
      </c>
      <c r="O367" s="4" t="s">
        <v>1275</v>
      </c>
    </row>
    <row r="368" spans="1:17" x14ac:dyDescent="0.25">
      <c r="A368" t="s">
        <v>344</v>
      </c>
      <c r="B368" t="s">
        <v>1371</v>
      </c>
      <c r="C368" s="6">
        <f>IFERROR(VLOOKUP(A368,[1]eco_bus_journals!$B:$D,3,0),"")</f>
        <v>57</v>
      </c>
      <c r="D368" s="37">
        <f>IFERROR(ROUND(VLOOKUP(A368,[1]eco_bus_journals!$B:$X,4,0),2),"")</f>
        <v>0.17</v>
      </c>
      <c r="E368" s="37">
        <f>_xlfn.RANK.EQ(D368,D:D)</f>
        <v>370</v>
      </c>
      <c r="F368" s="44">
        <f>IFERROR(ROUND(VLOOKUP(A368,[1]eco_journals!B:E,4,0),2),"")</f>
        <v>0.14000000000000001</v>
      </c>
      <c r="G368" s="40">
        <f>IFERROR(_xlfn.RANK.EQ(F368,F:F),"")</f>
        <v>182</v>
      </c>
      <c r="H368" s="46" t="str">
        <f>IFERROR(ROUND(VLOOKUP(A368,[1]fin_journals!B:E,4,0),2),"")</f>
        <v/>
      </c>
      <c r="I368" s="18" t="str">
        <f>IFERROR(_xlfn.RANK.EQ(H368,H:H),"")</f>
        <v/>
      </c>
      <c r="J368" s="42" t="str">
        <f>IFERROR(ROUND(VLOOKUP(A368,[1]bus_journals!B:E,4,0),2),"")</f>
        <v/>
      </c>
      <c r="K368" s="23" t="str">
        <f>IFERROR(_xlfn.RANK.EQ(J368,J:J),"")</f>
        <v/>
      </c>
      <c r="L368" s="43" t="str">
        <f>IFERROR(ROUND(VLOOKUP(A368,[1]man_journals!B:E,4,0),2),"")</f>
        <v/>
      </c>
      <c r="M368" s="26" t="str">
        <f>IFERROR(_xlfn.RANK.EQ(L368,L:L),"")</f>
        <v/>
      </c>
      <c r="N368" t="s">
        <v>1304</v>
      </c>
      <c r="O368" s="1" t="s">
        <v>1272</v>
      </c>
    </row>
    <row r="369" spans="1:16" x14ac:dyDescent="0.25">
      <c r="A369" t="s">
        <v>415</v>
      </c>
      <c r="B369" t="s">
        <v>1389</v>
      </c>
      <c r="C369" s="6">
        <f>IFERROR(VLOOKUP(A369,[1]eco_bus_journals!$B:$D,3,0),"")</f>
        <v>27</v>
      </c>
      <c r="D369" s="37">
        <f>IFERROR(ROUND(VLOOKUP(A369,[1]eco_bus_journals!$B:$X,4,0),2),"")</f>
        <v>0.13</v>
      </c>
      <c r="E369" s="37">
        <f>_xlfn.RANK.EQ(D369,D:D)</f>
        <v>433</v>
      </c>
      <c r="F369" s="44">
        <f>IFERROR(ROUND(VLOOKUP(A369,[1]eco_journals!B:E,4,0),2),"")</f>
        <v>0.13</v>
      </c>
      <c r="G369" s="40">
        <f>IFERROR(_xlfn.RANK.EQ(F369,F:F),"")</f>
        <v>196</v>
      </c>
      <c r="H369" s="46" t="str">
        <f>IFERROR(ROUND(VLOOKUP(A369,[1]fin_journals!B:E,4,0),2),"")</f>
        <v/>
      </c>
      <c r="I369" s="18" t="str">
        <f>IFERROR(_xlfn.RANK.EQ(H369,H:H),"")</f>
        <v/>
      </c>
      <c r="J369" s="42" t="str">
        <f>IFERROR(ROUND(VLOOKUP(A369,[1]bus_journals!B:E,4,0),2),"")</f>
        <v/>
      </c>
      <c r="K369" s="23" t="str">
        <f>IFERROR(_xlfn.RANK.EQ(J369,J:J),"")</f>
        <v/>
      </c>
      <c r="L369" s="43">
        <f>IFERROR(ROUND(VLOOKUP(A369,[1]man_journals!B:E,4,0),2),"")</f>
        <v>4.04</v>
      </c>
      <c r="M369" s="26">
        <f>IFERROR(_xlfn.RANK.EQ(L369,L:L),"")</f>
        <v>5</v>
      </c>
      <c r="N369" s="1" t="s">
        <v>1272</v>
      </c>
      <c r="O369" t="s">
        <v>1293</v>
      </c>
    </row>
    <row r="370" spans="1:16" x14ac:dyDescent="0.25">
      <c r="A370" t="s">
        <v>286</v>
      </c>
      <c r="B370" t="s">
        <v>1358</v>
      </c>
      <c r="C370" s="6">
        <f>IFERROR(VLOOKUP(A370,[1]eco_bus_journals!$B:$D,3,0),"")</f>
        <v>48</v>
      </c>
      <c r="D370" s="37">
        <f>IFERROR(ROUND(VLOOKUP(A370,[1]eco_bus_journals!$B:$X,4,0),2),"")</f>
        <v>0.19</v>
      </c>
      <c r="E370" s="37">
        <f>_xlfn.RANK.EQ(D370,D:D)</f>
        <v>349</v>
      </c>
      <c r="F370" s="44" t="str">
        <f>IFERROR(ROUND(VLOOKUP(A370,[1]eco_journals!B:E,4,0),2),"")</f>
        <v/>
      </c>
      <c r="G370" s="40" t="str">
        <f>IFERROR(_xlfn.RANK.EQ(F370,F:F),"")</f>
        <v/>
      </c>
      <c r="H370" s="46" t="str">
        <f>IFERROR(ROUND(VLOOKUP(A370,[1]fin_journals!B:E,4,0),2),"")</f>
        <v/>
      </c>
      <c r="I370" s="18" t="str">
        <f>IFERROR(_xlfn.RANK.EQ(H370,H:H),"")</f>
        <v/>
      </c>
      <c r="J370" s="42" t="str">
        <f>IFERROR(ROUND(VLOOKUP(A370,[1]bus_journals!B:E,4,0),2),"")</f>
        <v/>
      </c>
      <c r="K370" s="23" t="str">
        <f>IFERROR(_xlfn.RANK.EQ(J370,J:J),"")</f>
        <v/>
      </c>
      <c r="L370" s="43">
        <f>IFERROR(ROUND(VLOOKUP(A370,[1]man_journals!B:E,4,0),2),"")</f>
        <v>0.41</v>
      </c>
      <c r="M370" s="26">
        <f>IFERROR(_xlfn.RANK.EQ(L370,L:L),"")</f>
        <v>108</v>
      </c>
      <c r="N370" t="s">
        <v>1301</v>
      </c>
      <c r="O370" s="4" t="s">
        <v>1275</v>
      </c>
      <c r="P370" t="s">
        <v>1315</v>
      </c>
    </row>
    <row r="371" spans="1:16" x14ac:dyDescent="0.25">
      <c r="A371" t="s">
        <v>306</v>
      </c>
      <c r="B371" t="s">
        <v>1371</v>
      </c>
      <c r="C371" s="6">
        <f>IFERROR(VLOOKUP(A371,[1]eco_bus_journals!$B:$D,3,0),"")</f>
        <v>44</v>
      </c>
      <c r="D371" s="37">
        <f>IFERROR(ROUND(VLOOKUP(A371,[1]eco_bus_journals!$B:$X,4,0),2),"")</f>
        <v>0.18</v>
      </c>
      <c r="E371" s="37">
        <f>_xlfn.RANK.EQ(D371,D:D)</f>
        <v>357</v>
      </c>
      <c r="F371" s="44" t="str">
        <f>IFERROR(ROUND(VLOOKUP(A371,[1]eco_journals!B:E,4,0),2),"")</f>
        <v/>
      </c>
      <c r="G371" s="40" t="str">
        <f>IFERROR(_xlfn.RANK.EQ(F371,F:F),"")</f>
        <v/>
      </c>
      <c r="H371" s="46" t="str">
        <f>IFERROR(ROUND(VLOOKUP(A371,[1]fin_journals!B:E,4,0),2),"")</f>
        <v/>
      </c>
      <c r="I371" s="18" t="str">
        <f>IFERROR(_xlfn.RANK.EQ(H371,H:H),"")</f>
        <v/>
      </c>
      <c r="J371" s="42" t="str">
        <f>IFERROR(ROUND(VLOOKUP(A371,[1]bus_journals!B:E,4,0),2),"")</f>
        <v/>
      </c>
      <c r="K371" s="23" t="str">
        <f>IFERROR(_xlfn.RANK.EQ(J371,J:J),"")</f>
        <v/>
      </c>
      <c r="L371" s="43">
        <f>IFERROR(ROUND(VLOOKUP(A371,[1]man_journals!B:E,4,0),2),"")</f>
        <v>0.32</v>
      </c>
      <c r="M371" s="26">
        <f>IFERROR(_xlfn.RANK.EQ(L371,L:L),"")</f>
        <v>125</v>
      </c>
      <c r="N371" s="4" t="s">
        <v>1275</v>
      </c>
    </row>
    <row r="372" spans="1:16" x14ac:dyDescent="0.25">
      <c r="A372" t="s">
        <v>288</v>
      </c>
      <c r="B372" t="s">
        <v>1362</v>
      </c>
      <c r="C372" s="6">
        <f>IFERROR(VLOOKUP(A372,[1]eco_bus_journals!$B:$D,3,0),"")</f>
        <v>95</v>
      </c>
      <c r="D372" s="37">
        <f>IFERROR(ROUND(VLOOKUP(A372,[1]eco_bus_journals!$B:$X,4,0),2),"")</f>
        <v>0.18</v>
      </c>
      <c r="E372" s="37">
        <f>_xlfn.RANK.EQ(D372,D:D)</f>
        <v>357</v>
      </c>
      <c r="F372" s="44">
        <f>IFERROR(ROUND(VLOOKUP(A372,[1]eco_journals!B:E,4,0),2),"")</f>
        <v>0.15</v>
      </c>
      <c r="G372" s="40">
        <f>IFERROR(_xlfn.RANK.EQ(F372,F:F),"")</f>
        <v>170</v>
      </c>
      <c r="H372" s="46" t="str">
        <f>IFERROR(ROUND(VLOOKUP(A372,[1]fin_journals!B:E,4,0),2),"")</f>
        <v/>
      </c>
      <c r="I372" s="18" t="str">
        <f>IFERROR(_xlfn.RANK.EQ(H372,H:H),"")</f>
        <v/>
      </c>
      <c r="J372" s="42" t="str">
        <f>IFERROR(ROUND(VLOOKUP(A372,[1]bus_journals!B:E,4,0),2),"")</f>
        <v/>
      </c>
      <c r="K372" s="23" t="str">
        <f>IFERROR(_xlfn.RANK.EQ(J372,J:J),"")</f>
        <v/>
      </c>
      <c r="L372" s="43" t="str">
        <f>IFERROR(ROUND(VLOOKUP(A372,[1]man_journals!B:E,4,0),2),"")</f>
        <v/>
      </c>
      <c r="M372" s="26" t="str">
        <f>IFERROR(_xlfn.RANK.EQ(L372,L:L),"")</f>
        <v/>
      </c>
      <c r="N372" s="1" t="s">
        <v>1272</v>
      </c>
    </row>
    <row r="373" spans="1:16" x14ac:dyDescent="0.25">
      <c r="A373" t="s">
        <v>345</v>
      </c>
      <c r="B373" t="s">
        <v>1362</v>
      </c>
      <c r="C373" s="6">
        <f>IFERROR(VLOOKUP(A373,[1]eco_bus_journals!$B:$D,3,0),"")</f>
        <v>53</v>
      </c>
      <c r="D373" s="37">
        <f>IFERROR(ROUND(VLOOKUP(A373,[1]eco_bus_journals!$B:$X,4,0),2),"")</f>
        <v>0.17</v>
      </c>
      <c r="E373" s="37">
        <f>_xlfn.RANK.EQ(D373,D:D)</f>
        <v>370</v>
      </c>
      <c r="F373" s="44">
        <f>IFERROR(ROUND(VLOOKUP(A373,[1]eco_journals!B:E,4,0),2),"")</f>
        <v>0.14000000000000001</v>
      </c>
      <c r="G373" s="40">
        <f>IFERROR(_xlfn.RANK.EQ(F373,F:F),"")</f>
        <v>182</v>
      </c>
      <c r="H373" s="46" t="str">
        <f>IFERROR(ROUND(VLOOKUP(A373,[1]fin_journals!B:E,4,0),2),"")</f>
        <v/>
      </c>
      <c r="I373" s="18" t="str">
        <f>IFERROR(_xlfn.RANK.EQ(H373,H:H),"")</f>
        <v/>
      </c>
      <c r="J373" s="42" t="str">
        <f>IFERROR(ROUND(VLOOKUP(A373,[1]bus_journals!B:E,4,0),2),"")</f>
        <v/>
      </c>
      <c r="K373" s="23" t="str">
        <f>IFERROR(_xlfn.RANK.EQ(J373,J:J),"")</f>
        <v/>
      </c>
      <c r="L373" s="43" t="str">
        <f>IFERROR(ROUND(VLOOKUP(A373,[1]man_journals!B:E,4,0),2),"")</f>
        <v/>
      </c>
      <c r="M373" s="26" t="str">
        <f>IFERROR(_xlfn.RANK.EQ(L373,L:L),"")</f>
        <v/>
      </c>
      <c r="N373" s="1" t="s">
        <v>1272</v>
      </c>
    </row>
    <row r="374" spans="1:16" x14ac:dyDescent="0.25">
      <c r="A374" t="s">
        <v>329</v>
      </c>
      <c r="B374" t="s">
        <v>1372</v>
      </c>
      <c r="C374" s="6">
        <f>IFERROR(VLOOKUP(A374,[1]eco_bus_journals!$B:$D,3,0),"")</f>
        <v>79</v>
      </c>
      <c r="D374" s="37">
        <f>IFERROR(ROUND(VLOOKUP(A374,[1]eco_bus_journals!$B:$X,4,0),2),"")</f>
        <v>0.17</v>
      </c>
      <c r="E374" s="37">
        <f>_xlfn.RANK.EQ(D374,D:D)</f>
        <v>370</v>
      </c>
      <c r="F374" s="44">
        <f>IFERROR(ROUND(VLOOKUP(A374,[1]eco_journals!B:E,4,0),2),"")</f>
        <v>0.12</v>
      </c>
      <c r="G374" s="40">
        <f>IFERROR(_xlfn.RANK.EQ(F374,F:F),"")</f>
        <v>206</v>
      </c>
      <c r="H374" s="46" t="str">
        <f>IFERROR(ROUND(VLOOKUP(A374,[1]fin_journals!B:E,4,0),2),"")</f>
        <v/>
      </c>
      <c r="I374" s="18" t="str">
        <f>IFERROR(_xlfn.RANK.EQ(H374,H:H),"")</f>
        <v/>
      </c>
      <c r="J374" s="42" t="str">
        <f>IFERROR(ROUND(VLOOKUP(A374,[1]bus_journals!B:E,4,0),2),"")</f>
        <v/>
      </c>
      <c r="K374" s="23" t="str">
        <f>IFERROR(_xlfn.RANK.EQ(J374,J:J),"")</f>
        <v/>
      </c>
      <c r="L374" s="43" t="str">
        <f>IFERROR(ROUND(VLOOKUP(A374,[1]man_journals!B:E,4,0),2),"")</f>
        <v/>
      </c>
      <c r="M374" s="26" t="str">
        <f>IFERROR(_xlfn.RANK.EQ(L374,L:L),"")</f>
        <v/>
      </c>
      <c r="N374" s="1" t="s">
        <v>1272</v>
      </c>
    </row>
    <row r="375" spans="1:16" x14ac:dyDescent="0.25">
      <c r="A375" t="s">
        <v>433</v>
      </c>
      <c r="B375" t="s">
        <v>1363</v>
      </c>
      <c r="C375" s="6">
        <f>IFERROR(VLOOKUP(A375,[1]eco_bus_journals!$B:$D,3,0),"")</f>
        <v>26</v>
      </c>
      <c r="D375" s="37">
        <f>IFERROR(ROUND(VLOOKUP(A375,[1]eco_bus_journals!$B:$X,4,0),2),"")</f>
        <v>0.18</v>
      </c>
      <c r="E375" s="37">
        <f>_xlfn.RANK.EQ(D375,D:D)</f>
        <v>357</v>
      </c>
      <c r="F375" s="44">
        <f>IFERROR(ROUND(VLOOKUP(A375,[1]eco_journals!B:E,4,0),2),"")</f>
        <v>0.18</v>
      </c>
      <c r="G375" s="40">
        <f>IFERROR(_xlfn.RANK.EQ(F375,F:F),"")</f>
        <v>148</v>
      </c>
      <c r="H375" s="46" t="str">
        <f>IFERROR(ROUND(VLOOKUP(A375,[1]fin_journals!B:E,4,0),2),"")</f>
        <v/>
      </c>
      <c r="I375" s="18" t="str">
        <f>IFERROR(_xlfn.RANK.EQ(H375,H:H),"")</f>
        <v/>
      </c>
      <c r="J375" s="42" t="str">
        <f>IFERROR(ROUND(VLOOKUP(A375,[1]bus_journals!B:E,4,0),2),"")</f>
        <v/>
      </c>
      <c r="K375" s="23" t="str">
        <f>IFERROR(_xlfn.RANK.EQ(J375,J:J),"")</f>
        <v/>
      </c>
      <c r="L375" s="43" t="str">
        <f>IFERROR(ROUND(VLOOKUP(A375,[1]man_journals!B:E,4,0),2),"")</f>
        <v/>
      </c>
      <c r="M375" s="26" t="str">
        <f>IFERROR(_xlfn.RANK.EQ(L375,L:L),"")</f>
        <v/>
      </c>
      <c r="N375" s="1" t="s">
        <v>1272</v>
      </c>
    </row>
    <row r="376" spans="1:16" x14ac:dyDescent="0.25">
      <c r="A376" t="s">
        <v>243</v>
      </c>
      <c r="B376" t="s">
        <v>1362</v>
      </c>
      <c r="C376" s="6">
        <f>IFERROR(VLOOKUP(A376,[1]eco_bus_journals!$B:$D,3,0),"")</f>
        <v>103</v>
      </c>
      <c r="D376" s="37">
        <f>IFERROR(ROUND(VLOOKUP(A376,[1]eco_bus_journals!$B:$X,4,0),2),"")</f>
        <v>0.18</v>
      </c>
      <c r="E376" s="37">
        <f>_xlfn.RANK.EQ(D376,D:D)</f>
        <v>357</v>
      </c>
      <c r="F376" s="44" t="str">
        <f>IFERROR(ROUND(VLOOKUP(A376,[1]eco_journals!B:E,4,0),2),"")</f>
        <v/>
      </c>
      <c r="G376" s="40" t="str">
        <f>IFERROR(_xlfn.RANK.EQ(F376,F:F),"")</f>
        <v/>
      </c>
      <c r="H376" s="46" t="str">
        <f>IFERROR(ROUND(VLOOKUP(A376,[1]fin_journals!B:E,4,0),2),"")</f>
        <v/>
      </c>
      <c r="I376" s="18" t="str">
        <f>IFERROR(_xlfn.RANK.EQ(H376,H:H),"")</f>
        <v/>
      </c>
      <c r="J376" s="42">
        <f>IFERROR(ROUND(VLOOKUP(A376,[1]bus_journals!B:E,4,0),2),"")</f>
        <v>0.51</v>
      </c>
      <c r="K376" s="23">
        <f>IFERROR(_xlfn.RANK.EQ(J376,J:J),"")</f>
        <v>95</v>
      </c>
      <c r="L376" s="43" t="str">
        <f>IFERROR(ROUND(VLOOKUP(A376,[1]man_journals!B:E,4,0),2),"")</f>
        <v/>
      </c>
      <c r="M376" s="26" t="str">
        <f>IFERROR(_xlfn.RANK.EQ(L376,L:L),"")</f>
        <v/>
      </c>
      <c r="N376" s="2" t="s">
        <v>1273</v>
      </c>
      <c r="O376" t="s">
        <v>1309</v>
      </c>
      <c r="P376" t="s">
        <v>1310</v>
      </c>
    </row>
    <row r="377" spans="1:16" x14ac:dyDescent="0.25">
      <c r="A377" t="s">
        <v>471</v>
      </c>
      <c r="B377" t="s">
        <v>1386</v>
      </c>
      <c r="C377" s="6">
        <f>IFERROR(VLOOKUP(A377,[1]eco_bus_journals!$B:$D,3,0),"")</f>
        <v>17</v>
      </c>
      <c r="D377" s="37">
        <f>IFERROR(ROUND(VLOOKUP(A377,[1]eco_bus_journals!$B:$X,4,0),2),"")</f>
        <v>0.17</v>
      </c>
      <c r="E377" s="37">
        <f>_xlfn.RANK.EQ(D377,D:D)</f>
        <v>370</v>
      </c>
      <c r="F377" s="44">
        <f>IFERROR(ROUND(VLOOKUP(A377,[1]eco_journals!B:E,4,0),2),"")</f>
        <v>0.18</v>
      </c>
      <c r="G377" s="40">
        <f>IFERROR(_xlfn.RANK.EQ(F377,F:F),"")</f>
        <v>148</v>
      </c>
      <c r="H377" s="46">
        <f>IFERROR(ROUND(VLOOKUP(A377,[1]fin_journals!B:E,4,0),2),"")</f>
        <v>0.16</v>
      </c>
      <c r="I377" s="18">
        <f>IFERROR(_xlfn.RANK.EQ(H377,H:H),"")</f>
        <v>98</v>
      </c>
      <c r="J377" s="42" t="str">
        <f>IFERROR(ROUND(VLOOKUP(A377,[1]bus_journals!B:E,4,0),2),"")</f>
        <v/>
      </c>
      <c r="K377" s="23" t="str">
        <f>IFERROR(_xlfn.RANK.EQ(J377,J:J),"")</f>
        <v/>
      </c>
      <c r="L377" s="43" t="str">
        <f>IFERROR(ROUND(VLOOKUP(A377,[1]man_journals!B:E,4,0),2),"")</f>
        <v/>
      </c>
      <c r="M377" s="26" t="str">
        <f>IFERROR(_xlfn.RANK.EQ(L377,L:L),"")</f>
        <v/>
      </c>
      <c r="N377" s="3" t="s">
        <v>1274</v>
      </c>
      <c r="O377" s="1" t="s">
        <v>1272</v>
      </c>
    </row>
    <row r="378" spans="1:16" x14ac:dyDescent="0.25">
      <c r="A378" t="s">
        <v>293</v>
      </c>
      <c r="B378" t="s">
        <v>1360</v>
      </c>
      <c r="C378" s="6">
        <f>IFERROR(VLOOKUP(A378,[1]eco_bus_journals!$B:$D,3,0),"")</f>
        <v>25</v>
      </c>
      <c r="D378" s="37">
        <f>IFERROR(ROUND(VLOOKUP(A378,[1]eco_bus_journals!$B:$X,4,0),2),"")</f>
        <v>0.2</v>
      </c>
      <c r="E378" s="37">
        <f>_xlfn.RANK.EQ(D378,D:D)</f>
        <v>336</v>
      </c>
      <c r="F378" s="44" t="str">
        <f>IFERROR(ROUND(VLOOKUP(A378,[1]eco_journals!B:E,4,0),2),"")</f>
        <v/>
      </c>
      <c r="G378" s="40" t="str">
        <f>IFERROR(_xlfn.RANK.EQ(F378,F:F),"")</f>
        <v/>
      </c>
      <c r="H378" s="46" t="str">
        <f>IFERROR(ROUND(VLOOKUP(A378,[1]fin_journals!B:E,4,0),2),"")</f>
        <v/>
      </c>
      <c r="I378" s="18" t="str">
        <f>IFERROR(_xlfn.RANK.EQ(H378,H:H),"")</f>
        <v/>
      </c>
      <c r="J378" s="42" t="str">
        <f>IFERROR(ROUND(VLOOKUP(A378,[1]bus_journals!B:E,4,0),2),"")</f>
        <v/>
      </c>
      <c r="K378" s="23" t="str">
        <f>IFERROR(_xlfn.RANK.EQ(J378,J:J),"")</f>
        <v/>
      </c>
      <c r="L378" s="43">
        <f>IFERROR(ROUND(VLOOKUP(A378,[1]man_journals!B:E,4,0),2),"")</f>
        <v>0.47</v>
      </c>
      <c r="M378" s="26">
        <f>IFERROR(_xlfn.RANK.EQ(L378,L:L),"")</f>
        <v>97</v>
      </c>
      <c r="N378" t="s">
        <v>1283</v>
      </c>
      <c r="O378" s="4" t="s">
        <v>1275</v>
      </c>
      <c r="P378" t="s">
        <v>1278</v>
      </c>
    </row>
    <row r="379" spans="1:16" x14ac:dyDescent="0.25">
      <c r="A379" t="s">
        <v>401</v>
      </c>
      <c r="B379" t="s">
        <v>1360</v>
      </c>
      <c r="C379" s="6">
        <f>IFERROR(VLOOKUP(A379,[1]eco_bus_journals!$B:$D,3,0),"")</f>
        <v>53</v>
      </c>
      <c r="D379" s="37">
        <f>IFERROR(ROUND(VLOOKUP(A379,[1]eco_bus_journals!$B:$X,4,0),2),"")</f>
        <v>0.17</v>
      </c>
      <c r="E379" s="37">
        <f>_xlfn.RANK.EQ(D379,D:D)</f>
        <v>370</v>
      </c>
      <c r="F379" s="44">
        <f>IFERROR(ROUND(VLOOKUP(A379,[1]eco_journals!B:E,4,0),2),"")</f>
        <v>0.18</v>
      </c>
      <c r="G379" s="40">
        <f>IFERROR(_xlfn.RANK.EQ(F379,F:F),"")</f>
        <v>148</v>
      </c>
      <c r="H379" s="46" t="str">
        <f>IFERROR(ROUND(VLOOKUP(A379,[1]fin_journals!B:E,4,0),2),"")</f>
        <v/>
      </c>
      <c r="I379" s="18" t="str">
        <f>IFERROR(_xlfn.RANK.EQ(H379,H:H),"")</f>
        <v/>
      </c>
      <c r="J379" s="42" t="str">
        <f>IFERROR(ROUND(VLOOKUP(A379,[1]bus_journals!B:E,4,0),2),"")</f>
        <v/>
      </c>
      <c r="K379" s="23" t="str">
        <f>IFERROR(_xlfn.RANK.EQ(J379,J:J),"")</f>
        <v/>
      </c>
      <c r="L379" s="43" t="str">
        <f>IFERROR(ROUND(VLOOKUP(A379,[1]man_journals!B:E,4,0),2),"")</f>
        <v/>
      </c>
      <c r="M379" s="26" t="str">
        <f>IFERROR(_xlfn.RANK.EQ(L379,L:L),"")</f>
        <v/>
      </c>
      <c r="N379" t="s">
        <v>1304</v>
      </c>
      <c r="O379" s="1" t="s">
        <v>1272</v>
      </c>
    </row>
    <row r="380" spans="1:16" x14ac:dyDescent="0.25">
      <c r="A380" t="s">
        <v>262</v>
      </c>
      <c r="B380" t="s">
        <v>1371</v>
      </c>
      <c r="C380" s="6">
        <f>IFERROR(VLOOKUP(A380,[1]eco_bus_journals!$B:$D,3,0),"")</f>
        <v>65</v>
      </c>
      <c r="D380" s="37">
        <f>IFERROR(ROUND(VLOOKUP(A380,[1]eco_bus_journals!$B:$X,4,0),2),"")</f>
        <v>0.18</v>
      </c>
      <c r="E380" s="37">
        <f>_xlfn.RANK.EQ(D380,D:D)</f>
        <v>357</v>
      </c>
      <c r="F380" s="44" t="str">
        <f>IFERROR(ROUND(VLOOKUP(A380,[1]eco_journals!B:E,4,0),2),"")</f>
        <v/>
      </c>
      <c r="G380" s="40" t="str">
        <f>IFERROR(_xlfn.RANK.EQ(F380,F:F),"")</f>
        <v/>
      </c>
      <c r="H380" s="46" t="str">
        <f>IFERROR(ROUND(VLOOKUP(A380,[1]fin_journals!B:E,4,0),2),"")</f>
        <v/>
      </c>
      <c r="I380" s="18" t="str">
        <f>IFERROR(_xlfn.RANK.EQ(H380,H:H),"")</f>
        <v/>
      </c>
      <c r="J380" s="42">
        <f>IFERROR(ROUND(VLOOKUP(A380,[1]bus_journals!B:E,4,0),2),"")</f>
        <v>0.59</v>
      </c>
      <c r="K380" s="23">
        <f>IFERROR(_xlfn.RANK.EQ(J380,J:J),"")</f>
        <v>85</v>
      </c>
      <c r="L380" s="43">
        <f>IFERROR(ROUND(VLOOKUP(A380,[1]man_journals!B:E,4,0),2),"")</f>
        <v>0.26</v>
      </c>
      <c r="M380" s="26">
        <f>IFERROR(_xlfn.RANK.EQ(L380,L:L),"")</f>
        <v>137</v>
      </c>
      <c r="N380" s="2" t="s">
        <v>1273</v>
      </c>
      <c r="O380" s="4" t="s">
        <v>1275</v>
      </c>
    </row>
    <row r="381" spans="1:16" x14ac:dyDescent="0.25">
      <c r="A381" t="s">
        <v>251</v>
      </c>
      <c r="B381" t="s">
        <v>1362</v>
      </c>
      <c r="C381" s="6">
        <f>IFERROR(VLOOKUP(A381,[1]eco_bus_journals!$B:$D,3,0),"")</f>
        <v>151</v>
      </c>
      <c r="D381" s="37">
        <f>IFERROR(ROUND(VLOOKUP(A381,[1]eco_bus_journals!$B:$X,4,0),2),"")</f>
        <v>0.19</v>
      </c>
      <c r="E381" s="37">
        <f>_xlfn.RANK.EQ(D381,D:D)</f>
        <v>349</v>
      </c>
      <c r="F381" s="44" t="str">
        <f>IFERROR(ROUND(VLOOKUP(A381,[1]eco_journals!B:E,4,0),2),"")</f>
        <v/>
      </c>
      <c r="G381" s="40" t="str">
        <f>IFERROR(_xlfn.RANK.EQ(F381,F:F),"")</f>
        <v/>
      </c>
      <c r="H381" s="46" t="str">
        <f>IFERROR(ROUND(VLOOKUP(A381,[1]fin_journals!B:E,4,0),2),"")</f>
        <v/>
      </c>
      <c r="I381" s="18" t="str">
        <f>IFERROR(_xlfn.RANK.EQ(H381,H:H),"")</f>
        <v/>
      </c>
      <c r="J381" s="42" t="str">
        <f>IFERROR(ROUND(VLOOKUP(A381,[1]bus_journals!B:E,4,0),2),"")</f>
        <v/>
      </c>
      <c r="K381" s="23" t="str">
        <f>IFERROR(_xlfn.RANK.EQ(J381,J:J),"")</f>
        <v/>
      </c>
      <c r="L381" s="43">
        <f>IFERROR(ROUND(VLOOKUP(A381,[1]man_journals!B:E,4,0),2),"")</f>
        <v>0.38</v>
      </c>
      <c r="M381" s="26">
        <f>IFERROR(_xlfn.RANK.EQ(L381,L:L),"")</f>
        <v>115</v>
      </c>
      <c r="N381" t="s">
        <v>1301</v>
      </c>
      <c r="O381" s="4" t="s">
        <v>1275</v>
      </c>
    </row>
    <row r="382" spans="1:16" x14ac:dyDescent="0.25">
      <c r="A382" t="s">
        <v>277</v>
      </c>
      <c r="B382" t="s">
        <v>1371</v>
      </c>
      <c r="C382" s="6">
        <f>IFERROR(VLOOKUP(A382,[1]eco_bus_journals!$B:$D,3,0),"")</f>
        <v>97</v>
      </c>
      <c r="D382" s="37">
        <f>IFERROR(ROUND(VLOOKUP(A382,[1]eco_bus_journals!$B:$X,4,0),2),"")</f>
        <v>0.16</v>
      </c>
      <c r="E382" s="37">
        <f>_xlfn.RANK.EQ(D382,D:D)</f>
        <v>384</v>
      </c>
      <c r="F382" s="44" t="str">
        <f>IFERROR(ROUND(VLOOKUP(A382,[1]eco_journals!B:E,4,0),2),"")</f>
        <v/>
      </c>
      <c r="G382" s="40" t="str">
        <f>IFERROR(_xlfn.RANK.EQ(F382,F:F),"")</f>
        <v/>
      </c>
      <c r="H382" s="46" t="str">
        <f>IFERROR(ROUND(VLOOKUP(A382,[1]fin_journals!B:E,4,0),2),"")</f>
        <v/>
      </c>
      <c r="I382" s="18" t="str">
        <f>IFERROR(_xlfn.RANK.EQ(H382,H:H),"")</f>
        <v/>
      </c>
      <c r="J382" s="42">
        <f>IFERROR(ROUND(VLOOKUP(A382,[1]bus_journals!B:E,4,0),2),"")</f>
        <v>0.4</v>
      </c>
      <c r="K382" s="23">
        <f>IFERROR(_xlfn.RANK.EQ(J382,J:J),"")</f>
        <v>100</v>
      </c>
      <c r="L382" s="43">
        <f>IFERROR(ROUND(VLOOKUP(A382,[1]man_journals!B:E,4,0),2),"")</f>
        <v>0.31</v>
      </c>
      <c r="M382" s="26">
        <f>IFERROR(_xlfn.RANK.EQ(L382,L:L),"")</f>
        <v>126</v>
      </c>
      <c r="N382" s="2" t="s">
        <v>1273</v>
      </c>
      <c r="O382" s="4" t="s">
        <v>1275</v>
      </c>
    </row>
    <row r="383" spans="1:16" x14ac:dyDescent="0.25">
      <c r="A383" t="s">
        <v>358</v>
      </c>
      <c r="B383" t="s">
        <v>1371</v>
      </c>
      <c r="C383" s="6">
        <f>IFERROR(VLOOKUP(A383,[1]eco_bus_journals!$B:$D,3,0),"")</f>
        <v>49</v>
      </c>
      <c r="D383" s="37">
        <f>IFERROR(ROUND(VLOOKUP(A383,[1]eco_bus_journals!$B:$X,4,0),2),"")</f>
        <v>0.18</v>
      </c>
      <c r="E383" s="37">
        <f>_xlfn.RANK.EQ(D383,D:D)</f>
        <v>357</v>
      </c>
      <c r="F383" s="44" t="str">
        <f>IFERROR(ROUND(VLOOKUP(A383,[1]eco_journals!B:E,4,0),2),"")</f>
        <v/>
      </c>
      <c r="G383" s="40" t="str">
        <f>IFERROR(_xlfn.RANK.EQ(F383,F:F),"")</f>
        <v/>
      </c>
      <c r="H383" s="46">
        <f>IFERROR(ROUND(VLOOKUP(A383,[1]fin_journals!B:E,4,0),2),"")</f>
        <v>0.4</v>
      </c>
      <c r="I383" s="18">
        <f>IFERROR(_xlfn.RANK.EQ(H383,H:H),"")</f>
        <v>72</v>
      </c>
      <c r="J383" s="42" t="str">
        <f>IFERROR(ROUND(VLOOKUP(A383,[1]bus_journals!B:E,4,0),2),"")</f>
        <v/>
      </c>
      <c r="K383" s="23" t="str">
        <f>IFERROR(_xlfn.RANK.EQ(J383,J:J),"")</f>
        <v/>
      </c>
      <c r="L383" s="43">
        <f>IFERROR(ROUND(VLOOKUP(A383,[1]man_journals!B:E,4,0),2),"")</f>
        <v>0.23</v>
      </c>
      <c r="M383" s="26">
        <f>IFERROR(_xlfn.RANK.EQ(L383,L:L),"")</f>
        <v>143</v>
      </c>
      <c r="N383" s="3" t="s">
        <v>1274</v>
      </c>
      <c r="O383" s="4" t="s">
        <v>1275</v>
      </c>
    </row>
    <row r="384" spans="1:16" x14ac:dyDescent="0.25">
      <c r="A384" t="s">
        <v>265</v>
      </c>
      <c r="B384" t="s">
        <v>1371</v>
      </c>
      <c r="C384" s="6">
        <f>IFERROR(VLOOKUP(A384,[1]eco_bus_journals!$B:$D,3,0),"")</f>
        <v>100</v>
      </c>
      <c r="D384" s="37">
        <f>IFERROR(ROUND(VLOOKUP(A384,[1]eco_bus_journals!$B:$X,4,0),2),"")</f>
        <v>0.18</v>
      </c>
      <c r="E384" s="37">
        <f>_xlfn.RANK.EQ(D384,D:D)</f>
        <v>357</v>
      </c>
      <c r="F384" s="44" t="str">
        <f>IFERROR(ROUND(VLOOKUP(A384,[1]eco_journals!B:E,4,0),2),"")</f>
        <v/>
      </c>
      <c r="G384" s="40" t="str">
        <f>IFERROR(_xlfn.RANK.EQ(F384,F:F),"")</f>
        <v/>
      </c>
      <c r="H384" s="46" t="str">
        <f>IFERROR(ROUND(VLOOKUP(A384,[1]fin_journals!B:E,4,0),2),"")</f>
        <v/>
      </c>
      <c r="I384" s="18" t="str">
        <f>IFERROR(_xlfn.RANK.EQ(H384,H:H),"")</f>
        <v/>
      </c>
      <c r="J384" s="42">
        <f>IFERROR(ROUND(VLOOKUP(A384,[1]bus_journals!B:E,4,0),2),"")</f>
        <v>0.57999999999999996</v>
      </c>
      <c r="K384" s="23">
        <f>IFERROR(_xlfn.RANK.EQ(J384,J:J),"")</f>
        <v>86</v>
      </c>
      <c r="L384" s="43" t="str">
        <f>IFERROR(ROUND(VLOOKUP(A384,[1]man_journals!B:E,4,0),2),"")</f>
        <v/>
      </c>
      <c r="M384" s="26" t="str">
        <f>IFERROR(_xlfn.RANK.EQ(L384,L:L),"")</f>
        <v/>
      </c>
      <c r="N384" s="2" t="s">
        <v>1273</v>
      </c>
    </row>
    <row r="385" spans="1:17" x14ac:dyDescent="0.25">
      <c r="A385" t="s">
        <v>458</v>
      </c>
      <c r="B385" t="s">
        <v>1363</v>
      </c>
      <c r="C385" s="6">
        <f>IFERROR(VLOOKUP(A385,[1]eco_bus_journals!$B:$D,3,0),"")</f>
        <v>52</v>
      </c>
      <c r="D385" s="37">
        <f>IFERROR(ROUND(VLOOKUP(A385,[1]eco_bus_journals!$B:$X,4,0),2),"")</f>
        <v>0.16</v>
      </c>
      <c r="E385" s="37">
        <f>_xlfn.RANK.EQ(D385,D:D)</f>
        <v>384</v>
      </c>
      <c r="F385" s="44">
        <f>IFERROR(ROUND(VLOOKUP(A385,[1]eco_journals!B:E,4,0),2),"")</f>
        <v>0.14000000000000001</v>
      </c>
      <c r="G385" s="40">
        <f>IFERROR(_xlfn.RANK.EQ(F385,F:F),"")</f>
        <v>182</v>
      </c>
      <c r="H385" s="46" t="str">
        <f>IFERROR(ROUND(VLOOKUP(A385,[1]fin_journals!B:E,4,0),2),"")</f>
        <v/>
      </c>
      <c r="I385" s="18" t="str">
        <f>IFERROR(_xlfn.RANK.EQ(H385,H:H),"")</f>
        <v/>
      </c>
      <c r="J385" s="42" t="str">
        <f>IFERROR(ROUND(VLOOKUP(A385,[1]bus_journals!B:E,4,0),2),"")</f>
        <v/>
      </c>
      <c r="K385" s="23" t="str">
        <f>IFERROR(_xlfn.RANK.EQ(J385,J:J),"")</f>
        <v/>
      </c>
      <c r="L385" s="43" t="str">
        <f>IFERROR(ROUND(VLOOKUP(A385,[1]man_journals!B:E,4,0),2),"")</f>
        <v/>
      </c>
      <c r="M385" s="26" t="str">
        <f>IFERROR(_xlfn.RANK.EQ(L385,L:L),"")</f>
        <v/>
      </c>
      <c r="N385" s="1" t="s">
        <v>1272</v>
      </c>
    </row>
    <row r="386" spans="1:17" x14ac:dyDescent="0.25">
      <c r="A386" t="s">
        <v>336</v>
      </c>
      <c r="B386" t="s">
        <v>1371</v>
      </c>
      <c r="C386" s="6">
        <f>IFERROR(VLOOKUP(A386,[1]eco_bus_journals!$B:$D,3,0),"")</f>
        <v>29</v>
      </c>
      <c r="D386" s="37">
        <f>IFERROR(ROUND(VLOOKUP(A386,[1]eco_bus_journals!$B:$X,4,0),2),"")</f>
        <v>0.17</v>
      </c>
      <c r="E386" s="37">
        <f>_xlfn.RANK.EQ(D386,D:D)</f>
        <v>370</v>
      </c>
      <c r="F386" s="44" t="str">
        <f>IFERROR(ROUND(VLOOKUP(A386,[1]eco_journals!B:E,4,0),2),"")</f>
        <v/>
      </c>
      <c r="G386" s="40" t="str">
        <f>IFERROR(_xlfn.RANK.EQ(F386,F:F),"")</f>
        <v/>
      </c>
      <c r="H386" s="46">
        <f>IFERROR(ROUND(VLOOKUP(A386,[1]fin_journals!B:E,4,0),2),"")</f>
        <v>0.27</v>
      </c>
      <c r="I386" s="18">
        <f>IFERROR(_xlfn.RANK.EQ(H386,H:H),"")</f>
        <v>90</v>
      </c>
      <c r="J386" s="42" t="str">
        <f>IFERROR(ROUND(VLOOKUP(A386,[1]bus_journals!B:E,4,0),2),"")</f>
        <v/>
      </c>
      <c r="K386" s="23" t="str">
        <f>IFERROR(_xlfn.RANK.EQ(J386,J:J),"")</f>
        <v/>
      </c>
      <c r="L386" s="43">
        <f>IFERROR(ROUND(VLOOKUP(A386,[1]man_journals!B:E,4,0),2),"")</f>
        <v>0.25</v>
      </c>
      <c r="M386" s="26">
        <f>IFERROR(_xlfn.RANK.EQ(L386,L:L),"")</f>
        <v>141</v>
      </c>
      <c r="N386" s="3" t="s">
        <v>1274</v>
      </c>
      <c r="O386" s="4" t="s">
        <v>1275</v>
      </c>
    </row>
    <row r="387" spans="1:17" x14ac:dyDescent="0.25">
      <c r="A387" t="s">
        <v>441</v>
      </c>
      <c r="B387" t="s">
        <v>1360</v>
      </c>
      <c r="C387" s="6">
        <f>IFERROR(VLOOKUP(A387,[1]eco_bus_journals!$B:$D,3,0),"")</f>
        <v>55</v>
      </c>
      <c r="D387" s="37">
        <f>IFERROR(ROUND(VLOOKUP(A387,[1]eco_bus_journals!$B:$X,4,0),2),"")</f>
        <v>0.15</v>
      </c>
      <c r="E387" s="37">
        <f>_xlfn.RANK.EQ(D387,D:D)</f>
        <v>400</v>
      </c>
      <c r="F387" s="44">
        <f>IFERROR(ROUND(VLOOKUP(A387,[1]eco_journals!B:E,4,0),2),"")</f>
        <v>0.13</v>
      </c>
      <c r="G387" s="40">
        <f>IFERROR(_xlfn.RANK.EQ(F387,F:F),"")</f>
        <v>196</v>
      </c>
      <c r="H387" s="46" t="str">
        <f>IFERROR(ROUND(VLOOKUP(A387,[1]fin_journals!B:E,4,0),2),"")</f>
        <v/>
      </c>
      <c r="I387" s="18" t="str">
        <f>IFERROR(_xlfn.RANK.EQ(H387,H:H),"")</f>
        <v/>
      </c>
      <c r="J387" s="42" t="str">
        <f>IFERROR(ROUND(VLOOKUP(A387,[1]bus_journals!B:E,4,0),2),"")</f>
        <v/>
      </c>
      <c r="K387" s="23" t="str">
        <f>IFERROR(_xlfn.RANK.EQ(J387,J:J),"")</f>
        <v/>
      </c>
      <c r="L387" s="43" t="str">
        <f>IFERROR(ROUND(VLOOKUP(A387,[1]man_journals!B:E,4,0),2),"")</f>
        <v/>
      </c>
      <c r="M387" s="26" t="str">
        <f>IFERROR(_xlfn.RANK.EQ(L387,L:L),"")</f>
        <v/>
      </c>
      <c r="N387" s="1" t="s">
        <v>1272</v>
      </c>
    </row>
    <row r="388" spans="1:17" x14ac:dyDescent="0.25">
      <c r="A388" t="s">
        <v>460</v>
      </c>
      <c r="B388" t="s">
        <v>1363</v>
      </c>
      <c r="C388" s="6">
        <f>IFERROR(VLOOKUP(A388,[1]eco_bus_journals!$B:$D,3,0),"")</f>
        <v>20</v>
      </c>
      <c r="D388" s="37">
        <f>IFERROR(ROUND(VLOOKUP(A388,[1]eco_bus_journals!$B:$X,4,0),2),"")</f>
        <v>0.16</v>
      </c>
      <c r="E388" s="37">
        <f>_xlfn.RANK.EQ(D388,D:D)</f>
        <v>384</v>
      </c>
      <c r="F388" s="44">
        <f>IFERROR(ROUND(VLOOKUP(A388,[1]eco_journals!B:E,4,0),2),"")</f>
        <v>0.17</v>
      </c>
      <c r="G388" s="40">
        <f>IFERROR(_xlfn.RANK.EQ(F388,F:F),"")</f>
        <v>155</v>
      </c>
      <c r="H388" s="46" t="str">
        <f>IFERROR(ROUND(VLOOKUP(A388,[1]fin_journals!B:E,4,0),2),"")</f>
        <v/>
      </c>
      <c r="I388" s="18" t="str">
        <f>IFERROR(_xlfn.RANK.EQ(H388,H:H),"")</f>
        <v/>
      </c>
      <c r="J388" s="42" t="str">
        <f>IFERROR(ROUND(VLOOKUP(A388,[1]bus_journals!B:E,4,0),2),"")</f>
        <v/>
      </c>
      <c r="K388" s="23" t="str">
        <f>IFERROR(_xlfn.RANK.EQ(J388,J:J),"")</f>
        <v/>
      </c>
      <c r="L388" s="43" t="str">
        <f>IFERROR(ROUND(VLOOKUP(A388,[1]man_journals!B:E,4,0),2),"")</f>
        <v/>
      </c>
      <c r="M388" s="26" t="str">
        <f>IFERROR(_xlfn.RANK.EQ(L388,L:L),"")</f>
        <v/>
      </c>
      <c r="N388" s="1" t="s">
        <v>1272</v>
      </c>
    </row>
    <row r="389" spans="1:17" x14ac:dyDescent="0.25">
      <c r="A389" t="s">
        <v>482</v>
      </c>
      <c r="B389" t="s">
        <v>1384</v>
      </c>
      <c r="C389" s="6">
        <f>IFERROR(VLOOKUP(A389,[1]eco_bus_journals!$B:$D,3,0),"")</f>
        <v>31</v>
      </c>
      <c r="D389" s="37">
        <f>IFERROR(ROUND(VLOOKUP(A389,[1]eco_bus_journals!$B:$X,4,0),2),"")</f>
        <v>0.14000000000000001</v>
      </c>
      <c r="E389" s="37">
        <f>_xlfn.RANK.EQ(D389,D:D)</f>
        <v>413</v>
      </c>
      <c r="F389" s="44">
        <f>IFERROR(ROUND(VLOOKUP(A389,[1]eco_journals!B:E,4,0),2),"")</f>
        <v>0.12</v>
      </c>
      <c r="G389" s="40">
        <f>IFERROR(_xlfn.RANK.EQ(F389,F:F),"")</f>
        <v>206</v>
      </c>
      <c r="H389" s="46" t="str">
        <f>IFERROR(ROUND(VLOOKUP(A389,[1]fin_journals!B:E,4,0),2),"")</f>
        <v/>
      </c>
      <c r="I389" s="18" t="str">
        <f>IFERROR(_xlfn.RANK.EQ(H389,H:H),"")</f>
        <v/>
      </c>
      <c r="J389" s="42" t="str">
        <f>IFERROR(ROUND(VLOOKUP(A389,[1]bus_journals!B:E,4,0),2),"")</f>
        <v/>
      </c>
      <c r="K389" s="23" t="str">
        <f>IFERROR(_xlfn.RANK.EQ(J389,J:J),"")</f>
        <v/>
      </c>
      <c r="L389" s="43" t="str">
        <f>IFERROR(ROUND(VLOOKUP(A389,[1]man_journals!B:E,4,0),2),"")</f>
        <v/>
      </c>
      <c r="M389" s="26" t="str">
        <f>IFERROR(_xlfn.RANK.EQ(L389,L:L),"")</f>
        <v/>
      </c>
      <c r="N389" s="1" t="s">
        <v>1272</v>
      </c>
      <c r="O389" t="s">
        <v>1280</v>
      </c>
    </row>
    <row r="390" spans="1:17" x14ac:dyDescent="0.25">
      <c r="A390" t="s">
        <v>394</v>
      </c>
      <c r="B390" t="s">
        <v>1361</v>
      </c>
      <c r="C390" s="6">
        <f>IFERROR(VLOOKUP(A390,[1]eco_bus_journals!$B:$D,3,0),"")</f>
        <v>62</v>
      </c>
      <c r="D390" s="37">
        <f>IFERROR(ROUND(VLOOKUP(A390,[1]eco_bus_journals!$B:$X,4,0),2),"")</f>
        <v>0.18</v>
      </c>
      <c r="E390" s="37">
        <f>_xlfn.RANK.EQ(D390,D:D)</f>
        <v>357</v>
      </c>
      <c r="F390" s="44">
        <f>IFERROR(ROUND(VLOOKUP(A390,[1]eco_journals!B:E,4,0),2),"")</f>
        <v>0.18</v>
      </c>
      <c r="G390" s="40">
        <f>IFERROR(_xlfn.RANK.EQ(F390,F:F),"")</f>
        <v>148</v>
      </c>
      <c r="H390" s="46" t="str">
        <f>IFERROR(ROUND(VLOOKUP(A390,[1]fin_journals!B:E,4,0),2),"")</f>
        <v/>
      </c>
      <c r="I390" s="18" t="str">
        <f>IFERROR(_xlfn.RANK.EQ(H390,H:H),"")</f>
        <v/>
      </c>
      <c r="J390" s="42" t="str">
        <f>IFERROR(ROUND(VLOOKUP(A390,[1]bus_journals!B:E,4,0),2),"")</f>
        <v/>
      </c>
      <c r="K390" s="23" t="str">
        <f>IFERROR(_xlfn.RANK.EQ(J390,J:J),"")</f>
        <v/>
      </c>
      <c r="L390" s="43" t="str">
        <f>IFERROR(ROUND(VLOOKUP(A390,[1]man_journals!B:E,4,0),2),"")</f>
        <v/>
      </c>
      <c r="M390" s="26" t="str">
        <f>IFERROR(_xlfn.RANK.EQ(L390,L:L),"")</f>
        <v/>
      </c>
      <c r="N390" s="1" t="s">
        <v>1272</v>
      </c>
    </row>
    <row r="391" spans="1:17" x14ac:dyDescent="0.25">
      <c r="A391" t="s">
        <v>435</v>
      </c>
      <c r="B391" t="s">
        <v>1384</v>
      </c>
      <c r="C391" s="6">
        <f>IFERROR(VLOOKUP(A391,[1]eco_bus_journals!$B:$D,3,0),"")</f>
        <v>16</v>
      </c>
      <c r="D391" s="37">
        <f>IFERROR(ROUND(VLOOKUP(A391,[1]eco_bus_journals!$B:$X,4,0),2),"")</f>
        <v>0.16</v>
      </c>
      <c r="E391" s="37">
        <f>_xlfn.RANK.EQ(D391,D:D)</f>
        <v>384</v>
      </c>
      <c r="F391" s="44">
        <f>IFERROR(ROUND(VLOOKUP(A391,[1]eco_journals!B:E,4,0),2),"")</f>
        <v>0.15</v>
      </c>
      <c r="G391" s="40">
        <f>IFERROR(_xlfn.RANK.EQ(F391,F:F),"")</f>
        <v>170</v>
      </c>
      <c r="H391" s="46" t="str">
        <f>IFERROR(ROUND(VLOOKUP(A391,[1]fin_journals!B:E,4,0),2),"")</f>
        <v/>
      </c>
      <c r="I391" s="18" t="str">
        <f>IFERROR(_xlfn.RANK.EQ(H391,H:H),"")</f>
        <v/>
      </c>
      <c r="J391" s="42" t="str">
        <f>IFERROR(ROUND(VLOOKUP(A391,[1]bus_journals!B:E,4,0),2),"")</f>
        <v/>
      </c>
      <c r="K391" s="23" t="str">
        <f>IFERROR(_xlfn.RANK.EQ(J391,J:J),"")</f>
        <v/>
      </c>
      <c r="L391" s="43" t="str">
        <f>IFERROR(ROUND(VLOOKUP(A391,[1]man_journals!B:E,4,0),2),"")</f>
        <v/>
      </c>
      <c r="M391" s="26" t="str">
        <f>IFERROR(_xlfn.RANK.EQ(L391,L:L),"")</f>
        <v/>
      </c>
      <c r="N391" s="1" t="s">
        <v>1272</v>
      </c>
    </row>
    <row r="392" spans="1:17" x14ac:dyDescent="0.25">
      <c r="A392" t="s">
        <v>296</v>
      </c>
      <c r="B392" t="s">
        <v>1358</v>
      </c>
      <c r="C392" s="6">
        <f>IFERROR(VLOOKUP(A392,[1]eco_bus_journals!$B:$D,3,0),"")</f>
        <v>52</v>
      </c>
      <c r="D392" s="37">
        <f>IFERROR(ROUND(VLOOKUP(A392,[1]eco_bus_journals!$B:$X,4,0),2),"")</f>
        <v>0.18</v>
      </c>
      <c r="E392" s="37">
        <f>_xlfn.RANK.EQ(D392,D:D)</f>
        <v>357</v>
      </c>
      <c r="F392" s="44" t="str">
        <f>IFERROR(ROUND(VLOOKUP(A392,[1]eco_journals!B:E,4,0),2),"")</f>
        <v/>
      </c>
      <c r="G392" s="40" t="str">
        <f>IFERROR(_xlfn.RANK.EQ(F392,F:F),"")</f>
        <v/>
      </c>
      <c r="H392" s="46" t="str">
        <f>IFERROR(ROUND(VLOOKUP(A392,[1]fin_journals!B:E,4,0),2),"")</f>
        <v/>
      </c>
      <c r="I392" s="18" t="str">
        <f>IFERROR(_xlfn.RANK.EQ(H392,H:H),"")</f>
        <v/>
      </c>
      <c r="J392" s="42">
        <f>IFERROR(ROUND(VLOOKUP(A392,[1]bus_journals!B:E,4,0),2),"")</f>
        <v>0.55000000000000004</v>
      </c>
      <c r="K392" s="23">
        <f>IFERROR(_xlfn.RANK.EQ(J392,J:J),"")</f>
        <v>90</v>
      </c>
      <c r="L392" s="43" t="str">
        <f>IFERROR(ROUND(VLOOKUP(A392,[1]man_journals!B:E,4,0),2),"")</f>
        <v/>
      </c>
      <c r="M392" s="26" t="str">
        <f>IFERROR(_xlfn.RANK.EQ(L392,L:L),"")</f>
        <v/>
      </c>
      <c r="N392" s="2" t="s">
        <v>1273</v>
      </c>
    </row>
    <row r="393" spans="1:17" x14ac:dyDescent="0.25">
      <c r="A393" t="s">
        <v>452</v>
      </c>
      <c r="B393" t="s">
        <v>1362</v>
      </c>
      <c r="C393" s="6">
        <f>IFERROR(VLOOKUP(A393,[1]eco_bus_journals!$B:$D,3,0),"")</f>
        <v>50</v>
      </c>
      <c r="D393" s="37">
        <f>IFERROR(ROUND(VLOOKUP(A393,[1]eco_bus_journals!$B:$X,4,0),2),"")</f>
        <v>0.16</v>
      </c>
      <c r="E393" s="37">
        <f>_xlfn.RANK.EQ(D393,D:D)</f>
        <v>384</v>
      </c>
      <c r="F393" s="44">
        <f>IFERROR(ROUND(VLOOKUP(A393,[1]eco_journals!B:E,4,0),2),"")</f>
        <v>0.14000000000000001</v>
      </c>
      <c r="G393" s="40">
        <f>IFERROR(_xlfn.RANK.EQ(F393,F:F),"")</f>
        <v>182</v>
      </c>
      <c r="H393" s="46" t="str">
        <f>IFERROR(ROUND(VLOOKUP(A393,[1]fin_journals!B:E,4,0),2),"")</f>
        <v/>
      </c>
      <c r="I393" s="18" t="str">
        <f>IFERROR(_xlfn.RANK.EQ(H393,H:H),"")</f>
        <v/>
      </c>
      <c r="J393" s="42" t="str">
        <f>IFERROR(ROUND(VLOOKUP(A393,[1]bus_journals!B:E,4,0),2),"")</f>
        <v/>
      </c>
      <c r="K393" s="23" t="str">
        <f>IFERROR(_xlfn.RANK.EQ(J393,J:J),"")</f>
        <v/>
      </c>
      <c r="L393" s="43" t="str">
        <f>IFERROR(ROUND(VLOOKUP(A393,[1]man_journals!B:E,4,0),2),"")</f>
        <v/>
      </c>
      <c r="M393" s="26" t="str">
        <f>IFERROR(_xlfn.RANK.EQ(L393,L:L),"")</f>
        <v/>
      </c>
      <c r="N393" s="1" t="s">
        <v>1272</v>
      </c>
      <c r="O393" t="s">
        <v>1295</v>
      </c>
    </row>
    <row r="394" spans="1:17" x14ac:dyDescent="0.25">
      <c r="A394" t="s">
        <v>403</v>
      </c>
      <c r="B394" t="s">
        <v>1363</v>
      </c>
      <c r="C394" s="6">
        <f>IFERROR(VLOOKUP(A394,[1]eco_bus_journals!$B:$D,3,0),"")</f>
        <v>74</v>
      </c>
      <c r="D394" s="37">
        <f>IFERROR(ROUND(VLOOKUP(A394,[1]eco_bus_journals!$B:$X,4,0),2),"")</f>
        <v>0.17</v>
      </c>
      <c r="E394" s="37">
        <f>_xlfn.RANK.EQ(D394,D:D)</f>
        <v>370</v>
      </c>
      <c r="F394" s="44">
        <f>IFERROR(ROUND(VLOOKUP(A394,[1]eco_journals!B:E,4,0),2),"")</f>
        <v>0.15</v>
      </c>
      <c r="G394" s="40">
        <f>IFERROR(_xlfn.RANK.EQ(F394,F:F),"")</f>
        <v>170</v>
      </c>
      <c r="H394" s="46" t="str">
        <f>IFERROR(ROUND(VLOOKUP(A394,[1]fin_journals!B:E,4,0),2),"")</f>
        <v/>
      </c>
      <c r="I394" s="18" t="str">
        <f>IFERROR(_xlfn.RANK.EQ(H394,H:H),"")</f>
        <v/>
      </c>
      <c r="J394" s="42" t="str">
        <f>IFERROR(ROUND(VLOOKUP(A394,[1]bus_journals!B:E,4,0),2),"")</f>
        <v/>
      </c>
      <c r="K394" s="23" t="str">
        <f>IFERROR(_xlfn.RANK.EQ(J394,J:J),"")</f>
        <v/>
      </c>
      <c r="L394" s="43" t="str">
        <f>IFERROR(ROUND(VLOOKUP(A394,[1]man_journals!B:E,4,0),2),"")</f>
        <v/>
      </c>
      <c r="M394" s="26" t="str">
        <f>IFERROR(_xlfn.RANK.EQ(L394,L:L),"")</f>
        <v/>
      </c>
      <c r="N394" s="1" t="s">
        <v>1272</v>
      </c>
      <c r="O394" t="s">
        <v>1324</v>
      </c>
    </row>
    <row r="395" spans="1:17" x14ac:dyDescent="0.25">
      <c r="A395" t="s">
        <v>315</v>
      </c>
      <c r="B395" t="s">
        <v>1360</v>
      </c>
      <c r="C395" s="6">
        <f>IFERROR(VLOOKUP(A395,[1]eco_bus_journals!$B:$D,3,0),"")</f>
        <v>103</v>
      </c>
      <c r="D395" s="37">
        <f>IFERROR(ROUND(VLOOKUP(A395,[1]eco_bus_journals!$B:$X,4,0),2),"")</f>
        <v>0.16</v>
      </c>
      <c r="E395" s="37">
        <f>_xlfn.RANK.EQ(D395,D:D)</f>
        <v>384</v>
      </c>
      <c r="F395" s="44">
        <f>IFERROR(ROUND(VLOOKUP(A395,[1]eco_journals!B:E,4,0),2),"")</f>
        <v>0.14000000000000001</v>
      </c>
      <c r="G395" s="40">
        <f>IFERROR(_xlfn.RANK.EQ(F395,F:F),"")</f>
        <v>182</v>
      </c>
      <c r="H395" s="46" t="str">
        <f>IFERROR(ROUND(VLOOKUP(A395,[1]fin_journals!B:E,4,0),2),"")</f>
        <v/>
      </c>
      <c r="I395" s="18" t="str">
        <f>IFERROR(_xlfn.RANK.EQ(H395,H:H),"")</f>
        <v/>
      </c>
      <c r="J395" s="42" t="str">
        <f>IFERROR(ROUND(VLOOKUP(A395,[1]bus_journals!B:E,4,0),2),"")</f>
        <v/>
      </c>
      <c r="K395" s="23" t="str">
        <f>IFERROR(_xlfn.RANK.EQ(J395,J:J),"")</f>
        <v/>
      </c>
      <c r="L395" s="43">
        <f>IFERROR(ROUND(VLOOKUP(A395,[1]man_journals!B:E,4,0),2),"")</f>
        <v>0.15</v>
      </c>
      <c r="M395" s="26">
        <f>IFERROR(_xlfn.RANK.EQ(L395,L:L),"")</f>
        <v>157</v>
      </c>
      <c r="N395" s="1" t="s">
        <v>1272</v>
      </c>
      <c r="O395" s="4" t="s">
        <v>1275</v>
      </c>
      <c r="P395" t="s">
        <v>1285</v>
      </c>
    </row>
    <row r="396" spans="1:17" x14ac:dyDescent="0.25">
      <c r="A396" t="s">
        <v>456</v>
      </c>
      <c r="B396" t="s">
        <v>1362</v>
      </c>
      <c r="C396" s="6">
        <f>IFERROR(VLOOKUP(A396,[1]eco_bus_journals!$B:$D,3,0),"")</f>
        <v>78</v>
      </c>
      <c r="D396" s="37">
        <f>IFERROR(ROUND(VLOOKUP(A396,[1]eco_bus_journals!$B:$X,4,0),2),"")</f>
        <v>0.17</v>
      </c>
      <c r="E396" s="37">
        <f>_xlfn.RANK.EQ(D396,D:D)</f>
        <v>370</v>
      </c>
      <c r="F396" s="44">
        <f>IFERROR(ROUND(VLOOKUP(A396,[1]eco_journals!B:E,4,0),2),"")</f>
        <v>0.17</v>
      </c>
      <c r="G396" s="40">
        <f>IFERROR(_xlfn.RANK.EQ(F396,F:F),"")</f>
        <v>155</v>
      </c>
      <c r="H396" s="46" t="str">
        <f>IFERROR(ROUND(VLOOKUP(A396,[1]fin_journals!B:E,4,0),2),"")</f>
        <v/>
      </c>
      <c r="I396" s="18" t="str">
        <f>IFERROR(_xlfn.RANK.EQ(H396,H:H),"")</f>
        <v/>
      </c>
      <c r="J396" s="42" t="str">
        <f>IFERROR(ROUND(VLOOKUP(A396,[1]bus_journals!B:E,4,0),2),"")</f>
        <v/>
      </c>
      <c r="K396" s="23" t="str">
        <f>IFERROR(_xlfn.RANK.EQ(J396,J:J),"")</f>
        <v/>
      </c>
      <c r="L396" s="43" t="str">
        <f>IFERROR(ROUND(VLOOKUP(A396,[1]man_journals!B:E,4,0),2),"")</f>
        <v/>
      </c>
      <c r="M396" s="26" t="str">
        <f>IFERROR(_xlfn.RANK.EQ(L396,L:L),"")</f>
        <v/>
      </c>
      <c r="N396" s="1" t="s">
        <v>1272</v>
      </c>
      <c r="O396" t="s">
        <v>1318</v>
      </c>
      <c r="P396" t="s">
        <v>1279</v>
      </c>
      <c r="Q396" t="s">
        <v>1280</v>
      </c>
    </row>
    <row r="397" spans="1:17" x14ac:dyDescent="0.25">
      <c r="A397" t="s">
        <v>479</v>
      </c>
      <c r="B397" t="s">
        <v>1362</v>
      </c>
      <c r="C397" s="6">
        <f>IFERROR(VLOOKUP(A397,[1]eco_bus_journals!$B:$D,3,0),"")</f>
        <v>27</v>
      </c>
      <c r="D397" s="37">
        <f>IFERROR(ROUND(VLOOKUP(A397,[1]eco_bus_journals!$B:$X,4,0),2),"")</f>
        <v>0.15</v>
      </c>
      <c r="E397" s="37">
        <f>_xlfn.RANK.EQ(D397,D:D)</f>
        <v>400</v>
      </c>
      <c r="F397" s="44">
        <f>IFERROR(ROUND(VLOOKUP(A397,[1]eco_journals!B:E,4,0),2),"")</f>
        <v>0.16</v>
      </c>
      <c r="G397" s="40">
        <f>IFERROR(_xlfn.RANK.EQ(F397,F:F),"")</f>
        <v>165</v>
      </c>
      <c r="H397" s="46" t="str">
        <f>IFERROR(ROUND(VLOOKUP(A397,[1]fin_journals!B:E,4,0),2),"")</f>
        <v/>
      </c>
      <c r="I397" s="18" t="str">
        <f>IFERROR(_xlfn.RANK.EQ(H397,H:H),"")</f>
        <v/>
      </c>
      <c r="J397" s="42" t="str">
        <f>IFERROR(ROUND(VLOOKUP(A397,[1]bus_journals!B:E,4,0),2),"")</f>
        <v/>
      </c>
      <c r="K397" s="23" t="str">
        <f>IFERROR(_xlfn.RANK.EQ(J397,J:J),"")</f>
        <v/>
      </c>
      <c r="L397" s="43" t="str">
        <f>IFERROR(ROUND(VLOOKUP(A397,[1]man_journals!B:E,4,0),2),"")</f>
        <v/>
      </c>
      <c r="M397" s="26" t="str">
        <f>IFERROR(_xlfn.RANK.EQ(L397,L:L),"")</f>
        <v/>
      </c>
      <c r="N397" s="1" t="s">
        <v>1272</v>
      </c>
      <c r="O397" t="s">
        <v>1312</v>
      </c>
    </row>
    <row r="398" spans="1:17" x14ac:dyDescent="0.25">
      <c r="A398" t="s">
        <v>408</v>
      </c>
      <c r="B398" t="s">
        <v>1360</v>
      </c>
      <c r="C398" s="6">
        <f>IFERROR(VLOOKUP(A398,[1]eco_bus_journals!$B:$D,3,0),"")</f>
        <v>27</v>
      </c>
      <c r="D398" s="37">
        <f>IFERROR(ROUND(VLOOKUP(A398,[1]eco_bus_journals!$B:$X,4,0),2),"")</f>
        <v>0.15</v>
      </c>
      <c r="E398" s="37">
        <f>_xlfn.RANK.EQ(D398,D:D)</f>
        <v>400</v>
      </c>
      <c r="F398" s="44">
        <f>IFERROR(ROUND(VLOOKUP(A398,[1]eco_journals!B:E,4,0),2),"")</f>
        <v>0.17</v>
      </c>
      <c r="G398" s="40">
        <f>IFERROR(_xlfn.RANK.EQ(F398,F:F),"")</f>
        <v>155</v>
      </c>
      <c r="H398" s="46" t="str">
        <f>IFERROR(ROUND(VLOOKUP(A398,[1]fin_journals!B:E,4,0),2),"")</f>
        <v/>
      </c>
      <c r="I398" s="18" t="str">
        <f>IFERROR(_xlfn.RANK.EQ(H398,H:H),"")</f>
        <v/>
      </c>
      <c r="J398" s="42" t="str">
        <f>IFERROR(ROUND(VLOOKUP(A398,[1]bus_journals!B:E,4,0),2),"")</f>
        <v/>
      </c>
      <c r="K398" s="23" t="str">
        <f>IFERROR(_xlfn.RANK.EQ(J398,J:J),"")</f>
        <v/>
      </c>
      <c r="L398" s="43" t="str">
        <f>IFERROR(ROUND(VLOOKUP(A398,[1]man_journals!B:E,4,0),2),"")</f>
        <v/>
      </c>
      <c r="M398" s="26" t="str">
        <f>IFERROR(_xlfn.RANK.EQ(L398,L:L),"")</f>
        <v/>
      </c>
      <c r="N398" s="1" t="s">
        <v>1272</v>
      </c>
    </row>
    <row r="399" spans="1:17" x14ac:dyDescent="0.25">
      <c r="A399" t="s">
        <v>425</v>
      </c>
      <c r="B399" t="s">
        <v>1360</v>
      </c>
      <c r="C399" s="6">
        <f>IFERROR(VLOOKUP(A399,[1]eco_bus_journals!$B:$D,3,0),"")</f>
        <v>48</v>
      </c>
      <c r="D399" s="37">
        <f>IFERROR(ROUND(VLOOKUP(A399,[1]eco_bus_journals!$B:$X,4,0),2),"")</f>
        <v>0.15</v>
      </c>
      <c r="E399" s="37">
        <f>_xlfn.RANK.EQ(D399,D:D)</f>
        <v>400</v>
      </c>
      <c r="F399" s="44">
        <f>IFERROR(ROUND(VLOOKUP(A399,[1]eco_journals!B:E,4,0),2),"")</f>
        <v>0.14000000000000001</v>
      </c>
      <c r="G399" s="40">
        <f>IFERROR(_xlfn.RANK.EQ(F399,F:F),"")</f>
        <v>182</v>
      </c>
      <c r="H399" s="46" t="str">
        <f>IFERROR(ROUND(VLOOKUP(A399,[1]fin_journals!B:E,4,0),2),"")</f>
        <v/>
      </c>
      <c r="I399" s="18" t="str">
        <f>IFERROR(_xlfn.RANK.EQ(H399,H:H),"")</f>
        <v/>
      </c>
      <c r="J399" s="42" t="str">
        <f>IFERROR(ROUND(VLOOKUP(A399,[1]bus_journals!B:E,4,0),2),"")</f>
        <v/>
      </c>
      <c r="K399" s="23" t="str">
        <f>IFERROR(_xlfn.RANK.EQ(J399,J:J),"")</f>
        <v/>
      </c>
      <c r="L399" s="43" t="str">
        <f>IFERROR(ROUND(VLOOKUP(A399,[1]man_journals!B:E,4,0),2),"")</f>
        <v/>
      </c>
      <c r="M399" s="26" t="str">
        <f>IFERROR(_xlfn.RANK.EQ(L399,L:L),"")</f>
        <v/>
      </c>
      <c r="N399" s="1" t="s">
        <v>1272</v>
      </c>
    </row>
    <row r="400" spans="1:17" x14ac:dyDescent="0.25">
      <c r="A400" t="s">
        <v>282</v>
      </c>
      <c r="B400" t="s">
        <v>1360</v>
      </c>
      <c r="C400" s="6">
        <f>IFERROR(VLOOKUP(A400,[1]eco_bus_journals!$B:$D,3,0),"")</f>
        <v>41</v>
      </c>
      <c r="D400" s="37">
        <f>IFERROR(ROUND(VLOOKUP(A400,[1]eco_bus_journals!$B:$X,4,0),2),"")</f>
        <v>0.17</v>
      </c>
      <c r="E400" s="37">
        <f>_xlfn.RANK.EQ(D400,D:D)</f>
        <v>370</v>
      </c>
      <c r="F400" s="44" t="str">
        <f>IFERROR(ROUND(VLOOKUP(A400,[1]eco_journals!B:E,4,0),2),"")</f>
        <v/>
      </c>
      <c r="G400" s="40" t="str">
        <f>IFERROR(_xlfn.RANK.EQ(F400,F:F),"")</f>
        <v/>
      </c>
      <c r="H400" s="46" t="str">
        <f>IFERROR(ROUND(VLOOKUP(A400,[1]fin_journals!B:E,4,0),2),"")</f>
        <v/>
      </c>
      <c r="I400" s="18" t="str">
        <f>IFERROR(_xlfn.RANK.EQ(H400,H:H),"")</f>
        <v/>
      </c>
      <c r="J400" s="42" t="str">
        <f>IFERROR(ROUND(VLOOKUP(A400,[1]bus_journals!B:E,4,0),2),"")</f>
        <v/>
      </c>
      <c r="K400" s="23" t="str">
        <f>IFERROR(_xlfn.RANK.EQ(J400,J:J),"")</f>
        <v/>
      </c>
      <c r="L400" s="43">
        <f>IFERROR(ROUND(VLOOKUP(A400,[1]man_journals!B:E,4,0),2),"")</f>
        <v>0.46</v>
      </c>
      <c r="M400" s="26">
        <f>IFERROR(_xlfn.RANK.EQ(L400,L:L),"")</f>
        <v>98</v>
      </c>
      <c r="N400" t="s">
        <v>1283</v>
      </c>
      <c r="O400" s="4" t="s">
        <v>1275</v>
      </c>
    </row>
    <row r="401" spans="1:17" x14ac:dyDescent="0.25">
      <c r="A401" t="s">
        <v>484</v>
      </c>
      <c r="B401" t="s">
        <v>1370</v>
      </c>
      <c r="C401" s="6">
        <f>IFERROR(VLOOKUP(A401,[1]eco_bus_journals!$B:$D,3,0),"")</f>
        <v>17</v>
      </c>
      <c r="D401" s="37">
        <f>IFERROR(ROUND(VLOOKUP(A401,[1]eco_bus_journals!$B:$X,4,0),2),"")</f>
        <v>0.16</v>
      </c>
      <c r="E401" s="37">
        <f>_xlfn.RANK.EQ(D401,D:D)</f>
        <v>384</v>
      </c>
      <c r="F401" s="44" t="str">
        <f>IFERROR(ROUND(VLOOKUP(A401,[1]eco_journals!B:E,4,0),2),"")</f>
        <v/>
      </c>
      <c r="G401" s="40" t="str">
        <f>IFERROR(_xlfn.RANK.EQ(F401,F:F),"")</f>
        <v/>
      </c>
      <c r="H401" s="46" t="str">
        <f>IFERROR(ROUND(VLOOKUP(A401,[1]fin_journals!B:E,4,0),2),"")</f>
        <v/>
      </c>
      <c r="I401" s="18" t="str">
        <f>IFERROR(_xlfn.RANK.EQ(H401,H:H),"")</f>
        <v/>
      </c>
      <c r="J401" s="42">
        <f>IFERROR(ROUND(VLOOKUP(A401,[1]bus_journals!B:E,4,0),2),"")</f>
        <v>0.33</v>
      </c>
      <c r="K401" s="23">
        <f>IFERROR(_xlfn.RANK.EQ(J401,J:J),"")</f>
        <v>110</v>
      </c>
      <c r="L401" s="43" t="str">
        <f>IFERROR(ROUND(VLOOKUP(A401,[1]man_journals!B:E,4,0),2),"")</f>
        <v/>
      </c>
      <c r="M401" s="26" t="str">
        <f>IFERROR(_xlfn.RANK.EQ(L401,L:L),"")</f>
        <v/>
      </c>
      <c r="N401" s="2" t="s">
        <v>1273</v>
      </c>
      <c r="O401" t="s">
        <v>1300</v>
      </c>
    </row>
    <row r="402" spans="1:17" x14ac:dyDescent="0.25">
      <c r="A402" t="s">
        <v>470</v>
      </c>
      <c r="B402" t="s">
        <v>1370</v>
      </c>
      <c r="C402" s="6">
        <f>IFERROR(VLOOKUP(A402,[1]eco_bus_journals!$B:$D,3,0),"")</f>
        <v>29</v>
      </c>
      <c r="D402" s="37">
        <f>IFERROR(ROUND(VLOOKUP(A402,[1]eco_bus_journals!$B:$X,4,0),2),"")</f>
        <v>0.22</v>
      </c>
      <c r="E402" s="37">
        <f>_xlfn.RANK.EQ(D402,D:D)</f>
        <v>319</v>
      </c>
      <c r="F402" s="44" t="str">
        <f>IFERROR(ROUND(VLOOKUP(A402,[1]eco_journals!B:E,4,0),2),"")</f>
        <v/>
      </c>
      <c r="G402" s="40" t="str">
        <f>IFERROR(_xlfn.RANK.EQ(F402,F:F),"")</f>
        <v/>
      </c>
      <c r="H402" s="46" t="str">
        <f>IFERROR(ROUND(VLOOKUP(A402,[1]fin_journals!B:E,4,0),2),"")</f>
        <v/>
      </c>
      <c r="I402" s="18" t="str">
        <f>IFERROR(_xlfn.RANK.EQ(H402,H:H),"")</f>
        <v/>
      </c>
      <c r="J402" s="42">
        <f>IFERROR(ROUND(VLOOKUP(A402,[1]bus_journals!B:E,4,0),2),"")</f>
        <v>0.47</v>
      </c>
      <c r="K402" s="23">
        <f>IFERROR(_xlfn.RANK.EQ(J402,J:J),"")</f>
        <v>97</v>
      </c>
      <c r="L402" s="43" t="str">
        <f>IFERROR(ROUND(VLOOKUP(A402,[1]man_journals!B:E,4,0),2),"")</f>
        <v/>
      </c>
      <c r="M402" s="26" t="str">
        <f>IFERROR(_xlfn.RANK.EQ(L402,L:L),"")</f>
        <v/>
      </c>
      <c r="N402" s="2" t="s">
        <v>1273</v>
      </c>
      <c r="O402" t="s">
        <v>1300</v>
      </c>
    </row>
    <row r="403" spans="1:17" x14ac:dyDescent="0.25">
      <c r="A403" t="s">
        <v>312</v>
      </c>
      <c r="B403" t="s">
        <v>1358</v>
      </c>
      <c r="C403" s="6">
        <f>IFERROR(VLOOKUP(A403,[1]eco_bus_journals!$B:$D,3,0),"")</f>
        <v>16</v>
      </c>
      <c r="D403" s="37">
        <f>IFERROR(ROUND(VLOOKUP(A403,[1]eco_bus_journals!$B:$X,4,0),2),"")</f>
        <v>0.17</v>
      </c>
      <c r="E403" s="37">
        <f>_xlfn.RANK.EQ(D403,D:D)</f>
        <v>370</v>
      </c>
      <c r="F403" s="44" t="str">
        <f>IFERROR(ROUND(VLOOKUP(A403,[1]eco_journals!B:E,4,0),2),"")</f>
        <v/>
      </c>
      <c r="G403" s="40" t="str">
        <f>IFERROR(_xlfn.RANK.EQ(F403,F:F),"")</f>
        <v/>
      </c>
      <c r="H403" s="46" t="str">
        <f>IFERROR(ROUND(VLOOKUP(A403,[1]fin_journals!B:E,4,0),2),"")</f>
        <v/>
      </c>
      <c r="I403" s="18" t="str">
        <f>IFERROR(_xlfn.RANK.EQ(H403,H:H),"")</f>
        <v/>
      </c>
      <c r="J403" s="42" t="str">
        <f>IFERROR(ROUND(VLOOKUP(A403,[1]bus_journals!B:E,4,0),2),"")</f>
        <v/>
      </c>
      <c r="K403" s="23" t="str">
        <f>IFERROR(_xlfn.RANK.EQ(J403,J:J),"")</f>
        <v/>
      </c>
      <c r="L403" s="43">
        <f>IFERROR(ROUND(VLOOKUP(A403,[1]man_journals!B:E,4,0),2),"")</f>
        <v>0.36</v>
      </c>
      <c r="M403" s="26">
        <f>IFERROR(_xlfn.RANK.EQ(L403,L:L),"")</f>
        <v>118</v>
      </c>
      <c r="N403" s="4" t="s">
        <v>1275</v>
      </c>
      <c r="O403" t="s">
        <v>1278</v>
      </c>
    </row>
    <row r="404" spans="1:17" x14ac:dyDescent="0.25">
      <c r="A404" t="s">
        <v>451</v>
      </c>
      <c r="B404" t="s">
        <v>1362</v>
      </c>
      <c r="C404" s="6">
        <f>IFERROR(VLOOKUP(A404,[1]eco_bus_journals!$B:$D,3,0),"")</f>
        <v>103</v>
      </c>
      <c r="D404" s="37">
        <f>IFERROR(ROUND(VLOOKUP(A404,[1]eco_bus_journals!$B:$X,4,0),2),"")</f>
        <v>0.16</v>
      </c>
      <c r="E404" s="37">
        <f>_xlfn.RANK.EQ(D404,D:D)</f>
        <v>384</v>
      </c>
      <c r="F404" s="44">
        <f>IFERROR(ROUND(VLOOKUP(A404,[1]eco_journals!B:E,4,0),2),"")</f>
        <v>0.15</v>
      </c>
      <c r="G404" s="40">
        <f>IFERROR(_xlfn.RANK.EQ(F404,F:F),"")</f>
        <v>170</v>
      </c>
      <c r="H404" s="46" t="str">
        <f>IFERROR(ROUND(VLOOKUP(A404,[1]fin_journals!B:E,4,0),2),"")</f>
        <v/>
      </c>
      <c r="I404" s="18" t="str">
        <f>IFERROR(_xlfn.RANK.EQ(H404,H:H),"")</f>
        <v/>
      </c>
      <c r="J404" s="42" t="str">
        <f>IFERROR(ROUND(VLOOKUP(A404,[1]bus_journals!B:E,4,0),2),"")</f>
        <v/>
      </c>
      <c r="K404" s="23" t="str">
        <f>IFERROR(_xlfn.RANK.EQ(J404,J:J),"")</f>
        <v/>
      </c>
      <c r="L404" s="43" t="str">
        <f>IFERROR(ROUND(VLOOKUP(A404,[1]man_journals!B:E,4,0),2),"")</f>
        <v/>
      </c>
      <c r="M404" s="26" t="str">
        <f>IFERROR(_xlfn.RANK.EQ(L404,L:L),"")</f>
        <v/>
      </c>
      <c r="N404" s="1" t="s">
        <v>1272</v>
      </c>
      <c r="O404" t="s">
        <v>1279</v>
      </c>
      <c r="P404" t="s">
        <v>1280</v>
      </c>
      <c r="Q404" t="s">
        <v>1281</v>
      </c>
    </row>
    <row r="405" spans="1:17" x14ac:dyDescent="0.25">
      <c r="A405" t="s">
        <v>352</v>
      </c>
      <c r="B405" t="s">
        <v>1360</v>
      </c>
      <c r="C405" s="6">
        <f>IFERROR(VLOOKUP(A405,[1]eco_bus_journals!$B:$D,3,0),"")</f>
        <v>86</v>
      </c>
      <c r="D405" s="37">
        <f>IFERROR(ROUND(VLOOKUP(A405,[1]eco_bus_journals!$B:$X,4,0),2),"")</f>
        <v>0.13</v>
      </c>
      <c r="E405" s="37">
        <f>_xlfn.RANK.EQ(D405,D:D)</f>
        <v>433</v>
      </c>
      <c r="F405" s="44" t="str">
        <f>IFERROR(ROUND(VLOOKUP(A405,[1]eco_journals!B:E,4,0),2),"")</f>
        <v/>
      </c>
      <c r="G405" s="40" t="str">
        <f>IFERROR(_xlfn.RANK.EQ(F405,F:F),"")</f>
        <v/>
      </c>
      <c r="H405" s="46">
        <f>IFERROR(ROUND(VLOOKUP(A405,[1]fin_journals!B:E,4,0),2),"")</f>
        <v>0.2</v>
      </c>
      <c r="I405" s="18">
        <f>IFERROR(_xlfn.RANK.EQ(H405,H:H),"")</f>
        <v>95</v>
      </c>
      <c r="J405" s="42" t="str">
        <f>IFERROR(ROUND(VLOOKUP(A405,[1]bus_journals!B:E,4,0),2),"")</f>
        <v/>
      </c>
      <c r="K405" s="23" t="str">
        <f>IFERROR(_xlfn.RANK.EQ(J405,J:J),"")</f>
        <v/>
      </c>
      <c r="L405" s="43" t="str">
        <f>IFERROR(ROUND(VLOOKUP(A405,[1]man_journals!B:E,4,0),2),"")</f>
        <v/>
      </c>
      <c r="M405" s="26" t="str">
        <f>IFERROR(_xlfn.RANK.EQ(L405,L:L),"")</f>
        <v/>
      </c>
      <c r="N405" s="3" t="s">
        <v>1274</v>
      </c>
    </row>
    <row r="406" spans="1:17" x14ac:dyDescent="0.25">
      <c r="A406" t="s">
        <v>437</v>
      </c>
      <c r="B406" t="s">
        <v>1361</v>
      </c>
      <c r="C406" s="6">
        <f>IFERROR(VLOOKUP(A406,[1]eco_bus_journals!$B:$D,3,0),"")</f>
        <v>20</v>
      </c>
      <c r="D406" s="37">
        <f>IFERROR(ROUND(VLOOKUP(A406,[1]eco_bus_journals!$B:$X,4,0),2),"")</f>
        <v>0.16</v>
      </c>
      <c r="E406" s="37">
        <f>_xlfn.RANK.EQ(D406,D:D)</f>
        <v>384</v>
      </c>
      <c r="F406" s="44">
        <f>IFERROR(ROUND(VLOOKUP(A406,[1]eco_journals!B:E,4,0),2),"")</f>
        <v>0.16</v>
      </c>
      <c r="G406" s="40">
        <f>IFERROR(_xlfn.RANK.EQ(F406,F:F),"")</f>
        <v>165</v>
      </c>
      <c r="H406" s="46" t="str">
        <f>IFERROR(ROUND(VLOOKUP(A406,[1]fin_journals!B:E,4,0),2),"")</f>
        <v/>
      </c>
      <c r="I406" s="18" t="str">
        <f>IFERROR(_xlfn.RANK.EQ(H406,H:H),"")</f>
        <v/>
      </c>
      <c r="J406" s="42" t="str">
        <f>IFERROR(ROUND(VLOOKUP(A406,[1]bus_journals!B:E,4,0),2),"")</f>
        <v/>
      </c>
      <c r="K406" s="23" t="str">
        <f>IFERROR(_xlfn.RANK.EQ(J406,J:J),"")</f>
        <v/>
      </c>
      <c r="L406" s="43" t="str">
        <f>IFERROR(ROUND(VLOOKUP(A406,[1]man_journals!B:E,4,0),2),"")</f>
        <v/>
      </c>
      <c r="M406" s="26" t="str">
        <f>IFERROR(_xlfn.RANK.EQ(L406,L:L),"")</f>
        <v/>
      </c>
      <c r="N406" s="1" t="s">
        <v>1272</v>
      </c>
    </row>
    <row r="407" spans="1:17" x14ac:dyDescent="0.25">
      <c r="A407" t="s">
        <v>353</v>
      </c>
      <c r="B407" t="s">
        <v>1363</v>
      </c>
      <c r="C407" s="6">
        <f>IFERROR(VLOOKUP(A407,[1]eco_bus_journals!$B:$D,3,0),"")</f>
        <v>34</v>
      </c>
      <c r="D407" s="37">
        <f>IFERROR(ROUND(VLOOKUP(A407,[1]eco_bus_journals!$B:$X,4,0),2),"")</f>
        <v>0.17</v>
      </c>
      <c r="E407" s="37">
        <f>_xlfn.RANK.EQ(D407,D:D)</f>
        <v>370</v>
      </c>
      <c r="F407" s="44">
        <f>IFERROR(ROUND(VLOOKUP(A407,[1]eco_journals!B:E,4,0),2),"")</f>
        <v>0.13</v>
      </c>
      <c r="G407" s="40">
        <f>IFERROR(_xlfn.RANK.EQ(F407,F:F),"")</f>
        <v>196</v>
      </c>
      <c r="H407" s="46" t="str">
        <f>IFERROR(ROUND(VLOOKUP(A407,[1]fin_journals!B:E,4,0),2),"")</f>
        <v/>
      </c>
      <c r="I407" s="18" t="str">
        <f>IFERROR(_xlfn.RANK.EQ(H407,H:H),"")</f>
        <v/>
      </c>
      <c r="J407" s="42" t="str">
        <f>IFERROR(ROUND(VLOOKUP(A407,[1]bus_journals!B:E,4,0),2),"")</f>
        <v/>
      </c>
      <c r="K407" s="23" t="str">
        <f>IFERROR(_xlfn.RANK.EQ(J407,J:J),"")</f>
        <v/>
      </c>
      <c r="L407" s="43" t="str">
        <f>IFERROR(ROUND(VLOOKUP(A407,[1]man_journals!B:E,4,0),2),"")</f>
        <v/>
      </c>
      <c r="M407" s="26" t="str">
        <f>IFERROR(_xlfn.RANK.EQ(L407,L:L),"")</f>
        <v/>
      </c>
      <c r="N407" s="1" t="s">
        <v>1272</v>
      </c>
    </row>
    <row r="408" spans="1:17" x14ac:dyDescent="0.25">
      <c r="A408" t="s">
        <v>478</v>
      </c>
      <c r="B408" t="s">
        <v>1363</v>
      </c>
      <c r="C408" s="6">
        <f>IFERROR(VLOOKUP(A408,[1]eco_bus_journals!$B:$D,3,0),"")</f>
        <v>43</v>
      </c>
      <c r="D408" s="37">
        <f>IFERROR(ROUND(VLOOKUP(A408,[1]eco_bus_journals!$B:$X,4,0),2),"")</f>
        <v>0.15</v>
      </c>
      <c r="E408" s="37">
        <f>_xlfn.RANK.EQ(D408,D:D)</f>
        <v>400</v>
      </c>
      <c r="F408" s="44">
        <f>IFERROR(ROUND(VLOOKUP(A408,[1]eco_journals!B:E,4,0),2),"")</f>
        <v>0.17</v>
      </c>
      <c r="G408" s="40">
        <f>IFERROR(_xlfn.RANK.EQ(F408,F:F),"")</f>
        <v>155</v>
      </c>
      <c r="H408" s="46" t="str">
        <f>IFERROR(ROUND(VLOOKUP(A408,[1]fin_journals!B:E,4,0),2),"")</f>
        <v/>
      </c>
      <c r="I408" s="18" t="str">
        <f>IFERROR(_xlfn.RANK.EQ(H408,H:H),"")</f>
        <v/>
      </c>
      <c r="J408" s="42" t="str">
        <f>IFERROR(ROUND(VLOOKUP(A408,[1]bus_journals!B:E,4,0),2),"")</f>
        <v/>
      </c>
      <c r="K408" s="23" t="str">
        <f>IFERROR(_xlfn.RANK.EQ(J408,J:J),"")</f>
        <v/>
      </c>
      <c r="L408" s="43" t="str">
        <f>IFERROR(ROUND(VLOOKUP(A408,[1]man_journals!B:E,4,0),2),"")</f>
        <v/>
      </c>
      <c r="M408" s="26" t="str">
        <f>IFERROR(_xlfn.RANK.EQ(L408,L:L),"")</f>
        <v/>
      </c>
      <c r="N408" s="1" t="s">
        <v>1272</v>
      </c>
    </row>
    <row r="409" spans="1:17" x14ac:dyDescent="0.25">
      <c r="A409" t="s">
        <v>421</v>
      </c>
      <c r="B409" t="s">
        <v>1363</v>
      </c>
      <c r="C409" s="6">
        <f>IFERROR(VLOOKUP(A409,[1]eco_bus_journals!$B:$D,3,0),"")</f>
        <v>69</v>
      </c>
      <c r="D409" s="37">
        <f>IFERROR(ROUND(VLOOKUP(A409,[1]eco_bus_journals!$B:$X,4,0),2),"")</f>
        <v>0.16</v>
      </c>
      <c r="E409" s="37">
        <f>_xlfn.RANK.EQ(D409,D:D)</f>
        <v>384</v>
      </c>
      <c r="F409" s="44">
        <f>IFERROR(ROUND(VLOOKUP(A409,[1]eco_journals!B:E,4,0),2),"")</f>
        <v>0.14000000000000001</v>
      </c>
      <c r="G409" s="40">
        <f>IFERROR(_xlfn.RANK.EQ(F409,F:F),"")</f>
        <v>182</v>
      </c>
      <c r="H409" s="46" t="str">
        <f>IFERROR(ROUND(VLOOKUP(A409,[1]fin_journals!B:E,4,0),2),"")</f>
        <v/>
      </c>
      <c r="I409" s="18" t="str">
        <f>IFERROR(_xlfn.RANK.EQ(H409,H:H),"")</f>
        <v/>
      </c>
      <c r="J409" s="42" t="str">
        <f>IFERROR(ROUND(VLOOKUP(A409,[1]bus_journals!B:E,4,0),2),"")</f>
        <v/>
      </c>
      <c r="K409" s="23" t="str">
        <f>IFERROR(_xlfn.RANK.EQ(J409,J:J),"")</f>
        <v/>
      </c>
      <c r="L409" s="43" t="str">
        <f>IFERROR(ROUND(VLOOKUP(A409,[1]man_journals!B:E,4,0),2),"")</f>
        <v/>
      </c>
      <c r="M409" s="26" t="str">
        <f>IFERROR(_xlfn.RANK.EQ(L409,L:L),"")</f>
        <v/>
      </c>
      <c r="N409" s="1" t="s">
        <v>1272</v>
      </c>
    </row>
    <row r="410" spans="1:17" x14ac:dyDescent="0.25">
      <c r="A410" t="s">
        <v>297</v>
      </c>
      <c r="B410" t="s">
        <v>1370</v>
      </c>
      <c r="C410" s="6">
        <f>IFERROR(VLOOKUP(A410,[1]eco_bus_journals!$B:$D,3,0),"")</f>
        <v>56</v>
      </c>
      <c r="D410" s="37">
        <f>IFERROR(ROUND(VLOOKUP(A410,[1]eco_bus_journals!$B:$X,4,0),2),"")</f>
        <v>0.19</v>
      </c>
      <c r="E410" s="37">
        <f>_xlfn.RANK.EQ(D410,D:D)</f>
        <v>349</v>
      </c>
      <c r="F410" s="44" t="str">
        <f>IFERROR(ROUND(VLOOKUP(A410,[1]eco_journals!B:E,4,0),2),"")</f>
        <v/>
      </c>
      <c r="G410" s="40" t="str">
        <f>IFERROR(_xlfn.RANK.EQ(F410,F:F),"")</f>
        <v/>
      </c>
      <c r="H410" s="46" t="str">
        <f>IFERROR(ROUND(VLOOKUP(A410,[1]fin_journals!B:E,4,0),2),"")</f>
        <v/>
      </c>
      <c r="I410" s="18" t="str">
        <f>IFERROR(_xlfn.RANK.EQ(H410,H:H),"")</f>
        <v/>
      </c>
      <c r="J410" s="42" t="str">
        <f>IFERROR(ROUND(VLOOKUP(A410,[1]bus_journals!B:E,4,0),2),"")</f>
        <v/>
      </c>
      <c r="K410" s="23" t="str">
        <f>IFERROR(_xlfn.RANK.EQ(J410,J:J),"")</f>
        <v/>
      </c>
      <c r="L410" s="43">
        <f>IFERROR(ROUND(VLOOKUP(A410,[1]man_journals!B:E,4,0),2),"")</f>
        <v>0.46</v>
      </c>
      <c r="M410" s="26">
        <f>IFERROR(_xlfn.RANK.EQ(L410,L:L),"")</f>
        <v>98</v>
      </c>
      <c r="N410" s="4" t="s">
        <v>1275</v>
      </c>
    </row>
    <row r="411" spans="1:17" x14ac:dyDescent="0.25">
      <c r="A411" t="s">
        <v>521</v>
      </c>
      <c r="B411" t="s">
        <v>1372</v>
      </c>
      <c r="C411" s="6">
        <f>IFERROR(VLOOKUP(A411,[1]eco_bus_journals!$B:$D,3,0),"")</f>
        <v>20</v>
      </c>
      <c r="D411" s="37">
        <f>IFERROR(ROUND(VLOOKUP(A411,[1]eco_bus_journals!$B:$X,4,0),2),"")</f>
        <v>0.14000000000000001</v>
      </c>
      <c r="E411" s="37">
        <f>_xlfn.RANK.EQ(D411,D:D)</f>
        <v>413</v>
      </c>
      <c r="F411" s="44">
        <f>IFERROR(ROUND(VLOOKUP(A411,[1]eco_journals!B:E,4,0),2),"")</f>
        <v>0.13</v>
      </c>
      <c r="G411" s="40">
        <f>IFERROR(_xlfn.RANK.EQ(F411,F:F),"")</f>
        <v>196</v>
      </c>
      <c r="H411" s="46">
        <f>IFERROR(ROUND(VLOOKUP(A411,[1]fin_journals!B:E,4,0),2),"")</f>
        <v>0.56000000000000005</v>
      </c>
      <c r="I411" s="18">
        <f>IFERROR(_xlfn.RANK.EQ(H411,H:H),"")</f>
        <v>60</v>
      </c>
      <c r="J411" s="42" t="str">
        <f>IFERROR(ROUND(VLOOKUP(A411,[1]bus_journals!B:E,4,0),2),"")</f>
        <v/>
      </c>
      <c r="K411" s="23" t="str">
        <f>IFERROR(_xlfn.RANK.EQ(J411,J:J),"")</f>
        <v/>
      </c>
      <c r="L411" s="43" t="str">
        <f>IFERROR(ROUND(VLOOKUP(A411,[1]man_journals!B:E,4,0),2),"")</f>
        <v/>
      </c>
      <c r="M411" s="26" t="str">
        <f>IFERROR(_xlfn.RANK.EQ(L411,L:L),"")</f>
        <v/>
      </c>
      <c r="N411" s="3" t="s">
        <v>1274</v>
      </c>
      <c r="O411" s="1" t="s">
        <v>1272</v>
      </c>
    </row>
    <row r="412" spans="1:17" x14ac:dyDescent="0.25">
      <c r="A412" t="s">
        <v>494</v>
      </c>
      <c r="B412" t="s">
        <v>1363</v>
      </c>
      <c r="C412" s="6">
        <f>IFERROR(VLOOKUP(A412,[1]eco_bus_journals!$B:$D,3,0),"")</f>
        <v>23</v>
      </c>
      <c r="D412" s="37">
        <f>IFERROR(ROUND(VLOOKUP(A412,[1]eco_bus_journals!$B:$X,4,0),2),"")</f>
        <v>0.12</v>
      </c>
      <c r="E412" s="37">
        <f>_xlfn.RANK.EQ(D412,D:D)</f>
        <v>445</v>
      </c>
      <c r="F412" s="44">
        <f>IFERROR(ROUND(VLOOKUP(A412,[1]eco_journals!B:E,4,0),2),"")</f>
        <v>0.13</v>
      </c>
      <c r="G412" s="40">
        <f>IFERROR(_xlfn.RANK.EQ(F412,F:F),"")</f>
        <v>196</v>
      </c>
      <c r="H412" s="46" t="str">
        <f>IFERROR(ROUND(VLOOKUP(A412,[1]fin_journals!B:E,4,0),2),"")</f>
        <v/>
      </c>
      <c r="I412" s="18" t="str">
        <f>IFERROR(_xlfn.RANK.EQ(H412,H:H),"")</f>
        <v/>
      </c>
      <c r="J412" s="42" t="str">
        <f>IFERROR(ROUND(VLOOKUP(A412,[1]bus_journals!B:E,4,0),2),"")</f>
        <v/>
      </c>
      <c r="K412" s="23" t="str">
        <f>IFERROR(_xlfn.RANK.EQ(J412,J:J),"")</f>
        <v/>
      </c>
      <c r="L412" s="43" t="str">
        <f>IFERROR(ROUND(VLOOKUP(A412,[1]man_journals!B:E,4,0),2),"")</f>
        <v/>
      </c>
      <c r="M412" s="26" t="str">
        <f>IFERROR(_xlfn.RANK.EQ(L412,L:L),"")</f>
        <v/>
      </c>
      <c r="N412" s="1" t="s">
        <v>1272</v>
      </c>
    </row>
    <row r="413" spans="1:17" x14ac:dyDescent="0.25">
      <c r="A413" t="s">
        <v>335</v>
      </c>
      <c r="B413" t="s">
        <v>1362</v>
      </c>
      <c r="C413" s="6">
        <f>IFERROR(VLOOKUP(A413,[1]eco_bus_journals!$B:$D,3,0),"")</f>
        <v>267</v>
      </c>
      <c r="D413" s="37">
        <f>IFERROR(ROUND(VLOOKUP(A413,[1]eco_bus_journals!$B:$X,4,0),2),"")</f>
        <v>0.15</v>
      </c>
      <c r="E413" s="37">
        <f>_xlfn.RANK.EQ(D413,D:D)</f>
        <v>400</v>
      </c>
      <c r="F413" s="44">
        <f>IFERROR(ROUND(VLOOKUP(A413,[1]eco_journals!B:E,4,0),2),"")</f>
        <v>0.1</v>
      </c>
      <c r="G413" s="40">
        <f>IFERROR(_xlfn.RANK.EQ(F413,F:F),"")</f>
        <v>219</v>
      </c>
      <c r="H413" s="46">
        <f>IFERROR(ROUND(VLOOKUP(A413,[1]fin_journals!B:E,4,0),2),"")</f>
        <v>0.3</v>
      </c>
      <c r="I413" s="18">
        <f>IFERROR(_xlfn.RANK.EQ(H413,H:H),"")</f>
        <v>88</v>
      </c>
      <c r="J413" s="42" t="str">
        <f>IFERROR(ROUND(VLOOKUP(A413,[1]bus_journals!B:E,4,0),2),"")</f>
        <v/>
      </c>
      <c r="K413" s="23" t="str">
        <f>IFERROR(_xlfn.RANK.EQ(J413,J:J),"")</f>
        <v/>
      </c>
      <c r="L413" s="43" t="str">
        <f>IFERROR(ROUND(VLOOKUP(A413,[1]man_journals!B:E,4,0),2),"")</f>
        <v/>
      </c>
      <c r="M413" s="26" t="str">
        <f>IFERROR(_xlfn.RANK.EQ(L413,L:L),"")</f>
        <v/>
      </c>
      <c r="N413" s="3" t="s">
        <v>1274</v>
      </c>
      <c r="O413" s="1" t="s">
        <v>1272</v>
      </c>
    </row>
    <row r="414" spans="1:17" x14ac:dyDescent="0.25">
      <c r="A414" t="s">
        <v>501</v>
      </c>
      <c r="B414" t="s">
        <v>1363</v>
      </c>
      <c r="C414" s="6">
        <f>IFERROR(VLOOKUP(A414,[1]eco_bus_journals!$B:$D,3,0),"")</f>
        <v>60</v>
      </c>
      <c r="D414" s="37">
        <f>IFERROR(ROUND(VLOOKUP(A414,[1]eco_bus_journals!$B:$X,4,0),2),"")</f>
        <v>0.14000000000000001</v>
      </c>
      <c r="E414" s="37">
        <f>_xlfn.RANK.EQ(D414,D:D)</f>
        <v>413</v>
      </c>
      <c r="F414" s="44">
        <f>IFERROR(ROUND(VLOOKUP(A414,[1]eco_journals!B:E,4,0),2),"")</f>
        <v>0.14000000000000001</v>
      </c>
      <c r="G414" s="40">
        <f>IFERROR(_xlfn.RANK.EQ(F414,F:F),"")</f>
        <v>182</v>
      </c>
      <c r="H414" s="46" t="str">
        <f>IFERROR(ROUND(VLOOKUP(A414,[1]fin_journals!B:E,4,0),2),"")</f>
        <v/>
      </c>
      <c r="I414" s="18" t="str">
        <f>IFERROR(_xlfn.RANK.EQ(H414,H:H),"")</f>
        <v/>
      </c>
      <c r="J414" s="42" t="str">
        <f>IFERROR(ROUND(VLOOKUP(A414,[1]bus_journals!B:E,4,0),2),"")</f>
        <v/>
      </c>
      <c r="K414" s="23" t="str">
        <f>IFERROR(_xlfn.RANK.EQ(J414,J:J),"")</f>
        <v/>
      </c>
      <c r="L414" s="43" t="str">
        <f>IFERROR(ROUND(VLOOKUP(A414,[1]man_journals!B:E,4,0),2),"")</f>
        <v/>
      </c>
      <c r="M414" s="26" t="str">
        <f>IFERROR(_xlfn.RANK.EQ(L414,L:L),"")</f>
        <v/>
      </c>
      <c r="N414" s="1" t="s">
        <v>1272</v>
      </c>
      <c r="O414" t="s">
        <v>1280</v>
      </c>
    </row>
    <row r="415" spans="1:17" x14ac:dyDescent="0.25">
      <c r="A415" t="s">
        <v>283</v>
      </c>
      <c r="B415" t="s">
        <v>1371</v>
      </c>
      <c r="C415" s="6">
        <f>IFERROR(VLOOKUP(A415,[1]eco_bus_journals!$B:$D,3,0),"")</f>
        <v>144</v>
      </c>
      <c r="D415" s="37">
        <f>IFERROR(ROUND(VLOOKUP(A415,[1]eco_bus_journals!$B:$X,4,0),2),"")</f>
        <v>0.14000000000000001</v>
      </c>
      <c r="E415" s="37">
        <f>_xlfn.RANK.EQ(D415,D:D)</f>
        <v>413</v>
      </c>
      <c r="F415" s="44" t="str">
        <f>IFERROR(ROUND(VLOOKUP(A415,[1]eco_journals!B:E,4,0),2),"")</f>
        <v/>
      </c>
      <c r="G415" s="40" t="str">
        <f>IFERROR(_xlfn.RANK.EQ(F415,F:F),"")</f>
        <v/>
      </c>
      <c r="H415" s="46" t="str">
        <f>IFERROR(ROUND(VLOOKUP(A415,[1]fin_journals!B:E,4,0),2),"")</f>
        <v/>
      </c>
      <c r="I415" s="18" t="str">
        <f>IFERROR(_xlfn.RANK.EQ(H415,H:H),"")</f>
        <v/>
      </c>
      <c r="J415" s="42">
        <f>IFERROR(ROUND(VLOOKUP(A415,[1]bus_journals!B:E,4,0),2),"")</f>
        <v>0.5</v>
      </c>
      <c r="K415" s="23">
        <f>IFERROR(_xlfn.RANK.EQ(J415,J:J),"")</f>
        <v>96</v>
      </c>
      <c r="L415" s="43" t="str">
        <f>IFERROR(ROUND(VLOOKUP(A415,[1]man_journals!B:E,4,0),2),"")</f>
        <v/>
      </c>
      <c r="M415" s="26" t="str">
        <f>IFERROR(_xlfn.RANK.EQ(L415,L:L),"")</f>
        <v/>
      </c>
      <c r="N415" s="2" t="s">
        <v>1273</v>
      </c>
    </row>
    <row r="416" spans="1:17" x14ac:dyDescent="0.25">
      <c r="A416" t="s">
        <v>444</v>
      </c>
      <c r="B416" t="s">
        <v>1360</v>
      </c>
      <c r="C416" s="6">
        <f>IFERROR(VLOOKUP(A416,[1]eco_bus_journals!$B:$D,3,0),"")</f>
        <v>47</v>
      </c>
      <c r="D416" s="37">
        <f>IFERROR(ROUND(VLOOKUP(A416,[1]eco_bus_journals!$B:$X,4,0),2),"")</f>
        <v>0.13</v>
      </c>
      <c r="E416" s="37">
        <f>_xlfn.RANK.EQ(D416,D:D)</f>
        <v>433</v>
      </c>
      <c r="F416" s="44">
        <f>IFERROR(ROUND(VLOOKUP(A416,[1]eco_journals!B:E,4,0),2),"")</f>
        <v>0.14000000000000001</v>
      </c>
      <c r="G416" s="40">
        <f>IFERROR(_xlfn.RANK.EQ(F416,F:F),"")</f>
        <v>182</v>
      </c>
      <c r="H416" s="46" t="str">
        <f>IFERROR(ROUND(VLOOKUP(A416,[1]fin_journals!B:E,4,0),2),"")</f>
        <v/>
      </c>
      <c r="I416" s="18" t="str">
        <f>IFERROR(_xlfn.RANK.EQ(H416,H:H),"")</f>
        <v/>
      </c>
      <c r="J416" s="42" t="str">
        <f>IFERROR(ROUND(VLOOKUP(A416,[1]bus_journals!B:E,4,0),2),"")</f>
        <v/>
      </c>
      <c r="K416" s="23" t="str">
        <f>IFERROR(_xlfn.RANK.EQ(J416,J:J),"")</f>
        <v/>
      </c>
      <c r="L416" s="43" t="str">
        <f>IFERROR(ROUND(VLOOKUP(A416,[1]man_journals!B:E,4,0),2),"")</f>
        <v/>
      </c>
      <c r="M416" s="26" t="str">
        <f>IFERROR(_xlfn.RANK.EQ(L416,L:L),"")</f>
        <v/>
      </c>
      <c r="N416" t="s">
        <v>1304</v>
      </c>
      <c r="O416" s="1" t="s">
        <v>1322</v>
      </c>
      <c r="P416" s="1" t="s">
        <v>1272</v>
      </c>
    </row>
    <row r="417" spans="1:16" x14ac:dyDescent="0.25">
      <c r="A417" t="s">
        <v>340</v>
      </c>
      <c r="B417" t="s">
        <v>1371</v>
      </c>
      <c r="C417" s="6">
        <f>IFERROR(VLOOKUP(A417,[1]eco_bus_journals!$B:$D,3,0),"")</f>
        <v>46</v>
      </c>
      <c r="D417" s="37">
        <f>IFERROR(ROUND(VLOOKUP(A417,[1]eco_bus_journals!$B:$X,4,0),2),"")</f>
        <v>0.14000000000000001</v>
      </c>
      <c r="E417" s="37">
        <f>_xlfn.RANK.EQ(D417,D:D)</f>
        <v>413</v>
      </c>
      <c r="F417" s="44" t="str">
        <f>IFERROR(ROUND(VLOOKUP(A417,[1]eco_journals!B:E,4,0),2),"")</f>
        <v/>
      </c>
      <c r="G417" s="40" t="str">
        <f>IFERROR(_xlfn.RANK.EQ(F417,F:F),"")</f>
        <v/>
      </c>
      <c r="H417" s="46" t="str">
        <f>IFERROR(ROUND(VLOOKUP(A417,[1]fin_journals!B:E,4,0),2),"")</f>
        <v/>
      </c>
      <c r="I417" s="18" t="str">
        <f>IFERROR(_xlfn.RANK.EQ(H417,H:H),"")</f>
        <v/>
      </c>
      <c r="J417" s="42" t="str">
        <f>IFERROR(ROUND(VLOOKUP(A417,[1]bus_journals!B:E,4,0),2),"")</f>
        <v/>
      </c>
      <c r="K417" s="23" t="str">
        <f>IFERROR(_xlfn.RANK.EQ(J417,J:J),"")</f>
        <v/>
      </c>
      <c r="L417" s="43">
        <f>IFERROR(ROUND(VLOOKUP(A417,[1]man_journals!B:E,4,0),2),"")</f>
        <v>0.28000000000000003</v>
      </c>
      <c r="M417" s="26">
        <f>IFERROR(_xlfn.RANK.EQ(L417,L:L),"")</f>
        <v>133</v>
      </c>
      <c r="N417" s="4" t="s">
        <v>1275</v>
      </c>
    </row>
    <row r="418" spans="1:16" x14ac:dyDescent="0.25">
      <c r="A418" t="s">
        <v>324</v>
      </c>
      <c r="B418" t="s">
        <v>1371</v>
      </c>
      <c r="C418" s="6">
        <f>IFERROR(VLOOKUP(A418,[1]eco_bus_journals!$B:$D,3,0),"")</f>
        <v>102</v>
      </c>
      <c r="D418" s="37">
        <f>IFERROR(ROUND(VLOOKUP(A418,[1]eco_bus_journals!$B:$X,4,0),2),"")</f>
        <v>0.14000000000000001</v>
      </c>
      <c r="E418" s="37">
        <f>_xlfn.RANK.EQ(D418,D:D)</f>
        <v>413</v>
      </c>
      <c r="F418" s="44" t="str">
        <f>IFERROR(ROUND(VLOOKUP(A418,[1]eco_journals!B:E,4,0),2),"")</f>
        <v/>
      </c>
      <c r="G418" s="40" t="str">
        <f>IFERROR(_xlfn.RANK.EQ(F418,F:F),"")</f>
        <v/>
      </c>
      <c r="H418" s="46" t="str">
        <f>IFERROR(ROUND(VLOOKUP(A418,[1]fin_journals!B:E,4,0),2),"")</f>
        <v/>
      </c>
      <c r="I418" s="18" t="str">
        <f>IFERROR(_xlfn.RANK.EQ(H418,H:H),"")</f>
        <v/>
      </c>
      <c r="J418" s="42">
        <f>IFERROR(ROUND(VLOOKUP(A418,[1]bus_journals!B:E,4,0),2),"")</f>
        <v>0.36</v>
      </c>
      <c r="K418" s="23">
        <f>IFERROR(_xlfn.RANK.EQ(J418,J:J),"")</f>
        <v>105</v>
      </c>
      <c r="L418" s="43">
        <f>IFERROR(ROUND(VLOOKUP(A418,[1]man_journals!B:E,4,0),2),"")</f>
        <v>0.28000000000000003</v>
      </c>
      <c r="M418" s="26">
        <f>IFERROR(_xlfn.RANK.EQ(L418,L:L),"")</f>
        <v>133</v>
      </c>
      <c r="N418" s="2" t="s">
        <v>1273</v>
      </c>
      <c r="O418" s="4" t="s">
        <v>1275</v>
      </c>
    </row>
    <row r="419" spans="1:16" x14ac:dyDescent="0.25">
      <c r="A419" t="s">
        <v>343</v>
      </c>
      <c r="B419" t="s">
        <v>1360</v>
      </c>
      <c r="C419" s="6">
        <f>IFERROR(VLOOKUP(A419,[1]eco_bus_journals!$B:$D,3,0),"")</f>
        <v>34</v>
      </c>
      <c r="D419" s="37">
        <f>IFERROR(ROUND(VLOOKUP(A419,[1]eco_bus_journals!$B:$X,4,0),2),"")</f>
        <v>0.14000000000000001</v>
      </c>
      <c r="E419" s="37">
        <f>_xlfn.RANK.EQ(D419,D:D)</f>
        <v>413</v>
      </c>
      <c r="F419" s="44">
        <f>IFERROR(ROUND(VLOOKUP(A419,[1]eco_journals!B:E,4,0),2),"")</f>
        <v>0.13</v>
      </c>
      <c r="G419" s="40">
        <f>IFERROR(_xlfn.RANK.EQ(F419,F:F),"")</f>
        <v>196</v>
      </c>
      <c r="H419" s="46" t="str">
        <f>IFERROR(ROUND(VLOOKUP(A419,[1]fin_journals!B:E,4,0),2),"")</f>
        <v/>
      </c>
      <c r="I419" s="18" t="str">
        <f>IFERROR(_xlfn.RANK.EQ(H419,H:H),"")</f>
        <v/>
      </c>
      <c r="J419" s="42" t="str">
        <f>IFERROR(ROUND(VLOOKUP(A419,[1]bus_journals!B:E,4,0),2),"")</f>
        <v/>
      </c>
      <c r="K419" s="23" t="str">
        <f>IFERROR(_xlfn.RANK.EQ(J419,J:J),"")</f>
        <v/>
      </c>
      <c r="L419" s="43" t="str">
        <f>IFERROR(ROUND(VLOOKUP(A419,[1]man_journals!B:E,4,0),2),"")</f>
        <v/>
      </c>
      <c r="M419" s="26" t="str">
        <f>IFERROR(_xlfn.RANK.EQ(L419,L:L),"")</f>
        <v/>
      </c>
      <c r="N419" s="1" t="s">
        <v>1272</v>
      </c>
    </row>
    <row r="420" spans="1:16" x14ac:dyDescent="0.25">
      <c r="A420" t="s">
        <v>434</v>
      </c>
      <c r="B420" t="s">
        <v>1392</v>
      </c>
      <c r="C420" s="6">
        <f>IFERROR(VLOOKUP(A420,[1]eco_bus_journals!$B:$D,3,0),"")</f>
        <v>380</v>
      </c>
      <c r="D420" s="37">
        <f>IFERROR(ROUND(VLOOKUP(A420,[1]eco_bus_journals!$B:$X,4,0),2),"")</f>
        <v>0.14000000000000001</v>
      </c>
      <c r="E420" s="37">
        <f>_xlfn.RANK.EQ(D420,D:D)</f>
        <v>413</v>
      </c>
      <c r="F420" s="44">
        <f>IFERROR(ROUND(VLOOKUP(A420,[1]eco_journals!B:E,4,0),2),"")</f>
        <v>0.14000000000000001</v>
      </c>
      <c r="G420" s="40">
        <f>IFERROR(_xlfn.RANK.EQ(F420,F:F),"")</f>
        <v>182</v>
      </c>
      <c r="H420" s="46" t="str">
        <f>IFERROR(ROUND(VLOOKUP(A420,[1]fin_journals!B:E,4,0),2),"")</f>
        <v/>
      </c>
      <c r="I420" s="18" t="str">
        <f>IFERROR(_xlfn.RANK.EQ(H420,H:H),"")</f>
        <v/>
      </c>
      <c r="J420" s="42" t="str">
        <f>IFERROR(ROUND(VLOOKUP(A420,[1]bus_journals!B:E,4,0),2),"")</f>
        <v/>
      </c>
      <c r="K420" s="23" t="str">
        <f>IFERROR(_xlfn.RANK.EQ(J420,J:J),"")</f>
        <v/>
      </c>
      <c r="L420" s="43" t="str">
        <f>IFERROR(ROUND(VLOOKUP(A420,[1]man_journals!B:E,4,0),2),"")</f>
        <v/>
      </c>
      <c r="M420" s="26" t="str">
        <f>IFERROR(_xlfn.RANK.EQ(L420,L:L),"")</f>
        <v/>
      </c>
      <c r="N420" s="1" t="s">
        <v>1272</v>
      </c>
      <c r="O420" t="s">
        <v>1280</v>
      </c>
    </row>
    <row r="421" spans="1:16" x14ac:dyDescent="0.25">
      <c r="A421" t="s">
        <v>449</v>
      </c>
      <c r="B421" t="s">
        <v>1363</v>
      </c>
      <c r="C421" s="6">
        <f>IFERROR(VLOOKUP(A421,[1]eco_bus_journals!$B:$D,3,0),"")</f>
        <v>95</v>
      </c>
      <c r="D421" s="37">
        <f>IFERROR(ROUND(VLOOKUP(A421,[1]eco_bus_journals!$B:$X,4,0),2),"")</f>
        <v>0.12</v>
      </c>
      <c r="E421" s="37">
        <f>_xlfn.RANK.EQ(D421,D:D)</f>
        <v>445</v>
      </c>
      <c r="F421" s="44">
        <f>IFERROR(ROUND(VLOOKUP(A421,[1]eco_journals!B:E,4,0),2),"")</f>
        <v>0.13</v>
      </c>
      <c r="G421" s="40">
        <f>IFERROR(_xlfn.RANK.EQ(F421,F:F),"")</f>
        <v>196</v>
      </c>
      <c r="H421" s="46" t="str">
        <f>IFERROR(ROUND(VLOOKUP(A421,[1]fin_journals!B:E,4,0),2),"")</f>
        <v/>
      </c>
      <c r="I421" s="18" t="str">
        <f>IFERROR(_xlfn.RANK.EQ(H421,H:H),"")</f>
        <v/>
      </c>
      <c r="J421" s="42" t="str">
        <f>IFERROR(ROUND(VLOOKUP(A421,[1]bus_journals!B:E,4,0),2),"")</f>
        <v/>
      </c>
      <c r="K421" s="23" t="str">
        <f>IFERROR(_xlfn.RANK.EQ(J421,J:J),"")</f>
        <v/>
      </c>
      <c r="L421" s="43" t="str">
        <f>IFERROR(ROUND(VLOOKUP(A421,[1]man_journals!B:E,4,0),2),"")</f>
        <v/>
      </c>
      <c r="M421" s="26" t="str">
        <f>IFERROR(_xlfn.RANK.EQ(L421,L:L),"")</f>
        <v/>
      </c>
      <c r="N421" s="1" t="s">
        <v>1272</v>
      </c>
      <c r="O421" t="s">
        <v>1297</v>
      </c>
    </row>
    <row r="422" spans="1:16" x14ac:dyDescent="0.25">
      <c r="A422" t="s">
        <v>450</v>
      </c>
      <c r="B422" t="s">
        <v>1363</v>
      </c>
      <c r="C422" s="6">
        <f>IFERROR(VLOOKUP(A422,[1]eco_bus_journals!$B:$D,3,0),"")</f>
        <v>41</v>
      </c>
      <c r="D422" s="37">
        <f>IFERROR(ROUND(VLOOKUP(A422,[1]eco_bus_journals!$B:$X,4,0),2),"")</f>
        <v>0.16</v>
      </c>
      <c r="E422" s="37">
        <f>_xlfn.RANK.EQ(D422,D:D)</f>
        <v>384</v>
      </c>
      <c r="F422" s="44">
        <f>IFERROR(ROUND(VLOOKUP(A422,[1]eco_journals!B:E,4,0),2),"")</f>
        <v>0.15</v>
      </c>
      <c r="G422" s="40">
        <f>IFERROR(_xlfn.RANK.EQ(F422,F:F),"")</f>
        <v>170</v>
      </c>
      <c r="H422" s="46" t="str">
        <f>IFERROR(ROUND(VLOOKUP(A422,[1]fin_journals!B:E,4,0),2),"")</f>
        <v/>
      </c>
      <c r="I422" s="18" t="str">
        <f>IFERROR(_xlfn.RANK.EQ(H422,H:H),"")</f>
        <v/>
      </c>
      <c r="J422" s="42" t="str">
        <f>IFERROR(ROUND(VLOOKUP(A422,[1]bus_journals!B:E,4,0),2),"")</f>
        <v/>
      </c>
      <c r="K422" s="23" t="str">
        <f>IFERROR(_xlfn.RANK.EQ(J422,J:J),"")</f>
        <v/>
      </c>
      <c r="L422" s="43" t="str">
        <f>IFERROR(ROUND(VLOOKUP(A422,[1]man_journals!B:E,4,0),2),"")</f>
        <v/>
      </c>
      <c r="M422" s="26" t="str">
        <f>IFERROR(_xlfn.RANK.EQ(L422,L:L),"")</f>
        <v/>
      </c>
      <c r="N422" s="1" t="s">
        <v>1272</v>
      </c>
      <c r="O422" t="s">
        <v>1295</v>
      </c>
    </row>
    <row r="423" spans="1:16" x14ac:dyDescent="0.25">
      <c r="A423" t="s">
        <v>331</v>
      </c>
      <c r="B423" t="s">
        <v>1371</v>
      </c>
      <c r="C423" s="6">
        <f>IFERROR(VLOOKUP(A423,[1]eco_bus_journals!$B:$D,3,0),"")</f>
        <v>101</v>
      </c>
      <c r="D423" s="37">
        <f>IFERROR(ROUND(VLOOKUP(A423,[1]eco_bus_journals!$B:$X,4,0),2),"")</f>
        <v>0.15</v>
      </c>
      <c r="E423" s="37">
        <f>_xlfn.RANK.EQ(D423,D:D)</f>
        <v>400</v>
      </c>
      <c r="F423" s="44" t="str">
        <f>IFERROR(ROUND(VLOOKUP(A423,[1]eco_journals!B:E,4,0),2),"")</f>
        <v/>
      </c>
      <c r="G423" s="40" t="str">
        <f>IFERROR(_xlfn.RANK.EQ(F423,F:F),"")</f>
        <v/>
      </c>
      <c r="H423" s="46" t="str">
        <f>IFERROR(ROUND(VLOOKUP(A423,[1]fin_journals!B:E,4,0),2),"")</f>
        <v/>
      </c>
      <c r="I423" s="18" t="str">
        <f>IFERROR(_xlfn.RANK.EQ(H423,H:H),"")</f>
        <v/>
      </c>
      <c r="J423" s="42" t="str">
        <f>IFERROR(ROUND(VLOOKUP(A423,[1]bus_journals!B:E,4,0),2),"")</f>
        <v/>
      </c>
      <c r="K423" s="23" t="str">
        <f>IFERROR(_xlfn.RANK.EQ(J423,J:J),"")</f>
        <v/>
      </c>
      <c r="L423" s="43">
        <f>IFERROR(ROUND(VLOOKUP(A423,[1]man_journals!B:E,4,0),2),"")</f>
        <v>0.3</v>
      </c>
      <c r="M423" s="26">
        <f>IFERROR(_xlfn.RANK.EQ(L423,L:L),"")</f>
        <v>130</v>
      </c>
      <c r="N423" t="s">
        <v>1283</v>
      </c>
      <c r="O423" s="4" t="s">
        <v>1275</v>
      </c>
    </row>
    <row r="424" spans="1:16" x14ac:dyDescent="0.25">
      <c r="A424" t="s">
        <v>505</v>
      </c>
      <c r="B424" t="s">
        <v>1384</v>
      </c>
      <c r="C424" s="6">
        <f>IFERROR(VLOOKUP(A424,[1]eco_bus_journals!$B:$D,3,0),"")</f>
        <v>33</v>
      </c>
      <c r="D424" s="37">
        <f>IFERROR(ROUND(VLOOKUP(A424,[1]eco_bus_journals!$B:$X,4,0),2),"")</f>
        <v>0.14000000000000001</v>
      </c>
      <c r="E424" s="37">
        <f>_xlfn.RANK.EQ(D424,D:D)</f>
        <v>413</v>
      </c>
      <c r="F424" s="44">
        <f>IFERROR(ROUND(VLOOKUP(A424,[1]eco_journals!B:E,4,0),2),"")</f>
        <v>0.13</v>
      </c>
      <c r="G424" s="40">
        <f>IFERROR(_xlfn.RANK.EQ(F424,F:F),"")</f>
        <v>196</v>
      </c>
      <c r="H424" s="46" t="str">
        <f>IFERROR(ROUND(VLOOKUP(A424,[1]fin_journals!B:E,4,0),2),"")</f>
        <v/>
      </c>
      <c r="I424" s="18" t="str">
        <f>IFERROR(_xlfn.RANK.EQ(H424,H:H),"")</f>
        <v/>
      </c>
      <c r="J424" s="42" t="str">
        <f>IFERROR(ROUND(VLOOKUP(A424,[1]bus_journals!B:E,4,0),2),"")</f>
        <v/>
      </c>
      <c r="K424" s="23" t="str">
        <f>IFERROR(_xlfn.RANK.EQ(J424,J:J),"")</f>
        <v/>
      </c>
      <c r="L424" s="43" t="str">
        <f>IFERROR(ROUND(VLOOKUP(A424,[1]man_journals!B:E,4,0),2),"")</f>
        <v/>
      </c>
      <c r="M424" s="26" t="str">
        <f>IFERROR(_xlfn.RANK.EQ(L424,L:L),"")</f>
        <v/>
      </c>
      <c r="N424" s="1" t="s">
        <v>1272</v>
      </c>
      <c r="O424" t="s">
        <v>1280</v>
      </c>
    </row>
    <row r="425" spans="1:16" x14ac:dyDescent="0.25">
      <c r="A425" t="s">
        <v>492</v>
      </c>
      <c r="B425" t="s">
        <v>1372</v>
      </c>
      <c r="C425" s="6">
        <f>IFERROR(VLOOKUP(A425,[1]eco_bus_journals!$B:$D,3,0),"")</f>
        <v>25</v>
      </c>
      <c r="D425" s="37">
        <f>IFERROR(ROUND(VLOOKUP(A425,[1]eco_bus_journals!$B:$X,4,0),2),"")</f>
        <v>0.18</v>
      </c>
      <c r="E425" s="37">
        <f>_xlfn.RANK.EQ(D425,D:D)</f>
        <v>357</v>
      </c>
      <c r="F425" s="44">
        <f>IFERROR(ROUND(VLOOKUP(A425,[1]eco_journals!B:E,4,0),2),"")</f>
        <v>0.19</v>
      </c>
      <c r="G425" s="40">
        <f>IFERROR(_xlfn.RANK.EQ(F425,F:F),"")</f>
        <v>144</v>
      </c>
      <c r="H425" s="46" t="str">
        <f>IFERROR(ROUND(VLOOKUP(A425,[1]fin_journals!B:E,4,0),2),"")</f>
        <v/>
      </c>
      <c r="I425" s="18" t="str">
        <f>IFERROR(_xlfn.RANK.EQ(H425,H:H),"")</f>
        <v/>
      </c>
      <c r="J425" s="42" t="str">
        <f>IFERROR(ROUND(VLOOKUP(A425,[1]bus_journals!B:E,4,0),2),"")</f>
        <v/>
      </c>
      <c r="K425" s="23" t="str">
        <f>IFERROR(_xlfn.RANK.EQ(J425,J:J),"")</f>
        <v/>
      </c>
      <c r="L425" s="43" t="str">
        <f>IFERROR(ROUND(VLOOKUP(A425,[1]man_journals!B:E,4,0),2),"")</f>
        <v/>
      </c>
      <c r="M425" s="26" t="str">
        <f>IFERROR(_xlfn.RANK.EQ(L425,L:L),"")</f>
        <v/>
      </c>
      <c r="N425" s="1" t="s">
        <v>1272</v>
      </c>
      <c r="O425" t="s">
        <v>1286</v>
      </c>
    </row>
    <row r="426" spans="1:16" x14ac:dyDescent="0.25">
      <c r="A426" t="s">
        <v>316</v>
      </c>
      <c r="B426" t="s">
        <v>1372</v>
      </c>
      <c r="C426" s="6">
        <f>IFERROR(VLOOKUP(A426,[1]eco_bus_journals!$B:$D,3,0),"")</f>
        <v>34</v>
      </c>
      <c r="D426" s="37">
        <f>IFERROR(ROUND(VLOOKUP(A426,[1]eco_bus_journals!$B:$X,4,0),2),"")</f>
        <v>0.15</v>
      </c>
      <c r="E426" s="37">
        <f>_xlfn.RANK.EQ(D426,D:D)</f>
        <v>400</v>
      </c>
      <c r="F426" s="44" t="str">
        <f>IFERROR(ROUND(VLOOKUP(A426,[1]eco_journals!B:E,4,0),2),"")</f>
        <v/>
      </c>
      <c r="G426" s="40" t="str">
        <f>IFERROR(_xlfn.RANK.EQ(F426,F:F),"")</f>
        <v/>
      </c>
      <c r="H426" s="46" t="str">
        <f>IFERROR(ROUND(VLOOKUP(A426,[1]fin_journals!B:E,4,0),2),"")</f>
        <v/>
      </c>
      <c r="I426" s="18" t="str">
        <f>IFERROR(_xlfn.RANK.EQ(H426,H:H),"")</f>
        <v/>
      </c>
      <c r="J426" s="42">
        <f>IFERROR(ROUND(VLOOKUP(A426,[1]bus_journals!B:E,4,0),2),"")</f>
        <v>0.27</v>
      </c>
      <c r="K426" s="23">
        <f>IFERROR(_xlfn.RANK.EQ(J426,J:J),"")</f>
        <v>115</v>
      </c>
      <c r="L426" s="43">
        <f>IFERROR(ROUND(VLOOKUP(A426,[1]man_journals!B:E,4,0),2),"")</f>
        <v>0.35</v>
      </c>
      <c r="M426" s="26">
        <f>IFERROR(_xlfn.RANK.EQ(L426,L:L),"")</f>
        <v>120</v>
      </c>
      <c r="N426" s="2" t="s">
        <v>1273</v>
      </c>
      <c r="O426" s="4" t="s">
        <v>1275</v>
      </c>
      <c r="P426" t="s">
        <v>1280</v>
      </c>
    </row>
    <row r="427" spans="1:16" x14ac:dyDescent="0.25">
      <c r="A427" t="s">
        <v>299</v>
      </c>
      <c r="B427" t="s">
        <v>1371</v>
      </c>
      <c r="C427" s="6">
        <f>IFERROR(VLOOKUP(A427,[1]eco_bus_journals!$B:$D,3,0),"")</f>
        <v>76</v>
      </c>
      <c r="D427" s="37">
        <f>IFERROR(ROUND(VLOOKUP(A427,[1]eco_bus_journals!$B:$X,4,0),2),"")</f>
        <v>0.15</v>
      </c>
      <c r="E427" s="37">
        <f>_xlfn.RANK.EQ(D427,D:D)</f>
        <v>400</v>
      </c>
      <c r="F427" s="44" t="str">
        <f>IFERROR(ROUND(VLOOKUP(A427,[1]eco_journals!B:E,4,0),2),"")</f>
        <v/>
      </c>
      <c r="G427" s="40" t="str">
        <f>IFERROR(_xlfn.RANK.EQ(F427,F:F),"")</f>
        <v/>
      </c>
      <c r="H427" s="46" t="str">
        <f>IFERROR(ROUND(VLOOKUP(A427,[1]fin_journals!B:E,4,0),2),"")</f>
        <v/>
      </c>
      <c r="I427" s="18" t="str">
        <f>IFERROR(_xlfn.RANK.EQ(H427,H:H),"")</f>
        <v/>
      </c>
      <c r="J427" s="42" t="str">
        <f>IFERROR(ROUND(VLOOKUP(A427,[1]bus_journals!B:E,4,0),2),"")</f>
        <v/>
      </c>
      <c r="K427" s="23" t="str">
        <f>IFERROR(_xlfn.RANK.EQ(J427,J:J),"")</f>
        <v/>
      </c>
      <c r="L427" s="43">
        <f>IFERROR(ROUND(VLOOKUP(A427,[1]man_journals!B:E,4,0),2),"")</f>
        <v>0.36</v>
      </c>
      <c r="M427" s="26">
        <f>IFERROR(_xlfn.RANK.EQ(L427,L:L),"")</f>
        <v>118</v>
      </c>
      <c r="N427" s="4" t="s">
        <v>1275</v>
      </c>
    </row>
    <row r="428" spans="1:16" x14ac:dyDescent="0.25">
      <c r="A428" t="s">
        <v>461</v>
      </c>
      <c r="B428" t="s">
        <v>1372</v>
      </c>
      <c r="C428" s="6">
        <f>IFERROR(VLOOKUP(A428,[1]eco_bus_journals!$B:$D,3,0),"")</f>
        <v>34</v>
      </c>
      <c r="D428" s="37">
        <f>IFERROR(ROUND(VLOOKUP(A428,[1]eco_bus_journals!$B:$X,4,0),2),"")</f>
        <v>0.14000000000000001</v>
      </c>
      <c r="E428" s="37">
        <f>_xlfn.RANK.EQ(D428,D:D)</f>
        <v>413</v>
      </c>
      <c r="F428" s="44">
        <f>IFERROR(ROUND(VLOOKUP(A428,[1]eco_journals!B:E,4,0),2),"")</f>
        <v>0.14000000000000001</v>
      </c>
      <c r="G428" s="40">
        <f>IFERROR(_xlfn.RANK.EQ(F428,F:F),"")</f>
        <v>182</v>
      </c>
      <c r="H428" s="46" t="str">
        <f>IFERROR(ROUND(VLOOKUP(A428,[1]fin_journals!B:E,4,0),2),"")</f>
        <v/>
      </c>
      <c r="I428" s="18" t="str">
        <f>IFERROR(_xlfn.RANK.EQ(H428,H:H),"")</f>
        <v/>
      </c>
      <c r="J428" s="42" t="str">
        <f>IFERROR(ROUND(VLOOKUP(A428,[1]bus_journals!B:E,4,0),2),"")</f>
        <v/>
      </c>
      <c r="K428" s="23" t="str">
        <f>IFERROR(_xlfn.RANK.EQ(J428,J:J),"")</f>
        <v/>
      </c>
      <c r="L428" s="43" t="str">
        <f>IFERROR(ROUND(VLOOKUP(A428,[1]man_journals!B:E,4,0),2),"")</f>
        <v/>
      </c>
      <c r="M428" s="26" t="str">
        <f>IFERROR(_xlfn.RANK.EQ(L428,L:L),"")</f>
        <v/>
      </c>
      <c r="N428" s="1" t="s">
        <v>1272</v>
      </c>
    </row>
    <row r="429" spans="1:16" x14ac:dyDescent="0.25">
      <c r="A429" t="s">
        <v>339</v>
      </c>
      <c r="B429" t="s">
        <v>1372</v>
      </c>
      <c r="C429" s="6">
        <f>IFERROR(VLOOKUP(A429,[1]eco_bus_journals!$B:$D,3,0),"")</f>
        <v>43</v>
      </c>
      <c r="D429" s="37">
        <f>IFERROR(ROUND(VLOOKUP(A429,[1]eco_bus_journals!$B:$X,4,0),2),"")</f>
        <v>0.14000000000000001</v>
      </c>
      <c r="E429" s="37">
        <f>_xlfn.RANK.EQ(D429,D:D)</f>
        <v>413</v>
      </c>
      <c r="F429" s="44" t="str">
        <f>IFERROR(ROUND(VLOOKUP(A429,[1]eco_journals!B:E,4,0),2),"")</f>
        <v/>
      </c>
      <c r="G429" s="40" t="str">
        <f>IFERROR(_xlfn.RANK.EQ(F429,F:F),"")</f>
        <v/>
      </c>
      <c r="H429" s="46" t="str">
        <f>IFERROR(ROUND(VLOOKUP(A429,[1]fin_journals!B:E,4,0),2),"")</f>
        <v/>
      </c>
      <c r="I429" s="18" t="str">
        <f>IFERROR(_xlfn.RANK.EQ(H429,H:H),"")</f>
        <v/>
      </c>
      <c r="J429" s="42">
        <f>IFERROR(ROUND(VLOOKUP(A429,[1]bus_journals!B:E,4,0),2),"")</f>
        <v>0.39</v>
      </c>
      <c r="K429" s="23">
        <f>IFERROR(_xlfn.RANK.EQ(J429,J:J),"")</f>
        <v>102</v>
      </c>
      <c r="L429" s="43">
        <f>IFERROR(ROUND(VLOOKUP(A429,[1]man_journals!B:E,4,0),2),"")</f>
        <v>0.37</v>
      </c>
      <c r="M429" s="26">
        <f>IFERROR(_xlfn.RANK.EQ(L429,L:L),"")</f>
        <v>117</v>
      </c>
      <c r="N429" s="2" t="s">
        <v>1273</v>
      </c>
      <c r="O429" s="4" t="s">
        <v>1275</v>
      </c>
    </row>
    <row r="430" spans="1:16" x14ac:dyDescent="0.25">
      <c r="A430" t="s">
        <v>360</v>
      </c>
      <c r="B430" t="s">
        <v>1362</v>
      </c>
      <c r="C430" s="6">
        <f>IFERROR(VLOOKUP(A430,[1]eco_bus_journals!$B:$D,3,0),"")</f>
        <v>39</v>
      </c>
      <c r="D430" s="37">
        <f>IFERROR(ROUND(VLOOKUP(A430,[1]eco_bus_journals!$B:$X,4,0),2),"")</f>
        <v>0.14000000000000001</v>
      </c>
      <c r="E430" s="37">
        <f>_xlfn.RANK.EQ(D430,D:D)</f>
        <v>413</v>
      </c>
      <c r="F430" s="44">
        <f>IFERROR(ROUND(VLOOKUP(A430,[1]eco_journals!B:E,4,0),2),"")</f>
        <v>0.09</v>
      </c>
      <c r="G430" s="40">
        <f>IFERROR(_xlfn.RANK.EQ(F430,F:F),"")</f>
        <v>225</v>
      </c>
      <c r="H430" s="46">
        <f>IFERROR(ROUND(VLOOKUP(A430,[1]fin_journals!B:E,4,0),2),"")</f>
        <v>0.19</v>
      </c>
      <c r="I430" s="18">
        <f>IFERROR(_xlfn.RANK.EQ(H430,H:H),"")</f>
        <v>96</v>
      </c>
      <c r="J430" s="42" t="str">
        <f>IFERROR(ROUND(VLOOKUP(A430,[1]bus_journals!B:E,4,0),2),"")</f>
        <v/>
      </c>
      <c r="K430" s="23" t="str">
        <f>IFERROR(_xlfn.RANK.EQ(J430,J:J),"")</f>
        <v/>
      </c>
      <c r="L430" s="43" t="str">
        <f>IFERROR(ROUND(VLOOKUP(A430,[1]man_journals!B:E,4,0),2),"")</f>
        <v/>
      </c>
      <c r="M430" s="26" t="str">
        <f>IFERROR(_xlfn.RANK.EQ(L430,L:L),"")</f>
        <v/>
      </c>
      <c r="N430" s="3" t="s">
        <v>1274</v>
      </c>
      <c r="O430" s="1" t="s">
        <v>1272</v>
      </c>
    </row>
    <row r="431" spans="1:16" x14ac:dyDescent="0.25">
      <c r="A431" t="s">
        <v>431</v>
      </c>
      <c r="B431" t="s">
        <v>1360</v>
      </c>
      <c r="C431" s="6">
        <f>IFERROR(VLOOKUP(A431,[1]eco_bus_journals!$B:$D,3,0),"")</f>
        <v>30</v>
      </c>
      <c r="D431" s="37">
        <f>IFERROR(ROUND(VLOOKUP(A431,[1]eco_bus_journals!$B:$X,4,0),2),"")</f>
        <v>0.12</v>
      </c>
      <c r="E431" s="37">
        <f>_xlfn.RANK.EQ(D431,D:D)</f>
        <v>445</v>
      </c>
      <c r="F431" s="44">
        <f>IFERROR(ROUND(VLOOKUP(A431,[1]eco_journals!B:E,4,0),2),"")</f>
        <v>0.12</v>
      </c>
      <c r="G431" s="40">
        <f>IFERROR(_xlfn.RANK.EQ(F431,F:F),"")</f>
        <v>206</v>
      </c>
      <c r="H431" s="46" t="str">
        <f>IFERROR(ROUND(VLOOKUP(A431,[1]fin_journals!B:E,4,0),2),"")</f>
        <v/>
      </c>
      <c r="I431" s="18" t="str">
        <f>IFERROR(_xlfn.RANK.EQ(H431,H:H),"")</f>
        <v/>
      </c>
      <c r="J431" s="42" t="str">
        <f>IFERROR(ROUND(VLOOKUP(A431,[1]bus_journals!B:E,4,0),2),"")</f>
        <v/>
      </c>
      <c r="K431" s="23" t="str">
        <f>IFERROR(_xlfn.RANK.EQ(J431,J:J),"")</f>
        <v/>
      </c>
      <c r="L431" s="43" t="str">
        <f>IFERROR(ROUND(VLOOKUP(A431,[1]man_journals!B:E,4,0),2),"")</f>
        <v/>
      </c>
      <c r="M431" s="26" t="str">
        <f>IFERROR(_xlfn.RANK.EQ(L431,L:L),"")</f>
        <v/>
      </c>
      <c r="N431" s="1" t="s">
        <v>1272</v>
      </c>
    </row>
    <row r="432" spans="1:16" x14ac:dyDescent="0.25">
      <c r="A432" t="s">
        <v>380</v>
      </c>
      <c r="B432" t="s">
        <v>1371</v>
      </c>
      <c r="C432" s="6">
        <f>IFERROR(VLOOKUP(A432,[1]eco_bus_journals!$B:$D,3,0),"")</f>
        <v>122</v>
      </c>
      <c r="D432" s="37">
        <f>IFERROR(ROUND(VLOOKUP(A432,[1]eco_bus_journals!$B:$X,4,0),2),"")</f>
        <v>0.13</v>
      </c>
      <c r="E432" s="37">
        <f>_xlfn.RANK.EQ(D432,D:D)</f>
        <v>433</v>
      </c>
      <c r="F432" s="44" t="str">
        <f>IFERROR(ROUND(VLOOKUP(A432,[1]eco_journals!B:E,4,0),2),"")</f>
        <v/>
      </c>
      <c r="G432" s="40" t="str">
        <f>IFERROR(_xlfn.RANK.EQ(F432,F:F),"")</f>
        <v/>
      </c>
      <c r="H432" s="46" t="str">
        <f>IFERROR(ROUND(VLOOKUP(A432,[1]fin_journals!B:E,4,0),2),"")</f>
        <v/>
      </c>
      <c r="I432" s="18" t="str">
        <f>IFERROR(_xlfn.RANK.EQ(H432,H:H),"")</f>
        <v/>
      </c>
      <c r="J432" s="42" t="str">
        <f>IFERROR(ROUND(VLOOKUP(A432,[1]bus_journals!B:E,4,0),2),"")</f>
        <v/>
      </c>
      <c r="K432" s="23" t="str">
        <f>IFERROR(_xlfn.RANK.EQ(J432,J:J),"")</f>
        <v/>
      </c>
      <c r="L432" s="43">
        <f>IFERROR(ROUND(VLOOKUP(A432,[1]man_journals!B:E,4,0),2),"")</f>
        <v>0.28000000000000003</v>
      </c>
      <c r="M432" s="26">
        <f>IFERROR(_xlfn.RANK.EQ(L432,L:L),"")</f>
        <v>133</v>
      </c>
      <c r="N432" t="s">
        <v>1283</v>
      </c>
      <c r="O432" s="4" t="s">
        <v>1275</v>
      </c>
    </row>
    <row r="433" spans="1:16" x14ac:dyDescent="0.25">
      <c r="A433" t="s">
        <v>347</v>
      </c>
      <c r="B433" t="s">
        <v>1363</v>
      </c>
      <c r="C433" s="6">
        <f>IFERROR(VLOOKUP(A433,[1]eco_bus_journals!$B:$D,3,0),"")</f>
        <v>36</v>
      </c>
      <c r="D433" s="37">
        <f>IFERROR(ROUND(VLOOKUP(A433,[1]eco_bus_journals!$B:$X,4,0),2),"")</f>
        <v>0.14000000000000001</v>
      </c>
      <c r="E433" s="37">
        <f>_xlfn.RANK.EQ(D433,D:D)</f>
        <v>413</v>
      </c>
      <c r="F433" s="44">
        <f>IFERROR(ROUND(VLOOKUP(A433,[1]eco_journals!B:E,4,0),2),"")</f>
        <v>0.09</v>
      </c>
      <c r="G433" s="40">
        <f>IFERROR(_xlfn.RANK.EQ(F433,F:F),"")</f>
        <v>225</v>
      </c>
      <c r="H433" s="46" t="str">
        <f>IFERROR(ROUND(VLOOKUP(A433,[1]fin_journals!B:E,4,0),2),"")</f>
        <v/>
      </c>
      <c r="I433" s="18" t="str">
        <f>IFERROR(_xlfn.RANK.EQ(H433,H:H),"")</f>
        <v/>
      </c>
      <c r="J433" s="42">
        <f>IFERROR(ROUND(VLOOKUP(A433,[1]bus_journals!B:E,4,0),2),"")</f>
        <v>0.3</v>
      </c>
      <c r="K433" s="23">
        <f>IFERROR(_xlfn.RANK.EQ(J433,J:J),"")</f>
        <v>112</v>
      </c>
      <c r="L433" s="43">
        <f>IFERROR(ROUND(VLOOKUP(A433,[1]man_journals!B:E,4,0),2),"")</f>
        <v>0.24</v>
      </c>
      <c r="M433" s="26">
        <f>IFERROR(_xlfn.RANK.EQ(L433,L:L),"")</f>
        <v>142</v>
      </c>
      <c r="N433" s="2" t="s">
        <v>1273</v>
      </c>
      <c r="O433" s="1" t="s">
        <v>1272</v>
      </c>
      <c r="P433" s="4" t="s">
        <v>1275</v>
      </c>
    </row>
    <row r="434" spans="1:16" x14ac:dyDescent="0.25">
      <c r="A434" t="s">
        <v>309</v>
      </c>
      <c r="B434" t="s">
        <v>1363</v>
      </c>
      <c r="C434" s="6">
        <f>IFERROR(VLOOKUP(A434,[1]eco_bus_journals!$B:$D,3,0),"")</f>
        <v>45</v>
      </c>
      <c r="D434" s="37">
        <f>IFERROR(ROUND(VLOOKUP(A434,[1]eco_bus_journals!$B:$X,4,0),2),"")</f>
        <v>0.14000000000000001</v>
      </c>
      <c r="E434" s="37">
        <f>_xlfn.RANK.EQ(D434,D:D)</f>
        <v>413</v>
      </c>
      <c r="F434" s="44" t="str">
        <f>IFERROR(ROUND(VLOOKUP(A434,[1]eco_journals!B:E,4,0),2),"")</f>
        <v/>
      </c>
      <c r="G434" s="40" t="str">
        <f>IFERROR(_xlfn.RANK.EQ(F434,F:F),"")</f>
        <v/>
      </c>
      <c r="H434" s="46">
        <f>IFERROR(ROUND(VLOOKUP(A434,[1]fin_journals!B:E,4,0),2),"")</f>
        <v>0.26</v>
      </c>
      <c r="I434" s="18">
        <f>IFERROR(_xlfn.RANK.EQ(H434,H:H),"")</f>
        <v>91</v>
      </c>
      <c r="J434" s="42" t="str">
        <f>IFERROR(ROUND(VLOOKUP(A434,[1]bus_journals!B:E,4,0),2),"")</f>
        <v/>
      </c>
      <c r="K434" s="23" t="str">
        <f>IFERROR(_xlfn.RANK.EQ(J434,J:J),"")</f>
        <v/>
      </c>
      <c r="L434" s="43" t="str">
        <f>IFERROR(ROUND(VLOOKUP(A434,[1]man_journals!B:E,4,0),2),"")</f>
        <v/>
      </c>
      <c r="M434" s="26" t="str">
        <f>IFERROR(_xlfn.RANK.EQ(L434,L:L),"")</f>
        <v/>
      </c>
      <c r="N434" s="3" t="s">
        <v>1274</v>
      </c>
      <c r="O434" t="s">
        <v>1280</v>
      </c>
    </row>
    <row r="435" spans="1:16" x14ac:dyDescent="0.25">
      <c r="A435" t="s">
        <v>311</v>
      </c>
      <c r="B435" t="s">
        <v>1371</v>
      </c>
      <c r="C435" s="6">
        <f>IFERROR(VLOOKUP(A435,[1]eco_bus_journals!$B:$D,3,0),"")</f>
        <v>58</v>
      </c>
      <c r="D435" s="37">
        <f>IFERROR(ROUND(VLOOKUP(A435,[1]eco_bus_journals!$B:$X,4,0),2),"")</f>
        <v>0.15</v>
      </c>
      <c r="E435" s="37">
        <f>_xlfn.RANK.EQ(D435,D:D)</f>
        <v>400</v>
      </c>
      <c r="F435" s="44" t="str">
        <f>IFERROR(ROUND(VLOOKUP(A435,[1]eco_journals!B:E,4,0),2),"")</f>
        <v/>
      </c>
      <c r="G435" s="40" t="str">
        <f>IFERROR(_xlfn.RANK.EQ(F435,F:F),"")</f>
        <v/>
      </c>
      <c r="H435" s="46" t="str">
        <f>IFERROR(ROUND(VLOOKUP(A435,[1]fin_journals!B:E,4,0),2),"")</f>
        <v/>
      </c>
      <c r="I435" s="18" t="str">
        <f>IFERROR(_xlfn.RANK.EQ(H435,H:H),"")</f>
        <v/>
      </c>
      <c r="J435" s="42">
        <f>IFERROR(ROUND(VLOOKUP(A435,[1]bus_journals!B:E,4,0),2),"")</f>
        <v>0.34</v>
      </c>
      <c r="K435" s="23">
        <f>IFERROR(_xlfn.RANK.EQ(J435,J:J),"")</f>
        <v>108</v>
      </c>
      <c r="L435" s="43">
        <f>IFERROR(ROUND(VLOOKUP(A435,[1]man_journals!B:E,4,0),2),"")</f>
        <v>0.31</v>
      </c>
      <c r="M435" s="26">
        <f>IFERROR(_xlfn.RANK.EQ(L435,L:L),"")</f>
        <v>126</v>
      </c>
      <c r="N435" s="2" t="s">
        <v>1273</v>
      </c>
      <c r="O435" s="4" t="s">
        <v>1275</v>
      </c>
      <c r="P435" t="s">
        <v>1316</v>
      </c>
    </row>
    <row r="436" spans="1:16" x14ac:dyDescent="0.25">
      <c r="A436" t="s">
        <v>473</v>
      </c>
      <c r="B436" t="s">
        <v>1360</v>
      </c>
      <c r="C436" s="6">
        <f>IFERROR(VLOOKUP(A436,[1]eco_bus_journals!$B:$D,3,0),"")</f>
        <v>108</v>
      </c>
      <c r="D436" s="37">
        <f>IFERROR(ROUND(VLOOKUP(A436,[1]eco_bus_journals!$B:$X,4,0),2),"")</f>
        <v>0.12</v>
      </c>
      <c r="E436" s="37">
        <f>_xlfn.RANK.EQ(D436,D:D)</f>
        <v>445</v>
      </c>
      <c r="F436" s="44">
        <f>IFERROR(ROUND(VLOOKUP(A436,[1]eco_journals!B:E,4,0),2),"")</f>
        <v>0.14000000000000001</v>
      </c>
      <c r="G436" s="40">
        <f>IFERROR(_xlfn.RANK.EQ(F436,F:F),"")</f>
        <v>182</v>
      </c>
      <c r="H436" s="46" t="str">
        <f>IFERROR(ROUND(VLOOKUP(A436,[1]fin_journals!B:E,4,0),2),"")</f>
        <v/>
      </c>
      <c r="I436" s="18" t="str">
        <f>IFERROR(_xlfn.RANK.EQ(H436,H:H),"")</f>
        <v/>
      </c>
      <c r="J436" s="42" t="str">
        <f>IFERROR(ROUND(VLOOKUP(A436,[1]bus_journals!B:E,4,0),2),"")</f>
        <v/>
      </c>
      <c r="K436" s="23" t="str">
        <f>IFERROR(_xlfn.RANK.EQ(J436,J:J),"")</f>
        <v/>
      </c>
      <c r="L436" s="43" t="str">
        <f>IFERROR(ROUND(VLOOKUP(A436,[1]man_journals!B:E,4,0),2),"")</f>
        <v/>
      </c>
      <c r="M436" s="26" t="str">
        <f>IFERROR(_xlfn.RANK.EQ(L436,L:L),"")</f>
        <v/>
      </c>
      <c r="N436" s="1" t="s">
        <v>1272</v>
      </c>
      <c r="O436" t="s">
        <v>1312</v>
      </c>
      <c r="P436" t="s">
        <v>1319</v>
      </c>
    </row>
    <row r="437" spans="1:16" x14ac:dyDescent="0.25">
      <c r="A437" t="s">
        <v>402</v>
      </c>
      <c r="B437" t="s">
        <v>1372</v>
      </c>
      <c r="C437" s="6">
        <f>IFERROR(VLOOKUP(A437,[1]eco_bus_journals!$B:$D,3,0),"")</f>
        <v>58</v>
      </c>
      <c r="D437" s="37">
        <f>IFERROR(ROUND(VLOOKUP(A437,[1]eco_bus_journals!$B:$X,4,0),2),"")</f>
        <v>0.13</v>
      </c>
      <c r="E437" s="37">
        <f>_xlfn.RANK.EQ(D437,D:D)</f>
        <v>433</v>
      </c>
      <c r="F437" s="44">
        <f>IFERROR(ROUND(VLOOKUP(A437,[1]eco_journals!B:E,4,0),2),"")</f>
        <v>0.09</v>
      </c>
      <c r="G437" s="40">
        <f>IFERROR(_xlfn.RANK.EQ(F437,F:F),"")</f>
        <v>225</v>
      </c>
      <c r="H437" s="46">
        <f>IFERROR(ROUND(VLOOKUP(A437,[1]fin_journals!B:E,4,0),2),"")</f>
        <v>0.25</v>
      </c>
      <c r="I437" s="18">
        <f>IFERROR(_xlfn.RANK.EQ(H437,H:H),"")</f>
        <v>93</v>
      </c>
      <c r="J437" s="42" t="str">
        <f>IFERROR(ROUND(VLOOKUP(A437,[1]bus_journals!B:E,4,0),2),"")</f>
        <v/>
      </c>
      <c r="K437" s="23" t="str">
        <f>IFERROR(_xlfn.RANK.EQ(J437,J:J),"")</f>
        <v/>
      </c>
      <c r="L437" s="43" t="str">
        <f>IFERROR(ROUND(VLOOKUP(A437,[1]man_journals!B:E,4,0),2),"")</f>
        <v/>
      </c>
      <c r="M437" s="26" t="str">
        <f>IFERROR(_xlfn.RANK.EQ(L437,L:L),"")</f>
        <v/>
      </c>
      <c r="N437" s="3" t="s">
        <v>1274</v>
      </c>
      <c r="O437" s="1" t="s">
        <v>1272</v>
      </c>
    </row>
    <row r="438" spans="1:16" x14ac:dyDescent="0.25">
      <c r="A438" t="s">
        <v>420</v>
      </c>
      <c r="B438" t="s">
        <v>1360</v>
      </c>
      <c r="C438" s="6">
        <f>IFERROR(VLOOKUP(A438,[1]eco_bus_journals!$B:$D,3,0),"")</f>
        <v>60</v>
      </c>
      <c r="D438" s="37">
        <f>IFERROR(ROUND(VLOOKUP(A438,[1]eco_bus_journals!$B:$X,4,0),2),"")</f>
        <v>0.13</v>
      </c>
      <c r="E438" s="37">
        <f>_xlfn.RANK.EQ(D438,D:D)</f>
        <v>433</v>
      </c>
      <c r="F438" s="44" t="str">
        <f>IFERROR(ROUND(VLOOKUP(A438,[1]eco_journals!B:E,4,0),2),"")</f>
        <v/>
      </c>
      <c r="G438" s="40" t="str">
        <f>IFERROR(_xlfn.RANK.EQ(F438,F:F),"")</f>
        <v/>
      </c>
      <c r="H438" s="46" t="str">
        <f>IFERROR(ROUND(VLOOKUP(A438,[1]fin_journals!B:E,4,0),2),"")</f>
        <v/>
      </c>
      <c r="I438" s="18" t="str">
        <f>IFERROR(_xlfn.RANK.EQ(H438,H:H),"")</f>
        <v/>
      </c>
      <c r="J438" s="42" t="str">
        <f>IFERROR(ROUND(VLOOKUP(A438,[1]bus_journals!B:E,4,0),2),"")</f>
        <v/>
      </c>
      <c r="K438" s="23" t="str">
        <f>IFERROR(_xlfn.RANK.EQ(J438,J:J),"")</f>
        <v/>
      </c>
      <c r="L438" s="43">
        <f>IFERROR(ROUND(VLOOKUP(A438,[1]man_journals!B:E,4,0),2),"")</f>
        <v>0.28000000000000003</v>
      </c>
      <c r="M438" s="26">
        <f>IFERROR(_xlfn.RANK.EQ(L438,L:L),"")</f>
        <v>133</v>
      </c>
      <c r="N438" s="4" t="s">
        <v>1275</v>
      </c>
    </row>
    <row r="439" spans="1:16" x14ac:dyDescent="0.25">
      <c r="A439" t="s">
        <v>357</v>
      </c>
      <c r="B439" t="s">
        <v>1371</v>
      </c>
      <c r="C439" s="6">
        <f>IFERROR(VLOOKUP(A439,[1]eco_bus_journals!$B:$D,3,0),"")</f>
        <v>28</v>
      </c>
      <c r="D439" s="37">
        <f>IFERROR(ROUND(VLOOKUP(A439,[1]eco_bus_journals!$B:$X,4,0),2),"")</f>
        <v>0.13</v>
      </c>
      <c r="E439" s="37">
        <f>_xlfn.RANK.EQ(D439,D:D)</f>
        <v>433</v>
      </c>
      <c r="F439" s="44" t="str">
        <f>IFERROR(ROUND(VLOOKUP(A439,[1]eco_journals!B:E,4,0),2),"")</f>
        <v/>
      </c>
      <c r="G439" s="40" t="str">
        <f>IFERROR(_xlfn.RANK.EQ(F439,F:F),"")</f>
        <v/>
      </c>
      <c r="H439" s="46" t="str">
        <f>IFERROR(ROUND(VLOOKUP(A439,[1]fin_journals!B:E,4,0),2),"")</f>
        <v/>
      </c>
      <c r="I439" s="18" t="str">
        <f>IFERROR(_xlfn.RANK.EQ(H439,H:H),"")</f>
        <v/>
      </c>
      <c r="J439" s="42">
        <f>IFERROR(ROUND(VLOOKUP(A439,[1]bus_journals!B:E,4,0),2),"")</f>
        <v>0.42</v>
      </c>
      <c r="K439" s="23">
        <f>IFERROR(_xlfn.RANK.EQ(J439,J:J),"")</f>
        <v>99</v>
      </c>
      <c r="L439" s="43" t="str">
        <f>IFERROR(ROUND(VLOOKUP(A439,[1]man_journals!B:E,4,0),2),"")</f>
        <v/>
      </c>
      <c r="M439" s="26" t="str">
        <f>IFERROR(_xlfn.RANK.EQ(L439,L:L),"")</f>
        <v/>
      </c>
      <c r="N439" s="2" t="s">
        <v>1273</v>
      </c>
    </row>
    <row r="440" spans="1:16" x14ac:dyDescent="0.25">
      <c r="A440" t="s">
        <v>426</v>
      </c>
      <c r="B440" t="s">
        <v>1362</v>
      </c>
      <c r="C440" s="6">
        <f>IFERROR(VLOOKUP(A440,[1]eco_bus_journals!$B:$D,3,0),"")</f>
        <v>49</v>
      </c>
      <c r="D440" s="37">
        <f>IFERROR(ROUND(VLOOKUP(A440,[1]eco_bus_journals!$B:$X,4,0),2),"")</f>
        <v>0.09</v>
      </c>
      <c r="E440" s="37">
        <f>_xlfn.RANK.EQ(D440,D:D)</f>
        <v>484</v>
      </c>
      <c r="F440" s="44" t="str">
        <f>IFERROR(ROUND(VLOOKUP(A440,[1]eco_journals!B:E,4,0),2),"")</f>
        <v/>
      </c>
      <c r="G440" s="40" t="str">
        <f>IFERROR(_xlfn.RANK.EQ(F440,F:F),"")</f>
        <v/>
      </c>
      <c r="H440" s="46" t="str">
        <f>IFERROR(ROUND(VLOOKUP(A440,[1]fin_journals!B:E,4,0),2),"")</f>
        <v/>
      </c>
      <c r="I440" s="18" t="str">
        <f>IFERROR(_xlfn.RANK.EQ(H440,H:H),"")</f>
        <v/>
      </c>
      <c r="J440" s="42">
        <f>IFERROR(ROUND(VLOOKUP(A440,[1]bus_journals!B:E,4,0),2),"")</f>
        <v>0.19</v>
      </c>
      <c r="K440" s="23">
        <f>IFERROR(_xlfn.RANK.EQ(J440,J:J),"")</f>
        <v>125</v>
      </c>
      <c r="L440" s="43">
        <f>IFERROR(ROUND(VLOOKUP(A440,[1]man_journals!B:E,4,0),2),"")</f>
        <v>0.19</v>
      </c>
      <c r="M440" s="26">
        <f>IFERROR(_xlfn.RANK.EQ(L440,L:L),"")</f>
        <v>151</v>
      </c>
      <c r="N440" s="2" t="s">
        <v>1273</v>
      </c>
      <c r="O440" s="4" t="s">
        <v>1275</v>
      </c>
      <c r="P440" t="s">
        <v>1278</v>
      </c>
    </row>
    <row r="441" spans="1:16" x14ac:dyDescent="0.25">
      <c r="A441" t="s">
        <v>443</v>
      </c>
      <c r="B441" t="s">
        <v>1387</v>
      </c>
      <c r="C441" s="6">
        <f>IFERROR(VLOOKUP(A441,[1]eco_bus_journals!$B:$D,3,0),"")</f>
        <v>22</v>
      </c>
      <c r="D441" s="37">
        <f>IFERROR(ROUND(VLOOKUP(A441,[1]eco_bus_journals!$B:$X,4,0),2),"")</f>
        <v>0.13</v>
      </c>
      <c r="E441" s="37">
        <f>_xlfn.RANK.EQ(D441,D:D)</f>
        <v>433</v>
      </c>
      <c r="F441" s="44" t="str">
        <f>IFERROR(ROUND(VLOOKUP(A441,[1]eco_journals!B:E,4,0),2),"")</f>
        <v/>
      </c>
      <c r="G441" s="40" t="str">
        <f>IFERROR(_xlfn.RANK.EQ(F441,F:F),"")</f>
        <v/>
      </c>
      <c r="H441" s="46" t="str">
        <f>IFERROR(ROUND(VLOOKUP(A441,[1]fin_journals!B:E,4,0),2),"")</f>
        <v/>
      </c>
      <c r="I441" s="18" t="str">
        <f>IFERROR(_xlfn.RANK.EQ(H441,H:H),"")</f>
        <v/>
      </c>
      <c r="J441" s="42">
        <f>IFERROR(ROUND(VLOOKUP(A441,[1]bus_journals!B:E,4,0),2),"")</f>
        <v>0.39</v>
      </c>
      <c r="K441" s="23">
        <f>IFERROR(_xlfn.RANK.EQ(J441,J:J),"")</f>
        <v>102</v>
      </c>
      <c r="L441" s="43" t="str">
        <f>IFERROR(ROUND(VLOOKUP(A441,[1]man_journals!B:E,4,0),2),"")</f>
        <v/>
      </c>
      <c r="M441" s="26" t="str">
        <f>IFERROR(_xlfn.RANK.EQ(L441,L:L),"")</f>
        <v/>
      </c>
      <c r="N441" s="2" t="s">
        <v>1273</v>
      </c>
      <c r="O441" t="s">
        <v>1301</v>
      </c>
    </row>
    <row r="442" spans="1:16" x14ac:dyDescent="0.25">
      <c r="A442" t="s">
        <v>323</v>
      </c>
      <c r="B442" t="s">
        <v>1372</v>
      </c>
      <c r="C442" s="6">
        <f>IFERROR(VLOOKUP(A442,[1]eco_bus_journals!$B:$D,3,0),"")</f>
        <v>118</v>
      </c>
      <c r="D442" s="37">
        <f>IFERROR(ROUND(VLOOKUP(A442,[1]eco_bus_journals!$B:$X,4,0),2),"")</f>
        <v>0.14000000000000001</v>
      </c>
      <c r="E442" s="37">
        <f>_xlfn.RANK.EQ(D442,D:D)</f>
        <v>413</v>
      </c>
      <c r="F442" s="44" t="str">
        <f>IFERROR(ROUND(VLOOKUP(A442,[1]eco_journals!B:E,4,0),2),"")</f>
        <v/>
      </c>
      <c r="G442" s="40" t="str">
        <f>IFERROR(_xlfn.RANK.EQ(F442,F:F),"")</f>
        <v/>
      </c>
      <c r="H442" s="46" t="str">
        <f>IFERROR(ROUND(VLOOKUP(A442,[1]fin_journals!B:E,4,0),2),"")</f>
        <v/>
      </c>
      <c r="I442" s="18" t="str">
        <f>IFERROR(_xlfn.RANK.EQ(H442,H:H),"")</f>
        <v/>
      </c>
      <c r="J442" s="42" t="str">
        <f>IFERROR(ROUND(VLOOKUP(A442,[1]bus_journals!B:E,4,0),2),"")</f>
        <v/>
      </c>
      <c r="K442" s="23" t="str">
        <f>IFERROR(_xlfn.RANK.EQ(J442,J:J),"")</f>
        <v/>
      </c>
      <c r="L442" s="43">
        <f>IFERROR(ROUND(VLOOKUP(A442,[1]man_journals!B:E,4,0),2),"")</f>
        <v>0.31</v>
      </c>
      <c r="M442" s="26">
        <f>IFERROR(_xlfn.RANK.EQ(L442,L:L),"")</f>
        <v>126</v>
      </c>
      <c r="N442" s="4" t="s">
        <v>1275</v>
      </c>
      <c r="O442" t="s">
        <v>1276</v>
      </c>
    </row>
    <row r="443" spans="1:16" x14ac:dyDescent="0.25">
      <c r="A443" t="s">
        <v>429</v>
      </c>
      <c r="B443" t="s">
        <v>1372</v>
      </c>
      <c r="C443" s="6">
        <f>IFERROR(VLOOKUP(A443,[1]eco_bus_journals!$B:$D,3,0),"")</f>
        <v>374</v>
      </c>
      <c r="D443" s="37">
        <f>IFERROR(ROUND(VLOOKUP(A443,[1]eco_bus_journals!$B:$X,4,0),2),"")</f>
        <v>0.12</v>
      </c>
      <c r="E443" s="37">
        <f>_xlfn.RANK.EQ(D443,D:D)</f>
        <v>445</v>
      </c>
      <c r="F443" s="44">
        <f>IFERROR(ROUND(VLOOKUP(A443,[1]eco_journals!B:E,4,0),2),"")</f>
        <v>0.1</v>
      </c>
      <c r="G443" s="40">
        <f>IFERROR(_xlfn.RANK.EQ(F443,F:F),"")</f>
        <v>219</v>
      </c>
      <c r="H443" s="46" t="str">
        <f>IFERROR(ROUND(VLOOKUP(A443,[1]fin_journals!B:E,4,0),2),"")</f>
        <v/>
      </c>
      <c r="I443" s="18" t="str">
        <f>IFERROR(_xlfn.RANK.EQ(H443,H:H),"")</f>
        <v/>
      </c>
      <c r="J443" s="42" t="str">
        <f>IFERROR(ROUND(VLOOKUP(A443,[1]bus_journals!B:E,4,0),2),"")</f>
        <v/>
      </c>
      <c r="K443" s="23" t="str">
        <f>IFERROR(_xlfn.RANK.EQ(J443,J:J),"")</f>
        <v/>
      </c>
      <c r="L443" s="43" t="str">
        <f>IFERROR(ROUND(VLOOKUP(A443,[1]man_journals!B:E,4,0),2),"")</f>
        <v/>
      </c>
      <c r="M443" s="26" t="str">
        <f>IFERROR(_xlfn.RANK.EQ(L443,L:L),"")</f>
        <v/>
      </c>
      <c r="N443" s="1" t="s">
        <v>1272</v>
      </c>
    </row>
    <row r="444" spans="1:16" x14ac:dyDescent="0.25">
      <c r="A444" t="s">
        <v>430</v>
      </c>
      <c r="B444" t="s">
        <v>1372</v>
      </c>
      <c r="C444" s="6">
        <f>IFERROR(VLOOKUP(A444,[1]eco_bus_journals!$B:$D,3,0),"")</f>
        <v>85</v>
      </c>
      <c r="D444" s="37">
        <f>IFERROR(ROUND(VLOOKUP(A444,[1]eco_bus_journals!$B:$X,4,0),2),"")</f>
        <v>0.13</v>
      </c>
      <c r="E444" s="37">
        <f>_xlfn.RANK.EQ(D444,D:D)</f>
        <v>433</v>
      </c>
      <c r="F444" s="44">
        <f>IFERROR(ROUND(VLOOKUP(A444,[1]eco_journals!B:E,4,0),2),"")</f>
        <v>0.13</v>
      </c>
      <c r="G444" s="40">
        <f>IFERROR(_xlfn.RANK.EQ(F444,F:F),"")</f>
        <v>196</v>
      </c>
      <c r="H444" s="46" t="str">
        <f>IFERROR(ROUND(VLOOKUP(A444,[1]fin_journals!B:E,4,0),2),"")</f>
        <v/>
      </c>
      <c r="I444" s="18" t="str">
        <f>IFERROR(_xlfn.RANK.EQ(H444,H:H),"")</f>
        <v/>
      </c>
      <c r="J444" s="42" t="str">
        <f>IFERROR(ROUND(VLOOKUP(A444,[1]bus_journals!B:E,4,0),2),"")</f>
        <v/>
      </c>
      <c r="K444" s="23" t="str">
        <f>IFERROR(_xlfn.RANK.EQ(J444,J:J),"")</f>
        <v/>
      </c>
      <c r="L444" s="43" t="str">
        <f>IFERROR(ROUND(VLOOKUP(A444,[1]man_journals!B:E,4,0),2),"")</f>
        <v/>
      </c>
      <c r="M444" s="26" t="str">
        <f>IFERROR(_xlfn.RANK.EQ(L444,L:L),"")</f>
        <v/>
      </c>
      <c r="N444" s="1" t="s">
        <v>1272</v>
      </c>
    </row>
    <row r="445" spans="1:16" x14ac:dyDescent="0.25">
      <c r="A445" t="s">
        <v>416</v>
      </c>
      <c r="B445" t="s">
        <v>1362</v>
      </c>
      <c r="C445" s="6">
        <f>IFERROR(VLOOKUP(A445,[1]eco_bus_journals!$B:$D,3,0),"")</f>
        <v>88</v>
      </c>
      <c r="D445" s="37">
        <f>IFERROR(ROUND(VLOOKUP(A445,[1]eco_bus_journals!$B:$X,4,0),2),"")</f>
        <v>0.12</v>
      </c>
      <c r="E445" s="37">
        <f>_xlfn.RANK.EQ(D445,D:D)</f>
        <v>445</v>
      </c>
      <c r="F445" s="44">
        <f>IFERROR(ROUND(VLOOKUP(A445,[1]eco_journals!B:E,4,0),2),"")</f>
        <v>0.1</v>
      </c>
      <c r="G445" s="40">
        <f>IFERROR(_xlfn.RANK.EQ(F445,F:F),"")</f>
        <v>219</v>
      </c>
      <c r="H445" s="46" t="str">
        <f>IFERROR(ROUND(VLOOKUP(A445,[1]fin_journals!B:E,4,0),2),"")</f>
        <v/>
      </c>
      <c r="I445" s="18" t="str">
        <f>IFERROR(_xlfn.RANK.EQ(H445,H:H),"")</f>
        <v/>
      </c>
      <c r="J445" s="42" t="str">
        <f>IFERROR(ROUND(VLOOKUP(A445,[1]bus_journals!B:E,4,0),2),"")</f>
        <v/>
      </c>
      <c r="K445" s="23" t="str">
        <f>IFERROR(_xlfn.RANK.EQ(J445,J:J),"")</f>
        <v/>
      </c>
      <c r="L445" s="43" t="str">
        <f>IFERROR(ROUND(VLOOKUP(A445,[1]man_journals!B:E,4,0),2),"")</f>
        <v/>
      </c>
      <c r="M445" s="26" t="str">
        <f>IFERROR(_xlfn.RANK.EQ(L445,L:L),"")</f>
        <v/>
      </c>
      <c r="N445" s="1" t="s">
        <v>1272</v>
      </c>
      <c r="O445" t="s">
        <v>1285</v>
      </c>
    </row>
    <row r="446" spans="1:16" x14ac:dyDescent="0.25">
      <c r="A446" t="s">
        <v>486</v>
      </c>
      <c r="B446" t="s">
        <v>1364</v>
      </c>
      <c r="C446" s="6">
        <f>IFERROR(VLOOKUP(A446,[1]eco_bus_journals!$B:$D,3,0),"")</f>
        <v>47</v>
      </c>
      <c r="D446" s="37">
        <f>IFERROR(ROUND(VLOOKUP(A446,[1]eco_bus_journals!$B:$X,4,0),2),"")</f>
        <v>0.11</v>
      </c>
      <c r="E446" s="37">
        <f>_xlfn.RANK.EQ(D446,D:D)</f>
        <v>458</v>
      </c>
      <c r="F446" s="44" t="str">
        <f>IFERROR(ROUND(VLOOKUP(A446,[1]eco_journals!B:E,4,0),2),"")</f>
        <v/>
      </c>
      <c r="G446" s="40" t="str">
        <f>IFERROR(_xlfn.RANK.EQ(F446,F:F),"")</f>
        <v/>
      </c>
      <c r="H446" s="46">
        <f>IFERROR(ROUND(VLOOKUP(A446,[1]fin_journals!B:E,4,0),2),"")</f>
        <v>0.17</v>
      </c>
      <c r="I446" s="18">
        <f>IFERROR(_xlfn.RANK.EQ(H446,H:H),"")</f>
        <v>97</v>
      </c>
      <c r="J446" s="42" t="str">
        <f>IFERROR(ROUND(VLOOKUP(A446,[1]bus_journals!B:E,4,0),2),"")</f>
        <v/>
      </c>
      <c r="K446" s="23" t="str">
        <f>IFERROR(_xlfn.RANK.EQ(J446,J:J),"")</f>
        <v/>
      </c>
      <c r="L446" s="43" t="str">
        <f>IFERROR(ROUND(VLOOKUP(A446,[1]man_journals!B:E,4,0),2),"")</f>
        <v/>
      </c>
      <c r="M446" s="26" t="str">
        <f>IFERROR(_xlfn.RANK.EQ(L446,L:L),"")</f>
        <v/>
      </c>
      <c r="N446" s="3" t="s">
        <v>1274</v>
      </c>
    </row>
    <row r="447" spans="1:16" x14ac:dyDescent="0.25">
      <c r="A447" t="s">
        <v>399</v>
      </c>
      <c r="B447" t="s">
        <v>1360</v>
      </c>
      <c r="C447" s="6">
        <f>IFERROR(VLOOKUP(A447,[1]eco_bus_journals!$B:$D,3,0),"")</f>
        <v>602</v>
      </c>
      <c r="D447" s="37">
        <f>IFERROR(ROUND(VLOOKUP(A447,[1]eco_bus_journals!$B:$X,4,0),2),"")</f>
        <v>0.11</v>
      </c>
      <c r="E447" s="37">
        <f>_xlfn.RANK.EQ(D447,D:D)</f>
        <v>458</v>
      </c>
      <c r="F447" s="44" t="str">
        <f>IFERROR(ROUND(VLOOKUP(A447,[1]eco_journals!B:E,4,0),2),"")</f>
        <v/>
      </c>
      <c r="G447" s="40" t="str">
        <f>IFERROR(_xlfn.RANK.EQ(F447,F:F),"")</f>
        <v/>
      </c>
      <c r="H447" s="46">
        <f>IFERROR(ROUND(VLOOKUP(A447,[1]fin_journals!B:E,4,0),2),"")</f>
        <v>0.15</v>
      </c>
      <c r="I447" s="18">
        <f>IFERROR(_xlfn.RANK.EQ(H447,H:H),"")</f>
        <v>100</v>
      </c>
      <c r="J447" s="42" t="str">
        <f>IFERROR(ROUND(VLOOKUP(A447,[1]bus_journals!B:E,4,0),2),"")</f>
        <v/>
      </c>
      <c r="K447" s="23" t="str">
        <f>IFERROR(_xlfn.RANK.EQ(J447,J:J),"")</f>
        <v/>
      </c>
      <c r="L447" s="43" t="str">
        <f>IFERROR(ROUND(VLOOKUP(A447,[1]man_journals!B:E,4,0),2),"")</f>
        <v/>
      </c>
      <c r="M447" s="26" t="str">
        <f>IFERROR(_xlfn.RANK.EQ(L447,L:L),"")</f>
        <v/>
      </c>
      <c r="N447" s="3" t="s">
        <v>1274</v>
      </c>
    </row>
    <row r="448" spans="1:16" x14ac:dyDescent="0.25">
      <c r="A448" t="s">
        <v>365</v>
      </c>
      <c r="B448" t="s">
        <v>1371</v>
      </c>
      <c r="C448" s="6">
        <f>IFERROR(VLOOKUP(A448,[1]eco_bus_journals!$B:$D,3,0),"")</f>
        <v>78</v>
      </c>
      <c r="D448" s="37">
        <f>IFERROR(ROUND(VLOOKUP(A448,[1]eco_bus_journals!$B:$X,4,0),2),"")</f>
        <v>0.13</v>
      </c>
      <c r="E448" s="37">
        <f>_xlfn.RANK.EQ(D448,D:D)</f>
        <v>433</v>
      </c>
      <c r="F448" s="44" t="str">
        <f>IFERROR(ROUND(VLOOKUP(A448,[1]eco_journals!B:E,4,0),2),"")</f>
        <v/>
      </c>
      <c r="G448" s="40" t="str">
        <f>IFERROR(_xlfn.RANK.EQ(F448,F:F),"")</f>
        <v/>
      </c>
      <c r="H448" s="46" t="str">
        <f>IFERROR(ROUND(VLOOKUP(A448,[1]fin_journals!B:E,4,0),2),"")</f>
        <v/>
      </c>
      <c r="I448" s="18" t="str">
        <f>IFERROR(_xlfn.RANK.EQ(H448,H:H),"")</f>
        <v/>
      </c>
      <c r="J448" s="42">
        <f>IFERROR(ROUND(VLOOKUP(A448,[1]bus_journals!B:E,4,0),2),"")</f>
        <v>0.16</v>
      </c>
      <c r="K448" s="23">
        <f>IFERROR(_xlfn.RANK.EQ(J448,J:J),"")</f>
        <v>128</v>
      </c>
      <c r="L448" s="43">
        <f>IFERROR(ROUND(VLOOKUP(A448,[1]man_journals!B:E,4,0),2),"")</f>
        <v>0.33</v>
      </c>
      <c r="M448" s="26">
        <f>IFERROR(_xlfn.RANK.EQ(L448,L:L),"")</f>
        <v>123</v>
      </c>
      <c r="N448" s="2" t="s">
        <v>1273</v>
      </c>
      <c r="O448" s="4" t="s">
        <v>1275</v>
      </c>
    </row>
    <row r="449" spans="1:17" x14ac:dyDescent="0.25">
      <c r="A449" t="s">
        <v>453</v>
      </c>
      <c r="B449" t="s">
        <v>1381</v>
      </c>
      <c r="C449" s="6">
        <f>IFERROR(VLOOKUP(A449,[1]eco_bus_journals!$B:$D,3,0),"")</f>
        <v>25</v>
      </c>
      <c r="D449" s="37">
        <f>IFERROR(ROUND(VLOOKUP(A449,[1]eco_bus_journals!$B:$X,4,0),2),"")</f>
        <v>0.15</v>
      </c>
      <c r="E449" s="37">
        <f>_xlfn.RANK.EQ(D449,D:D)</f>
        <v>400</v>
      </c>
      <c r="F449" s="44" t="str">
        <f>IFERROR(ROUND(VLOOKUP(A449,[1]eco_journals!B:E,4,0),2),"")</f>
        <v/>
      </c>
      <c r="G449" s="40" t="str">
        <f>IFERROR(_xlfn.RANK.EQ(F449,F:F),"")</f>
        <v/>
      </c>
      <c r="H449" s="46">
        <f>IFERROR(ROUND(VLOOKUP(A449,[1]fin_journals!B:E,4,0),2),"")</f>
        <v>0.36</v>
      </c>
      <c r="I449" s="18">
        <f>IFERROR(_xlfn.RANK.EQ(H449,H:H),"")</f>
        <v>78</v>
      </c>
      <c r="J449" s="42" t="str">
        <f>IFERROR(ROUND(VLOOKUP(A449,[1]bus_journals!B:E,4,0),2),"")</f>
        <v/>
      </c>
      <c r="K449" s="23" t="str">
        <f>IFERROR(_xlfn.RANK.EQ(J449,J:J),"")</f>
        <v/>
      </c>
      <c r="L449" s="43" t="str">
        <f>IFERROR(ROUND(VLOOKUP(A449,[1]man_journals!B:E,4,0),2),"")</f>
        <v/>
      </c>
      <c r="M449" s="26" t="str">
        <f>IFERROR(_xlfn.RANK.EQ(L449,L:L),"")</f>
        <v/>
      </c>
      <c r="N449" s="3" t="s">
        <v>1274</v>
      </c>
    </row>
    <row r="450" spans="1:17" x14ac:dyDescent="0.25">
      <c r="A450" t="s">
        <v>454</v>
      </c>
      <c r="B450" t="s">
        <v>1372</v>
      </c>
      <c r="C450" s="6">
        <f>IFERROR(VLOOKUP(A450,[1]eco_bus_journals!$B:$D,3,0),"")</f>
        <v>41</v>
      </c>
      <c r="D450" s="37">
        <f>IFERROR(ROUND(VLOOKUP(A450,[1]eco_bus_journals!$B:$X,4,0),2),"")</f>
        <v>0.12</v>
      </c>
      <c r="E450" s="37">
        <f>_xlfn.RANK.EQ(D450,D:D)</f>
        <v>445</v>
      </c>
      <c r="F450" s="44">
        <f>IFERROR(ROUND(VLOOKUP(A450,[1]eco_journals!B:E,4,0),2),"")</f>
        <v>0.1</v>
      </c>
      <c r="G450" s="40">
        <f>IFERROR(_xlfn.RANK.EQ(F450,F:F),"")</f>
        <v>219</v>
      </c>
      <c r="H450" s="46" t="str">
        <f>IFERROR(ROUND(VLOOKUP(A450,[1]fin_journals!B:E,4,0),2),"")</f>
        <v/>
      </c>
      <c r="I450" s="18" t="str">
        <f>IFERROR(_xlfn.RANK.EQ(H450,H:H),"")</f>
        <v/>
      </c>
      <c r="J450" s="42" t="str">
        <f>IFERROR(ROUND(VLOOKUP(A450,[1]bus_journals!B:E,4,0),2),"")</f>
        <v/>
      </c>
      <c r="K450" s="23" t="str">
        <f>IFERROR(_xlfn.RANK.EQ(J450,J:J),"")</f>
        <v/>
      </c>
      <c r="L450" s="43" t="str">
        <f>IFERROR(ROUND(VLOOKUP(A450,[1]man_journals!B:E,4,0),2),"")</f>
        <v/>
      </c>
      <c r="M450" s="26" t="str">
        <f>IFERROR(_xlfn.RANK.EQ(L450,L:L),"")</f>
        <v/>
      </c>
      <c r="N450" t="s">
        <v>1284</v>
      </c>
      <c r="O450" s="1" t="s">
        <v>1272</v>
      </c>
      <c r="P450" t="s">
        <v>1285</v>
      </c>
    </row>
    <row r="451" spans="1:17" x14ac:dyDescent="0.25">
      <c r="A451" t="s">
        <v>529</v>
      </c>
      <c r="B451" t="s">
        <v>1368</v>
      </c>
      <c r="C451" s="6">
        <f>IFERROR(VLOOKUP(A451,[1]eco_bus_journals!$B:$D,3,0),"")</f>
        <v>32</v>
      </c>
      <c r="D451" s="37">
        <f>IFERROR(ROUND(VLOOKUP(A451,[1]eco_bus_journals!$B:$X,4,0),2),"")</f>
        <v>0.09</v>
      </c>
      <c r="E451" s="37">
        <f>_xlfn.RANK.EQ(D451,D:D)</f>
        <v>484</v>
      </c>
      <c r="F451" s="44" t="str">
        <f>IFERROR(ROUND(VLOOKUP(A451,[1]eco_journals!B:E,4,0),2),"")</f>
        <v/>
      </c>
      <c r="G451" s="40" t="str">
        <f>IFERROR(_xlfn.RANK.EQ(F451,F:F),"")</f>
        <v/>
      </c>
      <c r="H451" s="46" t="str">
        <f>IFERROR(ROUND(VLOOKUP(A451,[1]fin_journals!B:E,4,0),2),"")</f>
        <v/>
      </c>
      <c r="I451" s="18" t="str">
        <f>IFERROR(_xlfn.RANK.EQ(H451,H:H),"")</f>
        <v/>
      </c>
      <c r="J451" s="42" t="str">
        <f>IFERROR(ROUND(VLOOKUP(A451,[1]bus_journals!B:E,4,0),2),"")</f>
        <v/>
      </c>
      <c r="K451" s="23" t="str">
        <f>IFERROR(_xlfn.RANK.EQ(J451,J:J),"")</f>
        <v/>
      </c>
      <c r="L451" s="43">
        <f>IFERROR(ROUND(VLOOKUP(A451,[1]man_journals!B:E,4,0),2),"")</f>
        <v>0.21</v>
      </c>
      <c r="M451" s="26">
        <f>IFERROR(_xlfn.RANK.EQ(L451,L:L),"")</f>
        <v>145</v>
      </c>
      <c r="N451" s="4" t="s">
        <v>1275</v>
      </c>
      <c r="O451" t="s">
        <v>1290</v>
      </c>
    </row>
    <row r="452" spans="1:17" x14ac:dyDescent="0.25">
      <c r="A452" t="s">
        <v>410</v>
      </c>
      <c r="B452" t="s">
        <v>1362</v>
      </c>
      <c r="C452" s="6">
        <f>IFERROR(VLOOKUP(A452,[1]eco_bus_journals!$B:$D,3,0),"")</f>
        <v>138</v>
      </c>
      <c r="D452" s="37">
        <f>IFERROR(ROUND(VLOOKUP(A452,[1]eco_bus_journals!$B:$X,4,0),2),"")</f>
        <v>0.12</v>
      </c>
      <c r="E452" s="37">
        <f>_xlfn.RANK.EQ(D452,D:D)</f>
        <v>445</v>
      </c>
      <c r="F452" s="44">
        <f>IFERROR(ROUND(VLOOKUP(A452,[1]eco_journals!B:E,4,0),2),"")</f>
        <v>0.11</v>
      </c>
      <c r="G452" s="40">
        <f>IFERROR(_xlfn.RANK.EQ(F452,F:F),"")</f>
        <v>212</v>
      </c>
      <c r="H452" s="46" t="str">
        <f>IFERROR(ROUND(VLOOKUP(A452,[1]fin_journals!B:E,4,0),2),"")</f>
        <v/>
      </c>
      <c r="I452" s="18" t="str">
        <f>IFERROR(_xlfn.RANK.EQ(H452,H:H),"")</f>
        <v/>
      </c>
      <c r="J452" s="42" t="str">
        <f>IFERROR(ROUND(VLOOKUP(A452,[1]bus_journals!B:E,4,0),2),"")</f>
        <v/>
      </c>
      <c r="K452" s="23" t="str">
        <f>IFERROR(_xlfn.RANK.EQ(J452,J:J),"")</f>
        <v/>
      </c>
      <c r="L452" s="43">
        <f>IFERROR(ROUND(VLOOKUP(A452,[1]man_journals!B:E,4,0),2),"")</f>
        <v>0.26</v>
      </c>
      <c r="M452" s="26">
        <f>IFERROR(_xlfn.RANK.EQ(L452,L:L),"")</f>
        <v>137</v>
      </c>
      <c r="N452" s="1" t="s">
        <v>1272</v>
      </c>
      <c r="O452" s="4" t="s">
        <v>1275</v>
      </c>
      <c r="P452" t="s">
        <v>1277</v>
      </c>
    </row>
    <row r="453" spans="1:17" x14ac:dyDescent="0.25">
      <c r="A453" t="s">
        <v>483</v>
      </c>
      <c r="B453" t="s">
        <v>1360</v>
      </c>
      <c r="C453" s="6">
        <f>IFERROR(VLOOKUP(A453,[1]eco_bus_journals!$B:$D,3,0),"")</f>
        <v>33</v>
      </c>
      <c r="D453" s="37">
        <f>IFERROR(ROUND(VLOOKUP(A453,[1]eco_bus_journals!$B:$X,4,0),2),"")</f>
        <v>0.12</v>
      </c>
      <c r="E453" s="37">
        <f>_xlfn.RANK.EQ(D453,D:D)</f>
        <v>445</v>
      </c>
      <c r="F453" s="44">
        <f>IFERROR(ROUND(VLOOKUP(A453,[1]eco_journals!B:E,4,0),2),"")</f>
        <v>0.11</v>
      </c>
      <c r="G453" s="40">
        <f>IFERROR(_xlfn.RANK.EQ(F453,F:F),"")</f>
        <v>212</v>
      </c>
      <c r="H453" s="46" t="str">
        <f>IFERROR(ROUND(VLOOKUP(A453,[1]fin_journals!B:E,4,0),2),"")</f>
        <v/>
      </c>
      <c r="I453" s="18" t="str">
        <f>IFERROR(_xlfn.RANK.EQ(H453,H:H),"")</f>
        <v/>
      </c>
      <c r="J453" s="42" t="str">
        <f>IFERROR(ROUND(VLOOKUP(A453,[1]bus_journals!B:E,4,0),2),"")</f>
        <v/>
      </c>
      <c r="K453" s="23" t="str">
        <f>IFERROR(_xlfn.RANK.EQ(J453,J:J),"")</f>
        <v/>
      </c>
      <c r="L453" s="43" t="str">
        <f>IFERROR(ROUND(VLOOKUP(A453,[1]man_journals!B:E,4,0),2),"")</f>
        <v/>
      </c>
      <c r="M453" s="26" t="str">
        <f>IFERROR(_xlfn.RANK.EQ(L453,L:L),"")</f>
        <v/>
      </c>
      <c r="N453" s="1" t="s">
        <v>1272</v>
      </c>
    </row>
    <row r="454" spans="1:17" x14ac:dyDescent="0.25">
      <c r="A454" t="s">
        <v>466</v>
      </c>
      <c r="B454" t="s">
        <v>1372</v>
      </c>
      <c r="C454" s="6">
        <f>IFERROR(VLOOKUP(A454,[1]eco_bus_journals!$B:$D,3,0),"")</f>
        <v>148</v>
      </c>
      <c r="D454" s="37">
        <f>IFERROR(ROUND(VLOOKUP(A454,[1]eco_bus_journals!$B:$X,4,0),2),"")</f>
        <v>0.11</v>
      </c>
      <c r="E454" s="37">
        <f>_xlfn.RANK.EQ(D454,D:D)</f>
        <v>458</v>
      </c>
      <c r="F454" s="44" t="str">
        <f>IFERROR(ROUND(VLOOKUP(A454,[1]eco_journals!B:E,4,0),2),"")</f>
        <v/>
      </c>
      <c r="G454" s="40" t="str">
        <f>IFERROR(_xlfn.RANK.EQ(F454,F:F),"")</f>
        <v/>
      </c>
      <c r="H454" s="46" t="str">
        <f>IFERROR(ROUND(VLOOKUP(A454,[1]fin_journals!B:E,4,0),2),"")</f>
        <v/>
      </c>
      <c r="I454" s="18" t="str">
        <f>IFERROR(_xlfn.RANK.EQ(H454,H:H),"")</f>
        <v/>
      </c>
      <c r="J454" s="42">
        <f>IFERROR(ROUND(VLOOKUP(A454,[1]bus_journals!B:E,4,0),2),"")</f>
        <v>0.25</v>
      </c>
      <c r="K454" s="23">
        <f>IFERROR(_xlfn.RANK.EQ(J454,J:J),"")</f>
        <v>119</v>
      </c>
      <c r="L454" s="43" t="str">
        <f>IFERROR(ROUND(VLOOKUP(A454,[1]man_journals!B:E,4,0),2),"")</f>
        <v/>
      </c>
      <c r="M454" s="26" t="str">
        <f>IFERROR(_xlfn.RANK.EQ(L454,L:L),"")</f>
        <v/>
      </c>
      <c r="N454" s="2" t="s">
        <v>1273</v>
      </c>
      <c r="O454" t="s">
        <v>1300</v>
      </c>
    </row>
    <row r="455" spans="1:17" x14ac:dyDescent="0.25">
      <c r="A455" t="s">
        <v>502</v>
      </c>
      <c r="B455" t="s">
        <v>1393</v>
      </c>
      <c r="C455" s="6">
        <f>IFERROR(VLOOKUP(A455,[1]eco_bus_journals!$B:$D,3,0),"")</f>
        <v>10</v>
      </c>
      <c r="D455" s="37">
        <f>IFERROR(ROUND(VLOOKUP(A455,[1]eco_bus_journals!$B:$X,4,0),2),"")</f>
        <v>0.1</v>
      </c>
      <c r="E455" s="37">
        <f>_xlfn.RANK.EQ(D455,D:D)</f>
        <v>465</v>
      </c>
      <c r="F455" s="44" t="str">
        <f>IFERROR(ROUND(VLOOKUP(A455,[1]eco_journals!B:E,4,0),2),"")</f>
        <v/>
      </c>
      <c r="G455" s="40" t="str">
        <f>IFERROR(_xlfn.RANK.EQ(F455,F:F),"")</f>
        <v/>
      </c>
      <c r="H455" s="46">
        <f>IFERROR(ROUND(VLOOKUP(A455,[1]fin_journals!B:E,4,0),2),"")</f>
        <v>0.28999999999999998</v>
      </c>
      <c r="I455" s="18">
        <f>IFERROR(_xlfn.RANK.EQ(H455,H:H),"")</f>
        <v>89</v>
      </c>
      <c r="J455" s="42" t="str">
        <f>IFERROR(ROUND(VLOOKUP(A455,[1]bus_journals!B:E,4,0),2),"")</f>
        <v/>
      </c>
      <c r="K455" s="23" t="str">
        <f>IFERROR(_xlfn.RANK.EQ(J455,J:J),"")</f>
        <v/>
      </c>
      <c r="L455" s="43" t="str">
        <f>IFERROR(ROUND(VLOOKUP(A455,[1]man_journals!B:E,4,0),2),"")</f>
        <v/>
      </c>
      <c r="M455" s="26" t="str">
        <f>IFERROR(_xlfn.RANK.EQ(L455,L:L),"")</f>
        <v/>
      </c>
      <c r="N455" s="3" t="s">
        <v>1274</v>
      </c>
    </row>
    <row r="456" spans="1:17" x14ac:dyDescent="0.25">
      <c r="A456" t="s">
        <v>377</v>
      </c>
      <c r="B456" t="s">
        <v>1372</v>
      </c>
      <c r="C456" s="6">
        <f>IFERROR(VLOOKUP(A456,[1]eco_bus_journals!$B:$D,3,0),"")</f>
        <v>36</v>
      </c>
      <c r="D456" s="37">
        <f>IFERROR(ROUND(VLOOKUP(A456,[1]eco_bus_journals!$B:$X,4,0),2),"")</f>
        <v>0.12</v>
      </c>
      <c r="E456" s="37">
        <f>_xlfn.RANK.EQ(D456,D:D)</f>
        <v>445</v>
      </c>
      <c r="F456" s="44" t="str">
        <f>IFERROR(ROUND(VLOOKUP(A456,[1]eco_journals!B:E,4,0),2),"")</f>
        <v/>
      </c>
      <c r="G456" s="40" t="str">
        <f>IFERROR(_xlfn.RANK.EQ(F456,F:F),"")</f>
        <v/>
      </c>
      <c r="H456" s="46" t="str">
        <f>IFERROR(ROUND(VLOOKUP(A456,[1]fin_journals!B:E,4,0),2),"")</f>
        <v/>
      </c>
      <c r="I456" s="18" t="str">
        <f>IFERROR(_xlfn.RANK.EQ(H456,H:H),"")</f>
        <v/>
      </c>
      <c r="J456" s="42" t="str">
        <f>IFERROR(ROUND(VLOOKUP(A456,[1]bus_journals!B:E,4,0),2),"")</f>
        <v/>
      </c>
      <c r="K456" s="23" t="str">
        <f>IFERROR(_xlfn.RANK.EQ(J456,J:J),"")</f>
        <v/>
      </c>
      <c r="L456" s="43">
        <f>IFERROR(ROUND(VLOOKUP(A456,[1]man_journals!B:E,4,0),2),"")</f>
        <v>0.26</v>
      </c>
      <c r="M456" s="26">
        <f>IFERROR(_xlfn.RANK.EQ(L456,L:L),"")</f>
        <v>137</v>
      </c>
      <c r="N456" s="4" t="s">
        <v>1275</v>
      </c>
    </row>
    <row r="457" spans="1:17" x14ac:dyDescent="0.25">
      <c r="A457" t="s">
        <v>395</v>
      </c>
      <c r="B457" t="s">
        <v>1370</v>
      </c>
      <c r="C457" s="6">
        <f>IFERROR(VLOOKUP(A457,[1]eco_bus_journals!$B:$D,3,0),"")</f>
        <v>32</v>
      </c>
      <c r="D457" s="37">
        <f>IFERROR(ROUND(VLOOKUP(A457,[1]eco_bus_journals!$B:$X,4,0),2),"")</f>
        <v>0.14000000000000001</v>
      </c>
      <c r="E457" s="37">
        <f>_xlfn.RANK.EQ(D457,D:D)</f>
        <v>413</v>
      </c>
      <c r="F457" s="44">
        <f>IFERROR(ROUND(VLOOKUP(A457,[1]eco_journals!B:E,4,0),2),"")</f>
        <v>0.09</v>
      </c>
      <c r="G457" s="40">
        <f>IFERROR(_xlfn.RANK.EQ(F457,F:F),"")</f>
        <v>225</v>
      </c>
      <c r="H457" s="46" t="str">
        <f>IFERROR(ROUND(VLOOKUP(A457,[1]fin_journals!B:E,4,0),2),"")</f>
        <v/>
      </c>
      <c r="I457" s="18" t="str">
        <f>IFERROR(_xlfn.RANK.EQ(H457,H:H),"")</f>
        <v/>
      </c>
      <c r="J457" s="42" t="str">
        <f>IFERROR(ROUND(VLOOKUP(A457,[1]bus_journals!B:E,4,0),2),"")</f>
        <v/>
      </c>
      <c r="K457" s="23" t="str">
        <f>IFERROR(_xlfn.RANK.EQ(J457,J:J),"")</f>
        <v/>
      </c>
      <c r="L457" s="43" t="str">
        <f>IFERROR(ROUND(VLOOKUP(A457,[1]man_journals!B:E,4,0),2),"")</f>
        <v/>
      </c>
      <c r="M457" s="26" t="str">
        <f>IFERROR(_xlfn.RANK.EQ(L457,L:L),"")</f>
        <v/>
      </c>
      <c r="N457" s="1" t="s">
        <v>1272</v>
      </c>
      <c r="O457" t="s">
        <v>1283</v>
      </c>
    </row>
    <row r="458" spans="1:17" x14ac:dyDescent="0.25">
      <c r="A458" t="s">
        <v>469</v>
      </c>
      <c r="B458" t="s">
        <v>1358</v>
      </c>
      <c r="C458" s="6">
        <f>IFERROR(VLOOKUP(A458,[1]eco_bus_journals!$B:$D,3,0),"")</f>
        <v>24</v>
      </c>
      <c r="D458" s="37">
        <f>IFERROR(ROUND(VLOOKUP(A458,[1]eco_bus_journals!$B:$X,4,0),2),"")</f>
        <v>0.13</v>
      </c>
      <c r="E458" s="37">
        <f>_xlfn.RANK.EQ(D458,D:D)</f>
        <v>433</v>
      </c>
      <c r="F458" s="44">
        <f>IFERROR(ROUND(VLOOKUP(A458,[1]eco_journals!B:E,4,0),2),"")</f>
        <v>0.09</v>
      </c>
      <c r="G458" s="40">
        <f>IFERROR(_xlfn.RANK.EQ(F458,F:F),"")</f>
        <v>225</v>
      </c>
      <c r="H458" s="46" t="str">
        <f>IFERROR(ROUND(VLOOKUP(A458,[1]fin_journals!B:E,4,0),2),"")</f>
        <v/>
      </c>
      <c r="I458" s="18" t="str">
        <f>IFERROR(_xlfn.RANK.EQ(H458,H:H),"")</f>
        <v/>
      </c>
      <c r="J458" s="42" t="str">
        <f>IFERROR(ROUND(VLOOKUP(A458,[1]bus_journals!B:E,4,0),2),"")</f>
        <v/>
      </c>
      <c r="K458" s="23" t="str">
        <f>IFERROR(_xlfn.RANK.EQ(J458,J:J),"")</f>
        <v/>
      </c>
      <c r="L458" s="43" t="str">
        <f>IFERROR(ROUND(VLOOKUP(A458,[1]man_journals!B:E,4,0),2),"")</f>
        <v/>
      </c>
      <c r="M458" s="26" t="str">
        <f>IFERROR(_xlfn.RANK.EQ(L458,L:L),"")</f>
        <v/>
      </c>
      <c r="N458" t="s">
        <v>1284</v>
      </c>
      <c r="O458" s="1" t="s">
        <v>1272</v>
      </c>
      <c r="P458" t="s">
        <v>1285</v>
      </c>
      <c r="Q458" t="s">
        <v>1288</v>
      </c>
    </row>
    <row r="459" spans="1:17" x14ac:dyDescent="0.25">
      <c r="A459" t="s">
        <v>381</v>
      </c>
      <c r="B459" t="s">
        <v>1371</v>
      </c>
      <c r="C459" s="6">
        <f>IFERROR(VLOOKUP(A459,[1]eco_bus_journals!$B:$D,3,0),"")</f>
        <v>245</v>
      </c>
      <c r="D459" s="37">
        <f>IFERROR(ROUND(VLOOKUP(A459,[1]eco_bus_journals!$B:$X,4,0),2),"")</f>
        <v>0.1</v>
      </c>
      <c r="E459" s="37">
        <f>_xlfn.RANK.EQ(D459,D:D)</f>
        <v>465</v>
      </c>
      <c r="F459" s="44" t="str">
        <f>IFERROR(ROUND(VLOOKUP(A459,[1]eco_journals!B:E,4,0),2),"")</f>
        <v/>
      </c>
      <c r="G459" s="40" t="str">
        <f>IFERROR(_xlfn.RANK.EQ(F459,F:F),"")</f>
        <v/>
      </c>
      <c r="H459" s="46" t="str">
        <f>IFERROR(ROUND(VLOOKUP(A459,[1]fin_journals!B:E,4,0),2),"")</f>
        <v/>
      </c>
      <c r="I459" s="18" t="str">
        <f>IFERROR(_xlfn.RANK.EQ(H459,H:H),"")</f>
        <v/>
      </c>
      <c r="J459" s="42" t="str">
        <f>IFERROR(ROUND(VLOOKUP(A459,[1]bus_journals!B:E,4,0),2),"")</f>
        <v/>
      </c>
      <c r="K459" s="23" t="str">
        <f>IFERROR(_xlfn.RANK.EQ(J459,J:J),"")</f>
        <v/>
      </c>
      <c r="L459" s="43">
        <f>IFERROR(ROUND(VLOOKUP(A459,[1]man_journals!B:E,4,0),2),"")</f>
        <v>0.26</v>
      </c>
      <c r="M459" s="26">
        <f>IFERROR(_xlfn.RANK.EQ(L459,L:L),"")</f>
        <v>137</v>
      </c>
      <c r="N459" t="s">
        <v>1323</v>
      </c>
      <c r="O459" t="s">
        <v>1282</v>
      </c>
      <c r="P459" s="4" t="s">
        <v>1275</v>
      </c>
    </row>
    <row r="460" spans="1:17" x14ac:dyDescent="0.25">
      <c r="A460" t="s">
        <v>448</v>
      </c>
      <c r="B460" t="s">
        <v>1370</v>
      </c>
      <c r="C460" s="6">
        <f>IFERROR(VLOOKUP(A460,[1]eco_bus_journals!$B:$D,3,0),"")</f>
        <v>30</v>
      </c>
      <c r="D460" s="37">
        <f>IFERROR(ROUND(VLOOKUP(A460,[1]eco_bus_journals!$B:$X,4,0),2),"")</f>
        <v>0.1</v>
      </c>
      <c r="E460" s="37">
        <f>_xlfn.RANK.EQ(D460,D:D)</f>
        <v>465</v>
      </c>
      <c r="F460" s="44">
        <f>IFERROR(ROUND(VLOOKUP(A460,[1]eco_journals!B:E,4,0),2),"")</f>
        <v>0.09</v>
      </c>
      <c r="G460" s="40">
        <f>IFERROR(_xlfn.RANK.EQ(F460,F:F),"")</f>
        <v>225</v>
      </c>
      <c r="H460" s="46" t="str">
        <f>IFERROR(ROUND(VLOOKUP(A460,[1]fin_journals!B:E,4,0),2),"")</f>
        <v/>
      </c>
      <c r="I460" s="18" t="str">
        <f>IFERROR(_xlfn.RANK.EQ(H460,H:H),"")</f>
        <v/>
      </c>
      <c r="J460" s="42" t="str">
        <f>IFERROR(ROUND(VLOOKUP(A460,[1]bus_journals!B:E,4,0),2),"")</f>
        <v/>
      </c>
      <c r="K460" s="23" t="str">
        <f>IFERROR(_xlfn.RANK.EQ(J460,J:J),"")</f>
        <v/>
      </c>
      <c r="L460" s="43" t="str">
        <f>IFERROR(ROUND(VLOOKUP(A460,[1]man_journals!B:E,4,0),2),"")</f>
        <v/>
      </c>
      <c r="M460" s="26" t="str">
        <f>IFERROR(_xlfn.RANK.EQ(L460,L:L),"")</f>
        <v/>
      </c>
      <c r="N460" s="1" t="s">
        <v>1272</v>
      </c>
      <c r="O460" t="s">
        <v>1293</v>
      </c>
    </row>
    <row r="461" spans="1:17" x14ac:dyDescent="0.25">
      <c r="A461" t="s">
        <v>396</v>
      </c>
      <c r="B461" t="s">
        <v>1385</v>
      </c>
      <c r="C461" s="6">
        <f>IFERROR(VLOOKUP(A461,[1]eco_bus_journals!$B:$D,3,0),"")</f>
        <v>44</v>
      </c>
      <c r="D461" s="37">
        <f>IFERROR(ROUND(VLOOKUP(A461,[1]eco_bus_journals!$B:$X,4,0),2),"")</f>
        <v>0.1</v>
      </c>
      <c r="E461" s="37">
        <f>_xlfn.RANK.EQ(D461,D:D)</f>
        <v>465</v>
      </c>
      <c r="F461" s="44" t="str">
        <f>IFERROR(ROUND(VLOOKUP(A461,[1]eco_journals!B:E,4,0),2),"")</f>
        <v/>
      </c>
      <c r="G461" s="40" t="str">
        <f>IFERROR(_xlfn.RANK.EQ(F461,F:F),"")</f>
        <v/>
      </c>
      <c r="H461" s="46" t="str">
        <f>IFERROR(ROUND(VLOOKUP(A461,[1]fin_journals!B:E,4,0),2),"")</f>
        <v/>
      </c>
      <c r="I461" s="18" t="str">
        <f>IFERROR(_xlfn.RANK.EQ(H461,H:H),"")</f>
        <v/>
      </c>
      <c r="J461" s="42" t="str">
        <f>IFERROR(ROUND(VLOOKUP(A461,[1]bus_journals!B:E,4,0),2),"")</f>
        <v/>
      </c>
      <c r="K461" s="23" t="str">
        <f>IFERROR(_xlfn.RANK.EQ(J461,J:J),"")</f>
        <v/>
      </c>
      <c r="L461" s="43">
        <f>IFERROR(ROUND(VLOOKUP(A461,[1]man_journals!B:E,4,0),2),"")</f>
        <v>0.21</v>
      </c>
      <c r="M461" s="26">
        <f>IFERROR(_xlfn.RANK.EQ(L461,L:L),"")</f>
        <v>145</v>
      </c>
      <c r="N461" s="4" t="s">
        <v>1275</v>
      </c>
    </row>
    <row r="462" spans="1:17" x14ac:dyDescent="0.25">
      <c r="A462" t="s">
        <v>385</v>
      </c>
      <c r="B462" t="s">
        <v>1363</v>
      </c>
      <c r="C462" s="6">
        <f>IFERROR(VLOOKUP(A462,[1]eco_bus_journals!$B:$D,3,0),"")</f>
        <v>34</v>
      </c>
      <c r="D462" s="37">
        <f>IFERROR(ROUND(VLOOKUP(A462,[1]eco_bus_journals!$B:$X,4,0),2),"")</f>
        <v>0.12</v>
      </c>
      <c r="E462" s="37">
        <f>_xlfn.RANK.EQ(D462,D:D)</f>
        <v>445</v>
      </c>
      <c r="F462" s="44" t="str">
        <f>IFERROR(ROUND(VLOOKUP(A462,[1]eco_journals!B:E,4,0),2),"")</f>
        <v/>
      </c>
      <c r="G462" s="40" t="str">
        <f>IFERROR(_xlfn.RANK.EQ(F462,F:F),"")</f>
        <v/>
      </c>
      <c r="H462" s="46" t="str">
        <f>IFERROR(ROUND(VLOOKUP(A462,[1]fin_journals!B:E,4,0),2),"")</f>
        <v/>
      </c>
      <c r="I462" s="18" t="str">
        <f>IFERROR(_xlfn.RANK.EQ(H462,H:H),"")</f>
        <v/>
      </c>
      <c r="J462" s="42">
        <f>IFERROR(ROUND(VLOOKUP(A462,[1]bus_journals!B:E,4,0),2),"")</f>
        <v>0.24</v>
      </c>
      <c r="K462" s="23">
        <f>IFERROR(_xlfn.RANK.EQ(J462,J:J),"")</f>
        <v>121</v>
      </c>
      <c r="L462" s="43">
        <f>IFERROR(ROUND(VLOOKUP(A462,[1]man_journals!B:E,4,0),2),"")</f>
        <v>0.2</v>
      </c>
      <c r="M462" s="26">
        <f>IFERROR(_xlfn.RANK.EQ(L462,L:L),"")</f>
        <v>149</v>
      </c>
      <c r="N462" s="2" t="s">
        <v>1273</v>
      </c>
      <c r="O462" s="4" t="s">
        <v>1275</v>
      </c>
    </row>
    <row r="463" spans="1:17" x14ac:dyDescent="0.25">
      <c r="A463" t="s">
        <v>397</v>
      </c>
      <c r="B463" t="s">
        <v>1366</v>
      </c>
      <c r="C463" s="6">
        <f>IFERROR(VLOOKUP(A463,[1]eco_bus_journals!$B:$D,3,0),"")</f>
        <v>26</v>
      </c>
      <c r="D463" s="37">
        <f>IFERROR(ROUND(VLOOKUP(A463,[1]eco_bus_journals!$B:$X,4,0),2),"")</f>
        <v>0.14000000000000001</v>
      </c>
      <c r="E463" s="37">
        <f>_xlfn.RANK.EQ(D463,D:D)</f>
        <v>413</v>
      </c>
      <c r="F463" s="44" t="str">
        <f>IFERROR(ROUND(VLOOKUP(A463,[1]eco_journals!B:E,4,0),2),"")</f>
        <v/>
      </c>
      <c r="G463" s="40" t="str">
        <f>IFERROR(_xlfn.RANK.EQ(F463,F:F),"")</f>
        <v/>
      </c>
      <c r="H463" s="46" t="str">
        <f>IFERROR(ROUND(VLOOKUP(A463,[1]fin_journals!B:E,4,0),2),"")</f>
        <v/>
      </c>
      <c r="I463" s="18" t="str">
        <f>IFERROR(_xlfn.RANK.EQ(H463,H:H),"")</f>
        <v/>
      </c>
      <c r="J463" s="42" t="str">
        <f>IFERROR(ROUND(VLOOKUP(A463,[1]bus_journals!B:E,4,0),2),"")</f>
        <v/>
      </c>
      <c r="K463" s="23" t="str">
        <f>IFERROR(_xlfn.RANK.EQ(J463,J:J),"")</f>
        <v/>
      </c>
      <c r="L463" s="43">
        <f>IFERROR(ROUND(VLOOKUP(A463,[1]man_journals!B:E,4,0),2),"")</f>
        <v>0.28999999999999998</v>
      </c>
      <c r="M463" s="26">
        <f>IFERROR(_xlfn.RANK.EQ(L463,L:L),"")</f>
        <v>131</v>
      </c>
      <c r="N463" s="4" t="s">
        <v>1275</v>
      </c>
      <c r="O463" t="s">
        <v>1277</v>
      </c>
    </row>
    <row r="464" spans="1:17" x14ac:dyDescent="0.25">
      <c r="A464" t="s">
        <v>400</v>
      </c>
      <c r="B464" t="s">
        <v>1371</v>
      </c>
      <c r="C464" s="6">
        <f>IFERROR(VLOOKUP(A464,[1]eco_bus_journals!$B:$D,3,0),"")</f>
        <v>49</v>
      </c>
      <c r="D464" s="37">
        <f>IFERROR(ROUND(VLOOKUP(A464,[1]eco_bus_journals!$B:$X,4,0),2),"")</f>
        <v>0.12</v>
      </c>
      <c r="E464" s="37">
        <f>_xlfn.RANK.EQ(D464,D:D)</f>
        <v>445</v>
      </c>
      <c r="F464" s="44" t="str">
        <f>IFERROR(ROUND(VLOOKUP(A464,[1]eco_journals!B:E,4,0),2),"")</f>
        <v/>
      </c>
      <c r="G464" s="40" t="str">
        <f>IFERROR(_xlfn.RANK.EQ(F464,F:F),"")</f>
        <v/>
      </c>
      <c r="H464" s="46" t="str">
        <f>IFERROR(ROUND(VLOOKUP(A464,[1]fin_journals!B:E,4,0),2),"")</f>
        <v/>
      </c>
      <c r="I464" s="18" t="str">
        <f>IFERROR(_xlfn.RANK.EQ(H464,H:H),"")</f>
        <v/>
      </c>
      <c r="J464" s="42" t="str">
        <f>IFERROR(ROUND(VLOOKUP(A464,[1]bus_journals!B:E,4,0),2),"")</f>
        <v/>
      </c>
      <c r="K464" s="23" t="str">
        <f>IFERROR(_xlfn.RANK.EQ(J464,J:J),"")</f>
        <v/>
      </c>
      <c r="L464" s="43">
        <f>IFERROR(ROUND(VLOOKUP(A464,[1]man_journals!B:E,4,0),2),"")</f>
        <v>0.31</v>
      </c>
      <c r="M464" s="26">
        <f>IFERROR(_xlfn.RANK.EQ(L464,L:L),"")</f>
        <v>126</v>
      </c>
      <c r="N464" t="s">
        <v>1282</v>
      </c>
      <c r="O464" s="4" t="s">
        <v>1275</v>
      </c>
    </row>
    <row r="465" spans="1:16" x14ac:dyDescent="0.25">
      <c r="A465" t="s">
        <v>506</v>
      </c>
      <c r="B465" t="s">
        <v>1363</v>
      </c>
      <c r="C465" s="6">
        <f>IFERROR(VLOOKUP(A465,[1]eco_bus_journals!$B:$D,3,0),"")</f>
        <v>37</v>
      </c>
      <c r="D465" s="37">
        <f>IFERROR(ROUND(VLOOKUP(A465,[1]eco_bus_journals!$B:$X,4,0),2),"")</f>
        <v>0.1</v>
      </c>
      <c r="E465" s="37">
        <f>_xlfn.RANK.EQ(D465,D:D)</f>
        <v>465</v>
      </c>
      <c r="F465" s="44">
        <f>IFERROR(ROUND(VLOOKUP(A465,[1]eco_journals!B:E,4,0),2),"")</f>
        <v>0.11</v>
      </c>
      <c r="G465" s="40">
        <f>IFERROR(_xlfn.RANK.EQ(F465,F:F),"")</f>
        <v>212</v>
      </c>
      <c r="H465" s="46" t="str">
        <f>IFERROR(ROUND(VLOOKUP(A465,[1]fin_journals!B:E,4,0),2),"")</f>
        <v/>
      </c>
      <c r="I465" s="18" t="str">
        <f>IFERROR(_xlfn.RANK.EQ(H465,H:H),"")</f>
        <v/>
      </c>
      <c r="J465" s="42" t="str">
        <f>IFERROR(ROUND(VLOOKUP(A465,[1]bus_journals!B:E,4,0),2),"")</f>
        <v/>
      </c>
      <c r="K465" s="23" t="str">
        <f>IFERROR(_xlfn.RANK.EQ(J465,J:J),"")</f>
        <v/>
      </c>
      <c r="L465" s="43" t="str">
        <f>IFERROR(ROUND(VLOOKUP(A465,[1]man_journals!B:E,4,0),2),"")</f>
        <v/>
      </c>
      <c r="M465" s="26" t="str">
        <f>IFERROR(_xlfn.RANK.EQ(L465,L:L),"")</f>
        <v/>
      </c>
      <c r="N465" s="1" t="s">
        <v>1272</v>
      </c>
    </row>
    <row r="466" spans="1:16" x14ac:dyDescent="0.25">
      <c r="A466" t="s">
        <v>418</v>
      </c>
      <c r="B466" t="s">
        <v>1372</v>
      </c>
      <c r="C466" s="6">
        <f>IFERROR(VLOOKUP(A466,[1]eco_bus_journals!$B:$D,3,0),"")</f>
        <v>24</v>
      </c>
      <c r="D466" s="37">
        <f>IFERROR(ROUND(VLOOKUP(A466,[1]eco_bus_journals!$B:$X,4,0),2),"")</f>
        <v>0.1</v>
      </c>
      <c r="E466" s="37">
        <f>_xlfn.RANK.EQ(D466,D:D)</f>
        <v>465</v>
      </c>
      <c r="F466" s="44" t="str">
        <f>IFERROR(ROUND(VLOOKUP(A466,[1]eco_journals!B:E,4,0),2),"")</f>
        <v/>
      </c>
      <c r="G466" s="40" t="str">
        <f>IFERROR(_xlfn.RANK.EQ(F466,F:F),"")</f>
        <v/>
      </c>
      <c r="H466" s="46" t="str">
        <f>IFERROR(ROUND(VLOOKUP(A466,[1]fin_journals!B:E,4,0),2),"")</f>
        <v/>
      </c>
      <c r="I466" s="18" t="str">
        <f>IFERROR(_xlfn.RANK.EQ(H466,H:H),"")</f>
        <v/>
      </c>
      <c r="J466" s="42">
        <f>IFERROR(ROUND(VLOOKUP(A466,[1]bus_journals!B:E,4,0),2),"")</f>
        <v>0.31</v>
      </c>
      <c r="K466" s="23">
        <f>IFERROR(_xlfn.RANK.EQ(J466,J:J),"")</f>
        <v>111</v>
      </c>
      <c r="L466" s="43" t="str">
        <f>IFERROR(ROUND(VLOOKUP(A466,[1]man_journals!B:E,4,0),2),"")</f>
        <v/>
      </c>
      <c r="M466" s="26" t="str">
        <f>IFERROR(_xlfn.RANK.EQ(L466,L:L),"")</f>
        <v/>
      </c>
      <c r="N466" s="2" t="s">
        <v>1273</v>
      </c>
    </row>
    <row r="467" spans="1:16" x14ac:dyDescent="0.25">
      <c r="A467" t="s">
        <v>507</v>
      </c>
      <c r="B467" t="s">
        <v>1359</v>
      </c>
      <c r="C467" s="6">
        <f>IFERROR(VLOOKUP(A467,[1]eco_bus_journals!$B:$D,3,0),"")</f>
        <v>15</v>
      </c>
      <c r="D467" s="37">
        <f>IFERROR(ROUND(VLOOKUP(A467,[1]eco_bus_journals!$B:$X,4,0),2),"")</f>
        <v>0.1</v>
      </c>
      <c r="E467" s="37">
        <f>_xlfn.RANK.EQ(D467,D:D)</f>
        <v>465</v>
      </c>
      <c r="F467" s="44">
        <f>IFERROR(ROUND(VLOOKUP(A467,[1]eco_journals!B:E,4,0),2),"")</f>
        <v>0.11</v>
      </c>
      <c r="G467" s="40">
        <f>IFERROR(_xlfn.RANK.EQ(F467,F:F),"")</f>
        <v>212</v>
      </c>
      <c r="H467" s="46" t="str">
        <f>IFERROR(ROUND(VLOOKUP(A467,[1]fin_journals!B:E,4,0),2),"")</f>
        <v/>
      </c>
      <c r="I467" s="18" t="str">
        <f>IFERROR(_xlfn.RANK.EQ(H467,H:H),"")</f>
        <v/>
      </c>
      <c r="J467" s="42" t="str">
        <f>IFERROR(ROUND(VLOOKUP(A467,[1]bus_journals!B:E,4,0),2),"")</f>
        <v/>
      </c>
      <c r="K467" s="23" t="str">
        <f>IFERROR(_xlfn.RANK.EQ(J467,J:J),"")</f>
        <v/>
      </c>
      <c r="L467" s="43" t="str">
        <f>IFERROR(ROUND(VLOOKUP(A467,[1]man_journals!B:E,4,0),2),"")</f>
        <v/>
      </c>
      <c r="M467" s="26" t="str">
        <f>IFERROR(_xlfn.RANK.EQ(L467,L:L),"")</f>
        <v/>
      </c>
      <c r="N467" s="1" t="s">
        <v>1272</v>
      </c>
    </row>
    <row r="468" spans="1:16" x14ac:dyDescent="0.25">
      <c r="A468" t="s">
        <v>528</v>
      </c>
      <c r="B468" t="s">
        <v>1396</v>
      </c>
      <c r="C468" s="6">
        <f>IFERROR(VLOOKUP(A468,[1]eco_bus_journals!$B:$D,3,0),"")</f>
        <v>26</v>
      </c>
      <c r="D468" s="37">
        <f>IFERROR(ROUND(VLOOKUP(A468,[1]eco_bus_journals!$B:$X,4,0),2),"")</f>
        <v>0.14000000000000001</v>
      </c>
      <c r="E468" s="37">
        <f>_xlfn.RANK.EQ(D468,D:D)</f>
        <v>413</v>
      </c>
      <c r="F468" s="44">
        <f>IFERROR(ROUND(VLOOKUP(A468,[1]eco_journals!B:E,4,0),2),"")</f>
        <v>0.15</v>
      </c>
      <c r="G468" s="40">
        <f>IFERROR(_xlfn.RANK.EQ(F468,F:F),"")</f>
        <v>170</v>
      </c>
      <c r="H468" s="46" t="str">
        <f>IFERROR(ROUND(VLOOKUP(A468,[1]fin_journals!B:E,4,0),2),"")</f>
        <v/>
      </c>
      <c r="I468" s="18" t="str">
        <f>IFERROR(_xlfn.RANK.EQ(H468,H:H),"")</f>
        <v/>
      </c>
      <c r="J468" s="42" t="str">
        <f>IFERROR(ROUND(VLOOKUP(A468,[1]bus_journals!B:E,4,0),2),"")</f>
        <v/>
      </c>
      <c r="K468" s="23" t="str">
        <f>IFERROR(_xlfn.RANK.EQ(J468,J:J),"")</f>
        <v/>
      </c>
      <c r="L468" s="43" t="str">
        <f>IFERROR(ROUND(VLOOKUP(A468,[1]man_journals!B:E,4,0),2),"")</f>
        <v/>
      </c>
      <c r="M468" s="26" t="str">
        <f>IFERROR(_xlfn.RANK.EQ(L468,L:L),"")</f>
        <v/>
      </c>
      <c r="N468" s="1" t="s">
        <v>1272</v>
      </c>
    </row>
    <row r="469" spans="1:16" x14ac:dyDescent="0.25">
      <c r="A469" t="s">
        <v>522</v>
      </c>
      <c r="B469" t="s">
        <v>1358</v>
      </c>
      <c r="C469" s="6">
        <f>IFERROR(VLOOKUP(A469,[1]eco_bus_journals!$B:$D,3,0),"")</f>
        <v>43</v>
      </c>
      <c r="D469" s="37">
        <f>IFERROR(ROUND(VLOOKUP(A469,[1]eco_bus_journals!$B:$X,4,0),2),"")</f>
        <v>0.14000000000000001</v>
      </c>
      <c r="E469" s="37">
        <f>_xlfn.RANK.EQ(D469,D:D)</f>
        <v>413</v>
      </c>
      <c r="F469" s="44">
        <f>IFERROR(ROUND(VLOOKUP(A469,[1]eco_journals!B:E,4,0),2),"")</f>
        <v>0.16</v>
      </c>
      <c r="G469" s="40">
        <f>IFERROR(_xlfn.RANK.EQ(F469,F:F),"")</f>
        <v>165</v>
      </c>
      <c r="H469" s="46" t="str">
        <f>IFERROR(ROUND(VLOOKUP(A469,[1]fin_journals!B:E,4,0),2),"")</f>
        <v/>
      </c>
      <c r="I469" s="18" t="str">
        <f>IFERROR(_xlfn.RANK.EQ(H469,H:H),"")</f>
        <v/>
      </c>
      <c r="J469" s="42" t="str">
        <f>IFERROR(ROUND(VLOOKUP(A469,[1]bus_journals!B:E,4,0),2),"")</f>
        <v/>
      </c>
      <c r="K469" s="23" t="str">
        <f>IFERROR(_xlfn.RANK.EQ(J469,J:J),"")</f>
        <v/>
      </c>
      <c r="L469" s="43" t="str">
        <f>IFERROR(ROUND(VLOOKUP(A469,[1]man_journals!B:E,4,0),2),"")</f>
        <v/>
      </c>
      <c r="M469" s="26" t="str">
        <f>IFERROR(_xlfn.RANK.EQ(L469,L:L),"")</f>
        <v/>
      </c>
      <c r="N469" s="1" t="s">
        <v>1272</v>
      </c>
      <c r="O469" t="s">
        <v>1301</v>
      </c>
    </row>
    <row r="470" spans="1:16" x14ac:dyDescent="0.25">
      <c r="A470" t="s">
        <v>459</v>
      </c>
      <c r="B470" t="s">
        <v>1363</v>
      </c>
      <c r="C470" s="6">
        <f>IFERROR(VLOOKUP(A470,[1]eco_bus_journals!$B:$D,3,0),"")</f>
        <v>12</v>
      </c>
      <c r="D470" s="37">
        <f>IFERROR(ROUND(VLOOKUP(A470,[1]eco_bus_journals!$B:$X,4,0),2),"")</f>
        <v>0.13</v>
      </c>
      <c r="E470" s="37">
        <f>_xlfn.RANK.EQ(D470,D:D)</f>
        <v>433</v>
      </c>
      <c r="F470" s="44">
        <f>IFERROR(ROUND(VLOOKUP(A470,[1]eco_journals!B:E,4,0),2),"")</f>
        <v>0.15</v>
      </c>
      <c r="G470" s="40">
        <f>IFERROR(_xlfn.RANK.EQ(F470,F:F),"")</f>
        <v>170</v>
      </c>
      <c r="H470" s="46" t="str">
        <f>IFERROR(ROUND(VLOOKUP(A470,[1]fin_journals!B:E,4,0),2),"")</f>
        <v/>
      </c>
      <c r="I470" s="18" t="str">
        <f>IFERROR(_xlfn.RANK.EQ(H470,H:H),"")</f>
        <v/>
      </c>
      <c r="J470" s="42" t="str">
        <f>IFERROR(ROUND(VLOOKUP(A470,[1]bus_journals!B:E,4,0),2),"")</f>
        <v/>
      </c>
      <c r="K470" s="23" t="str">
        <f>IFERROR(_xlfn.RANK.EQ(J470,J:J),"")</f>
        <v/>
      </c>
      <c r="L470" s="43" t="str">
        <f>IFERROR(ROUND(VLOOKUP(A470,[1]man_journals!B:E,4,0),2),"")</f>
        <v/>
      </c>
      <c r="M470" s="26" t="str">
        <f>IFERROR(_xlfn.RANK.EQ(L470,L:L),"")</f>
        <v/>
      </c>
      <c r="N470" s="1" t="s">
        <v>1272</v>
      </c>
    </row>
    <row r="471" spans="1:16" x14ac:dyDescent="0.25">
      <c r="A471" t="s">
        <v>465</v>
      </c>
      <c r="B471" t="s">
        <v>1360</v>
      </c>
      <c r="C471" s="6">
        <f>IFERROR(VLOOKUP(A471,[1]eco_bus_journals!$B:$D,3,0),"")</f>
        <v>46</v>
      </c>
      <c r="D471" s="37">
        <f>IFERROR(ROUND(VLOOKUP(A471,[1]eco_bus_journals!$B:$X,4,0),2),"")</f>
        <v>0.09</v>
      </c>
      <c r="E471" s="37">
        <f>_xlfn.RANK.EQ(D471,D:D)</f>
        <v>484</v>
      </c>
      <c r="F471" s="44">
        <f>IFERROR(ROUND(VLOOKUP(A471,[1]eco_journals!B:E,4,0),2),"")</f>
        <v>7.0000000000000007E-2</v>
      </c>
      <c r="G471" s="40">
        <f>IFERROR(_xlfn.RANK.EQ(F471,F:F),"")</f>
        <v>247</v>
      </c>
      <c r="H471" s="46" t="str">
        <f>IFERROR(ROUND(VLOOKUP(A471,[1]fin_journals!B:E,4,0),2),"")</f>
        <v/>
      </c>
      <c r="I471" s="18" t="str">
        <f>IFERROR(_xlfn.RANK.EQ(H471,H:H),"")</f>
        <v/>
      </c>
      <c r="J471" s="42" t="str">
        <f>IFERROR(ROUND(VLOOKUP(A471,[1]bus_journals!B:E,4,0),2),"")</f>
        <v/>
      </c>
      <c r="K471" s="23" t="str">
        <f>IFERROR(_xlfn.RANK.EQ(J471,J:J),"")</f>
        <v/>
      </c>
      <c r="L471" s="43" t="str">
        <f>IFERROR(ROUND(VLOOKUP(A471,[1]man_journals!B:E,4,0),2),"")</f>
        <v/>
      </c>
      <c r="M471" s="26" t="str">
        <f>IFERROR(_xlfn.RANK.EQ(L471,L:L),"")</f>
        <v/>
      </c>
      <c r="N471" s="1" t="s">
        <v>1272</v>
      </c>
    </row>
    <row r="472" spans="1:16" x14ac:dyDescent="0.25">
      <c r="A472" t="s">
        <v>414</v>
      </c>
      <c r="B472" t="s">
        <v>1360</v>
      </c>
      <c r="C472" s="6">
        <f>IFERROR(VLOOKUP(A472,[1]eco_bus_journals!$B:$D,3,0),"")</f>
        <v>41</v>
      </c>
      <c r="D472" s="37">
        <f>IFERROR(ROUND(VLOOKUP(A472,[1]eco_bus_journals!$B:$X,4,0),2),"")</f>
        <v>0.1</v>
      </c>
      <c r="E472" s="37">
        <f>_xlfn.RANK.EQ(D472,D:D)</f>
        <v>465</v>
      </c>
      <c r="F472" s="44" t="str">
        <f>IFERROR(ROUND(VLOOKUP(A472,[1]eco_journals!B:E,4,0),2),"")</f>
        <v/>
      </c>
      <c r="G472" s="40" t="str">
        <f>IFERROR(_xlfn.RANK.EQ(F472,F:F),"")</f>
        <v/>
      </c>
      <c r="H472" s="46" t="str">
        <f>IFERROR(ROUND(VLOOKUP(A472,[1]fin_journals!B:E,4,0),2),"")</f>
        <v/>
      </c>
      <c r="I472" s="18" t="str">
        <f>IFERROR(_xlfn.RANK.EQ(H472,H:H),"")</f>
        <v/>
      </c>
      <c r="J472" s="42">
        <f>IFERROR(ROUND(VLOOKUP(A472,[1]bus_journals!B:E,4,0),2),"")</f>
        <v>0.21</v>
      </c>
      <c r="K472" s="23">
        <f>IFERROR(_xlfn.RANK.EQ(J472,J:J),"")</f>
        <v>123</v>
      </c>
      <c r="L472" s="43">
        <f>IFERROR(ROUND(VLOOKUP(A472,[1]man_journals!B:E,4,0),2),"")</f>
        <v>0.18</v>
      </c>
      <c r="M472" s="26">
        <f>IFERROR(_xlfn.RANK.EQ(L472,L:L),"")</f>
        <v>152</v>
      </c>
      <c r="N472" s="2" t="s">
        <v>1273</v>
      </c>
      <c r="O472" s="4" t="s">
        <v>1275</v>
      </c>
    </row>
    <row r="473" spans="1:16" x14ac:dyDescent="0.25">
      <c r="A473" t="s">
        <v>467</v>
      </c>
      <c r="B473" t="s">
        <v>1363</v>
      </c>
      <c r="C473" s="6">
        <f>IFERROR(VLOOKUP(A473,[1]eco_bus_journals!$B:$D,3,0),"")</f>
        <v>163</v>
      </c>
      <c r="D473" s="37">
        <f>IFERROR(ROUND(VLOOKUP(A473,[1]eco_bus_journals!$B:$X,4,0),2),"")</f>
        <v>0.09</v>
      </c>
      <c r="E473" s="37">
        <f>_xlfn.RANK.EQ(D473,D:D)</f>
        <v>484</v>
      </c>
      <c r="F473" s="44">
        <f>IFERROR(ROUND(VLOOKUP(A473,[1]eco_journals!B:E,4,0),2),"")</f>
        <v>0.09</v>
      </c>
      <c r="G473" s="40">
        <f>IFERROR(_xlfn.RANK.EQ(F473,F:F),"")</f>
        <v>225</v>
      </c>
      <c r="H473" s="46" t="str">
        <f>IFERROR(ROUND(VLOOKUP(A473,[1]fin_journals!B:E,4,0),2),"")</f>
        <v/>
      </c>
      <c r="I473" s="18" t="str">
        <f>IFERROR(_xlfn.RANK.EQ(H473,H:H),"")</f>
        <v/>
      </c>
      <c r="J473" s="42" t="str">
        <f>IFERROR(ROUND(VLOOKUP(A473,[1]bus_journals!B:E,4,0),2),"")</f>
        <v/>
      </c>
      <c r="K473" s="23" t="str">
        <f>IFERROR(_xlfn.RANK.EQ(J473,J:J),"")</f>
        <v/>
      </c>
      <c r="L473" s="43">
        <f>IFERROR(ROUND(VLOOKUP(A473,[1]man_journals!B:E,4,0),2),"")</f>
        <v>0.1</v>
      </c>
      <c r="M473" s="26">
        <f>IFERROR(_xlfn.RANK.EQ(L473,L:L),"")</f>
        <v>166</v>
      </c>
      <c r="N473" s="1" t="s">
        <v>1272</v>
      </c>
      <c r="O473" s="4" t="s">
        <v>1275</v>
      </c>
      <c r="P473" t="s">
        <v>1279</v>
      </c>
    </row>
    <row r="474" spans="1:16" x14ac:dyDescent="0.25">
      <c r="A474" t="s">
        <v>554</v>
      </c>
      <c r="B474" t="s">
        <v>1412</v>
      </c>
      <c r="C474" s="6">
        <f>IFERROR(VLOOKUP(A474,[1]eco_bus_journals!$B:$D,3,0),"")</f>
        <v>19</v>
      </c>
      <c r="D474" s="37">
        <f>IFERROR(ROUND(VLOOKUP(A474,[1]eco_bus_journals!$B:$X,4,0),2),"")</f>
        <v>0.11</v>
      </c>
      <c r="E474" s="37">
        <f>_xlfn.RANK.EQ(D474,D:D)</f>
        <v>458</v>
      </c>
      <c r="F474" s="44">
        <f>IFERROR(ROUND(VLOOKUP(A474,[1]eco_journals!B:E,4,0),2),"")</f>
        <v>0.12</v>
      </c>
      <c r="G474" s="40">
        <f>IFERROR(_xlfn.RANK.EQ(F474,F:F),"")</f>
        <v>206</v>
      </c>
      <c r="H474" s="46" t="str">
        <f>IFERROR(ROUND(VLOOKUP(A474,[1]fin_journals!B:E,4,0),2),"")</f>
        <v/>
      </c>
      <c r="I474" s="18" t="str">
        <f>IFERROR(_xlfn.RANK.EQ(H474,H:H),"")</f>
        <v/>
      </c>
      <c r="J474" s="42" t="str">
        <f>IFERROR(ROUND(VLOOKUP(A474,[1]bus_journals!B:E,4,0),2),"")</f>
        <v/>
      </c>
      <c r="K474" s="23" t="str">
        <f>IFERROR(_xlfn.RANK.EQ(J474,J:J),"")</f>
        <v/>
      </c>
      <c r="L474" s="43" t="str">
        <f>IFERROR(ROUND(VLOOKUP(A474,[1]man_journals!B:E,4,0),2),"")</f>
        <v/>
      </c>
      <c r="M474" s="26" t="str">
        <f>IFERROR(_xlfn.RANK.EQ(L474,L:L),"")</f>
        <v/>
      </c>
      <c r="N474" s="1" t="s">
        <v>1272</v>
      </c>
      <c r="O474" t="s">
        <v>1315</v>
      </c>
    </row>
    <row r="475" spans="1:16" x14ac:dyDescent="0.25">
      <c r="A475" t="s">
        <v>485</v>
      </c>
      <c r="B475" t="s">
        <v>1372</v>
      </c>
      <c r="C475" s="6">
        <f>IFERROR(VLOOKUP(A475,[1]eco_bus_journals!$B:$D,3,0),"")</f>
        <v>42</v>
      </c>
      <c r="D475" s="37">
        <f>IFERROR(ROUND(VLOOKUP(A475,[1]eco_bus_journals!$B:$X,4,0),2),"")</f>
        <v>7.0000000000000007E-2</v>
      </c>
      <c r="E475" s="37">
        <f>_xlfn.RANK.EQ(D475,D:D)</f>
        <v>517</v>
      </c>
      <c r="F475" s="44">
        <f>IFERROR(ROUND(VLOOKUP(A475,[1]eco_journals!B:E,4,0),2),"")</f>
        <v>0.09</v>
      </c>
      <c r="G475" s="40">
        <f>IFERROR(_xlfn.RANK.EQ(F475,F:F),"")</f>
        <v>225</v>
      </c>
      <c r="H475" s="46" t="str">
        <f>IFERROR(ROUND(VLOOKUP(A475,[1]fin_journals!B:E,4,0),2),"")</f>
        <v/>
      </c>
      <c r="I475" s="18" t="str">
        <f>IFERROR(_xlfn.RANK.EQ(H475,H:H),"")</f>
        <v/>
      </c>
      <c r="J475" s="42" t="str">
        <f>IFERROR(ROUND(VLOOKUP(A475,[1]bus_journals!B:E,4,0),2),"")</f>
        <v/>
      </c>
      <c r="K475" s="23" t="str">
        <f>IFERROR(_xlfn.RANK.EQ(J475,J:J),"")</f>
        <v/>
      </c>
      <c r="L475" s="43" t="str">
        <f>IFERROR(ROUND(VLOOKUP(A475,[1]man_journals!B:E,4,0),2),"")</f>
        <v/>
      </c>
      <c r="M475" s="26" t="str">
        <f>IFERROR(_xlfn.RANK.EQ(L475,L:L),"")</f>
        <v/>
      </c>
      <c r="N475" s="1" t="s">
        <v>1272</v>
      </c>
    </row>
    <row r="476" spans="1:16" x14ac:dyDescent="0.25">
      <c r="A476" t="s">
        <v>534</v>
      </c>
      <c r="B476" t="s">
        <v>1360</v>
      </c>
      <c r="C476" s="6">
        <f>IFERROR(VLOOKUP(A476,[1]eco_bus_journals!$B:$D,3,0),"")</f>
        <v>37</v>
      </c>
      <c r="D476" s="37">
        <f>IFERROR(ROUND(VLOOKUP(A476,[1]eco_bus_journals!$B:$X,4,0),2),"")</f>
        <v>0.09</v>
      </c>
      <c r="E476" s="37">
        <f>_xlfn.RANK.EQ(D476,D:D)</f>
        <v>484</v>
      </c>
      <c r="F476" s="44">
        <f>IFERROR(ROUND(VLOOKUP(A476,[1]eco_journals!B:E,4,0),2),"")</f>
        <v>0.1</v>
      </c>
      <c r="G476" s="40">
        <f>IFERROR(_xlfn.RANK.EQ(F476,F:F),"")</f>
        <v>219</v>
      </c>
      <c r="H476" s="46" t="str">
        <f>IFERROR(ROUND(VLOOKUP(A476,[1]fin_journals!B:E,4,0),2),"")</f>
        <v/>
      </c>
      <c r="I476" s="18" t="str">
        <f>IFERROR(_xlfn.RANK.EQ(H476,H:H),"")</f>
        <v/>
      </c>
      <c r="J476" s="42" t="str">
        <f>IFERROR(ROUND(VLOOKUP(A476,[1]bus_journals!B:E,4,0),2),"")</f>
        <v/>
      </c>
      <c r="K476" s="23" t="str">
        <f>IFERROR(_xlfn.RANK.EQ(J476,J:J),"")</f>
        <v/>
      </c>
      <c r="L476" s="43" t="str">
        <f>IFERROR(ROUND(VLOOKUP(A476,[1]man_journals!B:E,4,0),2),"")</f>
        <v/>
      </c>
      <c r="M476" s="26" t="str">
        <f>IFERROR(_xlfn.RANK.EQ(L476,L:L),"")</f>
        <v/>
      </c>
      <c r="N476" s="1" t="s">
        <v>1272</v>
      </c>
    </row>
    <row r="477" spans="1:16" x14ac:dyDescent="0.25">
      <c r="A477" t="s">
        <v>364</v>
      </c>
      <c r="B477" t="s">
        <v>1363</v>
      </c>
      <c r="C477" s="6">
        <f>IFERROR(VLOOKUP(A477,[1]eco_bus_journals!$B:$D,3,0),"")</f>
        <v>78</v>
      </c>
      <c r="D477" s="37">
        <f>IFERROR(ROUND(VLOOKUP(A477,[1]eco_bus_journals!$B:$X,4,0),2),"")</f>
        <v>0.1</v>
      </c>
      <c r="E477" s="37">
        <f>_xlfn.RANK.EQ(D477,D:D)</f>
        <v>465</v>
      </c>
      <c r="F477" s="44" t="str">
        <f>IFERROR(ROUND(VLOOKUP(A477,[1]eco_journals!B:E,4,0),2),"")</f>
        <v/>
      </c>
      <c r="G477" s="40" t="str">
        <f>IFERROR(_xlfn.RANK.EQ(F477,F:F),"")</f>
        <v/>
      </c>
      <c r="H477" s="46" t="str">
        <f>IFERROR(ROUND(VLOOKUP(A477,[1]fin_journals!B:E,4,0),2),"")</f>
        <v/>
      </c>
      <c r="I477" s="18" t="str">
        <f>IFERROR(_xlfn.RANK.EQ(H477,H:H),"")</f>
        <v/>
      </c>
      <c r="J477" s="42">
        <f>IFERROR(ROUND(VLOOKUP(A477,[1]bus_journals!B:E,4,0),2),"")</f>
        <v>0.25</v>
      </c>
      <c r="K477" s="23">
        <f>IFERROR(_xlfn.RANK.EQ(J477,J:J),"")</f>
        <v>119</v>
      </c>
      <c r="L477" s="43">
        <f>IFERROR(ROUND(VLOOKUP(A477,[1]man_journals!B:E,4,0),2),"")</f>
        <v>0.15</v>
      </c>
      <c r="M477" s="26">
        <f>IFERROR(_xlfn.RANK.EQ(L477,L:L),"")</f>
        <v>157</v>
      </c>
      <c r="N477" s="2" t="s">
        <v>1273</v>
      </c>
      <c r="O477" s="4" t="s">
        <v>1275</v>
      </c>
    </row>
    <row r="478" spans="1:16" x14ac:dyDescent="0.25">
      <c r="A478" t="s">
        <v>382</v>
      </c>
      <c r="B478" t="s">
        <v>1384</v>
      </c>
      <c r="C478" s="6">
        <f>IFERROR(VLOOKUP(A478,[1]eco_bus_journals!$B:$D,3,0),"")</f>
        <v>22</v>
      </c>
      <c r="D478" s="37">
        <f>IFERROR(ROUND(VLOOKUP(A478,[1]eco_bus_journals!$B:$X,4,0),2),"")</f>
        <v>0.11</v>
      </c>
      <c r="E478" s="37">
        <f>_xlfn.RANK.EQ(D478,D:D)</f>
        <v>458</v>
      </c>
      <c r="F478" s="44" t="str">
        <f>IFERROR(ROUND(VLOOKUP(A478,[1]eco_journals!B:E,4,0),2),"")</f>
        <v/>
      </c>
      <c r="G478" s="40" t="str">
        <f>IFERROR(_xlfn.RANK.EQ(F478,F:F),"")</f>
        <v/>
      </c>
      <c r="H478" s="46" t="str">
        <f>IFERROR(ROUND(VLOOKUP(A478,[1]fin_journals!B:E,4,0),2),"")</f>
        <v/>
      </c>
      <c r="I478" s="18" t="str">
        <f>IFERROR(_xlfn.RANK.EQ(H478,H:H),"")</f>
        <v/>
      </c>
      <c r="J478" s="42">
        <f>IFERROR(ROUND(VLOOKUP(A478,[1]bus_journals!B:E,4,0),2),"")</f>
        <v>0.28999999999999998</v>
      </c>
      <c r="K478" s="23">
        <f>IFERROR(_xlfn.RANK.EQ(J478,J:J),"")</f>
        <v>113</v>
      </c>
      <c r="L478" s="43" t="str">
        <f>IFERROR(ROUND(VLOOKUP(A478,[1]man_journals!B:E,4,0),2),"")</f>
        <v/>
      </c>
      <c r="M478" s="26" t="str">
        <f>IFERROR(_xlfn.RANK.EQ(L478,L:L),"")</f>
        <v/>
      </c>
      <c r="N478" s="2" t="s">
        <v>1273</v>
      </c>
    </row>
    <row r="479" spans="1:16" x14ac:dyDescent="0.25">
      <c r="A479" t="s">
        <v>487</v>
      </c>
      <c r="B479" t="s">
        <v>1400</v>
      </c>
      <c r="C479" s="6">
        <f>IFERROR(VLOOKUP(A479,[1]eco_bus_journals!$B:$D,3,0),"")</f>
        <v>19</v>
      </c>
      <c r="D479" s="37">
        <f>IFERROR(ROUND(VLOOKUP(A479,[1]eco_bus_journals!$B:$X,4,0),2),"")</f>
        <v>0.08</v>
      </c>
      <c r="E479" s="37">
        <f>_xlfn.RANK.EQ(D479,D:D)</f>
        <v>502</v>
      </c>
      <c r="F479" s="44" t="str">
        <f>IFERROR(ROUND(VLOOKUP(A479,[1]eco_journals!B:E,4,0),2),"")</f>
        <v/>
      </c>
      <c r="G479" s="40" t="str">
        <f>IFERROR(_xlfn.RANK.EQ(F479,F:F),"")</f>
        <v/>
      </c>
      <c r="H479" s="46" t="str">
        <f>IFERROR(ROUND(VLOOKUP(A479,[1]fin_journals!B:E,4,0),2),"")</f>
        <v/>
      </c>
      <c r="I479" s="18" t="str">
        <f>IFERROR(_xlfn.RANK.EQ(H479,H:H),"")</f>
        <v/>
      </c>
      <c r="J479" s="42" t="str">
        <f>IFERROR(ROUND(VLOOKUP(A479,[1]bus_journals!B:E,4,0),2),"")</f>
        <v/>
      </c>
      <c r="K479" s="23" t="str">
        <f>IFERROR(_xlfn.RANK.EQ(J479,J:J),"")</f>
        <v/>
      </c>
      <c r="L479" s="43">
        <f>IFERROR(ROUND(VLOOKUP(A479,[1]man_journals!B:E,4,0),2),"")</f>
        <v>0.11</v>
      </c>
      <c r="M479" s="26">
        <f>IFERROR(_xlfn.RANK.EQ(L479,L:L),"")</f>
        <v>164</v>
      </c>
      <c r="N479" t="s">
        <v>1329</v>
      </c>
      <c r="O479" s="4" t="s">
        <v>1275</v>
      </c>
    </row>
    <row r="480" spans="1:16" x14ac:dyDescent="0.25">
      <c r="A480" t="s">
        <v>535</v>
      </c>
      <c r="B480" t="s">
        <v>1360</v>
      </c>
      <c r="C480" s="6">
        <f>IFERROR(VLOOKUP(A480,[1]eco_bus_journals!$B:$D,3,0),"")</f>
        <v>36</v>
      </c>
      <c r="D480" s="37">
        <f>IFERROR(ROUND(VLOOKUP(A480,[1]eco_bus_journals!$B:$X,4,0),2),"")</f>
        <v>0.08</v>
      </c>
      <c r="E480" s="37">
        <f>_xlfn.RANK.EQ(D480,D:D)</f>
        <v>502</v>
      </c>
      <c r="F480" s="44">
        <f>IFERROR(ROUND(VLOOKUP(A480,[1]eco_journals!B:E,4,0),2),"")</f>
        <v>0.08</v>
      </c>
      <c r="G480" s="40">
        <f>IFERROR(_xlfn.RANK.EQ(F480,F:F),"")</f>
        <v>237</v>
      </c>
      <c r="H480" s="46" t="str">
        <f>IFERROR(ROUND(VLOOKUP(A480,[1]fin_journals!B:E,4,0),2),"")</f>
        <v/>
      </c>
      <c r="I480" s="18" t="str">
        <f>IFERROR(_xlfn.RANK.EQ(H480,H:H),"")</f>
        <v/>
      </c>
      <c r="J480" s="42" t="str">
        <f>IFERROR(ROUND(VLOOKUP(A480,[1]bus_journals!B:E,4,0),2),"")</f>
        <v/>
      </c>
      <c r="K480" s="23" t="str">
        <f>IFERROR(_xlfn.RANK.EQ(J480,J:J),"")</f>
        <v/>
      </c>
      <c r="L480" s="43" t="str">
        <f>IFERROR(ROUND(VLOOKUP(A480,[1]man_journals!B:E,4,0),2),"")</f>
        <v/>
      </c>
      <c r="M480" s="26" t="str">
        <f>IFERROR(_xlfn.RANK.EQ(L480,L:L),"")</f>
        <v/>
      </c>
      <c r="N480" s="1" t="s">
        <v>1272</v>
      </c>
    </row>
    <row r="481" spans="1:16" x14ac:dyDescent="0.25">
      <c r="A481" t="s">
        <v>398</v>
      </c>
      <c r="B481" t="s">
        <v>1371</v>
      </c>
      <c r="C481" s="6">
        <f>IFERROR(VLOOKUP(A481,[1]eco_bus_journals!$B:$D,3,0),"")</f>
        <v>149</v>
      </c>
      <c r="D481" s="37">
        <f>IFERROR(ROUND(VLOOKUP(A481,[1]eco_bus_journals!$B:$X,4,0),2),"")</f>
        <v>0.11</v>
      </c>
      <c r="E481" s="37">
        <f>_xlfn.RANK.EQ(D481,D:D)</f>
        <v>458</v>
      </c>
      <c r="F481" s="44">
        <f>IFERROR(ROUND(VLOOKUP(A481,[1]eco_journals!B:E,4,0),2),"")</f>
        <v>0.06</v>
      </c>
      <c r="G481" s="40">
        <f>IFERROR(_xlfn.RANK.EQ(F481,F:F),"")</f>
        <v>257</v>
      </c>
      <c r="H481" s="46" t="str">
        <f>IFERROR(ROUND(VLOOKUP(A481,[1]fin_journals!B:E,4,0),2),"")</f>
        <v/>
      </c>
      <c r="I481" s="18" t="str">
        <f>IFERROR(_xlfn.RANK.EQ(H481,H:H),"")</f>
        <v/>
      </c>
      <c r="J481" s="42">
        <f>IFERROR(ROUND(VLOOKUP(A481,[1]bus_journals!B:E,4,0),2),"")</f>
        <v>0.26</v>
      </c>
      <c r="K481" s="23">
        <f>IFERROR(_xlfn.RANK.EQ(J481,J:J),"")</f>
        <v>117</v>
      </c>
      <c r="L481" s="43">
        <f>IFERROR(ROUND(VLOOKUP(A481,[1]man_journals!B:E,4,0),2),"")</f>
        <v>0.17</v>
      </c>
      <c r="M481" s="26">
        <f>IFERROR(_xlfn.RANK.EQ(L481,L:L),"")</f>
        <v>156</v>
      </c>
      <c r="N481" s="2" t="s">
        <v>1273</v>
      </c>
      <c r="O481" s="1" t="s">
        <v>1272</v>
      </c>
      <c r="P481" s="4" t="s">
        <v>1275</v>
      </c>
    </row>
    <row r="482" spans="1:16" x14ac:dyDescent="0.25">
      <c r="A482" t="s">
        <v>595</v>
      </c>
      <c r="B482" t="s">
        <v>1362</v>
      </c>
      <c r="C482" s="6">
        <f>IFERROR(VLOOKUP(A482,[1]eco_bus_journals!$B:$D,3,0),"")</f>
        <v>40</v>
      </c>
      <c r="D482" s="37">
        <f>IFERROR(ROUND(VLOOKUP(A482,[1]eco_bus_journals!$B:$X,4,0),2),"")</f>
        <v>0.09</v>
      </c>
      <c r="E482" s="37">
        <f>_xlfn.RANK.EQ(D482,D:D)</f>
        <v>484</v>
      </c>
      <c r="F482" s="44" t="str">
        <f>IFERROR(ROUND(VLOOKUP(A482,[1]eco_journals!B:E,4,0),2),"")</f>
        <v/>
      </c>
      <c r="G482" s="40" t="str">
        <f>IFERROR(_xlfn.RANK.EQ(F482,F:F),"")</f>
        <v/>
      </c>
      <c r="H482" s="46">
        <f>IFERROR(ROUND(VLOOKUP(A482,[1]fin_journals!B:E,4,0),2),"")</f>
        <v>0.36</v>
      </c>
      <c r="I482" s="18">
        <f>IFERROR(_xlfn.RANK.EQ(H482,H:H),"")</f>
        <v>78</v>
      </c>
      <c r="J482" s="42" t="str">
        <f>IFERROR(ROUND(VLOOKUP(A482,[1]bus_journals!B:E,4,0),2),"")</f>
        <v/>
      </c>
      <c r="K482" s="23" t="str">
        <f>IFERROR(_xlfn.RANK.EQ(J482,J:J),"")</f>
        <v/>
      </c>
      <c r="L482" s="43" t="str">
        <f>IFERROR(ROUND(VLOOKUP(A482,[1]man_journals!B:E,4,0),2),"")</f>
        <v/>
      </c>
      <c r="M482" s="26" t="str">
        <f>IFERROR(_xlfn.RANK.EQ(L482,L:L),"")</f>
        <v/>
      </c>
      <c r="N482" s="3" t="s">
        <v>1274</v>
      </c>
      <c r="O482" t="s">
        <v>1311</v>
      </c>
    </row>
    <row r="483" spans="1:16" x14ac:dyDescent="0.25">
      <c r="A483" t="s">
        <v>474</v>
      </c>
      <c r="B483" t="s">
        <v>1399</v>
      </c>
      <c r="C483" s="6">
        <f>IFERROR(VLOOKUP(A483,[1]eco_bus_journals!$B:$D,3,0),"")</f>
        <v>34</v>
      </c>
      <c r="D483" s="37">
        <f>IFERROR(ROUND(VLOOKUP(A483,[1]eco_bus_journals!$B:$X,4,0),2),"")</f>
        <v>0.11</v>
      </c>
      <c r="E483" s="37">
        <f>_xlfn.RANK.EQ(D483,D:D)</f>
        <v>458</v>
      </c>
      <c r="F483" s="44">
        <f>IFERROR(ROUND(VLOOKUP(A483,[1]eco_journals!B:E,4,0),2),"")</f>
        <v>0.11</v>
      </c>
      <c r="G483" s="40">
        <f>IFERROR(_xlfn.RANK.EQ(F483,F:F),"")</f>
        <v>212</v>
      </c>
      <c r="H483" s="46" t="str">
        <f>IFERROR(ROUND(VLOOKUP(A483,[1]fin_journals!B:E,4,0),2),"")</f>
        <v/>
      </c>
      <c r="I483" s="18" t="str">
        <f>IFERROR(_xlfn.RANK.EQ(H483,H:H),"")</f>
        <v/>
      </c>
      <c r="J483" s="42" t="str">
        <f>IFERROR(ROUND(VLOOKUP(A483,[1]bus_journals!B:E,4,0),2),"")</f>
        <v/>
      </c>
      <c r="K483" s="23" t="str">
        <f>IFERROR(_xlfn.RANK.EQ(J483,J:J),"")</f>
        <v/>
      </c>
      <c r="L483" s="43" t="str">
        <f>IFERROR(ROUND(VLOOKUP(A483,[1]man_journals!B:E,4,0),2),"")</f>
        <v/>
      </c>
      <c r="M483" s="26" t="str">
        <f>IFERROR(_xlfn.RANK.EQ(L483,L:L),"")</f>
        <v/>
      </c>
      <c r="N483" t="s">
        <v>1304</v>
      </c>
      <c r="O483" s="1" t="s">
        <v>1272</v>
      </c>
    </row>
    <row r="484" spans="1:16" x14ac:dyDescent="0.25">
      <c r="A484" t="s">
        <v>520</v>
      </c>
      <c r="B484" t="s">
        <v>1363</v>
      </c>
      <c r="C484" s="6">
        <f>IFERROR(VLOOKUP(A484,[1]eco_bus_journals!$B:$D,3,0),"")</f>
        <v>54</v>
      </c>
      <c r="D484" s="37">
        <f>IFERROR(ROUND(VLOOKUP(A484,[1]eco_bus_journals!$B:$X,4,0),2),"")</f>
        <v>0.08</v>
      </c>
      <c r="E484" s="37">
        <f>_xlfn.RANK.EQ(D484,D:D)</f>
        <v>502</v>
      </c>
      <c r="F484" s="44">
        <f>IFERROR(ROUND(VLOOKUP(A484,[1]eco_journals!B:E,4,0),2),"")</f>
        <v>0.08</v>
      </c>
      <c r="G484" s="40">
        <f>IFERROR(_xlfn.RANK.EQ(F484,F:F),"")</f>
        <v>237</v>
      </c>
      <c r="H484" s="46" t="str">
        <f>IFERROR(ROUND(VLOOKUP(A484,[1]fin_journals!B:E,4,0),2),"")</f>
        <v/>
      </c>
      <c r="I484" s="18" t="str">
        <f>IFERROR(_xlfn.RANK.EQ(H484,H:H),"")</f>
        <v/>
      </c>
      <c r="J484" s="42" t="str">
        <f>IFERROR(ROUND(VLOOKUP(A484,[1]bus_journals!B:E,4,0),2),"")</f>
        <v/>
      </c>
      <c r="K484" s="23" t="str">
        <f>IFERROR(_xlfn.RANK.EQ(J484,J:J),"")</f>
        <v/>
      </c>
      <c r="L484" s="43" t="str">
        <f>IFERROR(ROUND(VLOOKUP(A484,[1]man_journals!B:E,4,0),2),"")</f>
        <v/>
      </c>
      <c r="M484" s="26" t="str">
        <f>IFERROR(_xlfn.RANK.EQ(L484,L:L),"")</f>
        <v/>
      </c>
      <c r="N484" s="1" t="s">
        <v>1272</v>
      </c>
    </row>
    <row r="485" spans="1:16" x14ac:dyDescent="0.25">
      <c r="A485" t="s">
        <v>455</v>
      </c>
      <c r="B485" t="s">
        <v>1372</v>
      </c>
      <c r="C485" s="6">
        <f>IFERROR(VLOOKUP(A485,[1]eco_bus_journals!$B:$D,3,0),"")</f>
        <v>33</v>
      </c>
      <c r="D485" s="37">
        <f>IFERROR(ROUND(VLOOKUP(A485,[1]eco_bus_journals!$B:$X,4,0),2),"")</f>
        <v>0.12</v>
      </c>
      <c r="E485" s="37">
        <f>_xlfn.RANK.EQ(D485,D:D)</f>
        <v>445</v>
      </c>
      <c r="F485" s="44" t="str">
        <f>IFERROR(ROUND(VLOOKUP(A485,[1]eco_journals!B:E,4,0),2),"")</f>
        <v/>
      </c>
      <c r="G485" s="40" t="str">
        <f>IFERROR(_xlfn.RANK.EQ(F485,F:F),"")</f>
        <v/>
      </c>
      <c r="H485" s="46" t="str">
        <f>IFERROR(ROUND(VLOOKUP(A485,[1]fin_journals!B:E,4,0),2),"")</f>
        <v/>
      </c>
      <c r="I485" s="18" t="str">
        <f>IFERROR(_xlfn.RANK.EQ(H485,H:H),"")</f>
        <v/>
      </c>
      <c r="J485" s="42">
        <f>IFERROR(ROUND(VLOOKUP(A485,[1]bus_journals!B:E,4,0),2),"")</f>
        <v>0.34</v>
      </c>
      <c r="K485" s="23">
        <f>IFERROR(_xlfn.RANK.EQ(J485,J:J),"")</f>
        <v>108</v>
      </c>
      <c r="L485" s="43" t="str">
        <f>IFERROR(ROUND(VLOOKUP(A485,[1]man_journals!B:E,4,0),2),"")</f>
        <v/>
      </c>
      <c r="M485" s="26" t="str">
        <f>IFERROR(_xlfn.RANK.EQ(L485,L:L),"")</f>
        <v/>
      </c>
      <c r="N485" s="2" t="s">
        <v>1273</v>
      </c>
      <c r="O485" t="s">
        <v>1286</v>
      </c>
    </row>
    <row r="486" spans="1:16" x14ac:dyDescent="0.25">
      <c r="A486" t="s">
        <v>405</v>
      </c>
      <c r="B486" t="s">
        <v>1371</v>
      </c>
      <c r="C486" s="6">
        <f>IFERROR(VLOOKUP(A486,[1]eco_bus_journals!$B:$D,3,0),"")</f>
        <v>87</v>
      </c>
      <c r="D486" s="37">
        <f>IFERROR(ROUND(VLOOKUP(A486,[1]eco_bus_journals!$B:$X,4,0),2),"")</f>
        <v>0.1</v>
      </c>
      <c r="E486" s="37">
        <f>_xlfn.RANK.EQ(D486,D:D)</f>
        <v>465</v>
      </c>
      <c r="F486" s="44" t="str">
        <f>IFERROR(ROUND(VLOOKUP(A486,[1]eco_journals!B:E,4,0),2),"")</f>
        <v/>
      </c>
      <c r="G486" s="40" t="str">
        <f>IFERROR(_xlfn.RANK.EQ(F486,F:F),"")</f>
        <v/>
      </c>
      <c r="H486" s="46" t="str">
        <f>IFERROR(ROUND(VLOOKUP(A486,[1]fin_journals!B:E,4,0),2),"")</f>
        <v/>
      </c>
      <c r="I486" s="18" t="str">
        <f>IFERROR(_xlfn.RANK.EQ(H486,H:H),"")</f>
        <v/>
      </c>
      <c r="J486" s="42" t="str">
        <f>IFERROR(ROUND(VLOOKUP(A486,[1]bus_journals!B:E,4,0),2),"")</f>
        <v/>
      </c>
      <c r="K486" s="23" t="str">
        <f>IFERROR(_xlfn.RANK.EQ(J486,J:J),"")</f>
        <v/>
      </c>
      <c r="L486" s="43">
        <f>IFERROR(ROUND(VLOOKUP(A486,[1]man_journals!B:E,4,0),2),"")</f>
        <v>0.22</v>
      </c>
      <c r="M486" s="26">
        <f>IFERROR(_xlfn.RANK.EQ(L486,L:L),"")</f>
        <v>144</v>
      </c>
      <c r="N486" s="4" t="s">
        <v>1275</v>
      </c>
    </row>
    <row r="487" spans="1:16" x14ac:dyDescent="0.25">
      <c r="A487" t="s">
        <v>389</v>
      </c>
      <c r="B487" t="s">
        <v>1358</v>
      </c>
      <c r="C487" s="6">
        <f>IFERROR(VLOOKUP(A487,[1]eco_bus_journals!$B:$D,3,0),"")</f>
        <v>28</v>
      </c>
      <c r="D487" s="37">
        <f>IFERROR(ROUND(VLOOKUP(A487,[1]eco_bus_journals!$B:$X,4,0),2),"")</f>
        <v>0.09</v>
      </c>
      <c r="E487" s="37">
        <f>_xlfn.RANK.EQ(D487,D:D)</f>
        <v>484</v>
      </c>
      <c r="F487" s="44" t="str">
        <f>IFERROR(ROUND(VLOOKUP(A487,[1]eco_journals!B:E,4,0),2),"")</f>
        <v/>
      </c>
      <c r="G487" s="40" t="str">
        <f>IFERROR(_xlfn.RANK.EQ(F487,F:F),"")</f>
        <v/>
      </c>
      <c r="H487" s="46" t="str">
        <f>IFERROR(ROUND(VLOOKUP(A487,[1]fin_journals!B:E,4,0),2),"")</f>
        <v/>
      </c>
      <c r="I487" s="18" t="str">
        <f>IFERROR(_xlfn.RANK.EQ(H487,H:H),"")</f>
        <v/>
      </c>
      <c r="J487" s="42">
        <f>IFERROR(ROUND(VLOOKUP(A487,[1]bus_journals!B:E,4,0),2),"")</f>
        <v>0.28999999999999998</v>
      </c>
      <c r="K487" s="23">
        <f>IFERROR(_xlfn.RANK.EQ(J487,J:J),"")</f>
        <v>113</v>
      </c>
      <c r="L487" s="43" t="str">
        <f>IFERROR(ROUND(VLOOKUP(A487,[1]man_journals!B:E,4,0),2),"")</f>
        <v/>
      </c>
      <c r="M487" s="26" t="str">
        <f>IFERROR(_xlfn.RANK.EQ(L487,L:L),"")</f>
        <v/>
      </c>
      <c r="N487" s="2" t="s">
        <v>1273</v>
      </c>
      <c r="O487" t="s">
        <v>1301</v>
      </c>
    </row>
    <row r="488" spans="1:16" x14ac:dyDescent="0.25">
      <c r="A488" t="s">
        <v>511</v>
      </c>
      <c r="B488" t="s">
        <v>1406</v>
      </c>
      <c r="C488" s="6">
        <f>IFERROR(VLOOKUP(A488,[1]eco_bus_journals!$B:$D,3,0),"")</f>
        <v>30</v>
      </c>
      <c r="D488" s="37">
        <f>IFERROR(ROUND(VLOOKUP(A488,[1]eco_bus_journals!$B:$X,4,0),2),"")</f>
        <v>0.1</v>
      </c>
      <c r="E488" s="37">
        <f>_xlfn.RANK.EQ(D488,D:D)</f>
        <v>465</v>
      </c>
      <c r="F488" s="44">
        <f>IFERROR(ROUND(VLOOKUP(A488,[1]eco_journals!B:E,4,0),2),"")</f>
        <v>0.11</v>
      </c>
      <c r="G488" s="40">
        <f>IFERROR(_xlfn.RANK.EQ(F488,F:F),"")</f>
        <v>212</v>
      </c>
      <c r="H488" s="46" t="str">
        <f>IFERROR(ROUND(VLOOKUP(A488,[1]fin_journals!B:E,4,0),2),"")</f>
        <v/>
      </c>
      <c r="I488" s="18" t="str">
        <f>IFERROR(_xlfn.RANK.EQ(H488,H:H),"")</f>
        <v/>
      </c>
      <c r="J488" s="42" t="str">
        <f>IFERROR(ROUND(VLOOKUP(A488,[1]bus_journals!B:E,4,0),2),"")</f>
        <v/>
      </c>
      <c r="K488" s="23" t="str">
        <f>IFERROR(_xlfn.RANK.EQ(J488,J:J),"")</f>
        <v/>
      </c>
      <c r="L488" s="43" t="str">
        <f>IFERROR(ROUND(VLOOKUP(A488,[1]man_journals!B:E,4,0),2),"")</f>
        <v/>
      </c>
      <c r="M488" s="26" t="str">
        <f>IFERROR(_xlfn.RANK.EQ(L488,L:L),"")</f>
        <v/>
      </c>
      <c r="N488" s="1" t="s">
        <v>1272</v>
      </c>
    </row>
    <row r="489" spans="1:16" x14ac:dyDescent="0.25">
      <c r="A489" t="s">
        <v>542</v>
      </c>
      <c r="B489" t="s">
        <v>1372</v>
      </c>
      <c r="C489" s="6">
        <f>IFERROR(VLOOKUP(A489,[1]eco_bus_journals!$B:$D,3,0),"")</f>
        <v>7</v>
      </c>
      <c r="D489" s="37">
        <f>IFERROR(ROUND(VLOOKUP(A489,[1]eco_bus_journals!$B:$X,4,0),2),"")</f>
        <v>0.09</v>
      </c>
      <c r="E489" s="37">
        <f>_xlfn.RANK.EQ(D489,D:D)</f>
        <v>484</v>
      </c>
      <c r="F489" s="44" t="str">
        <f>IFERROR(ROUND(VLOOKUP(A489,[1]eco_journals!B:E,4,0),2),"")</f>
        <v/>
      </c>
      <c r="G489" s="40" t="str">
        <f>IFERROR(_xlfn.RANK.EQ(F489,F:F),"")</f>
        <v/>
      </c>
      <c r="H489" s="46">
        <f>IFERROR(ROUND(VLOOKUP(A489,[1]fin_journals!B:E,4,0),2),"")</f>
        <v>0.36</v>
      </c>
      <c r="I489" s="18">
        <f>IFERROR(_xlfn.RANK.EQ(H489,H:H),"")</f>
        <v>78</v>
      </c>
      <c r="J489" s="42" t="str">
        <f>IFERROR(ROUND(VLOOKUP(A489,[1]bus_journals!B:E,4,0),2),"")</f>
        <v/>
      </c>
      <c r="K489" s="23" t="str">
        <f>IFERROR(_xlfn.RANK.EQ(J489,J:J),"")</f>
        <v/>
      </c>
      <c r="L489" s="43" t="str">
        <f>IFERROR(ROUND(VLOOKUP(A489,[1]man_journals!B:E,4,0),2),"")</f>
        <v/>
      </c>
      <c r="M489" s="26" t="str">
        <f>IFERROR(_xlfn.RANK.EQ(L489,L:L),"")</f>
        <v/>
      </c>
      <c r="N489" s="3" t="s">
        <v>1274</v>
      </c>
    </row>
    <row r="490" spans="1:16" x14ac:dyDescent="0.25">
      <c r="A490" t="s">
        <v>532</v>
      </c>
      <c r="B490" t="s">
        <v>1389</v>
      </c>
      <c r="C490" s="6">
        <f>IFERROR(VLOOKUP(A490,[1]eco_bus_journals!$B:$D,3,0),"")</f>
        <v>21</v>
      </c>
      <c r="D490" s="37">
        <f>IFERROR(ROUND(VLOOKUP(A490,[1]eco_bus_journals!$B:$X,4,0),2),"")</f>
        <v>0.1</v>
      </c>
      <c r="E490" s="37">
        <f>_xlfn.RANK.EQ(D490,D:D)</f>
        <v>465</v>
      </c>
      <c r="F490" s="44">
        <f>IFERROR(ROUND(VLOOKUP(A490,[1]eco_journals!B:E,4,0),2),"")</f>
        <v>0.11</v>
      </c>
      <c r="G490" s="40">
        <f>IFERROR(_xlfn.RANK.EQ(F490,F:F),"")</f>
        <v>212</v>
      </c>
      <c r="H490" s="46" t="str">
        <f>IFERROR(ROUND(VLOOKUP(A490,[1]fin_journals!B:E,4,0),2),"")</f>
        <v/>
      </c>
      <c r="I490" s="18" t="str">
        <f>IFERROR(_xlfn.RANK.EQ(H490,H:H),"")</f>
        <v/>
      </c>
      <c r="J490" s="42" t="str">
        <f>IFERROR(ROUND(VLOOKUP(A490,[1]bus_journals!B:E,4,0),2),"")</f>
        <v/>
      </c>
      <c r="K490" s="23" t="str">
        <f>IFERROR(_xlfn.RANK.EQ(J490,J:J),"")</f>
        <v/>
      </c>
      <c r="L490" s="43" t="str">
        <f>IFERROR(ROUND(VLOOKUP(A490,[1]man_journals!B:E,4,0),2),"")</f>
        <v/>
      </c>
      <c r="M490" s="26" t="str">
        <f>IFERROR(_xlfn.RANK.EQ(L490,L:L),"")</f>
        <v/>
      </c>
      <c r="N490" s="1" t="s">
        <v>1272</v>
      </c>
      <c r="O490" t="s">
        <v>1293</v>
      </c>
      <c r="P490" t="s">
        <v>1330</v>
      </c>
    </row>
    <row r="491" spans="1:16" x14ac:dyDescent="0.25">
      <c r="A491" t="s">
        <v>463</v>
      </c>
      <c r="B491" t="s">
        <v>1372</v>
      </c>
      <c r="C491" s="6">
        <f>IFERROR(VLOOKUP(A491,[1]eco_bus_journals!$B:$D,3,0),"")</f>
        <v>435</v>
      </c>
      <c r="D491" s="37">
        <f>IFERROR(ROUND(VLOOKUP(A491,[1]eco_bus_journals!$B:$X,4,0),2),"")</f>
        <v>0.09</v>
      </c>
      <c r="E491" s="37">
        <f>_xlfn.RANK.EQ(D491,D:D)</f>
        <v>484</v>
      </c>
      <c r="F491" s="44">
        <f>IFERROR(ROUND(VLOOKUP(A491,[1]eco_journals!B:E,4,0),2),"")</f>
        <v>7.0000000000000007E-2</v>
      </c>
      <c r="G491" s="40">
        <f>IFERROR(_xlfn.RANK.EQ(F491,F:F),"")</f>
        <v>247</v>
      </c>
      <c r="H491" s="46" t="str">
        <f>IFERROR(ROUND(VLOOKUP(A491,[1]fin_journals!B:E,4,0),2),"")</f>
        <v/>
      </c>
      <c r="I491" s="18" t="str">
        <f>IFERROR(_xlfn.RANK.EQ(H491,H:H),"")</f>
        <v/>
      </c>
      <c r="J491" s="42" t="str">
        <f>IFERROR(ROUND(VLOOKUP(A491,[1]bus_journals!B:E,4,0),2),"")</f>
        <v/>
      </c>
      <c r="K491" s="23" t="str">
        <f>IFERROR(_xlfn.RANK.EQ(J491,J:J),"")</f>
        <v/>
      </c>
      <c r="L491" s="43" t="str">
        <f>IFERROR(ROUND(VLOOKUP(A491,[1]man_journals!B:E,4,0),2),"")</f>
        <v/>
      </c>
      <c r="M491" s="26" t="str">
        <f>IFERROR(_xlfn.RANK.EQ(L491,L:L),"")</f>
        <v/>
      </c>
      <c r="N491" s="1" t="s">
        <v>1272</v>
      </c>
    </row>
    <row r="492" spans="1:16" x14ac:dyDescent="0.25">
      <c r="A492" t="s">
        <v>413</v>
      </c>
      <c r="B492" t="s">
        <v>1372</v>
      </c>
      <c r="C492" s="6">
        <f>IFERROR(VLOOKUP(A492,[1]eco_bus_journals!$B:$D,3,0),"")</f>
        <v>57</v>
      </c>
      <c r="D492" s="37">
        <f>IFERROR(ROUND(VLOOKUP(A492,[1]eco_bus_journals!$B:$X,4,0),2),"")</f>
        <v>0.1</v>
      </c>
      <c r="E492" s="37">
        <f>_xlfn.RANK.EQ(D492,D:D)</f>
        <v>465</v>
      </c>
      <c r="F492" s="44">
        <f>IFERROR(ROUND(VLOOKUP(A492,[1]eco_journals!B:E,4,0),2),"")</f>
        <v>0.05</v>
      </c>
      <c r="G492" s="40">
        <f>IFERROR(_xlfn.RANK.EQ(F492,F:F),"")</f>
        <v>275</v>
      </c>
      <c r="H492" s="46" t="str">
        <f>IFERROR(ROUND(VLOOKUP(A492,[1]fin_journals!B:E,4,0),2),"")</f>
        <v/>
      </c>
      <c r="I492" s="18" t="str">
        <f>IFERROR(_xlfn.RANK.EQ(H492,H:H),"")</f>
        <v/>
      </c>
      <c r="J492" s="42">
        <f>IFERROR(ROUND(VLOOKUP(A492,[1]bus_journals!B:E,4,0),2),"")</f>
        <v>0.17</v>
      </c>
      <c r="K492" s="23">
        <f>IFERROR(_xlfn.RANK.EQ(J492,J:J),"")</f>
        <v>126</v>
      </c>
      <c r="L492" s="43" t="str">
        <f>IFERROR(ROUND(VLOOKUP(A492,[1]man_journals!B:E,4,0),2),"")</f>
        <v/>
      </c>
      <c r="M492" s="26" t="str">
        <f>IFERROR(_xlfn.RANK.EQ(L492,L:L),"")</f>
        <v/>
      </c>
      <c r="N492" s="2" t="s">
        <v>1273</v>
      </c>
      <c r="O492" s="1" t="s">
        <v>1272</v>
      </c>
    </row>
    <row r="493" spans="1:16" x14ac:dyDescent="0.25">
      <c r="A493" t="s">
        <v>544</v>
      </c>
      <c r="B493" t="s">
        <v>1384</v>
      </c>
      <c r="C493" s="6">
        <f>IFERROR(VLOOKUP(A493,[1]eco_bus_journals!$B:$D,3,0),"")</f>
        <v>46</v>
      </c>
      <c r="D493" s="37">
        <f>IFERROR(ROUND(VLOOKUP(A493,[1]eco_bus_journals!$B:$X,4,0),2),"")</f>
        <v>0.06</v>
      </c>
      <c r="E493" s="37">
        <f>_xlfn.RANK.EQ(D493,D:D)</f>
        <v>531</v>
      </c>
      <c r="F493" s="44">
        <f>IFERROR(ROUND(VLOOKUP(A493,[1]eco_journals!B:E,4,0),2),"")</f>
        <v>0.06</v>
      </c>
      <c r="G493" s="40">
        <f>IFERROR(_xlfn.RANK.EQ(F493,F:F),"")</f>
        <v>257</v>
      </c>
      <c r="H493" s="46" t="str">
        <f>IFERROR(ROUND(VLOOKUP(A493,[1]fin_journals!B:E,4,0),2),"")</f>
        <v/>
      </c>
      <c r="I493" s="18" t="str">
        <f>IFERROR(_xlfn.RANK.EQ(H493,H:H),"")</f>
        <v/>
      </c>
      <c r="J493" s="42" t="str">
        <f>IFERROR(ROUND(VLOOKUP(A493,[1]bus_journals!B:E,4,0),2),"")</f>
        <v/>
      </c>
      <c r="K493" s="23" t="str">
        <f>IFERROR(_xlfn.RANK.EQ(J493,J:J),"")</f>
        <v/>
      </c>
      <c r="L493" s="43" t="str">
        <f>IFERROR(ROUND(VLOOKUP(A493,[1]man_journals!B:E,4,0),2),"")</f>
        <v/>
      </c>
      <c r="M493" s="26" t="str">
        <f>IFERROR(_xlfn.RANK.EQ(L493,L:L),"")</f>
        <v/>
      </c>
      <c r="N493" s="1" t="s">
        <v>1272</v>
      </c>
    </row>
    <row r="494" spans="1:16" x14ac:dyDescent="0.25">
      <c r="A494" t="s">
        <v>362</v>
      </c>
      <c r="B494" t="s">
        <v>1371</v>
      </c>
      <c r="C494" s="6">
        <f>IFERROR(VLOOKUP(A494,[1]eco_bus_journals!$B:$D,3,0),"")</f>
        <v>57</v>
      </c>
      <c r="D494" s="37">
        <f>IFERROR(ROUND(VLOOKUP(A494,[1]eco_bus_journals!$B:$X,4,0),2),"")</f>
        <v>0.09</v>
      </c>
      <c r="E494" s="37">
        <f>_xlfn.RANK.EQ(D494,D:D)</f>
        <v>484</v>
      </c>
      <c r="F494" s="44" t="str">
        <f>IFERROR(ROUND(VLOOKUP(A494,[1]eco_journals!B:E,4,0),2),"")</f>
        <v/>
      </c>
      <c r="G494" s="40" t="str">
        <f>IFERROR(_xlfn.RANK.EQ(F494,F:F),"")</f>
        <v/>
      </c>
      <c r="H494" s="46" t="str">
        <f>IFERROR(ROUND(VLOOKUP(A494,[1]fin_journals!B:E,4,0),2),"")</f>
        <v/>
      </c>
      <c r="I494" s="18" t="str">
        <f>IFERROR(_xlfn.RANK.EQ(H494,H:H),"")</f>
        <v/>
      </c>
      <c r="J494" s="42" t="str">
        <f>IFERROR(ROUND(VLOOKUP(A494,[1]bus_journals!B:E,4,0),2),"")</f>
        <v/>
      </c>
      <c r="K494" s="23" t="str">
        <f>IFERROR(_xlfn.RANK.EQ(J494,J:J),"")</f>
        <v/>
      </c>
      <c r="L494" s="43">
        <f>IFERROR(ROUND(VLOOKUP(A494,[1]man_journals!B:E,4,0),2),"")</f>
        <v>0.18</v>
      </c>
      <c r="M494" s="26">
        <f>IFERROR(_xlfn.RANK.EQ(L494,L:L),"")</f>
        <v>152</v>
      </c>
      <c r="N494" s="4" t="s">
        <v>1275</v>
      </c>
    </row>
    <row r="495" spans="1:16" x14ac:dyDescent="0.25">
      <c r="A495" t="s">
        <v>517</v>
      </c>
      <c r="B495" t="s">
        <v>1363</v>
      </c>
      <c r="C495" s="6">
        <f>IFERROR(VLOOKUP(A495,[1]eco_bus_journals!$B:$D,3,0),"")</f>
        <v>47</v>
      </c>
      <c r="D495" s="37">
        <f>IFERROR(ROUND(VLOOKUP(A495,[1]eco_bus_journals!$B:$X,4,0),2),"")</f>
        <v>7.0000000000000007E-2</v>
      </c>
      <c r="E495" s="37">
        <f>_xlfn.RANK.EQ(D495,D:D)</f>
        <v>517</v>
      </c>
      <c r="F495" s="44">
        <f>IFERROR(ROUND(VLOOKUP(A495,[1]eco_journals!B:E,4,0),2),"")</f>
        <v>7.0000000000000007E-2</v>
      </c>
      <c r="G495" s="40">
        <f>IFERROR(_xlfn.RANK.EQ(F495,F:F),"")</f>
        <v>247</v>
      </c>
      <c r="H495" s="46" t="str">
        <f>IFERROR(ROUND(VLOOKUP(A495,[1]fin_journals!B:E,4,0),2),"")</f>
        <v/>
      </c>
      <c r="I495" s="18" t="str">
        <f>IFERROR(_xlfn.RANK.EQ(H495,H:H),"")</f>
        <v/>
      </c>
      <c r="J495" s="42" t="str">
        <f>IFERROR(ROUND(VLOOKUP(A495,[1]bus_journals!B:E,4,0),2),"")</f>
        <v/>
      </c>
      <c r="K495" s="23" t="str">
        <f>IFERROR(_xlfn.RANK.EQ(J495,J:J),"")</f>
        <v/>
      </c>
      <c r="L495" s="43" t="str">
        <f>IFERROR(ROUND(VLOOKUP(A495,[1]man_journals!B:E,4,0),2),"")</f>
        <v/>
      </c>
      <c r="M495" s="26" t="str">
        <f>IFERROR(_xlfn.RANK.EQ(L495,L:L),"")</f>
        <v/>
      </c>
      <c r="N495" s="1" t="s">
        <v>1272</v>
      </c>
    </row>
    <row r="496" spans="1:16" x14ac:dyDescent="0.25">
      <c r="A496" t="s">
        <v>447</v>
      </c>
      <c r="B496" t="s">
        <v>1362</v>
      </c>
      <c r="C496" s="6">
        <f>IFERROR(VLOOKUP(A496,[1]eco_bus_journals!$B:$D,3,0),"")</f>
        <v>21</v>
      </c>
      <c r="D496" s="37">
        <f>IFERROR(ROUND(VLOOKUP(A496,[1]eco_bus_journals!$B:$X,4,0),2),"")</f>
        <v>0.08</v>
      </c>
      <c r="E496" s="37">
        <f>_xlfn.RANK.EQ(D496,D:D)</f>
        <v>502</v>
      </c>
      <c r="F496" s="44">
        <f>IFERROR(ROUND(VLOOKUP(A496,[1]eco_journals!B:E,4,0),2),"")</f>
        <v>0.08</v>
      </c>
      <c r="G496" s="40">
        <f>IFERROR(_xlfn.RANK.EQ(F496,F:F),"")</f>
        <v>237</v>
      </c>
      <c r="H496" s="46" t="str">
        <f>IFERROR(ROUND(VLOOKUP(A496,[1]fin_journals!B:E,4,0),2),"")</f>
        <v/>
      </c>
      <c r="I496" s="18" t="str">
        <f>IFERROR(_xlfn.RANK.EQ(H496,H:H),"")</f>
        <v/>
      </c>
      <c r="J496" s="42" t="str">
        <f>IFERROR(ROUND(VLOOKUP(A496,[1]bus_journals!B:E,4,0),2),"")</f>
        <v/>
      </c>
      <c r="K496" s="23" t="str">
        <f>IFERROR(_xlfn.RANK.EQ(J496,J:J),"")</f>
        <v/>
      </c>
      <c r="L496" s="43" t="str">
        <f>IFERROR(ROUND(VLOOKUP(A496,[1]man_journals!B:E,4,0),2),"")</f>
        <v/>
      </c>
      <c r="M496" s="26" t="str">
        <f>IFERROR(_xlfn.RANK.EQ(L496,L:L),"")</f>
        <v/>
      </c>
      <c r="N496" s="1" t="s">
        <v>1272</v>
      </c>
      <c r="O496" t="s">
        <v>1326</v>
      </c>
    </row>
    <row r="497" spans="1:17" x14ac:dyDescent="0.25">
      <c r="A497" t="s">
        <v>525</v>
      </c>
      <c r="B497" t="s">
        <v>1363</v>
      </c>
      <c r="C497" s="6">
        <f>IFERROR(VLOOKUP(A497,[1]eco_bus_journals!$B:$D,3,0),"")</f>
        <v>60</v>
      </c>
      <c r="D497" s="37">
        <f>IFERROR(ROUND(VLOOKUP(A497,[1]eco_bus_journals!$B:$X,4,0),2),"")</f>
        <v>0.08</v>
      </c>
      <c r="E497" s="37">
        <f>_xlfn.RANK.EQ(D497,D:D)</f>
        <v>502</v>
      </c>
      <c r="F497" s="44">
        <f>IFERROR(ROUND(VLOOKUP(A497,[1]eco_journals!B:E,4,0),2),"")</f>
        <v>0.09</v>
      </c>
      <c r="G497" s="40">
        <f>IFERROR(_xlfn.RANK.EQ(F497,F:F),"")</f>
        <v>225</v>
      </c>
      <c r="H497" s="46" t="str">
        <f>IFERROR(ROUND(VLOOKUP(A497,[1]fin_journals!B:E,4,0),2),"")</f>
        <v/>
      </c>
      <c r="I497" s="18" t="str">
        <f>IFERROR(_xlfn.RANK.EQ(H497,H:H),"")</f>
        <v/>
      </c>
      <c r="J497" s="42" t="str">
        <f>IFERROR(ROUND(VLOOKUP(A497,[1]bus_journals!B:E,4,0),2),"")</f>
        <v/>
      </c>
      <c r="K497" s="23" t="str">
        <f>IFERROR(_xlfn.RANK.EQ(J497,J:J),"")</f>
        <v/>
      </c>
      <c r="L497" s="43" t="str">
        <f>IFERROR(ROUND(VLOOKUP(A497,[1]man_journals!B:E,4,0),2),"")</f>
        <v/>
      </c>
      <c r="M497" s="26" t="str">
        <f>IFERROR(_xlfn.RANK.EQ(L497,L:L),"")</f>
        <v/>
      </c>
      <c r="N497" s="1" t="s">
        <v>1272</v>
      </c>
    </row>
    <row r="498" spans="1:17" x14ac:dyDescent="0.25">
      <c r="A498" t="s">
        <v>384</v>
      </c>
      <c r="B498" t="s">
        <v>1362</v>
      </c>
      <c r="C498" s="6">
        <f>IFERROR(VLOOKUP(A498,[1]eco_bus_journals!$B:$D,3,0),"")</f>
        <v>22</v>
      </c>
      <c r="D498" s="37">
        <f>IFERROR(ROUND(VLOOKUP(A498,[1]eco_bus_journals!$B:$X,4,0),2),"")</f>
        <v>0.09</v>
      </c>
      <c r="E498" s="37">
        <f>_xlfn.RANK.EQ(D498,D:D)</f>
        <v>484</v>
      </c>
      <c r="F498" s="44">
        <f>IFERROR(ROUND(VLOOKUP(A498,[1]eco_journals!B:E,4,0),2),"")</f>
        <v>0.04</v>
      </c>
      <c r="G498" s="40">
        <f>IFERROR(_xlfn.RANK.EQ(F498,F:F),"")</f>
        <v>283</v>
      </c>
      <c r="H498" s="46" t="str">
        <f>IFERROR(ROUND(VLOOKUP(A498,[1]fin_journals!B:E,4,0),2),"")</f>
        <v/>
      </c>
      <c r="I498" s="18" t="str">
        <f>IFERROR(_xlfn.RANK.EQ(H498,H:H),"")</f>
        <v/>
      </c>
      <c r="J498" s="42">
        <f>IFERROR(ROUND(VLOOKUP(A498,[1]bus_journals!B:E,4,0),2),"")</f>
        <v>0.23</v>
      </c>
      <c r="K498" s="23">
        <f>IFERROR(_xlfn.RANK.EQ(J498,J:J),"")</f>
        <v>122</v>
      </c>
      <c r="L498" s="43">
        <f>IFERROR(ROUND(VLOOKUP(A498,[1]man_journals!B:E,4,0),2),"")</f>
        <v>0.15</v>
      </c>
      <c r="M498" s="26">
        <f>IFERROR(_xlfn.RANK.EQ(L498,L:L),"")</f>
        <v>157</v>
      </c>
      <c r="N498" s="2" t="s">
        <v>1273</v>
      </c>
      <c r="O498" s="1" t="s">
        <v>1272</v>
      </c>
      <c r="P498" s="4" t="s">
        <v>1275</v>
      </c>
    </row>
    <row r="499" spans="1:17" x14ac:dyDescent="0.25">
      <c r="A499" t="s">
        <v>472</v>
      </c>
      <c r="B499" t="s">
        <v>1360</v>
      </c>
      <c r="C499" s="6">
        <f>IFERROR(VLOOKUP(A499,[1]eco_bus_journals!$B:$D,3,0),"")</f>
        <v>20</v>
      </c>
      <c r="D499" s="37">
        <f>IFERROR(ROUND(VLOOKUP(A499,[1]eco_bus_journals!$B:$X,4,0),2),"")</f>
        <v>0.1</v>
      </c>
      <c r="E499" s="37">
        <f>_xlfn.RANK.EQ(D499,D:D)</f>
        <v>465</v>
      </c>
      <c r="F499" s="44">
        <f>IFERROR(ROUND(VLOOKUP(A499,[1]eco_journals!B:E,4,0),2),"")</f>
        <v>7.0000000000000007E-2</v>
      </c>
      <c r="G499" s="40">
        <f>IFERROR(_xlfn.RANK.EQ(F499,F:F),"")</f>
        <v>247</v>
      </c>
      <c r="H499" s="46">
        <f>IFERROR(ROUND(VLOOKUP(A499,[1]fin_journals!B:E,4,0),2),"")</f>
        <v>0.1</v>
      </c>
      <c r="I499" s="18">
        <f>IFERROR(_xlfn.RANK.EQ(H499,H:H),"")</f>
        <v>105</v>
      </c>
      <c r="J499" s="42" t="str">
        <f>IFERROR(ROUND(VLOOKUP(A499,[1]bus_journals!B:E,4,0),2),"")</f>
        <v/>
      </c>
      <c r="K499" s="23" t="str">
        <f>IFERROR(_xlfn.RANK.EQ(J499,J:J),"")</f>
        <v/>
      </c>
      <c r="L499" s="43" t="str">
        <f>IFERROR(ROUND(VLOOKUP(A499,[1]man_journals!B:E,4,0),2),"")</f>
        <v/>
      </c>
      <c r="M499" s="26" t="str">
        <f>IFERROR(_xlfn.RANK.EQ(L499,L:L),"")</f>
        <v/>
      </c>
      <c r="N499" s="3" t="s">
        <v>1274</v>
      </c>
      <c r="O499" s="1" t="s">
        <v>1272</v>
      </c>
    </row>
    <row r="500" spans="1:17" x14ac:dyDescent="0.25">
      <c r="A500" t="s">
        <v>536</v>
      </c>
      <c r="B500" t="s">
        <v>1363</v>
      </c>
      <c r="C500" s="6">
        <f>IFERROR(VLOOKUP(A500,[1]eco_bus_journals!$B:$D,3,0),"")</f>
        <v>59</v>
      </c>
      <c r="D500" s="37">
        <f>IFERROR(ROUND(VLOOKUP(A500,[1]eco_bus_journals!$B:$X,4,0),2),"")</f>
        <v>0.08</v>
      </c>
      <c r="E500" s="37">
        <f>_xlfn.RANK.EQ(D500,D:D)</f>
        <v>502</v>
      </c>
      <c r="F500" s="44">
        <f>IFERROR(ROUND(VLOOKUP(A500,[1]eco_journals!B:E,4,0),2),"")</f>
        <v>0.09</v>
      </c>
      <c r="G500" s="40">
        <f>IFERROR(_xlfn.RANK.EQ(F500,F:F),"")</f>
        <v>225</v>
      </c>
      <c r="H500" s="46" t="str">
        <f>IFERROR(ROUND(VLOOKUP(A500,[1]fin_journals!B:E,4,0),2),"")</f>
        <v/>
      </c>
      <c r="I500" s="18" t="str">
        <f>IFERROR(_xlfn.RANK.EQ(H500,H:H),"")</f>
        <v/>
      </c>
      <c r="J500" s="42" t="str">
        <f>IFERROR(ROUND(VLOOKUP(A500,[1]bus_journals!B:E,4,0),2),"")</f>
        <v/>
      </c>
      <c r="K500" s="23" t="str">
        <f>IFERROR(_xlfn.RANK.EQ(J500,J:J),"")</f>
        <v/>
      </c>
      <c r="L500" s="43" t="str">
        <f>IFERROR(ROUND(VLOOKUP(A500,[1]man_journals!B:E,4,0),2),"")</f>
        <v/>
      </c>
      <c r="M500" s="26" t="str">
        <f>IFERROR(_xlfn.RANK.EQ(L500,L:L),"")</f>
        <v/>
      </c>
      <c r="N500" s="1" t="s">
        <v>1272</v>
      </c>
      <c r="O500" t="s">
        <v>1279</v>
      </c>
      <c r="P500" t="s">
        <v>1280</v>
      </c>
      <c r="Q500" t="s">
        <v>1281</v>
      </c>
    </row>
    <row r="501" spans="1:17" x14ac:dyDescent="0.25">
      <c r="A501" t="s">
        <v>436</v>
      </c>
      <c r="B501" t="s">
        <v>1360</v>
      </c>
      <c r="C501" s="6">
        <f>IFERROR(VLOOKUP(A501,[1]eco_bus_journals!$B:$D,3,0),"")</f>
        <v>209</v>
      </c>
      <c r="D501" s="37">
        <f>IFERROR(ROUND(VLOOKUP(A501,[1]eco_bus_journals!$B:$X,4,0),2),"")</f>
        <v>0.09</v>
      </c>
      <c r="E501" s="37">
        <f>_xlfn.RANK.EQ(D501,D:D)</f>
        <v>484</v>
      </c>
      <c r="F501" s="44" t="str">
        <f>IFERROR(ROUND(VLOOKUP(A501,[1]eco_journals!B:E,4,0),2),"")</f>
        <v/>
      </c>
      <c r="G501" s="40" t="str">
        <f>IFERROR(_xlfn.RANK.EQ(F501,F:F),"")</f>
        <v/>
      </c>
      <c r="H501" s="46" t="str">
        <f>IFERROR(ROUND(VLOOKUP(A501,[1]fin_journals!B:E,4,0),2),"")</f>
        <v/>
      </c>
      <c r="I501" s="18" t="str">
        <f>IFERROR(_xlfn.RANK.EQ(H501,H:H),"")</f>
        <v/>
      </c>
      <c r="J501" s="42" t="str">
        <f>IFERROR(ROUND(VLOOKUP(A501,[1]bus_journals!B:E,4,0),2),"")</f>
        <v/>
      </c>
      <c r="K501" s="23" t="str">
        <f>IFERROR(_xlfn.RANK.EQ(J501,J:J),"")</f>
        <v/>
      </c>
      <c r="L501" s="43">
        <f>IFERROR(ROUND(VLOOKUP(A501,[1]man_journals!B:E,4,0),2),"")</f>
        <v>0.21</v>
      </c>
      <c r="M501" s="26">
        <f>IFERROR(_xlfn.RANK.EQ(L501,L:L),"")</f>
        <v>145</v>
      </c>
      <c r="N501" s="4" t="s">
        <v>1275</v>
      </c>
      <c r="O501" t="s">
        <v>1277</v>
      </c>
    </row>
    <row r="502" spans="1:17" x14ac:dyDescent="0.25">
      <c r="A502" t="s">
        <v>475</v>
      </c>
      <c r="B502" t="s">
        <v>1372</v>
      </c>
      <c r="C502" s="6">
        <f>IFERROR(VLOOKUP(A502,[1]eco_bus_journals!$B:$D,3,0),"")</f>
        <v>39</v>
      </c>
      <c r="D502" s="37">
        <f>IFERROR(ROUND(VLOOKUP(A502,[1]eco_bus_journals!$B:$X,4,0),2),"")</f>
        <v>0.09</v>
      </c>
      <c r="E502" s="37">
        <f>_xlfn.RANK.EQ(D502,D:D)</f>
        <v>484</v>
      </c>
      <c r="F502" s="44">
        <f>IFERROR(ROUND(VLOOKUP(A502,[1]eco_journals!B:E,4,0),2),"")</f>
        <v>0.08</v>
      </c>
      <c r="G502" s="40">
        <f>IFERROR(_xlfn.RANK.EQ(F502,F:F),"")</f>
        <v>237</v>
      </c>
      <c r="H502" s="46" t="str">
        <f>IFERROR(ROUND(VLOOKUP(A502,[1]fin_journals!B:E,4,0),2),"")</f>
        <v/>
      </c>
      <c r="I502" s="18" t="str">
        <f>IFERROR(_xlfn.RANK.EQ(H502,H:H),"")</f>
        <v/>
      </c>
      <c r="J502" s="42" t="str">
        <f>IFERROR(ROUND(VLOOKUP(A502,[1]bus_journals!B:E,4,0),2),"")</f>
        <v/>
      </c>
      <c r="K502" s="23" t="str">
        <f>IFERROR(_xlfn.RANK.EQ(J502,J:J),"")</f>
        <v/>
      </c>
      <c r="L502" s="43" t="str">
        <f>IFERROR(ROUND(VLOOKUP(A502,[1]man_journals!B:E,4,0),2),"")</f>
        <v/>
      </c>
      <c r="M502" s="26" t="str">
        <f>IFERROR(_xlfn.RANK.EQ(L502,L:L),"")</f>
        <v/>
      </c>
      <c r="N502" s="1" t="s">
        <v>1272</v>
      </c>
    </row>
    <row r="503" spans="1:17" x14ac:dyDescent="0.25">
      <c r="A503" t="s">
        <v>419</v>
      </c>
      <c r="B503" t="s">
        <v>1388</v>
      </c>
      <c r="C503" s="6">
        <f>IFERROR(VLOOKUP(A503,[1]eco_bus_journals!$B:$D,3,0),"")</f>
        <v>40</v>
      </c>
      <c r="D503" s="37">
        <f>IFERROR(ROUND(VLOOKUP(A503,[1]eco_bus_journals!$B:$X,4,0),2),"")</f>
        <v>0.09</v>
      </c>
      <c r="E503" s="37">
        <f>_xlfn.RANK.EQ(D503,D:D)</f>
        <v>484</v>
      </c>
      <c r="F503" s="44">
        <f>IFERROR(ROUND(VLOOKUP(A503,[1]eco_journals!B:E,4,0),2),"")</f>
        <v>0.06</v>
      </c>
      <c r="G503" s="40">
        <f>IFERROR(_xlfn.RANK.EQ(F503,F:F),"")</f>
        <v>257</v>
      </c>
      <c r="H503" s="46" t="str">
        <f>IFERROR(ROUND(VLOOKUP(A503,[1]fin_journals!B:E,4,0),2),"")</f>
        <v/>
      </c>
      <c r="I503" s="18" t="str">
        <f>IFERROR(_xlfn.RANK.EQ(H503,H:H),"")</f>
        <v/>
      </c>
      <c r="J503" s="42">
        <f>IFERROR(ROUND(VLOOKUP(A503,[1]bus_journals!B:E,4,0),2),"")</f>
        <v>0.14000000000000001</v>
      </c>
      <c r="K503" s="23">
        <f>IFERROR(_xlfn.RANK.EQ(J503,J:J),"")</f>
        <v>129</v>
      </c>
      <c r="L503" s="43">
        <f>IFERROR(ROUND(VLOOKUP(A503,[1]man_journals!B:E,4,0),2),"")</f>
        <v>7.0000000000000007E-2</v>
      </c>
      <c r="M503" s="26">
        <f>IFERROR(_xlfn.RANK.EQ(L503,L:L),"")</f>
        <v>170</v>
      </c>
      <c r="N503" s="2" t="s">
        <v>1273</v>
      </c>
      <c r="O503" s="1" t="s">
        <v>1272</v>
      </c>
      <c r="P503" s="4" t="s">
        <v>1275</v>
      </c>
    </row>
    <row r="504" spans="1:17" x14ac:dyDescent="0.25">
      <c r="A504" t="s">
        <v>493</v>
      </c>
      <c r="B504" t="s">
        <v>1372</v>
      </c>
      <c r="C504" s="6">
        <f>IFERROR(VLOOKUP(A504,[1]eco_bus_journals!$B:$D,3,0),"")</f>
        <v>42</v>
      </c>
      <c r="D504" s="37">
        <f>IFERROR(ROUND(VLOOKUP(A504,[1]eco_bus_journals!$B:$X,4,0),2),"")</f>
        <v>0.08</v>
      </c>
      <c r="E504" s="37">
        <f>_xlfn.RANK.EQ(D504,D:D)</f>
        <v>502</v>
      </c>
      <c r="F504" s="44">
        <f>IFERROR(ROUND(VLOOKUP(A504,[1]eco_journals!B:E,4,0),2),"")</f>
        <v>0.08</v>
      </c>
      <c r="G504" s="40">
        <f>IFERROR(_xlfn.RANK.EQ(F504,F:F),"")</f>
        <v>237</v>
      </c>
      <c r="H504" s="46" t="str">
        <f>IFERROR(ROUND(VLOOKUP(A504,[1]fin_journals!B:E,4,0),2),"")</f>
        <v/>
      </c>
      <c r="I504" s="18" t="str">
        <f>IFERROR(_xlfn.RANK.EQ(H504,H:H),"")</f>
        <v/>
      </c>
      <c r="J504" s="42" t="str">
        <f>IFERROR(ROUND(VLOOKUP(A504,[1]bus_journals!B:E,4,0),2),"")</f>
        <v/>
      </c>
      <c r="K504" s="23" t="str">
        <f>IFERROR(_xlfn.RANK.EQ(J504,J:J),"")</f>
        <v/>
      </c>
      <c r="L504" s="43" t="str">
        <f>IFERROR(ROUND(VLOOKUP(A504,[1]man_journals!B:E,4,0),2),"")</f>
        <v/>
      </c>
      <c r="M504" s="26" t="str">
        <f>IFERROR(_xlfn.RANK.EQ(L504,L:L),"")</f>
        <v/>
      </c>
      <c r="N504" s="1" t="s">
        <v>1272</v>
      </c>
    </row>
    <row r="505" spans="1:17" x14ac:dyDescent="0.25">
      <c r="A505" t="s">
        <v>508</v>
      </c>
      <c r="B505" t="s">
        <v>1372</v>
      </c>
      <c r="C505" s="6">
        <f>IFERROR(VLOOKUP(A505,[1]eco_bus_journals!$B:$D,3,0),"")</f>
        <v>26</v>
      </c>
      <c r="D505" s="37">
        <f>IFERROR(ROUND(VLOOKUP(A505,[1]eco_bus_journals!$B:$X,4,0),2),"")</f>
        <v>0.1</v>
      </c>
      <c r="E505" s="37">
        <f>_xlfn.RANK.EQ(D505,D:D)</f>
        <v>465</v>
      </c>
      <c r="F505" s="44" t="str">
        <f>IFERROR(ROUND(VLOOKUP(A505,[1]eco_journals!B:E,4,0),2),"")</f>
        <v/>
      </c>
      <c r="G505" s="40" t="str">
        <f>IFERROR(_xlfn.RANK.EQ(F505,F:F),"")</f>
        <v/>
      </c>
      <c r="H505" s="46" t="str">
        <f>IFERROR(ROUND(VLOOKUP(A505,[1]fin_journals!B:E,4,0),2),"")</f>
        <v/>
      </c>
      <c r="I505" s="18" t="str">
        <f>IFERROR(_xlfn.RANK.EQ(H505,H:H),"")</f>
        <v/>
      </c>
      <c r="J505" s="42" t="str">
        <f>IFERROR(ROUND(VLOOKUP(A505,[1]bus_journals!B:E,4,0),2),"")</f>
        <v/>
      </c>
      <c r="K505" s="23" t="str">
        <f>IFERROR(_xlfn.RANK.EQ(J505,J:J),"")</f>
        <v/>
      </c>
      <c r="L505" s="43">
        <f>IFERROR(ROUND(VLOOKUP(A505,[1]man_journals!B:E,4,0),2),"")</f>
        <v>0.28999999999999998</v>
      </c>
      <c r="M505" s="26">
        <f>IFERROR(_xlfn.RANK.EQ(L505,L:L),"")</f>
        <v>131</v>
      </c>
      <c r="N505" s="4" t="s">
        <v>1275</v>
      </c>
      <c r="O505" t="s">
        <v>1278</v>
      </c>
    </row>
    <row r="506" spans="1:17" x14ac:dyDescent="0.25">
      <c r="A506" t="s">
        <v>457</v>
      </c>
      <c r="B506" t="s">
        <v>1363</v>
      </c>
      <c r="C506" s="6">
        <f>IFERROR(VLOOKUP(A506,[1]eco_bus_journals!$B:$D,3,0),"")</f>
        <v>140</v>
      </c>
      <c r="D506" s="37">
        <f>IFERROR(ROUND(VLOOKUP(A506,[1]eco_bus_journals!$B:$X,4,0),2),"")</f>
        <v>0.1</v>
      </c>
      <c r="E506" s="37">
        <f>_xlfn.RANK.EQ(D506,D:D)</f>
        <v>465</v>
      </c>
      <c r="F506" s="44">
        <f>IFERROR(ROUND(VLOOKUP(A506,[1]eco_journals!B:E,4,0),2),"")</f>
        <v>0.06</v>
      </c>
      <c r="G506" s="40">
        <f>IFERROR(_xlfn.RANK.EQ(F506,F:F),"")</f>
        <v>257</v>
      </c>
      <c r="H506" s="46" t="str">
        <f>IFERROR(ROUND(VLOOKUP(A506,[1]fin_journals!B:E,4,0),2),"")</f>
        <v/>
      </c>
      <c r="I506" s="18" t="str">
        <f>IFERROR(_xlfn.RANK.EQ(H506,H:H),"")</f>
        <v/>
      </c>
      <c r="J506" s="42" t="str">
        <f>IFERROR(ROUND(VLOOKUP(A506,[1]bus_journals!B:E,4,0),2),"")</f>
        <v/>
      </c>
      <c r="K506" s="23" t="str">
        <f>IFERROR(_xlfn.RANK.EQ(J506,J:J),"")</f>
        <v/>
      </c>
      <c r="L506" s="43" t="str">
        <f>IFERROR(ROUND(VLOOKUP(A506,[1]man_journals!B:E,4,0),2),"")</f>
        <v/>
      </c>
      <c r="M506" s="26" t="str">
        <f>IFERROR(_xlfn.RANK.EQ(L506,L:L),"")</f>
        <v/>
      </c>
      <c r="N506" s="1" t="s">
        <v>1272</v>
      </c>
    </row>
    <row r="507" spans="1:17" x14ac:dyDescent="0.25">
      <c r="A507" t="s">
        <v>388</v>
      </c>
      <c r="B507" t="s">
        <v>1390</v>
      </c>
      <c r="C507" s="6">
        <f>IFERROR(VLOOKUP(A507,[1]eco_bus_journals!$B:$D,3,0),"")</f>
        <v>20</v>
      </c>
      <c r="D507" s="37">
        <f>IFERROR(ROUND(VLOOKUP(A507,[1]eco_bus_journals!$B:$X,4,0),2),"")</f>
        <v>0.08</v>
      </c>
      <c r="E507" s="37">
        <f>_xlfn.RANK.EQ(D507,D:D)</f>
        <v>502</v>
      </c>
      <c r="F507" s="44" t="str">
        <f>IFERROR(ROUND(VLOOKUP(A507,[1]eco_journals!B:E,4,0),2),"")</f>
        <v/>
      </c>
      <c r="G507" s="40" t="str">
        <f>IFERROR(_xlfn.RANK.EQ(F507,F:F),"")</f>
        <v/>
      </c>
      <c r="H507" s="46" t="str">
        <f>IFERROR(ROUND(VLOOKUP(A507,[1]fin_journals!B:E,4,0),2),"")</f>
        <v/>
      </c>
      <c r="I507" s="18" t="str">
        <f>IFERROR(_xlfn.RANK.EQ(H507,H:H),"")</f>
        <v/>
      </c>
      <c r="J507" s="42">
        <f>IFERROR(ROUND(VLOOKUP(A507,[1]bus_journals!B:E,4,0),2),"")</f>
        <v>0.27</v>
      </c>
      <c r="K507" s="23">
        <f>IFERROR(_xlfn.RANK.EQ(J507,J:J),"")</f>
        <v>115</v>
      </c>
      <c r="L507" s="43" t="str">
        <f>IFERROR(ROUND(VLOOKUP(A507,[1]man_journals!B:E,4,0),2),"")</f>
        <v/>
      </c>
      <c r="M507" s="26" t="str">
        <f>IFERROR(_xlfn.RANK.EQ(L507,L:L),"")</f>
        <v/>
      </c>
      <c r="N507" s="2" t="s">
        <v>1273</v>
      </c>
    </row>
    <row r="508" spans="1:17" x14ac:dyDescent="0.25">
      <c r="A508" t="s">
        <v>495</v>
      </c>
      <c r="B508" t="s">
        <v>1372</v>
      </c>
      <c r="C508" s="6">
        <f>IFERROR(VLOOKUP(A508,[1]eco_bus_journals!$B:$D,3,0),"")</f>
        <v>20</v>
      </c>
      <c r="D508" s="37">
        <f>IFERROR(ROUND(VLOOKUP(A508,[1]eco_bus_journals!$B:$X,4,0),2),"")</f>
        <v>0.1</v>
      </c>
      <c r="E508" s="37">
        <f>_xlfn.RANK.EQ(D508,D:D)</f>
        <v>465</v>
      </c>
      <c r="F508" s="44" t="str">
        <f>IFERROR(ROUND(VLOOKUP(A508,[1]eco_journals!B:E,4,0),2),"")</f>
        <v/>
      </c>
      <c r="G508" s="40" t="str">
        <f>IFERROR(_xlfn.RANK.EQ(F508,F:F),"")</f>
        <v/>
      </c>
      <c r="H508" s="46" t="str">
        <f>IFERROR(ROUND(VLOOKUP(A508,[1]fin_journals!B:E,4,0),2),"")</f>
        <v/>
      </c>
      <c r="I508" s="18" t="str">
        <f>IFERROR(_xlfn.RANK.EQ(H508,H:H),"")</f>
        <v/>
      </c>
      <c r="J508" s="42" t="str">
        <f>IFERROR(ROUND(VLOOKUP(A508,[1]bus_journals!B:E,4,0),2),"")</f>
        <v/>
      </c>
      <c r="K508" s="23" t="str">
        <f>IFERROR(_xlfn.RANK.EQ(J508,J:J),"")</f>
        <v/>
      </c>
      <c r="L508" s="43">
        <f>IFERROR(ROUND(VLOOKUP(A508,[1]man_journals!B:E,4,0),2),"")</f>
        <v>0.15</v>
      </c>
      <c r="M508" s="26">
        <f>IFERROR(_xlfn.RANK.EQ(L508,L:L),"")</f>
        <v>157</v>
      </c>
      <c r="N508" t="s">
        <v>1299</v>
      </c>
      <c r="O508" t="s">
        <v>1300</v>
      </c>
      <c r="P508" s="4" t="s">
        <v>1275</v>
      </c>
    </row>
    <row r="509" spans="1:17" x14ac:dyDescent="0.25">
      <c r="A509" t="s">
        <v>480</v>
      </c>
      <c r="B509" t="s">
        <v>1360</v>
      </c>
      <c r="C509" s="6">
        <f>IFERROR(VLOOKUP(A509,[1]eco_bus_journals!$B:$D,3,0),"")</f>
        <v>161</v>
      </c>
      <c r="D509" s="37">
        <f>IFERROR(ROUND(VLOOKUP(A509,[1]eco_bus_journals!$B:$X,4,0),2),"")</f>
        <v>0.09</v>
      </c>
      <c r="E509" s="37">
        <f>_xlfn.RANK.EQ(D509,D:D)</f>
        <v>484</v>
      </c>
      <c r="F509" s="44">
        <f>IFERROR(ROUND(VLOOKUP(A509,[1]eco_journals!B:E,4,0),2),"")</f>
        <v>0.06</v>
      </c>
      <c r="G509" s="40">
        <f>IFERROR(_xlfn.RANK.EQ(F509,F:F),"")</f>
        <v>257</v>
      </c>
      <c r="H509" s="46" t="str">
        <f>IFERROR(ROUND(VLOOKUP(A509,[1]fin_journals!B:E,4,0),2),"")</f>
        <v/>
      </c>
      <c r="I509" s="18" t="str">
        <f>IFERROR(_xlfn.RANK.EQ(H509,H:H),"")</f>
        <v/>
      </c>
      <c r="J509" s="42" t="str">
        <f>IFERROR(ROUND(VLOOKUP(A509,[1]bus_journals!B:E,4,0),2),"")</f>
        <v/>
      </c>
      <c r="K509" s="23" t="str">
        <f>IFERROR(_xlfn.RANK.EQ(J509,J:J),"")</f>
        <v/>
      </c>
      <c r="L509" s="43">
        <f>IFERROR(ROUND(VLOOKUP(A509,[1]man_journals!B:E,4,0),2),"")</f>
        <v>0.15</v>
      </c>
      <c r="M509" s="26">
        <f>IFERROR(_xlfn.RANK.EQ(L509,L:L),"")</f>
        <v>157</v>
      </c>
      <c r="N509" s="1" t="s">
        <v>1272</v>
      </c>
      <c r="O509" s="4" t="s">
        <v>1275</v>
      </c>
    </row>
    <row r="510" spans="1:17" x14ac:dyDescent="0.25">
      <c r="A510" t="s">
        <v>499</v>
      </c>
      <c r="B510" t="s">
        <v>1360</v>
      </c>
      <c r="C510" s="6">
        <f>IFERROR(VLOOKUP(A510,[1]eco_bus_journals!$B:$D,3,0),"")</f>
        <v>99</v>
      </c>
      <c r="D510" s="37">
        <f>IFERROR(ROUND(VLOOKUP(A510,[1]eco_bus_journals!$B:$X,4,0),2),"")</f>
        <v>0.08</v>
      </c>
      <c r="E510" s="37">
        <f>_xlfn.RANK.EQ(D510,D:D)</f>
        <v>502</v>
      </c>
      <c r="F510" s="44">
        <f>IFERROR(ROUND(VLOOKUP(A510,[1]eco_journals!B:E,4,0),2),"")</f>
        <v>7.0000000000000007E-2</v>
      </c>
      <c r="G510" s="40">
        <f>IFERROR(_xlfn.RANK.EQ(F510,F:F),"")</f>
        <v>247</v>
      </c>
      <c r="H510" s="46" t="str">
        <f>IFERROR(ROUND(VLOOKUP(A510,[1]fin_journals!B:E,4,0),2),"")</f>
        <v/>
      </c>
      <c r="I510" s="18" t="str">
        <f>IFERROR(_xlfn.RANK.EQ(H510,H:H),"")</f>
        <v/>
      </c>
      <c r="J510" s="42" t="str">
        <f>IFERROR(ROUND(VLOOKUP(A510,[1]bus_journals!B:E,4,0),2),"")</f>
        <v/>
      </c>
      <c r="K510" s="23" t="str">
        <f>IFERROR(_xlfn.RANK.EQ(J510,J:J),"")</f>
        <v/>
      </c>
      <c r="L510" s="43" t="str">
        <f>IFERROR(ROUND(VLOOKUP(A510,[1]man_journals!B:E,4,0),2),"")</f>
        <v/>
      </c>
      <c r="M510" s="26" t="str">
        <f>IFERROR(_xlfn.RANK.EQ(L510,L:L),"")</f>
        <v/>
      </c>
      <c r="N510" t="s">
        <v>1284</v>
      </c>
      <c r="O510" s="1" t="s">
        <v>1272</v>
      </c>
      <c r="P510" t="s">
        <v>1285</v>
      </c>
    </row>
    <row r="511" spans="1:17" x14ac:dyDescent="0.25">
      <c r="A511" t="s">
        <v>428</v>
      </c>
      <c r="B511" t="s">
        <v>1395</v>
      </c>
      <c r="C511" s="6">
        <f>IFERROR(VLOOKUP(A511,[1]eco_bus_journals!$B:$D,3,0),"")</f>
        <v>62</v>
      </c>
      <c r="D511" s="37">
        <f>IFERROR(ROUND(VLOOKUP(A511,[1]eco_bus_journals!$B:$X,4,0),2),"")</f>
        <v>7.0000000000000007E-2</v>
      </c>
      <c r="E511" s="37">
        <f>_xlfn.RANK.EQ(D511,D:D)</f>
        <v>517</v>
      </c>
      <c r="F511" s="44">
        <f>IFERROR(ROUND(VLOOKUP(A511,[1]eco_journals!B:E,4,0),2),"")</f>
        <v>0.05</v>
      </c>
      <c r="G511" s="40">
        <f>IFERROR(_xlfn.RANK.EQ(F511,F:F),"")</f>
        <v>275</v>
      </c>
      <c r="H511" s="46" t="str">
        <f>IFERROR(ROUND(VLOOKUP(A511,[1]fin_journals!B:E,4,0),2),"")</f>
        <v/>
      </c>
      <c r="I511" s="18" t="str">
        <f>IFERROR(_xlfn.RANK.EQ(H511,H:H),"")</f>
        <v/>
      </c>
      <c r="J511" s="42" t="str">
        <f>IFERROR(ROUND(VLOOKUP(A511,[1]bus_journals!B:E,4,0),2),"")</f>
        <v/>
      </c>
      <c r="K511" s="23" t="str">
        <f>IFERROR(_xlfn.RANK.EQ(J511,J:J),"")</f>
        <v/>
      </c>
      <c r="L511" s="43" t="str">
        <f>IFERROR(ROUND(VLOOKUP(A511,[1]man_journals!B:E,4,0),2),"")</f>
        <v/>
      </c>
      <c r="M511" s="26" t="str">
        <f>IFERROR(_xlfn.RANK.EQ(L511,L:L),"")</f>
        <v/>
      </c>
      <c r="N511" s="1" t="s">
        <v>1272</v>
      </c>
    </row>
    <row r="512" spans="1:17" x14ac:dyDescent="0.25">
      <c r="A512" t="s">
        <v>412</v>
      </c>
      <c r="B512" t="s">
        <v>1372</v>
      </c>
      <c r="C512" s="6">
        <f>IFERROR(VLOOKUP(A512,[1]eco_bus_journals!$B:$D,3,0),"")</f>
        <v>157</v>
      </c>
      <c r="D512" s="37">
        <f>IFERROR(ROUND(VLOOKUP(A512,[1]eco_bus_journals!$B:$X,4,0),2),"")</f>
        <v>0.09</v>
      </c>
      <c r="E512" s="37">
        <f>_xlfn.RANK.EQ(D512,D:D)</f>
        <v>484</v>
      </c>
      <c r="F512" s="44" t="str">
        <f>IFERROR(ROUND(VLOOKUP(A512,[1]eco_journals!B:E,4,0),2),"")</f>
        <v/>
      </c>
      <c r="G512" s="40" t="str">
        <f>IFERROR(_xlfn.RANK.EQ(F512,F:F),"")</f>
        <v/>
      </c>
      <c r="H512" s="46" t="str">
        <f>IFERROR(ROUND(VLOOKUP(A512,[1]fin_journals!B:E,4,0),2),"")</f>
        <v/>
      </c>
      <c r="I512" s="18" t="str">
        <f>IFERROR(_xlfn.RANK.EQ(H512,H:H),"")</f>
        <v/>
      </c>
      <c r="J512" s="42" t="str">
        <f>IFERROR(ROUND(VLOOKUP(A512,[1]bus_journals!B:E,4,0),2),"")</f>
        <v/>
      </c>
      <c r="K512" s="23" t="str">
        <f>IFERROR(_xlfn.RANK.EQ(J512,J:J),"")</f>
        <v/>
      </c>
      <c r="L512" s="43">
        <f>IFERROR(ROUND(VLOOKUP(A512,[1]man_journals!B:E,4,0),2),"")</f>
        <v>0.21</v>
      </c>
      <c r="M512" s="26">
        <f>IFERROR(_xlfn.RANK.EQ(L512,L:L),"")</f>
        <v>145</v>
      </c>
      <c r="N512" s="4" t="s">
        <v>1275</v>
      </c>
    </row>
    <row r="513" spans="1:16" x14ac:dyDescent="0.25">
      <c r="A513" t="s">
        <v>514</v>
      </c>
      <c r="B513" t="s">
        <v>1360</v>
      </c>
      <c r="C513" s="6">
        <f>IFERROR(VLOOKUP(A513,[1]eco_bus_journals!$B:$D,3,0),"")</f>
        <v>17</v>
      </c>
      <c r="D513" s="37">
        <f>IFERROR(ROUND(VLOOKUP(A513,[1]eco_bus_journals!$B:$X,4,0),2),"")</f>
        <v>0.06</v>
      </c>
      <c r="E513" s="37">
        <f>_xlfn.RANK.EQ(D513,D:D)</f>
        <v>531</v>
      </c>
      <c r="F513" s="44">
        <f>IFERROR(ROUND(VLOOKUP(A513,[1]eco_journals!B:E,4,0),2),"")</f>
        <v>0.06</v>
      </c>
      <c r="G513" s="40">
        <f>IFERROR(_xlfn.RANK.EQ(F513,F:F),"")</f>
        <v>257</v>
      </c>
      <c r="H513" s="46" t="str">
        <f>IFERROR(ROUND(VLOOKUP(A513,[1]fin_journals!B:E,4,0),2),"")</f>
        <v/>
      </c>
      <c r="I513" s="18" t="str">
        <f>IFERROR(_xlfn.RANK.EQ(H513,H:H),"")</f>
        <v/>
      </c>
      <c r="J513" s="42" t="str">
        <f>IFERROR(ROUND(VLOOKUP(A513,[1]bus_journals!B:E,4,0),2),"")</f>
        <v/>
      </c>
      <c r="K513" s="23" t="str">
        <f>IFERROR(_xlfn.RANK.EQ(J513,J:J),"")</f>
        <v/>
      </c>
      <c r="L513" s="43" t="str">
        <f>IFERROR(ROUND(VLOOKUP(A513,[1]man_journals!B:E,4,0),2),"")</f>
        <v/>
      </c>
      <c r="M513" s="26" t="str">
        <f>IFERROR(_xlfn.RANK.EQ(L513,L:L),"")</f>
        <v/>
      </c>
      <c r="N513" s="1" t="s">
        <v>1272</v>
      </c>
    </row>
    <row r="514" spans="1:16" x14ac:dyDescent="0.25">
      <c r="A514" t="s">
        <v>464</v>
      </c>
      <c r="B514" t="s">
        <v>1372</v>
      </c>
      <c r="C514" s="6">
        <f>IFERROR(VLOOKUP(A514,[1]eco_bus_journals!$B:$D,3,0),"")</f>
        <v>92</v>
      </c>
      <c r="D514" s="37">
        <f>IFERROR(ROUND(VLOOKUP(A514,[1]eco_bus_journals!$B:$X,4,0),2),"")</f>
        <v>7.0000000000000007E-2</v>
      </c>
      <c r="E514" s="37">
        <f>_xlfn.RANK.EQ(D514,D:D)</f>
        <v>517</v>
      </c>
      <c r="F514" s="44">
        <f>IFERROR(ROUND(VLOOKUP(A514,[1]eco_journals!B:E,4,0),2),"")</f>
        <v>0.03</v>
      </c>
      <c r="G514" s="40">
        <f>IFERROR(_xlfn.RANK.EQ(F514,F:F),"")</f>
        <v>294</v>
      </c>
      <c r="H514" s="46">
        <f>IFERROR(ROUND(VLOOKUP(A514,[1]fin_journals!B:E,4,0),2),"")</f>
        <v>0.13</v>
      </c>
      <c r="I514" s="18">
        <f>IFERROR(_xlfn.RANK.EQ(H514,H:H),"")</f>
        <v>102</v>
      </c>
      <c r="J514" s="42" t="str">
        <f>IFERROR(ROUND(VLOOKUP(A514,[1]bus_journals!B:E,4,0),2),"")</f>
        <v/>
      </c>
      <c r="K514" s="23" t="str">
        <f>IFERROR(_xlfn.RANK.EQ(J514,J:J),"")</f>
        <v/>
      </c>
      <c r="L514" s="43" t="str">
        <f>IFERROR(ROUND(VLOOKUP(A514,[1]man_journals!B:E,4,0),2),"")</f>
        <v/>
      </c>
      <c r="M514" s="26" t="str">
        <f>IFERROR(_xlfn.RANK.EQ(L514,L:L),"")</f>
        <v/>
      </c>
      <c r="N514" s="3" t="s">
        <v>1274</v>
      </c>
      <c r="O514" s="1" t="s">
        <v>1272</v>
      </c>
    </row>
    <row r="515" spans="1:16" x14ac:dyDescent="0.25">
      <c r="A515" t="s">
        <v>579</v>
      </c>
      <c r="B515" t="s">
        <v>1384</v>
      </c>
      <c r="C515" s="6">
        <f>IFERROR(VLOOKUP(A515,[1]eco_bus_journals!$B:$D,3,0),"")</f>
        <v>35</v>
      </c>
      <c r="D515" s="37">
        <f>IFERROR(ROUND(VLOOKUP(A515,[1]eco_bus_journals!$B:$X,4,0),2),"")</f>
        <v>7.0000000000000007E-2</v>
      </c>
      <c r="E515" s="37">
        <f>_xlfn.RANK.EQ(D515,D:D)</f>
        <v>517</v>
      </c>
      <c r="F515" s="44">
        <f>IFERROR(ROUND(VLOOKUP(A515,[1]eco_journals!B:E,4,0),2),"")</f>
        <v>0.06</v>
      </c>
      <c r="G515" s="40">
        <f>IFERROR(_xlfn.RANK.EQ(F515,F:F),"")</f>
        <v>257</v>
      </c>
      <c r="H515" s="46" t="str">
        <f>IFERROR(ROUND(VLOOKUP(A515,[1]fin_journals!B:E,4,0),2),"")</f>
        <v/>
      </c>
      <c r="I515" s="18" t="str">
        <f>IFERROR(_xlfn.RANK.EQ(H515,H:H),"")</f>
        <v/>
      </c>
      <c r="J515" s="42" t="str">
        <f>IFERROR(ROUND(VLOOKUP(A515,[1]bus_journals!B:E,4,0),2),"")</f>
        <v/>
      </c>
      <c r="K515" s="23" t="str">
        <f>IFERROR(_xlfn.RANK.EQ(J515,J:J),"")</f>
        <v/>
      </c>
      <c r="L515" s="43" t="str">
        <f>IFERROR(ROUND(VLOOKUP(A515,[1]man_journals!B:E,4,0),2),"")</f>
        <v/>
      </c>
      <c r="M515" s="26" t="str">
        <f>IFERROR(_xlfn.RANK.EQ(L515,L:L),"")</f>
        <v/>
      </c>
      <c r="N515" s="1" t="s">
        <v>1272</v>
      </c>
    </row>
    <row r="516" spans="1:16" x14ac:dyDescent="0.25">
      <c r="A516" t="s">
        <v>515</v>
      </c>
      <c r="B516" t="s">
        <v>1372</v>
      </c>
      <c r="C516" s="6">
        <f>IFERROR(VLOOKUP(A516,[1]eco_bus_journals!$B:$D,3,0),"")</f>
        <v>10</v>
      </c>
      <c r="D516" s="37">
        <f>IFERROR(ROUND(VLOOKUP(A516,[1]eco_bus_journals!$B:$X,4,0),2),"")</f>
        <v>0.1</v>
      </c>
      <c r="E516" s="37">
        <f>_xlfn.RANK.EQ(D516,D:D)</f>
        <v>465</v>
      </c>
      <c r="F516" s="44">
        <f>IFERROR(ROUND(VLOOKUP(A516,[1]eco_journals!B:E,4,0),2),"")</f>
        <v>0.09</v>
      </c>
      <c r="G516" s="40">
        <f>IFERROR(_xlfn.RANK.EQ(F516,F:F),"")</f>
        <v>225</v>
      </c>
      <c r="H516" s="46" t="str">
        <f>IFERROR(ROUND(VLOOKUP(A516,[1]fin_journals!B:E,4,0),2),"")</f>
        <v/>
      </c>
      <c r="I516" s="18" t="str">
        <f>IFERROR(_xlfn.RANK.EQ(H516,H:H),"")</f>
        <v/>
      </c>
      <c r="J516" s="42" t="str">
        <f>IFERROR(ROUND(VLOOKUP(A516,[1]bus_journals!B:E,4,0),2),"")</f>
        <v/>
      </c>
      <c r="K516" s="23" t="str">
        <f>IFERROR(_xlfn.RANK.EQ(J516,J:J),"")</f>
        <v/>
      </c>
      <c r="L516" s="43" t="str">
        <f>IFERROR(ROUND(VLOOKUP(A516,[1]man_journals!B:E,4,0),2),"")</f>
        <v/>
      </c>
      <c r="M516" s="26" t="str">
        <f>IFERROR(_xlfn.RANK.EQ(L516,L:L),"")</f>
        <v/>
      </c>
      <c r="N516" s="1" t="s">
        <v>1272</v>
      </c>
    </row>
    <row r="517" spans="1:16" x14ac:dyDescent="0.25">
      <c r="A517" t="s">
        <v>553</v>
      </c>
      <c r="B517" t="s">
        <v>1405</v>
      </c>
      <c r="C517" s="6">
        <f>IFERROR(VLOOKUP(A517,[1]eco_bus_journals!$B:$D,3,0),"")</f>
        <v>9</v>
      </c>
      <c r="D517" s="37">
        <f>IFERROR(ROUND(VLOOKUP(A517,[1]eco_bus_journals!$B:$X,4,0),2),"")</f>
        <v>0.08</v>
      </c>
      <c r="E517" s="37">
        <f>_xlfn.RANK.EQ(D517,D:D)</f>
        <v>502</v>
      </c>
      <c r="F517" s="44">
        <f>IFERROR(ROUND(VLOOKUP(A517,[1]eco_journals!B:E,4,0),2),"")</f>
        <v>0.08</v>
      </c>
      <c r="G517" s="40">
        <f>IFERROR(_xlfn.RANK.EQ(F517,F:F),"")</f>
        <v>237</v>
      </c>
      <c r="H517" s="46" t="str">
        <f>IFERROR(ROUND(VLOOKUP(A517,[1]fin_journals!B:E,4,0),2),"")</f>
        <v/>
      </c>
      <c r="I517" s="18" t="str">
        <f>IFERROR(_xlfn.RANK.EQ(H517,H:H),"")</f>
        <v/>
      </c>
      <c r="J517" s="42" t="str">
        <f>IFERROR(ROUND(VLOOKUP(A517,[1]bus_journals!B:E,4,0),2),"")</f>
        <v/>
      </c>
      <c r="K517" s="23" t="str">
        <f>IFERROR(_xlfn.RANK.EQ(J517,J:J),"")</f>
        <v/>
      </c>
      <c r="L517" s="43" t="str">
        <f>IFERROR(ROUND(VLOOKUP(A517,[1]man_journals!B:E,4,0),2),"")</f>
        <v/>
      </c>
      <c r="M517" s="26" t="str">
        <f>IFERROR(_xlfn.RANK.EQ(L517,L:L),"")</f>
        <v/>
      </c>
      <c r="N517" s="1" t="s">
        <v>1272</v>
      </c>
    </row>
    <row r="518" spans="1:16" x14ac:dyDescent="0.25">
      <c r="A518" t="s">
        <v>468</v>
      </c>
      <c r="B518" t="s">
        <v>1363</v>
      </c>
      <c r="C518" s="6">
        <f>IFERROR(VLOOKUP(A518,[1]eco_bus_journals!$B:$D,3,0),"")</f>
        <v>65</v>
      </c>
      <c r="D518" s="37">
        <f>IFERROR(ROUND(VLOOKUP(A518,[1]eco_bus_journals!$B:$X,4,0),2),"")</f>
        <v>0.09</v>
      </c>
      <c r="E518" s="37">
        <f>_xlfn.RANK.EQ(D518,D:D)</f>
        <v>484</v>
      </c>
      <c r="F518" s="44">
        <f>IFERROR(ROUND(VLOOKUP(A518,[1]eco_journals!B:E,4,0),2),"")</f>
        <v>0.08</v>
      </c>
      <c r="G518" s="40">
        <f>IFERROR(_xlfn.RANK.EQ(F518,F:F),"")</f>
        <v>237</v>
      </c>
      <c r="H518" s="46" t="str">
        <f>IFERROR(ROUND(VLOOKUP(A518,[1]fin_journals!B:E,4,0),2),"")</f>
        <v/>
      </c>
      <c r="I518" s="18" t="str">
        <f>IFERROR(_xlfn.RANK.EQ(H518,H:H),"")</f>
        <v/>
      </c>
      <c r="J518" s="42" t="str">
        <f>IFERROR(ROUND(VLOOKUP(A518,[1]bus_journals!B:E,4,0),2),"")</f>
        <v/>
      </c>
      <c r="K518" s="23" t="str">
        <f>IFERROR(_xlfn.RANK.EQ(J518,J:J),"")</f>
        <v/>
      </c>
      <c r="L518" s="43" t="str">
        <f>IFERROR(ROUND(VLOOKUP(A518,[1]man_journals!B:E,4,0),2),"")</f>
        <v/>
      </c>
      <c r="M518" s="26" t="str">
        <f>IFERROR(_xlfn.RANK.EQ(L518,L:L),"")</f>
        <v/>
      </c>
      <c r="N518" s="1" t="s">
        <v>1272</v>
      </c>
    </row>
    <row r="519" spans="1:16" x14ac:dyDescent="0.25">
      <c r="A519" t="s">
        <v>518</v>
      </c>
      <c r="B519" t="s">
        <v>1363</v>
      </c>
      <c r="C519" s="6">
        <f>IFERROR(VLOOKUP(A519,[1]eco_bus_journals!$B:$D,3,0),"")</f>
        <v>62</v>
      </c>
      <c r="D519" s="37">
        <f>IFERROR(ROUND(VLOOKUP(A519,[1]eco_bus_journals!$B:$X,4,0),2),"")</f>
        <v>0.06</v>
      </c>
      <c r="E519" s="37">
        <f>_xlfn.RANK.EQ(D519,D:D)</f>
        <v>531</v>
      </c>
      <c r="F519" s="44" t="str">
        <f>IFERROR(ROUND(VLOOKUP(A519,[1]eco_journals!B:E,4,0),2),"")</f>
        <v/>
      </c>
      <c r="G519" s="40" t="str">
        <f>IFERROR(_xlfn.RANK.EQ(F519,F:F),"")</f>
        <v/>
      </c>
      <c r="H519" s="46" t="str">
        <f>IFERROR(ROUND(VLOOKUP(A519,[1]fin_journals!B:E,4,0),2),"")</f>
        <v/>
      </c>
      <c r="I519" s="18" t="str">
        <f>IFERROR(_xlfn.RANK.EQ(H519,H:H),"")</f>
        <v/>
      </c>
      <c r="J519" s="42" t="str">
        <f>IFERROR(ROUND(VLOOKUP(A519,[1]bus_journals!B:E,4,0),2),"")</f>
        <v/>
      </c>
      <c r="K519" s="23" t="str">
        <f>IFERROR(_xlfn.RANK.EQ(J519,J:J),"")</f>
        <v/>
      </c>
      <c r="L519" s="43">
        <f>IFERROR(ROUND(VLOOKUP(A519,[1]man_journals!B:E,4,0),2),"")</f>
        <v>0.15</v>
      </c>
      <c r="M519" s="26">
        <f>IFERROR(_xlfn.RANK.EQ(L519,L:L),"")</f>
        <v>157</v>
      </c>
      <c r="N519" s="4" t="s">
        <v>1275</v>
      </c>
      <c r="O519" t="s">
        <v>1290</v>
      </c>
    </row>
    <row r="520" spans="1:16" x14ac:dyDescent="0.25">
      <c r="A520" t="s">
        <v>547</v>
      </c>
      <c r="B520" t="s">
        <v>1403</v>
      </c>
      <c r="C520" s="6">
        <f>IFERROR(VLOOKUP(A520,[1]eco_bus_journals!$B:$D,3,0),"")</f>
        <v>31</v>
      </c>
      <c r="D520" s="37">
        <f>IFERROR(ROUND(VLOOKUP(A520,[1]eco_bus_journals!$B:$X,4,0),2),"")</f>
        <v>0.06</v>
      </c>
      <c r="E520" s="37">
        <f>_xlfn.RANK.EQ(D520,D:D)</f>
        <v>531</v>
      </c>
      <c r="F520" s="44">
        <f>IFERROR(ROUND(VLOOKUP(A520,[1]eco_journals!B:E,4,0),2),"")</f>
        <v>0.08</v>
      </c>
      <c r="G520" s="40">
        <f>IFERROR(_xlfn.RANK.EQ(F520,F:F),"")</f>
        <v>237</v>
      </c>
      <c r="H520" s="46" t="str">
        <f>IFERROR(ROUND(VLOOKUP(A520,[1]fin_journals!B:E,4,0),2),"")</f>
        <v/>
      </c>
      <c r="I520" s="18" t="str">
        <f>IFERROR(_xlfn.RANK.EQ(H520,H:H),"")</f>
        <v/>
      </c>
      <c r="J520" s="42" t="str">
        <f>IFERROR(ROUND(VLOOKUP(A520,[1]bus_journals!B:E,4,0),2),"")</f>
        <v/>
      </c>
      <c r="K520" s="23" t="str">
        <f>IFERROR(_xlfn.RANK.EQ(J520,J:J),"")</f>
        <v/>
      </c>
      <c r="L520" s="43" t="str">
        <f>IFERROR(ROUND(VLOOKUP(A520,[1]man_journals!B:E,4,0),2),"")</f>
        <v/>
      </c>
      <c r="M520" s="26" t="str">
        <f>IFERROR(_xlfn.RANK.EQ(L520,L:L),"")</f>
        <v/>
      </c>
      <c r="N520" s="1" t="s">
        <v>1272</v>
      </c>
      <c r="O520" t="s">
        <v>1297</v>
      </c>
    </row>
    <row r="521" spans="1:16" x14ac:dyDescent="0.25">
      <c r="A521" t="s">
        <v>488</v>
      </c>
      <c r="B521" t="s">
        <v>1395</v>
      </c>
      <c r="C521" s="6">
        <f>IFERROR(VLOOKUP(A521,[1]eco_bus_journals!$B:$D,3,0),"")</f>
        <v>33</v>
      </c>
      <c r="D521" s="37">
        <f>IFERROR(ROUND(VLOOKUP(A521,[1]eco_bus_journals!$B:$X,4,0),2),"")</f>
        <v>7.0000000000000007E-2</v>
      </c>
      <c r="E521" s="37">
        <f>_xlfn.RANK.EQ(D521,D:D)</f>
        <v>517</v>
      </c>
      <c r="F521" s="44" t="str">
        <f>IFERROR(ROUND(VLOOKUP(A521,[1]eco_journals!B:E,4,0),2),"")</f>
        <v/>
      </c>
      <c r="G521" s="40" t="str">
        <f>IFERROR(_xlfn.RANK.EQ(F521,F:F),"")</f>
        <v/>
      </c>
      <c r="H521" s="46" t="str">
        <f>IFERROR(ROUND(VLOOKUP(A521,[1]fin_journals!B:E,4,0),2),"")</f>
        <v/>
      </c>
      <c r="I521" s="18" t="str">
        <f>IFERROR(_xlfn.RANK.EQ(H521,H:H),"")</f>
        <v/>
      </c>
      <c r="J521" s="42" t="str">
        <f>IFERROR(ROUND(VLOOKUP(A521,[1]bus_journals!B:E,4,0),2),"")</f>
        <v/>
      </c>
      <c r="K521" s="23" t="str">
        <f>IFERROR(_xlfn.RANK.EQ(J521,J:J),"")</f>
        <v/>
      </c>
      <c r="L521" s="43">
        <f>IFERROR(ROUND(VLOOKUP(A521,[1]man_journals!B:E,4,0),2),"")</f>
        <v>0.11</v>
      </c>
      <c r="M521" s="26">
        <f>IFERROR(_xlfn.RANK.EQ(L521,L:L),"")</f>
        <v>164</v>
      </c>
      <c r="N521" s="4" t="s">
        <v>1275</v>
      </c>
    </row>
    <row r="522" spans="1:16" x14ac:dyDescent="0.25">
      <c r="A522" t="s">
        <v>489</v>
      </c>
      <c r="B522" t="s">
        <v>1401</v>
      </c>
      <c r="C522" s="6">
        <f>IFERROR(VLOOKUP(A522,[1]eco_bus_journals!$B:$D,3,0),"")</f>
        <v>38</v>
      </c>
      <c r="D522" s="37">
        <f>IFERROR(ROUND(VLOOKUP(A522,[1]eco_bus_journals!$B:$X,4,0),2),"")</f>
        <v>0.1</v>
      </c>
      <c r="E522" s="37">
        <f>_xlfn.RANK.EQ(D522,D:D)</f>
        <v>465</v>
      </c>
      <c r="F522" s="44">
        <f>IFERROR(ROUND(VLOOKUP(A522,[1]eco_journals!B:E,4,0),2),"")</f>
        <v>0.06</v>
      </c>
      <c r="G522" s="40">
        <f>IFERROR(_xlfn.RANK.EQ(F522,F:F),"")</f>
        <v>257</v>
      </c>
      <c r="H522" s="46" t="str">
        <f>IFERROR(ROUND(VLOOKUP(A522,[1]fin_journals!B:E,4,0),2),"")</f>
        <v/>
      </c>
      <c r="I522" s="18" t="str">
        <f>IFERROR(_xlfn.RANK.EQ(H522,H:H),"")</f>
        <v/>
      </c>
      <c r="J522" s="42" t="str">
        <f>IFERROR(ROUND(VLOOKUP(A522,[1]bus_journals!B:E,4,0),2),"")</f>
        <v/>
      </c>
      <c r="K522" s="23" t="str">
        <f>IFERROR(_xlfn.RANK.EQ(J522,J:J),"")</f>
        <v/>
      </c>
      <c r="L522" s="43" t="str">
        <f>IFERROR(ROUND(VLOOKUP(A522,[1]man_journals!B:E,4,0),2),"")</f>
        <v/>
      </c>
      <c r="M522" s="26" t="str">
        <f>IFERROR(_xlfn.RANK.EQ(L522,L:L),"")</f>
        <v/>
      </c>
      <c r="N522" s="1" t="s">
        <v>1272</v>
      </c>
      <c r="O522" t="s">
        <v>1283</v>
      </c>
    </row>
    <row r="523" spans="1:16" x14ac:dyDescent="0.25">
      <c r="A523" t="s">
        <v>490</v>
      </c>
      <c r="B523" t="s">
        <v>1360</v>
      </c>
      <c r="C523" s="6">
        <f>IFERROR(VLOOKUP(A523,[1]eco_bus_journals!$B:$D,3,0),"")</f>
        <v>29</v>
      </c>
      <c r="D523" s="37">
        <f>IFERROR(ROUND(VLOOKUP(A523,[1]eco_bus_journals!$B:$X,4,0),2),"")</f>
        <v>0.09</v>
      </c>
      <c r="E523" s="37">
        <f>_xlfn.RANK.EQ(D523,D:D)</f>
        <v>484</v>
      </c>
      <c r="F523" s="44">
        <f>IFERROR(ROUND(VLOOKUP(A523,[1]eco_journals!B:E,4,0),2),"")</f>
        <v>0.1</v>
      </c>
      <c r="G523" s="40">
        <f>IFERROR(_xlfn.RANK.EQ(F523,F:F),"")</f>
        <v>219</v>
      </c>
      <c r="H523" s="46" t="str">
        <f>IFERROR(ROUND(VLOOKUP(A523,[1]fin_journals!B:E,4,0),2),"")</f>
        <v/>
      </c>
      <c r="I523" s="18" t="str">
        <f>IFERROR(_xlfn.RANK.EQ(H523,H:H),"")</f>
        <v/>
      </c>
      <c r="J523" s="42" t="str">
        <f>IFERROR(ROUND(VLOOKUP(A523,[1]bus_journals!B:E,4,0),2),"")</f>
        <v/>
      </c>
      <c r="K523" s="23" t="str">
        <f>IFERROR(_xlfn.RANK.EQ(J523,J:J),"")</f>
        <v/>
      </c>
      <c r="L523" s="43" t="str">
        <f>IFERROR(ROUND(VLOOKUP(A523,[1]man_journals!B:E,4,0),2),"")</f>
        <v/>
      </c>
      <c r="M523" s="26" t="str">
        <f>IFERROR(_xlfn.RANK.EQ(L523,L:L),"")</f>
        <v/>
      </c>
      <c r="N523" t="s">
        <v>1284</v>
      </c>
      <c r="O523" s="1" t="s">
        <v>1272</v>
      </c>
      <c r="P523" t="s">
        <v>1285</v>
      </c>
    </row>
    <row r="524" spans="1:16" x14ac:dyDescent="0.25">
      <c r="A524" t="s">
        <v>539</v>
      </c>
      <c r="B524" t="s">
        <v>1360</v>
      </c>
      <c r="C524" s="6">
        <f>IFERROR(VLOOKUP(A524,[1]eco_bus_journals!$B:$D,3,0),"")</f>
        <v>45</v>
      </c>
      <c r="D524" s="37">
        <f>IFERROR(ROUND(VLOOKUP(A524,[1]eco_bus_journals!$B:$X,4,0),2),"")</f>
        <v>7.0000000000000007E-2</v>
      </c>
      <c r="E524" s="37">
        <f>_xlfn.RANK.EQ(D524,D:D)</f>
        <v>517</v>
      </c>
      <c r="F524" s="44">
        <f>IFERROR(ROUND(VLOOKUP(A524,[1]eco_journals!B:E,4,0),2),"")</f>
        <v>7.0000000000000007E-2</v>
      </c>
      <c r="G524" s="40">
        <f>IFERROR(_xlfn.RANK.EQ(F524,F:F),"")</f>
        <v>247</v>
      </c>
      <c r="H524" s="46" t="str">
        <f>IFERROR(ROUND(VLOOKUP(A524,[1]fin_journals!B:E,4,0),2),"")</f>
        <v/>
      </c>
      <c r="I524" s="18" t="str">
        <f>IFERROR(_xlfn.RANK.EQ(H524,H:H),"")</f>
        <v/>
      </c>
      <c r="J524" s="42" t="str">
        <f>IFERROR(ROUND(VLOOKUP(A524,[1]bus_journals!B:E,4,0),2),"")</f>
        <v/>
      </c>
      <c r="K524" s="23" t="str">
        <f>IFERROR(_xlfn.RANK.EQ(J524,J:J),"")</f>
        <v/>
      </c>
      <c r="L524" s="43" t="str">
        <f>IFERROR(ROUND(VLOOKUP(A524,[1]man_journals!B:E,4,0),2),"")</f>
        <v/>
      </c>
      <c r="M524" s="26" t="str">
        <f>IFERROR(_xlfn.RANK.EQ(L524,L:L),"")</f>
        <v/>
      </c>
      <c r="N524" s="1" t="s">
        <v>1272</v>
      </c>
    </row>
    <row r="525" spans="1:16" x14ac:dyDescent="0.25">
      <c r="A525" t="s">
        <v>509</v>
      </c>
      <c r="B525" t="s">
        <v>1402</v>
      </c>
      <c r="C525" s="6">
        <f>IFERROR(VLOOKUP(A525,[1]eco_bus_journals!$B:$D,3,0),"")</f>
        <v>19</v>
      </c>
      <c r="D525" s="37">
        <f>IFERROR(ROUND(VLOOKUP(A525,[1]eco_bus_journals!$B:$X,4,0),2),"")</f>
        <v>0.08</v>
      </c>
      <c r="E525" s="37">
        <f>_xlfn.RANK.EQ(D525,D:D)</f>
        <v>502</v>
      </c>
      <c r="F525" s="44" t="str">
        <f>IFERROR(ROUND(VLOOKUP(A525,[1]eco_journals!B:E,4,0),2),"")</f>
        <v/>
      </c>
      <c r="G525" s="40" t="str">
        <f>IFERROR(_xlfn.RANK.EQ(F525,F:F),"")</f>
        <v/>
      </c>
      <c r="H525" s="46" t="str">
        <f>IFERROR(ROUND(VLOOKUP(A525,[1]fin_journals!B:E,4,0),2),"")</f>
        <v/>
      </c>
      <c r="I525" s="18" t="str">
        <f>IFERROR(_xlfn.RANK.EQ(H525,H:H),"")</f>
        <v/>
      </c>
      <c r="J525" s="42" t="str">
        <f>IFERROR(ROUND(VLOOKUP(A525,[1]bus_journals!B:E,4,0),2),"")</f>
        <v/>
      </c>
      <c r="K525" s="23" t="str">
        <f>IFERROR(_xlfn.RANK.EQ(J525,J:J),"")</f>
        <v/>
      </c>
      <c r="L525" s="43">
        <f>IFERROR(ROUND(VLOOKUP(A525,[1]man_journals!B:E,4,0),2),"")</f>
        <v>0.2</v>
      </c>
      <c r="M525" s="26">
        <f>IFERROR(_xlfn.RANK.EQ(L525,L:L),"")</f>
        <v>149</v>
      </c>
      <c r="N525" s="4" t="s">
        <v>1275</v>
      </c>
      <c r="O525" t="s">
        <v>1278</v>
      </c>
    </row>
    <row r="526" spans="1:16" x14ac:dyDescent="0.25">
      <c r="A526" t="s">
        <v>497</v>
      </c>
      <c r="B526" t="s">
        <v>1360</v>
      </c>
      <c r="C526" s="6">
        <f>IFERROR(VLOOKUP(A526,[1]eco_bus_journals!$B:$D,3,0),"")</f>
        <v>43</v>
      </c>
      <c r="D526" s="37">
        <f>IFERROR(ROUND(VLOOKUP(A526,[1]eco_bus_journals!$B:$X,4,0),2),"")</f>
        <v>0.08</v>
      </c>
      <c r="E526" s="37">
        <f>_xlfn.RANK.EQ(D526,D:D)</f>
        <v>502</v>
      </c>
      <c r="F526" s="44">
        <f>IFERROR(ROUND(VLOOKUP(A526,[1]eco_journals!B:E,4,0),2),"")</f>
        <v>7.0000000000000007E-2</v>
      </c>
      <c r="G526" s="40">
        <f>IFERROR(_xlfn.RANK.EQ(F526,F:F),"")</f>
        <v>247</v>
      </c>
      <c r="H526" s="46" t="str">
        <f>IFERROR(ROUND(VLOOKUP(A526,[1]fin_journals!B:E,4,0),2),"")</f>
        <v/>
      </c>
      <c r="I526" s="18" t="str">
        <f>IFERROR(_xlfn.RANK.EQ(H526,H:H),"")</f>
        <v/>
      </c>
      <c r="J526" s="42" t="str">
        <f>IFERROR(ROUND(VLOOKUP(A526,[1]bus_journals!B:E,4,0),2),"")</f>
        <v/>
      </c>
      <c r="K526" s="23" t="str">
        <f>IFERROR(_xlfn.RANK.EQ(J526,J:J),"")</f>
        <v/>
      </c>
      <c r="L526" s="43" t="str">
        <f>IFERROR(ROUND(VLOOKUP(A526,[1]man_journals!B:E,4,0),2),"")</f>
        <v/>
      </c>
      <c r="M526" s="26" t="str">
        <f>IFERROR(_xlfn.RANK.EQ(L526,L:L),"")</f>
        <v/>
      </c>
      <c r="N526" s="1" t="s">
        <v>1272</v>
      </c>
    </row>
    <row r="527" spans="1:16" x14ac:dyDescent="0.25">
      <c r="A527" t="s">
        <v>570</v>
      </c>
      <c r="B527" t="s">
        <v>1407</v>
      </c>
      <c r="C527" s="6">
        <f>IFERROR(VLOOKUP(A527,[1]eco_bus_journals!$B:$D,3,0),"")</f>
        <v>36</v>
      </c>
      <c r="D527" s="37">
        <f>IFERROR(ROUND(VLOOKUP(A527,[1]eco_bus_journals!$B:$X,4,0),2),"")</f>
        <v>0.05</v>
      </c>
      <c r="E527" s="37">
        <f>_xlfn.RANK.EQ(D527,D:D)</f>
        <v>550</v>
      </c>
      <c r="F527" s="44">
        <f>IFERROR(ROUND(VLOOKUP(A527,[1]eco_journals!B:E,4,0),2),"")</f>
        <v>0.06</v>
      </c>
      <c r="G527" s="40">
        <f>IFERROR(_xlfn.RANK.EQ(F527,F:F),"")</f>
        <v>257</v>
      </c>
      <c r="H527" s="46" t="str">
        <f>IFERROR(ROUND(VLOOKUP(A527,[1]fin_journals!B:E,4,0),2),"")</f>
        <v/>
      </c>
      <c r="I527" s="18" t="str">
        <f>IFERROR(_xlfn.RANK.EQ(H527,H:H),"")</f>
        <v/>
      </c>
      <c r="J527" s="42" t="str">
        <f>IFERROR(ROUND(VLOOKUP(A527,[1]bus_journals!B:E,4,0),2),"")</f>
        <v/>
      </c>
      <c r="K527" s="23" t="str">
        <f>IFERROR(_xlfn.RANK.EQ(J527,J:J),"")</f>
        <v/>
      </c>
      <c r="L527" s="43" t="str">
        <f>IFERROR(ROUND(VLOOKUP(A527,[1]man_journals!B:E,4,0),2),"")</f>
        <v/>
      </c>
      <c r="M527" s="26" t="str">
        <f>IFERROR(_xlfn.RANK.EQ(L527,L:L),"")</f>
        <v/>
      </c>
      <c r="N527" s="1" t="s">
        <v>1272</v>
      </c>
      <c r="O527" t="s">
        <v>1319</v>
      </c>
    </row>
    <row r="528" spans="1:16" x14ac:dyDescent="0.25">
      <c r="A528" t="s">
        <v>462</v>
      </c>
      <c r="B528" t="s">
        <v>1360</v>
      </c>
      <c r="C528" s="6">
        <f>IFERROR(VLOOKUP(A528,[1]eco_bus_journals!$B:$D,3,0),"")</f>
        <v>100</v>
      </c>
      <c r="D528" s="37">
        <f>IFERROR(ROUND(VLOOKUP(A528,[1]eco_bus_journals!$B:$X,4,0),2),"")</f>
        <v>0.08</v>
      </c>
      <c r="E528" s="37">
        <f>_xlfn.RANK.EQ(D528,D:D)</f>
        <v>502</v>
      </c>
      <c r="F528" s="44" t="str">
        <f>IFERROR(ROUND(VLOOKUP(A528,[1]eco_journals!B:E,4,0),2),"")</f>
        <v/>
      </c>
      <c r="G528" s="40" t="str">
        <f>IFERROR(_xlfn.RANK.EQ(F528,F:F),"")</f>
        <v/>
      </c>
      <c r="H528" s="46" t="str">
        <f>IFERROR(ROUND(VLOOKUP(A528,[1]fin_journals!B:E,4,0),2),"")</f>
        <v/>
      </c>
      <c r="I528" s="18" t="str">
        <f>IFERROR(_xlfn.RANK.EQ(H528,H:H),"")</f>
        <v/>
      </c>
      <c r="J528" s="42" t="str">
        <f>IFERROR(ROUND(VLOOKUP(A528,[1]bus_journals!B:E,4,0),2),"")</f>
        <v/>
      </c>
      <c r="K528" s="23" t="str">
        <f>IFERROR(_xlfn.RANK.EQ(J528,J:J),"")</f>
        <v/>
      </c>
      <c r="L528" s="43">
        <f>IFERROR(ROUND(VLOOKUP(A528,[1]man_journals!B:E,4,0),2),"")</f>
        <v>0.18</v>
      </c>
      <c r="M528" s="26">
        <f>IFERROR(_xlfn.RANK.EQ(L528,L:L),"")</f>
        <v>152</v>
      </c>
      <c r="N528" s="4" t="s">
        <v>1275</v>
      </c>
      <c r="O528" t="s">
        <v>1290</v>
      </c>
    </row>
    <row r="529" spans="1:16" x14ac:dyDescent="0.25">
      <c r="A529" t="s">
        <v>523</v>
      </c>
      <c r="B529" t="s">
        <v>1360</v>
      </c>
      <c r="C529" s="6">
        <f>IFERROR(VLOOKUP(A529,[1]eco_bus_journals!$B:$D,3,0),"")</f>
        <v>47</v>
      </c>
      <c r="D529" s="37">
        <f>IFERROR(ROUND(VLOOKUP(A529,[1]eco_bus_journals!$B:$X,4,0),2),"")</f>
        <v>0.06</v>
      </c>
      <c r="E529" s="37">
        <f>_xlfn.RANK.EQ(D529,D:D)</f>
        <v>531</v>
      </c>
      <c r="F529" s="44">
        <f>IFERROR(ROUND(VLOOKUP(A529,[1]eco_journals!B:E,4,0),2),"")</f>
        <v>0.04</v>
      </c>
      <c r="G529" s="40">
        <f>IFERROR(_xlfn.RANK.EQ(F529,F:F),"")</f>
        <v>283</v>
      </c>
      <c r="H529" s="46" t="str">
        <f>IFERROR(ROUND(VLOOKUP(A529,[1]fin_journals!B:E,4,0),2),"")</f>
        <v/>
      </c>
      <c r="I529" s="18" t="str">
        <f>IFERROR(_xlfn.RANK.EQ(H529,H:H),"")</f>
        <v/>
      </c>
      <c r="J529" s="42" t="str">
        <f>IFERROR(ROUND(VLOOKUP(A529,[1]bus_journals!B:E,4,0),2),"")</f>
        <v/>
      </c>
      <c r="K529" s="23" t="str">
        <f>IFERROR(_xlfn.RANK.EQ(J529,J:J),"")</f>
        <v/>
      </c>
      <c r="L529" s="43" t="str">
        <f>IFERROR(ROUND(VLOOKUP(A529,[1]man_journals!B:E,4,0),2),"")</f>
        <v/>
      </c>
      <c r="M529" s="26" t="str">
        <f>IFERROR(_xlfn.RANK.EQ(L529,L:L),"")</f>
        <v/>
      </c>
      <c r="N529" s="1" t="s">
        <v>1272</v>
      </c>
    </row>
    <row r="530" spans="1:16" x14ac:dyDescent="0.25">
      <c r="A530" t="s">
        <v>572</v>
      </c>
      <c r="B530" t="s">
        <v>1360</v>
      </c>
      <c r="C530" s="6">
        <f>IFERROR(VLOOKUP(A530,[1]eco_bus_journals!$B:$D,3,0),"")</f>
        <v>16</v>
      </c>
      <c r="D530" s="37">
        <f>IFERROR(ROUND(VLOOKUP(A530,[1]eco_bus_journals!$B:$X,4,0),2),"")</f>
        <v>7.0000000000000007E-2</v>
      </c>
      <c r="E530" s="37">
        <f>_xlfn.RANK.EQ(D530,D:D)</f>
        <v>517</v>
      </c>
      <c r="F530" s="44">
        <f>IFERROR(ROUND(VLOOKUP(A530,[1]eco_journals!B:E,4,0),2),"")</f>
        <v>7.0000000000000007E-2</v>
      </c>
      <c r="G530" s="40">
        <f>IFERROR(_xlfn.RANK.EQ(F530,F:F),"")</f>
        <v>247</v>
      </c>
      <c r="H530" s="46" t="str">
        <f>IFERROR(ROUND(VLOOKUP(A530,[1]fin_journals!B:E,4,0),2),"")</f>
        <v/>
      </c>
      <c r="I530" s="18" t="str">
        <f>IFERROR(_xlfn.RANK.EQ(H530,H:H),"")</f>
        <v/>
      </c>
      <c r="J530" s="42" t="str">
        <f>IFERROR(ROUND(VLOOKUP(A530,[1]bus_journals!B:E,4,0),2),"")</f>
        <v/>
      </c>
      <c r="K530" s="23" t="str">
        <f>IFERROR(_xlfn.RANK.EQ(J530,J:J),"")</f>
        <v/>
      </c>
      <c r="L530" s="43" t="str">
        <f>IFERROR(ROUND(VLOOKUP(A530,[1]man_journals!B:E,4,0),2),"")</f>
        <v/>
      </c>
      <c r="M530" s="26" t="str">
        <f>IFERROR(_xlfn.RANK.EQ(L530,L:L),"")</f>
        <v/>
      </c>
      <c r="N530" s="1" t="s">
        <v>1272</v>
      </c>
      <c r="O530" t="s">
        <v>1300</v>
      </c>
    </row>
    <row r="531" spans="1:16" x14ac:dyDescent="0.25">
      <c r="A531" t="s">
        <v>516</v>
      </c>
      <c r="B531" t="s">
        <v>1372</v>
      </c>
      <c r="C531" s="6">
        <f>IFERROR(VLOOKUP(A531,[1]eco_bus_journals!$B:$D,3,0),"")</f>
        <v>12</v>
      </c>
      <c r="D531" s="37">
        <f>IFERROR(ROUND(VLOOKUP(A531,[1]eco_bus_journals!$B:$X,4,0),2),"")</f>
        <v>0.08</v>
      </c>
      <c r="E531" s="37">
        <f>_xlfn.RANK.EQ(D531,D:D)</f>
        <v>502</v>
      </c>
      <c r="F531" s="44">
        <f>IFERROR(ROUND(VLOOKUP(A531,[1]eco_journals!B:E,4,0),2),"")</f>
        <v>0.08</v>
      </c>
      <c r="G531" s="40">
        <f>IFERROR(_xlfn.RANK.EQ(F531,F:F),"")</f>
        <v>237</v>
      </c>
      <c r="H531" s="46" t="str">
        <f>IFERROR(ROUND(VLOOKUP(A531,[1]fin_journals!B:E,4,0),2),"")</f>
        <v/>
      </c>
      <c r="I531" s="18" t="str">
        <f>IFERROR(_xlfn.RANK.EQ(H531,H:H),"")</f>
        <v/>
      </c>
      <c r="J531" s="42" t="str">
        <f>IFERROR(ROUND(VLOOKUP(A531,[1]bus_journals!B:E,4,0),2),"")</f>
        <v/>
      </c>
      <c r="K531" s="23" t="str">
        <f>IFERROR(_xlfn.RANK.EQ(J531,J:J),"")</f>
        <v/>
      </c>
      <c r="L531" s="43" t="str">
        <f>IFERROR(ROUND(VLOOKUP(A531,[1]man_journals!B:E,4,0),2),"")</f>
        <v/>
      </c>
      <c r="M531" s="26" t="str">
        <f>IFERROR(_xlfn.RANK.EQ(L531,L:L),"")</f>
        <v/>
      </c>
      <c r="N531" t="s">
        <v>1328</v>
      </c>
      <c r="O531" s="1" t="s">
        <v>1272</v>
      </c>
    </row>
    <row r="532" spans="1:16" x14ac:dyDescent="0.25">
      <c r="A532" t="s">
        <v>524</v>
      </c>
      <c r="B532" t="s">
        <v>1360</v>
      </c>
      <c r="C532" s="6">
        <f>IFERROR(VLOOKUP(A532,[1]eco_bus_journals!$B:$D,3,0),"")</f>
        <v>10</v>
      </c>
      <c r="D532" s="37">
        <f>IFERROR(ROUND(VLOOKUP(A532,[1]eco_bus_journals!$B:$X,4,0),2),"")</f>
        <v>0.06</v>
      </c>
      <c r="E532" s="37">
        <f>_xlfn.RANK.EQ(D532,D:D)</f>
        <v>531</v>
      </c>
      <c r="F532" s="44">
        <f>IFERROR(ROUND(VLOOKUP(A532,[1]eco_journals!B:E,4,0),2),"")</f>
        <v>0.09</v>
      </c>
      <c r="G532" s="40">
        <f>IFERROR(_xlfn.RANK.EQ(F532,F:F),"")</f>
        <v>225</v>
      </c>
      <c r="H532" s="46" t="str">
        <f>IFERROR(ROUND(VLOOKUP(A532,[1]fin_journals!B:E,4,0),2),"")</f>
        <v/>
      </c>
      <c r="I532" s="18" t="str">
        <f>IFERROR(_xlfn.RANK.EQ(H532,H:H),"")</f>
        <v/>
      </c>
      <c r="J532" s="42" t="str">
        <f>IFERROR(ROUND(VLOOKUP(A532,[1]bus_journals!B:E,4,0),2),"")</f>
        <v/>
      </c>
      <c r="K532" s="23" t="str">
        <f>IFERROR(_xlfn.RANK.EQ(J532,J:J),"")</f>
        <v/>
      </c>
      <c r="L532" s="43" t="str">
        <f>IFERROR(ROUND(VLOOKUP(A532,[1]man_journals!B:E,4,0),2),"")</f>
        <v/>
      </c>
      <c r="M532" s="26" t="str">
        <f>IFERROR(_xlfn.RANK.EQ(L532,L:L),"")</f>
        <v/>
      </c>
      <c r="N532" t="s">
        <v>1284</v>
      </c>
      <c r="O532" s="1" t="s">
        <v>1272</v>
      </c>
      <c r="P532" t="s">
        <v>1285</v>
      </c>
    </row>
    <row r="533" spans="1:16" x14ac:dyDescent="0.25">
      <c r="A533" t="s">
        <v>552</v>
      </c>
      <c r="B533" t="s">
        <v>1372</v>
      </c>
      <c r="C533" s="6">
        <f>IFERROR(VLOOKUP(A533,[1]eco_bus_journals!$B:$D,3,0),"")</f>
        <v>22</v>
      </c>
      <c r="D533" s="37">
        <f>IFERROR(ROUND(VLOOKUP(A533,[1]eco_bus_journals!$B:$X,4,0),2),"")</f>
        <v>0.06</v>
      </c>
      <c r="E533" s="37">
        <f>_xlfn.RANK.EQ(D533,D:D)</f>
        <v>531</v>
      </c>
      <c r="F533" s="44">
        <f>IFERROR(ROUND(VLOOKUP(A533,[1]eco_journals!B:E,4,0),2),"")</f>
        <v>0.06</v>
      </c>
      <c r="G533" s="40">
        <f>IFERROR(_xlfn.RANK.EQ(F533,F:F),"")</f>
        <v>257</v>
      </c>
      <c r="H533" s="46" t="str">
        <f>IFERROR(ROUND(VLOOKUP(A533,[1]fin_journals!B:E,4,0),2),"")</f>
        <v/>
      </c>
      <c r="I533" s="18" t="str">
        <f>IFERROR(_xlfn.RANK.EQ(H533,H:H),"")</f>
        <v/>
      </c>
      <c r="J533" s="42" t="str">
        <f>IFERROR(ROUND(VLOOKUP(A533,[1]bus_journals!B:E,4,0),2),"")</f>
        <v/>
      </c>
      <c r="K533" s="23" t="str">
        <f>IFERROR(_xlfn.RANK.EQ(J533,J:J),"")</f>
        <v/>
      </c>
      <c r="L533" s="43" t="str">
        <f>IFERROR(ROUND(VLOOKUP(A533,[1]man_journals!B:E,4,0),2),"")</f>
        <v/>
      </c>
      <c r="M533" s="26" t="str">
        <f>IFERROR(_xlfn.RANK.EQ(L533,L:L),"")</f>
        <v/>
      </c>
      <c r="N533" s="1" t="s">
        <v>1272</v>
      </c>
    </row>
    <row r="534" spans="1:16" x14ac:dyDescent="0.25">
      <c r="A534" t="s">
        <v>446</v>
      </c>
      <c r="B534" t="s">
        <v>1372</v>
      </c>
      <c r="C534" s="6">
        <f>IFERROR(VLOOKUP(A534,[1]eco_bus_journals!$B:$D,3,0),"")</f>
        <v>281</v>
      </c>
      <c r="D534" s="37">
        <f>IFERROR(ROUND(VLOOKUP(A534,[1]eco_bus_journals!$B:$X,4,0),2),"")</f>
        <v>0.06</v>
      </c>
      <c r="E534" s="37">
        <f>_xlfn.RANK.EQ(D534,D:D)</f>
        <v>531</v>
      </c>
      <c r="F534" s="44">
        <f>IFERROR(ROUND(VLOOKUP(A534,[1]eco_journals!B:E,4,0),2),"")</f>
        <v>0.04</v>
      </c>
      <c r="G534" s="40">
        <f>IFERROR(_xlfn.RANK.EQ(F534,F:F),"")</f>
        <v>283</v>
      </c>
      <c r="H534" s="46" t="str">
        <f>IFERROR(ROUND(VLOOKUP(A534,[1]fin_journals!B:E,4,0),2),"")</f>
        <v/>
      </c>
      <c r="I534" s="18" t="str">
        <f>IFERROR(_xlfn.RANK.EQ(H534,H:H),"")</f>
        <v/>
      </c>
      <c r="J534" s="42" t="str">
        <f>IFERROR(ROUND(VLOOKUP(A534,[1]bus_journals!B:E,4,0),2),"")</f>
        <v/>
      </c>
      <c r="K534" s="23" t="str">
        <f>IFERROR(_xlfn.RANK.EQ(J534,J:J),"")</f>
        <v/>
      </c>
      <c r="L534" s="43" t="str">
        <f>IFERROR(ROUND(VLOOKUP(A534,[1]man_journals!B:E,4,0),2),"")</f>
        <v/>
      </c>
      <c r="M534" s="26" t="str">
        <f>IFERROR(_xlfn.RANK.EQ(L534,L:L),"")</f>
        <v/>
      </c>
      <c r="N534" s="1" t="s">
        <v>1272</v>
      </c>
    </row>
    <row r="535" spans="1:16" x14ac:dyDescent="0.25">
      <c r="A535" t="s">
        <v>581</v>
      </c>
      <c r="B535" t="s">
        <v>1372</v>
      </c>
      <c r="C535" s="6">
        <f>IFERROR(VLOOKUP(A535,[1]eco_bus_journals!$B:$D,3,0),"")</f>
        <v>59</v>
      </c>
      <c r="D535" s="37">
        <f>IFERROR(ROUND(VLOOKUP(A535,[1]eco_bus_journals!$B:$X,4,0),2),"")</f>
        <v>0.06</v>
      </c>
      <c r="E535" s="37">
        <f>_xlfn.RANK.EQ(D535,D:D)</f>
        <v>531</v>
      </c>
      <c r="F535" s="44">
        <f>IFERROR(ROUND(VLOOKUP(A535,[1]eco_journals!B:E,4,0),2),"")</f>
        <v>7.0000000000000007E-2</v>
      </c>
      <c r="G535" s="40">
        <f>IFERROR(_xlfn.RANK.EQ(F535,F:F),"")</f>
        <v>247</v>
      </c>
      <c r="H535" s="46" t="str">
        <f>IFERROR(ROUND(VLOOKUP(A535,[1]fin_journals!B:E,4,0),2),"")</f>
        <v/>
      </c>
      <c r="I535" s="18" t="str">
        <f>IFERROR(_xlfn.RANK.EQ(H535,H:H),"")</f>
        <v/>
      </c>
      <c r="J535" s="42" t="str">
        <f>IFERROR(ROUND(VLOOKUP(A535,[1]bus_journals!B:E,4,0),2),"")</f>
        <v/>
      </c>
      <c r="K535" s="23" t="str">
        <f>IFERROR(_xlfn.RANK.EQ(J535,J:J),"")</f>
        <v/>
      </c>
      <c r="L535" s="43" t="str">
        <f>IFERROR(ROUND(VLOOKUP(A535,[1]man_journals!B:E,4,0),2),"")</f>
        <v/>
      </c>
      <c r="M535" s="26" t="str">
        <f>IFERROR(_xlfn.RANK.EQ(L535,L:L),"")</f>
        <v/>
      </c>
      <c r="N535" s="1" t="s">
        <v>1272</v>
      </c>
      <c r="O535" t="s">
        <v>1300</v>
      </c>
    </row>
    <row r="536" spans="1:16" x14ac:dyDescent="0.25">
      <c r="A536" t="s">
        <v>555</v>
      </c>
      <c r="B536" t="s">
        <v>1410</v>
      </c>
      <c r="C536" s="6">
        <f>IFERROR(VLOOKUP(A536,[1]eco_bus_journals!$B:$D,3,0),"")</f>
        <v>12</v>
      </c>
      <c r="D536" s="37">
        <f>IFERROR(ROUND(VLOOKUP(A536,[1]eco_bus_journals!$B:$X,4,0),2),"")</f>
        <v>0.06</v>
      </c>
      <c r="E536" s="37">
        <f>_xlfn.RANK.EQ(D536,D:D)</f>
        <v>531</v>
      </c>
      <c r="F536" s="44" t="str">
        <f>IFERROR(ROUND(VLOOKUP(A536,[1]eco_journals!B:E,4,0),2),"")</f>
        <v/>
      </c>
      <c r="G536" s="40" t="str">
        <f>IFERROR(_xlfn.RANK.EQ(F536,F:F),"")</f>
        <v/>
      </c>
      <c r="H536" s="46">
        <f>IFERROR(ROUND(VLOOKUP(A536,[1]fin_journals!B:E,4,0),2),"")</f>
        <v>0.02</v>
      </c>
      <c r="I536" s="18">
        <f>IFERROR(_xlfn.RANK.EQ(H536,H:H),"")</f>
        <v>113</v>
      </c>
      <c r="J536" s="42" t="str">
        <f>IFERROR(ROUND(VLOOKUP(A536,[1]bus_journals!B:E,4,0),2),"")</f>
        <v/>
      </c>
      <c r="K536" s="23" t="str">
        <f>IFERROR(_xlfn.RANK.EQ(J536,J:J),"")</f>
        <v/>
      </c>
      <c r="L536" s="43" t="str">
        <f>IFERROR(ROUND(VLOOKUP(A536,[1]man_journals!B:E,4,0),2),"")</f>
        <v/>
      </c>
      <c r="M536" s="26" t="str">
        <f>IFERROR(_xlfn.RANK.EQ(L536,L:L),"")</f>
        <v/>
      </c>
      <c r="N536" s="3" t="s">
        <v>1274</v>
      </c>
      <c r="O536" s="1" t="s">
        <v>1272</v>
      </c>
    </row>
    <row r="537" spans="1:16" x14ac:dyDescent="0.25">
      <c r="A537" t="s">
        <v>556</v>
      </c>
      <c r="B537" t="s">
        <v>1423</v>
      </c>
      <c r="C537" s="6">
        <f>IFERROR(VLOOKUP(A537,[1]eco_bus_journals!$B:$D,3,0),"")</f>
        <v>40</v>
      </c>
      <c r="D537" s="37">
        <f>IFERROR(ROUND(VLOOKUP(A537,[1]eco_bus_journals!$B:$X,4,0),2),"")</f>
        <v>7.0000000000000007E-2</v>
      </c>
      <c r="E537" s="37">
        <f>_xlfn.RANK.EQ(D537,D:D)</f>
        <v>517</v>
      </c>
      <c r="F537" s="44">
        <f>IFERROR(ROUND(VLOOKUP(A537,[1]eco_journals!B:E,4,0),2),"")</f>
        <v>0.08</v>
      </c>
      <c r="G537" s="40">
        <f>IFERROR(_xlfn.RANK.EQ(F537,F:F),"")</f>
        <v>237</v>
      </c>
      <c r="H537" s="46" t="str">
        <f>IFERROR(ROUND(VLOOKUP(A537,[1]fin_journals!B:E,4,0),2),"")</f>
        <v/>
      </c>
      <c r="I537" s="18" t="str">
        <f>IFERROR(_xlfn.RANK.EQ(H537,H:H),"")</f>
        <v/>
      </c>
      <c r="J537" s="42" t="str">
        <f>IFERROR(ROUND(VLOOKUP(A537,[1]bus_journals!B:E,4,0),2),"")</f>
        <v/>
      </c>
      <c r="K537" s="23" t="str">
        <f>IFERROR(_xlfn.RANK.EQ(J537,J:J),"")</f>
        <v/>
      </c>
      <c r="L537" s="43" t="str">
        <f>IFERROR(ROUND(VLOOKUP(A537,[1]man_journals!B:E,4,0),2),"")</f>
        <v/>
      </c>
      <c r="M537" s="26" t="str">
        <f>IFERROR(_xlfn.RANK.EQ(L537,L:L),"")</f>
        <v/>
      </c>
      <c r="N537" s="1" t="s">
        <v>1272</v>
      </c>
      <c r="O537" t="s">
        <v>1300</v>
      </c>
    </row>
    <row r="538" spans="1:16" x14ac:dyDescent="0.25">
      <c r="A538" t="s">
        <v>526</v>
      </c>
      <c r="B538" t="s">
        <v>1363</v>
      </c>
      <c r="C538" s="6">
        <f>IFERROR(VLOOKUP(A538,[1]eco_bus_journals!$B:$D,3,0),"")</f>
        <v>22</v>
      </c>
      <c r="D538" s="37">
        <f>IFERROR(ROUND(VLOOKUP(A538,[1]eco_bus_journals!$B:$X,4,0),2),"")</f>
        <v>0.06</v>
      </c>
      <c r="E538" s="37">
        <f>_xlfn.RANK.EQ(D538,D:D)</f>
        <v>531</v>
      </c>
      <c r="F538" s="44">
        <f>IFERROR(ROUND(VLOOKUP(A538,[1]eco_journals!B:E,4,0),2),"")</f>
        <v>0.06</v>
      </c>
      <c r="G538" s="40">
        <f>IFERROR(_xlfn.RANK.EQ(F538,F:F),"")</f>
        <v>257</v>
      </c>
      <c r="H538" s="46">
        <f>IFERROR(ROUND(VLOOKUP(A538,[1]fin_journals!B:E,4,0),2),"")</f>
        <v>0.05</v>
      </c>
      <c r="I538" s="18">
        <f>IFERROR(_xlfn.RANK.EQ(H538,H:H),"")</f>
        <v>111</v>
      </c>
      <c r="J538" s="42" t="str">
        <f>IFERROR(ROUND(VLOOKUP(A538,[1]bus_journals!B:E,4,0),2),"")</f>
        <v/>
      </c>
      <c r="K538" s="23" t="str">
        <f>IFERROR(_xlfn.RANK.EQ(J538,J:J),"")</f>
        <v/>
      </c>
      <c r="L538" s="43" t="str">
        <f>IFERROR(ROUND(VLOOKUP(A538,[1]man_journals!B:E,4,0),2),"")</f>
        <v/>
      </c>
      <c r="M538" s="26" t="str">
        <f>IFERROR(_xlfn.RANK.EQ(L538,L:L),"")</f>
        <v/>
      </c>
      <c r="N538" s="3" t="s">
        <v>1274</v>
      </c>
      <c r="O538" s="1" t="s">
        <v>1272</v>
      </c>
      <c r="P538" t="s">
        <v>1297</v>
      </c>
    </row>
    <row r="539" spans="1:16" x14ac:dyDescent="0.25">
      <c r="A539" t="s">
        <v>503</v>
      </c>
      <c r="B539" t="s">
        <v>1371</v>
      </c>
      <c r="C539" s="6">
        <f>IFERROR(VLOOKUP(A539,[1]eco_bus_journals!$B:$D,3,0),"")</f>
        <v>62</v>
      </c>
      <c r="D539" s="37">
        <f>IFERROR(ROUND(VLOOKUP(A539,[1]eco_bus_journals!$B:$X,4,0),2),"")</f>
        <v>7.0000000000000007E-2</v>
      </c>
      <c r="E539" s="37">
        <f>_xlfn.RANK.EQ(D539,D:D)</f>
        <v>517</v>
      </c>
      <c r="F539" s="44" t="str">
        <f>IFERROR(ROUND(VLOOKUP(A539,[1]eco_journals!B:E,4,0),2),"")</f>
        <v/>
      </c>
      <c r="G539" s="40" t="str">
        <f>IFERROR(_xlfn.RANK.EQ(F539,F:F),"")</f>
        <v/>
      </c>
      <c r="H539" s="46">
        <f>IFERROR(ROUND(VLOOKUP(A539,[1]fin_journals!B:E,4,0),2),"")</f>
        <v>0.11</v>
      </c>
      <c r="I539" s="18">
        <f>IFERROR(_xlfn.RANK.EQ(H539,H:H),"")</f>
        <v>104</v>
      </c>
      <c r="J539" s="42" t="str">
        <f>IFERROR(ROUND(VLOOKUP(A539,[1]bus_journals!B:E,4,0),2),"")</f>
        <v/>
      </c>
      <c r="K539" s="23" t="str">
        <f>IFERROR(_xlfn.RANK.EQ(J539,J:J),"")</f>
        <v/>
      </c>
      <c r="L539" s="43">
        <f>IFERROR(ROUND(VLOOKUP(A539,[1]man_journals!B:E,4,0),2),"")</f>
        <v>0.09</v>
      </c>
      <c r="M539" s="26">
        <f>IFERROR(_xlfn.RANK.EQ(L539,L:L),"")</f>
        <v>167</v>
      </c>
      <c r="N539" s="3" t="s">
        <v>1274</v>
      </c>
      <c r="O539" s="4" t="s">
        <v>1275</v>
      </c>
    </row>
    <row r="540" spans="1:16" x14ac:dyDescent="0.25">
      <c r="A540" t="s">
        <v>519</v>
      </c>
      <c r="B540" t="s">
        <v>1398</v>
      </c>
      <c r="C540" s="6">
        <f>IFERROR(VLOOKUP(A540,[1]eco_bus_journals!$B:$D,3,0),"")</f>
        <v>21</v>
      </c>
      <c r="D540" s="37">
        <f>IFERROR(ROUND(VLOOKUP(A540,[1]eco_bus_journals!$B:$X,4,0),2),"")</f>
        <v>0.05</v>
      </c>
      <c r="E540" s="37">
        <f>_xlfn.RANK.EQ(D540,D:D)</f>
        <v>550</v>
      </c>
      <c r="F540" s="44" t="str">
        <f>IFERROR(ROUND(VLOOKUP(A540,[1]eco_journals!B:E,4,0),2),"")</f>
        <v/>
      </c>
      <c r="G540" s="40" t="str">
        <f>IFERROR(_xlfn.RANK.EQ(F540,F:F),"")</f>
        <v/>
      </c>
      <c r="H540" s="46">
        <f>IFERROR(ROUND(VLOOKUP(A540,[1]fin_journals!B:E,4,0),2),"")</f>
        <v>0.09</v>
      </c>
      <c r="I540" s="18">
        <f>IFERROR(_xlfn.RANK.EQ(H540,H:H),"")</f>
        <v>106</v>
      </c>
      <c r="J540" s="42" t="str">
        <f>IFERROR(ROUND(VLOOKUP(A540,[1]bus_journals!B:E,4,0),2),"")</f>
        <v/>
      </c>
      <c r="K540" s="23" t="str">
        <f>IFERROR(_xlfn.RANK.EQ(J540,J:J),"")</f>
        <v/>
      </c>
      <c r="L540" s="43" t="str">
        <f>IFERROR(ROUND(VLOOKUP(A540,[1]man_journals!B:E,4,0),2),"")</f>
        <v/>
      </c>
      <c r="M540" s="26" t="str">
        <f>IFERROR(_xlfn.RANK.EQ(L540,L:L),"")</f>
        <v/>
      </c>
      <c r="N540" s="3" t="s">
        <v>1274</v>
      </c>
    </row>
    <row r="541" spans="1:16" x14ac:dyDescent="0.25">
      <c r="A541" t="s">
        <v>548</v>
      </c>
      <c r="B541" t="s">
        <v>1409</v>
      </c>
      <c r="C541" s="6">
        <f>IFERROR(VLOOKUP(A541,[1]eco_bus_journals!$B:$D,3,0),"")</f>
        <v>50</v>
      </c>
      <c r="D541" s="37">
        <f>IFERROR(ROUND(VLOOKUP(A541,[1]eco_bus_journals!$B:$X,4,0),2),"")</f>
        <v>0.04</v>
      </c>
      <c r="E541" s="37">
        <f>_xlfn.RANK.EQ(D541,D:D)</f>
        <v>562</v>
      </c>
      <c r="F541" s="44">
        <f>IFERROR(ROUND(VLOOKUP(A541,[1]eco_journals!B:E,4,0),2),"")</f>
        <v>0.02</v>
      </c>
      <c r="G541" s="40">
        <f>IFERROR(_xlfn.RANK.EQ(F541,F:F),"")</f>
        <v>310</v>
      </c>
      <c r="H541" s="46" t="str">
        <f>IFERROR(ROUND(VLOOKUP(A541,[1]fin_journals!B:E,4,0),2),"")</f>
        <v/>
      </c>
      <c r="I541" s="18" t="str">
        <f>IFERROR(_xlfn.RANK.EQ(H541,H:H),"")</f>
        <v/>
      </c>
      <c r="J541" s="42" t="str">
        <f>IFERROR(ROUND(VLOOKUP(A541,[1]bus_journals!B:E,4,0),2),"")</f>
        <v/>
      </c>
      <c r="K541" s="23" t="str">
        <f>IFERROR(_xlfn.RANK.EQ(J541,J:J),"")</f>
        <v/>
      </c>
      <c r="L541" s="43" t="str">
        <f>IFERROR(ROUND(VLOOKUP(A541,[1]man_journals!B:E,4,0),2),"")</f>
        <v/>
      </c>
      <c r="M541" s="26" t="str">
        <f>IFERROR(_xlfn.RANK.EQ(L541,L:L),"")</f>
        <v/>
      </c>
      <c r="N541" s="1" t="s">
        <v>1272</v>
      </c>
    </row>
    <row r="542" spans="1:16" x14ac:dyDescent="0.25">
      <c r="A542" t="s">
        <v>527</v>
      </c>
      <c r="B542" t="s">
        <v>1362</v>
      </c>
      <c r="C542" s="6">
        <f>IFERROR(VLOOKUP(A542,[1]eco_bus_journals!$B:$D,3,0),"")</f>
        <v>27</v>
      </c>
      <c r="D542" s="37">
        <f>IFERROR(ROUND(VLOOKUP(A542,[1]eco_bus_journals!$B:$X,4,0),2),"")</f>
        <v>0.06</v>
      </c>
      <c r="E542" s="37">
        <f>_xlfn.RANK.EQ(D542,D:D)</f>
        <v>531</v>
      </c>
      <c r="F542" s="44">
        <f>IFERROR(ROUND(VLOOKUP(A542,[1]eco_journals!B:E,4,0),2),"")</f>
        <v>0.06</v>
      </c>
      <c r="G542" s="40">
        <f>IFERROR(_xlfn.RANK.EQ(F542,F:F),"")</f>
        <v>257</v>
      </c>
      <c r="H542" s="46" t="str">
        <f>IFERROR(ROUND(VLOOKUP(A542,[1]fin_journals!B:E,4,0),2),"")</f>
        <v/>
      </c>
      <c r="I542" s="18" t="str">
        <f>IFERROR(_xlfn.RANK.EQ(H542,H:H),"")</f>
        <v/>
      </c>
      <c r="J542" s="42" t="str">
        <f>IFERROR(ROUND(VLOOKUP(A542,[1]bus_journals!B:E,4,0),2),"")</f>
        <v/>
      </c>
      <c r="K542" s="23" t="str">
        <f>IFERROR(_xlfn.RANK.EQ(J542,J:J),"")</f>
        <v/>
      </c>
      <c r="L542" s="43" t="str">
        <f>IFERROR(ROUND(VLOOKUP(A542,[1]man_journals!B:E,4,0),2),"")</f>
        <v/>
      </c>
      <c r="M542" s="26" t="str">
        <f>IFERROR(_xlfn.RANK.EQ(L542,L:L),"")</f>
        <v/>
      </c>
      <c r="N542" s="1" t="s">
        <v>1272</v>
      </c>
    </row>
    <row r="543" spans="1:16" x14ac:dyDescent="0.25">
      <c r="A543" t="s">
        <v>491</v>
      </c>
      <c r="B543" t="s">
        <v>1395</v>
      </c>
      <c r="C543" s="6">
        <f>IFERROR(VLOOKUP(A543,[1]eco_bus_journals!$B:$D,3,0),"")</f>
        <v>83</v>
      </c>
      <c r="D543" s="37">
        <f>IFERROR(ROUND(VLOOKUP(A543,[1]eco_bus_journals!$B:$X,4,0),2),"")</f>
        <v>0.05</v>
      </c>
      <c r="E543" s="37">
        <f>_xlfn.RANK.EQ(D543,D:D)</f>
        <v>550</v>
      </c>
      <c r="F543" s="44">
        <f>IFERROR(ROUND(VLOOKUP(A543,[1]eco_journals!B:E,4,0),2),"")</f>
        <v>0.04</v>
      </c>
      <c r="G543" s="40">
        <f>IFERROR(_xlfn.RANK.EQ(F543,F:F),"")</f>
        <v>283</v>
      </c>
      <c r="H543" s="46" t="str">
        <f>IFERROR(ROUND(VLOOKUP(A543,[1]fin_journals!B:E,4,0),2),"")</f>
        <v/>
      </c>
      <c r="I543" s="18" t="str">
        <f>IFERROR(_xlfn.RANK.EQ(H543,H:H),"")</f>
        <v/>
      </c>
      <c r="J543" s="42">
        <f>IFERROR(ROUND(VLOOKUP(A543,[1]bus_journals!B:E,4,0),2),"")</f>
        <v>0.1</v>
      </c>
      <c r="K543" s="23">
        <f>IFERROR(_xlfn.RANK.EQ(J543,J:J),"")</f>
        <v>130</v>
      </c>
      <c r="L543" s="43" t="str">
        <f>IFERROR(ROUND(VLOOKUP(A543,[1]man_journals!B:E,4,0),2),"")</f>
        <v/>
      </c>
      <c r="M543" s="26" t="str">
        <f>IFERROR(_xlfn.RANK.EQ(L543,L:L),"")</f>
        <v/>
      </c>
      <c r="N543" s="2" t="s">
        <v>1273</v>
      </c>
      <c r="O543" s="1" t="s">
        <v>1272</v>
      </c>
    </row>
    <row r="544" spans="1:16" x14ac:dyDescent="0.25">
      <c r="A544" t="s">
        <v>565</v>
      </c>
      <c r="B544" t="s">
        <v>1372</v>
      </c>
      <c r="C544" s="6">
        <f>IFERROR(VLOOKUP(A544,[1]eco_bus_journals!$B:$D,3,0),"")</f>
        <v>77</v>
      </c>
      <c r="D544" s="37">
        <f>IFERROR(ROUND(VLOOKUP(A544,[1]eco_bus_journals!$B:$X,4,0),2),"")</f>
        <v>7.0000000000000007E-2</v>
      </c>
      <c r="E544" s="37">
        <f>_xlfn.RANK.EQ(D544,D:D)</f>
        <v>517</v>
      </c>
      <c r="F544" s="44">
        <f>IFERROR(ROUND(VLOOKUP(A544,[1]eco_journals!B:E,4,0),2),"")</f>
        <v>0.06</v>
      </c>
      <c r="G544" s="40">
        <f>IFERROR(_xlfn.RANK.EQ(F544,F:F),"")</f>
        <v>257</v>
      </c>
      <c r="H544" s="46" t="str">
        <f>IFERROR(ROUND(VLOOKUP(A544,[1]fin_journals!B:E,4,0),2),"")</f>
        <v/>
      </c>
      <c r="I544" s="18" t="str">
        <f>IFERROR(_xlfn.RANK.EQ(H544,H:H),"")</f>
        <v/>
      </c>
      <c r="J544" s="42" t="str">
        <f>IFERROR(ROUND(VLOOKUP(A544,[1]bus_journals!B:E,4,0),2),"")</f>
        <v/>
      </c>
      <c r="K544" s="23" t="str">
        <f>IFERROR(_xlfn.RANK.EQ(J544,J:J),"")</f>
        <v/>
      </c>
      <c r="L544" s="43" t="str">
        <f>IFERROR(ROUND(VLOOKUP(A544,[1]man_journals!B:E,4,0),2),"")</f>
        <v/>
      </c>
      <c r="M544" s="26" t="str">
        <f>IFERROR(_xlfn.RANK.EQ(L544,L:L),"")</f>
        <v/>
      </c>
      <c r="N544" s="1" t="s">
        <v>1272</v>
      </c>
    </row>
    <row r="545" spans="1:16" x14ac:dyDescent="0.25">
      <c r="A545" t="s">
        <v>537</v>
      </c>
      <c r="B545" t="s">
        <v>1383</v>
      </c>
      <c r="C545" s="6">
        <f>IFERROR(VLOOKUP(A545,[1]eco_bus_journals!$B:$D,3,0),"")</f>
        <v>23</v>
      </c>
      <c r="D545" s="37">
        <f>IFERROR(ROUND(VLOOKUP(A545,[1]eco_bus_journals!$B:$X,4,0),2),"")</f>
        <v>0.05</v>
      </c>
      <c r="E545" s="37">
        <f>_xlfn.RANK.EQ(D545,D:D)</f>
        <v>550</v>
      </c>
      <c r="F545" s="44" t="str">
        <f>IFERROR(ROUND(VLOOKUP(A545,[1]eco_journals!B:E,4,0),2),"")</f>
        <v/>
      </c>
      <c r="G545" s="40" t="str">
        <f>IFERROR(_xlfn.RANK.EQ(F545,F:F),"")</f>
        <v/>
      </c>
      <c r="H545" s="46">
        <f>IFERROR(ROUND(VLOOKUP(A545,[1]fin_journals!B:E,4,0),2),"")</f>
        <v>0.08</v>
      </c>
      <c r="I545" s="18">
        <f>IFERROR(_xlfn.RANK.EQ(H545,H:H),"")</f>
        <v>108</v>
      </c>
      <c r="J545" s="42" t="str">
        <f>IFERROR(ROUND(VLOOKUP(A545,[1]bus_journals!B:E,4,0),2),"")</f>
        <v/>
      </c>
      <c r="K545" s="23" t="str">
        <f>IFERROR(_xlfn.RANK.EQ(J545,J:J),"")</f>
        <v/>
      </c>
      <c r="L545" s="43" t="str">
        <f>IFERROR(ROUND(VLOOKUP(A545,[1]man_journals!B:E,4,0),2),"")</f>
        <v/>
      </c>
      <c r="M545" s="26" t="str">
        <f>IFERROR(_xlfn.RANK.EQ(L545,L:L),"")</f>
        <v/>
      </c>
      <c r="N545" s="3" t="s">
        <v>1274</v>
      </c>
    </row>
    <row r="546" spans="1:16" x14ac:dyDescent="0.25">
      <c r="A546" t="s">
        <v>577</v>
      </c>
      <c r="B546" t="s">
        <v>1408</v>
      </c>
      <c r="C546" s="6">
        <f>IFERROR(VLOOKUP(A546,[1]eco_bus_journals!$B:$D,3,0),"")</f>
        <v>13</v>
      </c>
      <c r="D546" s="37">
        <f>IFERROR(ROUND(VLOOKUP(A546,[1]eco_bus_journals!$B:$X,4,0),2),"")</f>
        <v>0.05</v>
      </c>
      <c r="E546" s="37">
        <f>_xlfn.RANK.EQ(D546,D:D)</f>
        <v>550</v>
      </c>
      <c r="F546" s="44">
        <f>IFERROR(ROUND(VLOOKUP(A546,[1]eco_journals!B:E,4,0),2),"")</f>
        <v>0.05</v>
      </c>
      <c r="G546" s="40">
        <f>IFERROR(_xlfn.RANK.EQ(F546,F:F),"")</f>
        <v>275</v>
      </c>
      <c r="H546" s="46" t="str">
        <f>IFERROR(ROUND(VLOOKUP(A546,[1]fin_journals!B:E,4,0),2),"")</f>
        <v/>
      </c>
      <c r="I546" s="18" t="str">
        <f>IFERROR(_xlfn.RANK.EQ(H546,H:H),"")</f>
        <v/>
      </c>
      <c r="J546" s="42" t="str">
        <f>IFERROR(ROUND(VLOOKUP(A546,[1]bus_journals!B:E,4,0),2),"")</f>
        <v/>
      </c>
      <c r="K546" s="23" t="str">
        <f>IFERROR(_xlfn.RANK.EQ(J546,J:J),"")</f>
        <v/>
      </c>
      <c r="L546" s="43" t="str">
        <f>IFERROR(ROUND(VLOOKUP(A546,[1]man_journals!B:E,4,0),2),"")</f>
        <v/>
      </c>
      <c r="M546" s="26" t="str">
        <f>IFERROR(_xlfn.RANK.EQ(L546,L:L),"")</f>
        <v/>
      </c>
      <c r="N546" s="1" t="s">
        <v>1272</v>
      </c>
      <c r="O546" t="s">
        <v>1326</v>
      </c>
    </row>
    <row r="547" spans="1:16" x14ac:dyDescent="0.25">
      <c r="A547" t="s">
        <v>566</v>
      </c>
      <c r="B547" t="s">
        <v>1428</v>
      </c>
      <c r="C547" s="6">
        <f>IFERROR(VLOOKUP(A547,[1]eco_bus_journals!$B:$D,3,0),"")</f>
        <v>42</v>
      </c>
      <c r="D547" s="37">
        <f>IFERROR(ROUND(VLOOKUP(A547,[1]eco_bus_journals!$B:$X,4,0),2),"")</f>
        <v>0.06</v>
      </c>
      <c r="E547" s="37">
        <f>_xlfn.RANK.EQ(D547,D:D)</f>
        <v>531</v>
      </c>
      <c r="F547" s="44">
        <f>IFERROR(ROUND(VLOOKUP(A547,[1]eco_journals!B:E,4,0),2),"")</f>
        <v>0.06</v>
      </c>
      <c r="G547" s="40">
        <f>IFERROR(_xlfn.RANK.EQ(F547,F:F),"")</f>
        <v>257</v>
      </c>
      <c r="H547" s="46" t="str">
        <f>IFERROR(ROUND(VLOOKUP(A547,[1]fin_journals!B:E,4,0),2),"")</f>
        <v/>
      </c>
      <c r="I547" s="18" t="str">
        <f>IFERROR(_xlfn.RANK.EQ(H547,H:H),"")</f>
        <v/>
      </c>
      <c r="J547" s="42" t="str">
        <f>IFERROR(ROUND(VLOOKUP(A547,[1]bus_journals!B:E,4,0),2),"")</f>
        <v/>
      </c>
      <c r="K547" s="23" t="str">
        <f>IFERROR(_xlfn.RANK.EQ(J547,J:J),"")</f>
        <v/>
      </c>
      <c r="L547" s="43" t="str">
        <f>IFERROR(ROUND(VLOOKUP(A547,[1]man_journals!B:E,4,0),2),"")</f>
        <v/>
      </c>
      <c r="M547" s="26" t="str">
        <f>IFERROR(_xlfn.RANK.EQ(L547,L:L),"")</f>
        <v/>
      </c>
      <c r="N547" s="1" t="s">
        <v>1272</v>
      </c>
      <c r="O547" t="s">
        <v>1312</v>
      </c>
      <c r="P547" t="s">
        <v>1295</v>
      </c>
    </row>
    <row r="548" spans="1:16" x14ac:dyDescent="0.25">
      <c r="A548" t="s">
        <v>510</v>
      </c>
      <c r="B548" t="s">
        <v>1397</v>
      </c>
      <c r="C548" s="6">
        <f>IFERROR(VLOOKUP(A548,[1]eco_bus_journals!$B:$D,3,0),"")</f>
        <v>31</v>
      </c>
      <c r="D548" s="37">
        <f>IFERROR(ROUND(VLOOKUP(A548,[1]eco_bus_journals!$B:$X,4,0),2),"")</f>
        <v>7.0000000000000007E-2</v>
      </c>
      <c r="E548" s="37">
        <f>_xlfn.RANK.EQ(D548,D:D)</f>
        <v>517</v>
      </c>
      <c r="F548" s="44">
        <f>IFERROR(ROUND(VLOOKUP(A548,[1]eco_journals!B:E,4,0),2),"")</f>
        <v>0.03</v>
      </c>
      <c r="G548" s="40">
        <f>IFERROR(_xlfn.RANK.EQ(F548,F:F),"")</f>
        <v>294</v>
      </c>
      <c r="H548" s="46" t="str">
        <f>IFERROR(ROUND(VLOOKUP(A548,[1]fin_journals!B:E,4,0),2),"")</f>
        <v/>
      </c>
      <c r="I548" s="18" t="str">
        <f>IFERROR(_xlfn.RANK.EQ(H548,H:H),"")</f>
        <v/>
      </c>
      <c r="J548" s="42" t="str">
        <f>IFERROR(ROUND(VLOOKUP(A548,[1]bus_journals!B:E,4,0),2),"")</f>
        <v/>
      </c>
      <c r="K548" s="23" t="str">
        <f>IFERROR(_xlfn.RANK.EQ(J548,J:J),"")</f>
        <v/>
      </c>
      <c r="L548" s="43" t="str">
        <f>IFERROR(ROUND(VLOOKUP(A548,[1]man_journals!B:E,4,0),2),"")</f>
        <v/>
      </c>
      <c r="M548" s="26" t="str">
        <f>IFERROR(_xlfn.RANK.EQ(L548,L:L),"")</f>
        <v/>
      </c>
      <c r="N548" s="1" t="s">
        <v>1272</v>
      </c>
    </row>
    <row r="549" spans="1:16" x14ac:dyDescent="0.25">
      <c r="A549" t="s">
        <v>540</v>
      </c>
      <c r="B549" t="s">
        <v>1372</v>
      </c>
      <c r="C549" s="6">
        <f>IFERROR(VLOOKUP(A549,[1]eco_bus_journals!$B:$D,3,0),"")</f>
        <v>52</v>
      </c>
      <c r="D549" s="37">
        <f>IFERROR(ROUND(VLOOKUP(A549,[1]eco_bus_journals!$B:$X,4,0),2),"")</f>
        <v>0.06</v>
      </c>
      <c r="E549" s="37">
        <f>_xlfn.RANK.EQ(D549,D:D)</f>
        <v>531</v>
      </c>
      <c r="F549" s="44">
        <f>IFERROR(ROUND(VLOOKUP(A549,[1]eco_journals!B:E,4,0),2),"")</f>
        <v>0.06</v>
      </c>
      <c r="G549" s="40">
        <f>IFERROR(_xlfn.RANK.EQ(F549,F:F),"")</f>
        <v>257</v>
      </c>
      <c r="H549" s="46" t="str">
        <f>IFERROR(ROUND(VLOOKUP(A549,[1]fin_journals!B:E,4,0),2),"")</f>
        <v/>
      </c>
      <c r="I549" s="18" t="str">
        <f>IFERROR(_xlfn.RANK.EQ(H549,H:H),"")</f>
        <v/>
      </c>
      <c r="J549" s="42" t="str">
        <f>IFERROR(ROUND(VLOOKUP(A549,[1]bus_journals!B:E,4,0),2),"")</f>
        <v/>
      </c>
      <c r="K549" s="23" t="str">
        <f>IFERROR(_xlfn.RANK.EQ(J549,J:J),"")</f>
        <v/>
      </c>
      <c r="L549" s="43" t="str">
        <f>IFERROR(ROUND(VLOOKUP(A549,[1]man_journals!B:E,4,0),2),"")</f>
        <v/>
      </c>
      <c r="M549" s="26" t="str">
        <f>IFERROR(_xlfn.RANK.EQ(L549,L:L),"")</f>
        <v/>
      </c>
      <c r="N549" s="1" t="s">
        <v>1272</v>
      </c>
    </row>
    <row r="550" spans="1:16" x14ac:dyDescent="0.25">
      <c r="A550" t="s">
        <v>569</v>
      </c>
      <c r="B550" t="s">
        <v>1363</v>
      </c>
      <c r="C550" s="6">
        <f>IFERROR(VLOOKUP(A550,[1]eco_bus_journals!$B:$D,3,0),"")</f>
        <v>18</v>
      </c>
      <c r="D550" s="37">
        <f>IFERROR(ROUND(VLOOKUP(A550,[1]eco_bus_journals!$B:$X,4,0),2),"")</f>
        <v>0.06</v>
      </c>
      <c r="E550" s="37">
        <f>_xlfn.RANK.EQ(D550,D:D)</f>
        <v>531</v>
      </c>
      <c r="F550" s="44">
        <f>IFERROR(ROUND(VLOOKUP(A550,[1]eco_journals!B:E,4,0),2),"")</f>
        <v>0.04</v>
      </c>
      <c r="G550" s="40">
        <f>IFERROR(_xlfn.RANK.EQ(F550,F:F),"")</f>
        <v>283</v>
      </c>
      <c r="H550" s="46">
        <f>IFERROR(ROUND(VLOOKUP(A550,[1]fin_journals!B:E,4,0),2),"")</f>
        <v>0.13</v>
      </c>
      <c r="I550" s="18">
        <f>IFERROR(_xlfn.RANK.EQ(H550,H:H),"")</f>
        <v>102</v>
      </c>
      <c r="J550" s="42" t="str">
        <f>IFERROR(ROUND(VLOOKUP(A550,[1]bus_journals!B:E,4,0),2),"")</f>
        <v/>
      </c>
      <c r="K550" s="23" t="str">
        <f>IFERROR(_xlfn.RANK.EQ(J550,J:J),"")</f>
        <v/>
      </c>
      <c r="L550" s="43" t="str">
        <f>IFERROR(ROUND(VLOOKUP(A550,[1]man_journals!B:E,4,0),2),"")</f>
        <v/>
      </c>
      <c r="M550" s="26" t="str">
        <f>IFERROR(_xlfn.RANK.EQ(L550,L:L),"")</f>
        <v/>
      </c>
      <c r="N550" s="3" t="s">
        <v>1274</v>
      </c>
      <c r="O550" s="1" t="s">
        <v>1272</v>
      </c>
    </row>
    <row r="551" spans="1:16" x14ac:dyDescent="0.25">
      <c r="A551" t="s">
        <v>512</v>
      </c>
      <c r="B551" t="s">
        <v>1358</v>
      </c>
      <c r="C551" s="6">
        <f>IFERROR(VLOOKUP(A551,[1]eco_bus_journals!$B:$D,3,0),"")</f>
        <v>47</v>
      </c>
      <c r="D551" s="37">
        <f>IFERROR(ROUND(VLOOKUP(A551,[1]eco_bus_journals!$B:$X,4,0),2),"")</f>
        <v>0.08</v>
      </c>
      <c r="E551" s="37">
        <f>_xlfn.RANK.EQ(D551,D:D)</f>
        <v>502</v>
      </c>
      <c r="F551" s="44">
        <f>IFERROR(ROUND(VLOOKUP(A551,[1]eco_journals!B:E,4,0),2),"")</f>
        <v>0.06</v>
      </c>
      <c r="G551" s="40">
        <f>IFERROR(_xlfn.RANK.EQ(F551,F:F),"")</f>
        <v>257</v>
      </c>
      <c r="H551" s="46" t="str">
        <f>IFERROR(ROUND(VLOOKUP(A551,[1]fin_journals!B:E,4,0),2),"")</f>
        <v/>
      </c>
      <c r="I551" s="18" t="str">
        <f>IFERROR(_xlfn.RANK.EQ(H551,H:H),"")</f>
        <v/>
      </c>
      <c r="J551" s="42" t="str">
        <f>IFERROR(ROUND(VLOOKUP(A551,[1]bus_journals!B:E,4,0),2),"")</f>
        <v/>
      </c>
      <c r="K551" s="23" t="str">
        <f>IFERROR(_xlfn.RANK.EQ(J551,J:J),"")</f>
        <v/>
      </c>
      <c r="L551" s="43" t="str">
        <f>IFERROR(ROUND(VLOOKUP(A551,[1]man_journals!B:E,4,0),2),"")</f>
        <v/>
      </c>
      <c r="M551" s="26" t="str">
        <f>IFERROR(_xlfn.RANK.EQ(L551,L:L),"")</f>
        <v/>
      </c>
      <c r="N551" s="1" t="s">
        <v>1272</v>
      </c>
    </row>
    <row r="552" spans="1:16" x14ac:dyDescent="0.25">
      <c r="A552" t="s">
        <v>481</v>
      </c>
      <c r="B552" t="s">
        <v>1394</v>
      </c>
      <c r="C552" s="6">
        <f>IFERROR(VLOOKUP(A552,[1]eco_bus_journals!$B:$D,3,0),"")</f>
        <v>19</v>
      </c>
      <c r="D552" s="37">
        <f>IFERROR(ROUND(VLOOKUP(A552,[1]eco_bus_journals!$B:$X,4,0),2),"")</f>
        <v>0.06</v>
      </c>
      <c r="E552" s="37">
        <f>_xlfn.RANK.EQ(D552,D:D)</f>
        <v>531</v>
      </c>
      <c r="F552" s="44" t="str">
        <f>IFERROR(ROUND(VLOOKUP(A552,[1]eco_journals!B:E,4,0),2),"")</f>
        <v/>
      </c>
      <c r="G552" s="40" t="str">
        <f>IFERROR(_xlfn.RANK.EQ(F552,F:F),"")</f>
        <v/>
      </c>
      <c r="H552" s="46">
        <f>IFERROR(ROUND(VLOOKUP(A552,[1]fin_journals!B:E,4,0),2),"")</f>
        <v>0.05</v>
      </c>
      <c r="I552" s="18">
        <f>IFERROR(_xlfn.RANK.EQ(H552,H:H),"")</f>
        <v>111</v>
      </c>
      <c r="J552" s="42" t="str">
        <f>IFERROR(ROUND(VLOOKUP(A552,[1]bus_journals!B:E,4,0),2),"")</f>
        <v/>
      </c>
      <c r="K552" s="23" t="str">
        <f>IFERROR(_xlfn.RANK.EQ(J552,J:J),"")</f>
        <v/>
      </c>
      <c r="L552" s="43" t="str">
        <f>IFERROR(ROUND(VLOOKUP(A552,[1]man_journals!B:E,4,0),2),"")</f>
        <v/>
      </c>
      <c r="M552" s="26" t="str">
        <f>IFERROR(_xlfn.RANK.EQ(L552,L:L),"")</f>
        <v/>
      </c>
      <c r="N552" s="3" t="s">
        <v>1274</v>
      </c>
    </row>
    <row r="553" spans="1:16" x14ac:dyDescent="0.25">
      <c r="A553" t="s">
        <v>541</v>
      </c>
      <c r="B553" t="s">
        <v>1360</v>
      </c>
      <c r="C553" s="6">
        <f>IFERROR(VLOOKUP(A553,[1]eco_bus_journals!$B:$D,3,0),"")</f>
        <v>30</v>
      </c>
      <c r="D553" s="37">
        <f>IFERROR(ROUND(VLOOKUP(A553,[1]eco_bus_journals!$B:$X,4,0),2),"")</f>
        <v>7.0000000000000007E-2</v>
      </c>
      <c r="E553" s="37">
        <f>_xlfn.RANK.EQ(D553,D:D)</f>
        <v>517</v>
      </c>
      <c r="F553" s="44">
        <f>IFERROR(ROUND(VLOOKUP(A553,[1]eco_journals!B:E,4,0),2),"")</f>
        <v>7.0000000000000007E-2</v>
      </c>
      <c r="G553" s="40">
        <f>IFERROR(_xlfn.RANK.EQ(F553,F:F),"")</f>
        <v>247</v>
      </c>
      <c r="H553" s="46" t="str">
        <f>IFERROR(ROUND(VLOOKUP(A553,[1]fin_journals!B:E,4,0),2),"")</f>
        <v/>
      </c>
      <c r="I553" s="18" t="str">
        <f>IFERROR(_xlfn.RANK.EQ(H553,H:H),"")</f>
        <v/>
      </c>
      <c r="J553" s="42" t="str">
        <f>IFERROR(ROUND(VLOOKUP(A553,[1]bus_journals!B:E,4,0),2),"")</f>
        <v/>
      </c>
      <c r="K553" s="23" t="str">
        <f>IFERROR(_xlfn.RANK.EQ(J553,J:J),"")</f>
        <v/>
      </c>
      <c r="L553" s="43" t="str">
        <f>IFERROR(ROUND(VLOOKUP(A553,[1]man_journals!B:E,4,0),2),"")</f>
        <v/>
      </c>
      <c r="M553" s="26" t="str">
        <f>IFERROR(_xlfn.RANK.EQ(L553,L:L),"")</f>
        <v/>
      </c>
      <c r="N553" s="1" t="s">
        <v>1272</v>
      </c>
    </row>
    <row r="554" spans="1:16" x14ac:dyDescent="0.25">
      <c r="A554" t="s">
        <v>562</v>
      </c>
      <c r="B554" t="s">
        <v>1371</v>
      </c>
      <c r="C554" s="6">
        <f>IFERROR(VLOOKUP(A554,[1]eco_bus_journals!$B:$D,3,0),"")</f>
        <v>12</v>
      </c>
      <c r="D554" s="37">
        <f>IFERROR(ROUND(VLOOKUP(A554,[1]eco_bus_journals!$B:$X,4,0),2),"")</f>
        <v>0.05</v>
      </c>
      <c r="E554" s="37">
        <f>_xlfn.RANK.EQ(D554,D:D)</f>
        <v>550</v>
      </c>
      <c r="F554" s="44">
        <f>IFERROR(ROUND(VLOOKUP(A554,[1]eco_journals!B:E,4,0),2),"")</f>
        <v>0.05</v>
      </c>
      <c r="G554" s="40">
        <f>IFERROR(_xlfn.RANK.EQ(F554,F:F),"")</f>
        <v>275</v>
      </c>
      <c r="H554" s="46" t="str">
        <f>IFERROR(ROUND(VLOOKUP(A554,[1]fin_journals!B:E,4,0),2),"")</f>
        <v/>
      </c>
      <c r="I554" s="18" t="str">
        <f>IFERROR(_xlfn.RANK.EQ(H554,H:H),"")</f>
        <v/>
      </c>
      <c r="J554" s="42" t="str">
        <f>IFERROR(ROUND(VLOOKUP(A554,[1]bus_journals!B:E,4,0),2),"")</f>
        <v/>
      </c>
      <c r="K554" s="23" t="str">
        <f>IFERROR(_xlfn.RANK.EQ(J554,J:J),"")</f>
        <v/>
      </c>
      <c r="L554" s="43" t="str">
        <f>IFERROR(ROUND(VLOOKUP(A554,[1]man_journals!B:E,4,0),2),"")</f>
        <v/>
      </c>
      <c r="M554" s="26" t="str">
        <f>IFERROR(_xlfn.RANK.EQ(L554,L:L),"")</f>
        <v/>
      </c>
      <c r="N554" s="1" t="s">
        <v>1272</v>
      </c>
    </row>
    <row r="555" spans="1:16" x14ac:dyDescent="0.25">
      <c r="A555" t="s">
        <v>533</v>
      </c>
      <c r="B555" t="s">
        <v>1368</v>
      </c>
      <c r="C555" s="6">
        <f>IFERROR(VLOOKUP(A555,[1]eco_bus_journals!$B:$D,3,0),"")</f>
        <v>18</v>
      </c>
      <c r="D555" s="37">
        <f>IFERROR(ROUND(VLOOKUP(A555,[1]eco_bus_journals!$B:$X,4,0),2),"")</f>
        <v>0.04</v>
      </c>
      <c r="E555" s="37">
        <f>_xlfn.RANK.EQ(D555,D:D)</f>
        <v>562</v>
      </c>
      <c r="F555" s="44">
        <f>IFERROR(ROUND(VLOOKUP(A555,[1]eco_journals!B:E,4,0),2),"")</f>
        <v>0.04</v>
      </c>
      <c r="G555" s="40">
        <f>IFERROR(_xlfn.RANK.EQ(F555,F:F),"")</f>
        <v>283</v>
      </c>
      <c r="H555" s="46" t="str">
        <f>IFERROR(ROUND(VLOOKUP(A555,[1]fin_journals!B:E,4,0),2),"")</f>
        <v/>
      </c>
      <c r="I555" s="18" t="str">
        <f>IFERROR(_xlfn.RANK.EQ(H555,H:H),"")</f>
        <v/>
      </c>
      <c r="J555" s="42" t="str">
        <f>IFERROR(ROUND(VLOOKUP(A555,[1]bus_journals!B:E,4,0),2),"")</f>
        <v/>
      </c>
      <c r="K555" s="23" t="str">
        <f>IFERROR(_xlfn.RANK.EQ(J555,J:J),"")</f>
        <v/>
      </c>
      <c r="L555" s="43" t="str">
        <f>IFERROR(ROUND(VLOOKUP(A555,[1]man_journals!B:E,4,0),2),"")</f>
        <v/>
      </c>
      <c r="M555" s="26" t="str">
        <f>IFERROR(_xlfn.RANK.EQ(L555,L:L),"")</f>
        <v/>
      </c>
      <c r="N555" s="1" t="s">
        <v>1272</v>
      </c>
    </row>
    <row r="556" spans="1:16" x14ac:dyDescent="0.25">
      <c r="A556" t="s">
        <v>586</v>
      </c>
      <c r="B556" t="s">
        <v>1360</v>
      </c>
      <c r="C556" s="6">
        <f>IFERROR(VLOOKUP(A556,[1]eco_bus_journals!$B:$D,3,0),"")</f>
        <v>13</v>
      </c>
      <c r="D556" s="37">
        <f>IFERROR(ROUND(VLOOKUP(A556,[1]eco_bus_journals!$B:$X,4,0),2),"")</f>
        <v>0.03</v>
      </c>
      <c r="E556" s="37">
        <f>_xlfn.RANK.EQ(D556,D:D)</f>
        <v>576</v>
      </c>
      <c r="F556" s="44">
        <f>IFERROR(ROUND(VLOOKUP(A556,[1]eco_journals!B:E,4,0),2),"")</f>
        <v>0.04</v>
      </c>
      <c r="G556" s="40">
        <f>IFERROR(_xlfn.RANK.EQ(F556,F:F),"")</f>
        <v>283</v>
      </c>
      <c r="H556" s="46" t="str">
        <f>IFERROR(ROUND(VLOOKUP(A556,[1]fin_journals!B:E,4,0),2),"")</f>
        <v/>
      </c>
      <c r="I556" s="18" t="str">
        <f>IFERROR(_xlfn.RANK.EQ(H556,H:H),"")</f>
        <v/>
      </c>
      <c r="J556" s="42" t="str">
        <f>IFERROR(ROUND(VLOOKUP(A556,[1]bus_journals!B:E,4,0),2),"")</f>
        <v/>
      </c>
      <c r="K556" s="23" t="str">
        <f>IFERROR(_xlfn.RANK.EQ(J556,J:J),"")</f>
        <v/>
      </c>
      <c r="L556" s="43" t="str">
        <f>IFERROR(ROUND(VLOOKUP(A556,[1]man_journals!B:E,4,0),2),"")</f>
        <v/>
      </c>
      <c r="M556" s="26" t="str">
        <f>IFERROR(_xlfn.RANK.EQ(L556,L:L),"")</f>
        <v/>
      </c>
      <c r="N556" s="1" t="s">
        <v>1272</v>
      </c>
    </row>
    <row r="557" spans="1:16" x14ac:dyDescent="0.25">
      <c r="A557" t="s">
        <v>545</v>
      </c>
      <c r="B557" t="s">
        <v>1360</v>
      </c>
      <c r="C557" s="6">
        <f>IFERROR(VLOOKUP(A557,[1]eco_bus_journals!$B:$D,3,0),"")</f>
        <v>38</v>
      </c>
      <c r="D557" s="37">
        <f>IFERROR(ROUND(VLOOKUP(A557,[1]eco_bus_journals!$B:$X,4,0),2),"")</f>
        <v>0.05</v>
      </c>
      <c r="E557" s="37">
        <f>_xlfn.RANK.EQ(D557,D:D)</f>
        <v>550</v>
      </c>
      <c r="F557" s="44">
        <f>IFERROR(ROUND(VLOOKUP(A557,[1]eco_journals!B:E,4,0),2),"")</f>
        <v>0.05</v>
      </c>
      <c r="G557" s="40">
        <f>IFERROR(_xlfn.RANK.EQ(F557,F:F),"")</f>
        <v>275</v>
      </c>
      <c r="H557" s="46" t="str">
        <f>IFERROR(ROUND(VLOOKUP(A557,[1]fin_journals!B:E,4,0),2),"")</f>
        <v/>
      </c>
      <c r="I557" s="18" t="str">
        <f>IFERROR(_xlfn.RANK.EQ(H557,H:H),"")</f>
        <v/>
      </c>
      <c r="J557" s="42" t="str">
        <f>IFERROR(ROUND(VLOOKUP(A557,[1]bus_journals!B:E,4,0),2),"")</f>
        <v/>
      </c>
      <c r="K557" s="23" t="str">
        <f>IFERROR(_xlfn.RANK.EQ(J557,J:J),"")</f>
        <v/>
      </c>
      <c r="L557" s="43" t="str">
        <f>IFERROR(ROUND(VLOOKUP(A557,[1]man_journals!B:E,4,0),2),"")</f>
        <v/>
      </c>
      <c r="M557" s="26" t="str">
        <f>IFERROR(_xlfn.RANK.EQ(L557,L:L),"")</f>
        <v/>
      </c>
      <c r="N557" s="1" t="s">
        <v>1272</v>
      </c>
    </row>
    <row r="558" spans="1:16" x14ac:dyDescent="0.25">
      <c r="A558" t="s">
        <v>607</v>
      </c>
      <c r="B558" t="s">
        <v>1443</v>
      </c>
      <c r="C558" s="6">
        <f>IFERROR(VLOOKUP(A558,[1]eco_bus_journals!$B:$D,3,0),"")</f>
        <v>35</v>
      </c>
      <c r="D558" s="37">
        <f>IFERROR(ROUND(VLOOKUP(A558,[1]eco_bus_journals!$B:$X,4,0),2),"")</f>
        <v>0.04</v>
      </c>
      <c r="E558" s="37">
        <f>_xlfn.RANK.EQ(D558,D:D)</f>
        <v>562</v>
      </c>
      <c r="F558" s="44">
        <f>IFERROR(ROUND(VLOOKUP(A558,[1]eco_journals!B:E,4,0),2),"")</f>
        <v>0.03</v>
      </c>
      <c r="G558" s="40">
        <f>IFERROR(_xlfn.RANK.EQ(F558,F:F),"")</f>
        <v>294</v>
      </c>
      <c r="H558" s="46" t="str">
        <f>IFERROR(ROUND(VLOOKUP(A558,[1]fin_journals!B:E,4,0),2),"")</f>
        <v/>
      </c>
      <c r="I558" s="18" t="str">
        <f>IFERROR(_xlfn.RANK.EQ(H558,H:H),"")</f>
        <v/>
      </c>
      <c r="J558" s="42" t="str">
        <f>IFERROR(ROUND(VLOOKUP(A558,[1]bus_journals!B:E,4,0),2),"")</f>
        <v/>
      </c>
      <c r="K558" s="23" t="str">
        <f>IFERROR(_xlfn.RANK.EQ(J558,J:J),"")</f>
        <v/>
      </c>
      <c r="L558" s="43" t="str">
        <f>IFERROR(ROUND(VLOOKUP(A558,[1]man_journals!B:E,4,0),2),"")</f>
        <v/>
      </c>
      <c r="M558" s="26" t="str">
        <f>IFERROR(_xlfn.RANK.EQ(L558,L:L),"")</f>
        <v/>
      </c>
      <c r="N558" s="1" t="s">
        <v>1272</v>
      </c>
    </row>
    <row r="559" spans="1:16" x14ac:dyDescent="0.25">
      <c r="A559" t="s">
        <v>563</v>
      </c>
      <c r="B559" t="s">
        <v>1363</v>
      </c>
      <c r="C559" s="6">
        <f>IFERROR(VLOOKUP(A559,[1]eco_bus_journals!$B:$D,3,0),"")</f>
        <v>13</v>
      </c>
      <c r="D559" s="37">
        <f>IFERROR(ROUND(VLOOKUP(A559,[1]eco_bus_journals!$B:$X,4,0),2),"")</f>
        <v>0.05</v>
      </c>
      <c r="E559" s="37">
        <f>_xlfn.RANK.EQ(D559,D:D)</f>
        <v>550</v>
      </c>
      <c r="F559" s="44">
        <f>IFERROR(ROUND(VLOOKUP(A559,[1]eco_journals!B:E,4,0),2),"")</f>
        <v>0.05</v>
      </c>
      <c r="G559" s="40">
        <f>IFERROR(_xlfn.RANK.EQ(F559,F:F),"")</f>
        <v>275</v>
      </c>
      <c r="H559" s="46" t="str">
        <f>IFERROR(ROUND(VLOOKUP(A559,[1]fin_journals!B:E,4,0),2),"")</f>
        <v/>
      </c>
      <c r="I559" s="18" t="str">
        <f>IFERROR(_xlfn.RANK.EQ(H559,H:H),"")</f>
        <v/>
      </c>
      <c r="J559" s="42" t="str">
        <f>IFERROR(ROUND(VLOOKUP(A559,[1]bus_journals!B:E,4,0),2),"")</f>
        <v/>
      </c>
      <c r="K559" s="23" t="str">
        <f>IFERROR(_xlfn.RANK.EQ(J559,J:J),"")</f>
        <v/>
      </c>
      <c r="L559" s="43" t="str">
        <f>IFERROR(ROUND(VLOOKUP(A559,[1]man_journals!B:E,4,0),2),"")</f>
        <v/>
      </c>
      <c r="M559" s="26" t="str">
        <f>IFERROR(_xlfn.RANK.EQ(L559,L:L),"")</f>
        <v/>
      </c>
      <c r="N559" s="1" t="s">
        <v>1272</v>
      </c>
    </row>
    <row r="560" spans="1:16" x14ac:dyDescent="0.25">
      <c r="A560" t="s">
        <v>504</v>
      </c>
      <c r="B560" t="s">
        <v>1385</v>
      </c>
      <c r="C560" s="6">
        <f>IFERROR(VLOOKUP(A560,[1]eco_bus_journals!$B:$D,3,0),"")</f>
        <v>40</v>
      </c>
      <c r="D560" s="37">
        <f>IFERROR(ROUND(VLOOKUP(A560,[1]eco_bus_journals!$B:$X,4,0),2),"")</f>
        <v>0.06</v>
      </c>
      <c r="E560" s="37">
        <f>_xlfn.RANK.EQ(D560,D:D)</f>
        <v>531</v>
      </c>
      <c r="F560" s="44" t="str">
        <f>IFERROR(ROUND(VLOOKUP(A560,[1]eco_journals!B:E,4,0),2),"")</f>
        <v/>
      </c>
      <c r="G560" s="40" t="str">
        <f>IFERROR(_xlfn.RANK.EQ(F560,F:F),"")</f>
        <v/>
      </c>
      <c r="H560" s="46" t="str">
        <f>IFERROR(ROUND(VLOOKUP(A560,[1]fin_journals!B:E,4,0),2),"")</f>
        <v/>
      </c>
      <c r="I560" s="18" t="str">
        <f>IFERROR(_xlfn.RANK.EQ(H560,H:H),"")</f>
        <v/>
      </c>
      <c r="J560" s="42" t="str">
        <f>IFERROR(ROUND(VLOOKUP(A560,[1]bus_journals!B:E,4,0),2),"")</f>
        <v/>
      </c>
      <c r="K560" s="23" t="str">
        <f>IFERROR(_xlfn.RANK.EQ(J560,J:J),"")</f>
        <v/>
      </c>
      <c r="L560" s="43">
        <f>IFERROR(ROUND(VLOOKUP(A560,[1]man_journals!B:E,4,0),2),"")</f>
        <v>0.12</v>
      </c>
      <c r="M560" s="26">
        <f>IFERROR(_xlfn.RANK.EQ(L560,L:L),"")</f>
        <v>163</v>
      </c>
      <c r="N560" t="s">
        <v>1327</v>
      </c>
      <c r="O560" s="4" t="s">
        <v>1275</v>
      </c>
      <c r="P560" t="s">
        <v>1277</v>
      </c>
    </row>
    <row r="561" spans="1:15" x14ac:dyDescent="0.25">
      <c r="A561" t="s">
        <v>549</v>
      </c>
      <c r="B561" t="s">
        <v>1416</v>
      </c>
      <c r="C561" s="6">
        <f>IFERROR(VLOOKUP(A561,[1]eco_bus_journals!$B:$D,3,0),"")</f>
        <v>41</v>
      </c>
      <c r="D561" s="37">
        <f>IFERROR(ROUND(VLOOKUP(A561,[1]eco_bus_journals!$B:$X,4,0),2),"")</f>
        <v>0.04</v>
      </c>
      <c r="E561" s="37">
        <f>_xlfn.RANK.EQ(D561,D:D)</f>
        <v>562</v>
      </c>
      <c r="F561" s="44">
        <f>IFERROR(ROUND(VLOOKUP(A561,[1]eco_journals!B:E,4,0),2),"")</f>
        <v>0.03</v>
      </c>
      <c r="G561" s="40">
        <f>IFERROR(_xlfn.RANK.EQ(F561,F:F),"")</f>
        <v>294</v>
      </c>
      <c r="H561" s="46" t="str">
        <f>IFERROR(ROUND(VLOOKUP(A561,[1]fin_journals!B:E,4,0),2),"")</f>
        <v/>
      </c>
      <c r="I561" s="18" t="str">
        <f>IFERROR(_xlfn.RANK.EQ(H561,H:H),"")</f>
        <v/>
      </c>
      <c r="J561" s="42" t="str">
        <f>IFERROR(ROUND(VLOOKUP(A561,[1]bus_journals!B:E,4,0),2),"")</f>
        <v/>
      </c>
      <c r="K561" s="23" t="str">
        <f>IFERROR(_xlfn.RANK.EQ(J561,J:J),"")</f>
        <v/>
      </c>
      <c r="L561" s="43" t="str">
        <f>IFERROR(ROUND(VLOOKUP(A561,[1]man_journals!B:E,4,0),2),"")</f>
        <v/>
      </c>
      <c r="M561" s="26" t="str">
        <f>IFERROR(_xlfn.RANK.EQ(L561,L:L),"")</f>
        <v/>
      </c>
      <c r="N561" s="1" t="s">
        <v>1272</v>
      </c>
      <c r="O561" t="s">
        <v>1319</v>
      </c>
    </row>
    <row r="562" spans="1:15" x14ac:dyDescent="0.25">
      <c r="A562" t="s">
        <v>575</v>
      </c>
      <c r="B562" t="s">
        <v>1383</v>
      </c>
      <c r="C562" s="6">
        <f>IFERROR(VLOOKUP(A562,[1]eco_bus_journals!$B:$D,3,0),"")</f>
        <v>15</v>
      </c>
      <c r="D562" s="37">
        <f>IFERROR(ROUND(VLOOKUP(A562,[1]eco_bus_journals!$B:$X,4,0),2),"")</f>
        <v>0.04</v>
      </c>
      <c r="E562" s="37">
        <f>_xlfn.RANK.EQ(D562,D:D)</f>
        <v>562</v>
      </c>
      <c r="F562" s="44" t="str">
        <f>IFERROR(ROUND(VLOOKUP(A562,[1]eco_journals!B:E,4,0),2),"")</f>
        <v/>
      </c>
      <c r="G562" s="40" t="str">
        <f>IFERROR(_xlfn.RANK.EQ(F562,F:F),"")</f>
        <v/>
      </c>
      <c r="H562" s="46">
        <f>IFERROR(ROUND(VLOOKUP(A562,[1]fin_journals!B:E,4,0),2),"")</f>
        <v>7.0000000000000007E-2</v>
      </c>
      <c r="I562" s="18">
        <f>IFERROR(_xlfn.RANK.EQ(H562,H:H),"")</f>
        <v>109</v>
      </c>
      <c r="J562" s="42" t="str">
        <f>IFERROR(ROUND(VLOOKUP(A562,[1]bus_journals!B:E,4,0),2),"")</f>
        <v/>
      </c>
      <c r="K562" s="23" t="str">
        <f>IFERROR(_xlfn.RANK.EQ(J562,J:J),"")</f>
        <v/>
      </c>
      <c r="L562" s="43" t="str">
        <f>IFERROR(ROUND(VLOOKUP(A562,[1]man_journals!B:E,4,0),2),"")</f>
        <v/>
      </c>
      <c r="M562" s="26" t="str">
        <f>IFERROR(_xlfn.RANK.EQ(L562,L:L),"")</f>
        <v/>
      </c>
      <c r="N562" s="3" t="s">
        <v>1274</v>
      </c>
    </row>
    <row r="563" spans="1:15" x14ac:dyDescent="0.25">
      <c r="A563" t="s">
        <v>557</v>
      </c>
      <c r="B563" t="s">
        <v>1372</v>
      </c>
      <c r="C563" s="6">
        <f>IFERROR(VLOOKUP(A563,[1]eco_bus_journals!$B:$D,3,0),"")</f>
        <v>38</v>
      </c>
      <c r="D563" s="37">
        <f>IFERROR(ROUND(VLOOKUP(A563,[1]eco_bus_journals!$B:$X,4,0),2),"")</f>
        <v>0.05</v>
      </c>
      <c r="E563" s="37">
        <f>_xlfn.RANK.EQ(D563,D:D)</f>
        <v>550</v>
      </c>
      <c r="F563" s="44">
        <f>IFERROR(ROUND(VLOOKUP(A563,[1]eco_journals!B:E,4,0),2),"")</f>
        <v>0.06</v>
      </c>
      <c r="G563" s="40">
        <f>IFERROR(_xlfn.RANK.EQ(F563,F:F),"")</f>
        <v>257</v>
      </c>
      <c r="H563" s="46" t="str">
        <f>IFERROR(ROUND(VLOOKUP(A563,[1]fin_journals!B:E,4,0),2),"")</f>
        <v/>
      </c>
      <c r="I563" s="18" t="str">
        <f>IFERROR(_xlfn.RANK.EQ(H563,H:H),"")</f>
        <v/>
      </c>
      <c r="J563" s="42" t="str">
        <f>IFERROR(ROUND(VLOOKUP(A563,[1]bus_journals!B:E,4,0),2),"")</f>
        <v/>
      </c>
      <c r="K563" s="23" t="str">
        <f>IFERROR(_xlfn.RANK.EQ(J563,J:J),"")</f>
        <v/>
      </c>
      <c r="L563" s="43" t="str">
        <f>IFERROR(ROUND(VLOOKUP(A563,[1]man_journals!B:E,4,0),2),"")</f>
        <v/>
      </c>
      <c r="M563" s="26" t="str">
        <f>IFERROR(_xlfn.RANK.EQ(L563,L:L),"")</f>
        <v/>
      </c>
      <c r="N563" s="1" t="s">
        <v>1272</v>
      </c>
    </row>
    <row r="564" spans="1:15" x14ac:dyDescent="0.25">
      <c r="A564" t="s">
        <v>576</v>
      </c>
      <c r="B564" t="s">
        <v>1383</v>
      </c>
      <c r="C564" s="6">
        <f>IFERROR(VLOOKUP(A564,[1]eco_bus_journals!$B:$D,3,0),"")</f>
        <v>16</v>
      </c>
      <c r="D564" s="37">
        <f>IFERROR(ROUND(VLOOKUP(A564,[1]eco_bus_journals!$B:$X,4,0),2),"")</f>
        <v>7.0000000000000007E-2</v>
      </c>
      <c r="E564" s="37">
        <f>_xlfn.RANK.EQ(D564,D:D)</f>
        <v>517</v>
      </c>
      <c r="F564" s="44" t="str">
        <f>IFERROR(ROUND(VLOOKUP(A564,[1]eco_journals!B:E,4,0),2),"")</f>
        <v/>
      </c>
      <c r="G564" s="40" t="str">
        <f>IFERROR(_xlfn.RANK.EQ(F564,F:F),"")</f>
        <v/>
      </c>
      <c r="H564" s="46">
        <f>IFERROR(ROUND(VLOOKUP(A564,[1]fin_journals!B:E,4,0),2),"")</f>
        <v>0.09</v>
      </c>
      <c r="I564" s="18">
        <f>IFERROR(_xlfn.RANK.EQ(H564,H:H),"")</f>
        <v>106</v>
      </c>
      <c r="J564" s="42" t="str">
        <f>IFERROR(ROUND(VLOOKUP(A564,[1]bus_journals!B:E,4,0),2),"")</f>
        <v/>
      </c>
      <c r="K564" s="23" t="str">
        <f>IFERROR(_xlfn.RANK.EQ(J564,J:J),"")</f>
        <v/>
      </c>
      <c r="L564" s="43" t="str">
        <f>IFERROR(ROUND(VLOOKUP(A564,[1]man_journals!B:E,4,0),2),"")</f>
        <v/>
      </c>
      <c r="M564" s="26" t="str">
        <f>IFERROR(_xlfn.RANK.EQ(L564,L:L),"")</f>
        <v/>
      </c>
      <c r="N564" s="3" t="s">
        <v>1274</v>
      </c>
    </row>
    <row r="565" spans="1:15" x14ac:dyDescent="0.25">
      <c r="A565" t="s">
        <v>498</v>
      </c>
      <c r="B565" t="s">
        <v>1362</v>
      </c>
      <c r="C565" s="6">
        <f>IFERROR(VLOOKUP(A565,[1]eco_bus_journals!$B:$D,3,0),"")</f>
        <v>107</v>
      </c>
      <c r="D565" s="37">
        <f>IFERROR(ROUND(VLOOKUP(A565,[1]eco_bus_journals!$B:$X,4,0),2),"")</f>
        <v>0.06</v>
      </c>
      <c r="E565" s="37">
        <f>_xlfn.RANK.EQ(D565,D:D)</f>
        <v>531</v>
      </c>
      <c r="F565" s="44">
        <f>IFERROR(ROUND(VLOOKUP(A565,[1]eco_journals!B:E,4,0),2),"")</f>
        <v>0.05</v>
      </c>
      <c r="G565" s="40">
        <f>IFERROR(_xlfn.RANK.EQ(F565,F:F),"")</f>
        <v>275</v>
      </c>
      <c r="H565" s="46" t="str">
        <f>IFERROR(ROUND(VLOOKUP(A565,[1]fin_journals!B:E,4,0),2),"")</f>
        <v/>
      </c>
      <c r="I565" s="18" t="str">
        <f>IFERROR(_xlfn.RANK.EQ(H565,H:H),"")</f>
        <v/>
      </c>
      <c r="J565" s="42" t="str">
        <f>IFERROR(ROUND(VLOOKUP(A565,[1]bus_journals!B:E,4,0),2),"")</f>
        <v/>
      </c>
      <c r="K565" s="23" t="str">
        <f>IFERROR(_xlfn.RANK.EQ(J565,J:J),"")</f>
        <v/>
      </c>
      <c r="L565" s="43" t="str">
        <f>IFERROR(ROUND(VLOOKUP(A565,[1]man_journals!B:E,4,0),2),"")</f>
        <v/>
      </c>
      <c r="M565" s="26" t="str">
        <f>IFERROR(_xlfn.RANK.EQ(L565,L:L),"")</f>
        <v/>
      </c>
      <c r="N565" s="1" t="s">
        <v>1272</v>
      </c>
      <c r="O565" t="s">
        <v>1326</v>
      </c>
    </row>
    <row r="566" spans="1:15" x14ac:dyDescent="0.25">
      <c r="A566" t="s">
        <v>530</v>
      </c>
      <c r="B566" t="s">
        <v>1389</v>
      </c>
      <c r="C566" s="6">
        <f>IFERROR(VLOOKUP(A566,[1]eco_bus_journals!$B:$D,3,0),"")</f>
        <v>115</v>
      </c>
      <c r="D566" s="37">
        <f>IFERROR(ROUND(VLOOKUP(A566,[1]eco_bus_journals!$B:$X,4,0),2),"")</f>
        <v>0.05</v>
      </c>
      <c r="E566" s="37">
        <f>_xlfn.RANK.EQ(D566,D:D)</f>
        <v>550</v>
      </c>
      <c r="F566" s="44">
        <f>IFERROR(ROUND(VLOOKUP(A566,[1]eco_journals!B:E,4,0),2),"")</f>
        <v>0.04</v>
      </c>
      <c r="G566" s="40">
        <f>IFERROR(_xlfn.RANK.EQ(F566,F:F),"")</f>
        <v>283</v>
      </c>
      <c r="H566" s="46" t="str">
        <f>IFERROR(ROUND(VLOOKUP(A566,[1]fin_journals!B:E,4,0),2),"")</f>
        <v/>
      </c>
      <c r="I566" s="18" t="str">
        <f>IFERROR(_xlfn.RANK.EQ(H566,H:H),"")</f>
        <v/>
      </c>
      <c r="J566" s="42" t="str">
        <f>IFERROR(ROUND(VLOOKUP(A566,[1]bus_journals!B:E,4,0),2),"")</f>
        <v/>
      </c>
      <c r="K566" s="23" t="str">
        <f>IFERROR(_xlfn.RANK.EQ(J566,J:J),"")</f>
        <v/>
      </c>
      <c r="L566" s="43" t="str">
        <f>IFERROR(ROUND(VLOOKUP(A566,[1]man_journals!B:E,4,0),2),"")</f>
        <v/>
      </c>
      <c r="M566" s="26" t="str">
        <f>IFERROR(_xlfn.RANK.EQ(L566,L:L),"")</f>
        <v/>
      </c>
      <c r="N566" s="1" t="s">
        <v>1272</v>
      </c>
    </row>
    <row r="567" spans="1:15" x14ac:dyDescent="0.25">
      <c r="A567" t="s">
        <v>608</v>
      </c>
      <c r="B567" t="s">
        <v>1441</v>
      </c>
      <c r="C567" s="6">
        <f>IFERROR(VLOOKUP(A567,[1]eco_bus_journals!$B:$D,3,0),"")</f>
        <v>37</v>
      </c>
      <c r="D567" s="37">
        <f>IFERROR(ROUND(VLOOKUP(A567,[1]eco_bus_journals!$B:$X,4,0),2),"")</f>
        <v>0.04</v>
      </c>
      <c r="E567" s="37">
        <f>_xlfn.RANK.EQ(D567,D:D)</f>
        <v>562</v>
      </c>
      <c r="F567" s="44">
        <f>IFERROR(ROUND(VLOOKUP(A567,[1]eco_journals!B:E,4,0),2),"")</f>
        <v>0.03</v>
      </c>
      <c r="G567" s="40">
        <f>IFERROR(_xlfn.RANK.EQ(F567,F:F),"")</f>
        <v>294</v>
      </c>
      <c r="H567" s="46" t="str">
        <f>IFERROR(ROUND(VLOOKUP(A567,[1]fin_journals!B:E,4,0),2),"")</f>
        <v/>
      </c>
      <c r="I567" s="18" t="str">
        <f>IFERROR(_xlfn.RANK.EQ(H567,H:H),"")</f>
        <v/>
      </c>
      <c r="J567" s="42" t="str">
        <f>IFERROR(ROUND(VLOOKUP(A567,[1]bus_journals!B:E,4,0),2),"")</f>
        <v/>
      </c>
      <c r="K567" s="23" t="str">
        <f>IFERROR(_xlfn.RANK.EQ(J567,J:J),"")</f>
        <v/>
      </c>
      <c r="L567" s="43" t="str">
        <f>IFERROR(ROUND(VLOOKUP(A567,[1]man_journals!B:E,4,0),2),"")</f>
        <v/>
      </c>
      <c r="M567" s="26" t="str">
        <f>IFERROR(_xlfn.RANK.EQ(L567,L:L),"")</f>
        <v/>
      </c>
      <c r="N567" s="1" t="s">
        <v>1272</v>
      </c>
    </row>
    <row r="568" spans="1:15" x14ac:dyDescent="0.25">
      <c r="A568" t="s">
        <v>543</v>
      </c>
      <c r="B568" t="s">
        <v>1371</v>
      </c>
      <c r="C568" s="6">
        <f>IFERROR(VLOOKUP(A568,[1]eco_bus_journals!$B:$D,3,0),"")</f>
        <v>35</v>
      </c>
      <c r="D568" s="37">
        <f>IFERROR(ROUND(VLOOKUP(A568,[1]eco_bus_journals!$B:$X,4,0),2),"")</f>
        <v>0.03</v>
      </c>
      <c r="E568" s="37">
        <f>_xlfn.RANK.EQ(D568,D:D)</f>
        <v>576</v>
      </c>
      <c r="F568" s="44" t="str">
        <f>IFERROR(ROUND(VLOOKUP(A568,[1]eco_journals!B:E,4,0),2),"")</f>
        <v/>
      </c>
      <c r="G568" s="40" t="str">
        <f>IFERROR(_xlfn.RANK.EQ(F568,F:F),"")</f>
        <v/>
      </c>
      <c r="H568" s="46" t="str">
        <f>IFERROR(ROUND(VLOOKUP(A568,[1]fin_journals!B:E,4,0),2),"")</f>
        <v/>
      </c>
      <c r="I568" s="18" t="str">
        <f>IFERROR(_xlfn.RANK.EQ(H568,H:H),"")</f>
        <v/>
      </c>
      <c r="J568" s="42">
        <f>IFERROR(ROUND(VLOOKUP(A568,[1]bus_journals!B:E,4,0),2),"")</f>
        <v>0.06</v>
      </c>
      <c r="K568" s="23">
        <f>IFERROR(_xlfn.RANK.EQ(J568,J:J),"")</f>
        <v>133</v>
      </c>
      <c r="L568" s="43">
        <f>IFERROR(ROUND(VLOOKUP(A568,[1]man_journals!B:E,4,0),2),"")</f>
        <v>0.04</v>
      </c>
      <c r="M568" s="26">
        <f>IFERROR(_xlfn.RANK.EQ(L568,L:L),"")</f>
        <v>177</v>
      </c>
      <c r="N568" s="2" t="s">
        <v>1273</v>
      </c>
      <c r="O568" s="4" t="s">
        <v>1275</v>
      </c>
    </row>
    <row r="569" spans="1:15" x14ac:dyDescent="0.25">
      <c r="A569" t="s">
        <v>580</v>
      </c>
      <c r="B569" t="s">
        <v>1420</v>
      </c>
      <c r="C569" s="6">
        <f>IFERROR(VLOOKUP(A569,[1]eco_bus_journals!$B:$D,3,0),"")</f>
        <v>10</v>
      </c>
      <c r="D569" s="37">
        <f>IFERROR(ROUND(VLOOKUP(A569,[1]eco_bus_journals!$B:$X,4,0),2),"")</f>
        <v>0.04</v>
      </c>
      <c r="E569" s="37">
        <f>_xlfn.RANK.EQ(D569,D:D)</f>
        <v>562</v>
      </c>
      <c r="F569" s="44">
        <f>IFERROR(ROUND(VLOOKUP(A569,[1]eco_journals!B:E,4,0),2),"")</f>
        <v>0.04</v>
      </c>
      <c r="G569" s="40">
        <f>IFERROR(_xlfn.RANK.EQ(F569,F:F),"")</f>
        <v>283</v>
      </c>
      <c r="H569" s="46" t="str">
        <f>IFERROR(ROUND(VLOOKUP(A569,[1]fin_journals!B:E,4,0),2),"")</f>
        <v/>
      </c>
      <c r="I569" s="18" t="str">
        <f>IFERROR(_xlfn.RANK.EQ(H569,H:H),"")</f>
        <v/>
      </c>
      <c r="J569" s="42" t="str">
        <f>IFERROR(ROUND(VLOOKUP(A569,[1]bus_journals!B:E,4,0),2),"")</f>
        <v/>
      </c>
      <c r="K569" s="23" t="str">
        <f>IFERROR(_xlfn.RANK.EQ(J569,J:J),"")</f>
        <v/>
      </c>
      <c r="L569" s="43" t="str">
        <f>IFERROR(ROUND(VLOOKUP(A569,[1]man_journals!B:E,4,0),2),"")</f>
        <v/>
      </c>
      <c r="M569" s="26" t="str">
        <f>IFERROR(_xlfn.RANK.EQ(L569,L:L),"")</f>
        <v/>
      </c>
      <c r="N569" s="1" t="s">
        <v>1272</v>
      </c>
    </row>
    <row r="570" spans="1:15" x14ac:dyDescent="0.25">
      <c r="A570" t="s">
        <v>582</v>
      </c>
      <c r="B570" t="s">
        <v>1414</v>
      </c>
      <c r="C570" s="6">
        <f>IFERROR(VLOOKUP(A570,[1]eco_bus_journals!$B:$D,3,0),"")</f>
        <v>24</v>
      </c>
      <c r="D570" s="37">
        <f>IFERROR(ROUND(VLOOKUP(A570,[1]eco_bus_journals!$B:$X,4,0),2),"")</f>
        <v>0.04</v>
      </c>
      <c r="E570" s="37">
        <f>_xlfn.RANK.EQ(D570,D:D)</f>
        <v>562</v>
      </c>
      <c r="F570" s="44" t="str">
        <f>IFERROR(ROUND(VLOOKUP(A570,[1]eco_journals!B:E,4,0),2),"")</f>
        <v/>
      </c>
      <c r="G570" s="40" t="str">
        <f>IFERROR(_xlfn.RANK.EQ(F570,F:F),"")</f>
        <v/>
      </c>
      <c r="H570" s="46">
        <f>IFERROR(ROUND(VLOOKUP(A570,[1]fin_journals!B:E,4,0),2),"")</f>
        <v>0.06</v>
      </c>
      <c r="I570" s="18">
        <f>IFERROR(_xlfn.RANK.EQ(H570,H:H),"")</f>
        <v>110</v>
      </c>
      <c r="J570" s="42" t="str">
        <f>IFERROR(ROUND(VLOOKUP(A570,[1]bus_journals!B:E,4,0),2),"")</f>
        <v/>
      </c>
      <c r="K570" s="23" t="str">
        <f>IFERROR(_xlfn.RANK.EQ(J570,J:J),"")</f>
        <v/>
      </c>
      <c r="L570" s="43" t="str">
        <f>IFERROR(ROUND(VLOOKUP(A570,[1]man_journals!B:E,4,0),2),"")</f>
        <v/>
      </c>
      <c r="M570" s="26" t="str">
        <f>IFERROR(_xlfn.RANK.EQ(L570,L:L),"")</f>
        <v/>
      </c>
      <c r="N570" s="3" t="s">
        <v>1274</v>
      </c>
    </row>
    <row r="571" spans="1:15" x14ac:dyDescent="0.25">
      <c r="A571" t="s">
        <v>546</v>
      </c>
      <c r="B571" t="s">
        <v>1372</v>
      </c>
      <c r="C571" s="6">
        <f>IFERROR(VLOOKUP(A571,[1]eco_bus_journals!$B:$D,3,0),"")</f>
        <v>25</v>
      </c>
      <c r="D571" s="37">
        <f>IFERROR(ROUND(VLOOKUP(A571,[1]eco_bus_journals!$B:$X,4,0),2),"")</f>
        <v>0.04</v>
      </c>
      <c r="E571" s="37">
        <f>_xlfn.RANK.EQ(D571,D:D)</f>
        <v>562</v>
      </c>
      <c r="F571" s="44">
        <f>IFERROR(ROUND(VLOOKUP(A571,[1]eco_journals!B:E,4,0),2),"")</f>
        <v>0.03</v>
      </c>
      <c r="G571" s="40">
        <f>IFERROR(_xlfn.RANK.EQ(F571,F:F),"")</f>
        <v>294</v>
      </c>
      <c r="H571" s="46" t="str">
        <f>IFERROR(ROUND(VLOOKUP(A571,[1]fin_journals!B:E,4,0),2),"")</f>
        <v/>
      </c>
      <c r="I571" s="18" t="str">
        <f>IFERROR(_xlfn.RANK.EQ(H571,H:H),"")</f>
        <v/>
      </c>
      <c r="J571" s="42" t="str">
        <f>IFERROR(ROUND(VLOOKUP(A571,[1]bus_journals!B:E,4,0),2),"")</f>
        <v/>
      </c>
      <c r="K571" s="23" t="str">
        <f>IFERROR(_xlfn.RANK.EQ(J571,J:J),"")</f>
        <v/>
      </c>
      <c r="L571" s="43" t="str">
        <f>IFERROR(ROUND(VLOOKUP(A571,[1]man_journals!B:E,4,0),2),"")</f>
        <v/>
      </c>
      <c r="M571" s="26" t="str">
        <f>IFERROR(_xlfn.RANK.EQ(L571,L:L),"")</f>
        <v/>
      </c>
      <c r="N571" s="1" t="s">
        <v>1272</v>
      </c>
    </row>
    <row r="572" spans="1:15" x14ac:dyDescent="0.25">
      <c r="A572" t="s">
        <v>538</v>
      </c>
      <c r="B572" t="s">
        <v>1372</v>
      </c>
      <c r="C572" s="6">
        <f>IFERROR(VLOOKUP(A572,[1]eco_bus_journals!$B:$D,3,0),"")</f>
        <v>56</v>
      </c>
      <c r="D572" s="37">
        <f>IFERROR(ROUND(VLOOKUP(A572,[1]eco_bus_journals!$B:$X,4,0),2),"")</f>
        <v>0.05</v>
      </c>
      <c r="E572" s="37">
        <f>_xlfn.RANK.EQ(D572,D:D)</f>
        <v>550</v>
      </c>
      <c r="F572" s="44">
        <f>IFERROR(ROUND(VLOOKUP(A572,[1]eco_journals!B:E,4,0),2),"")</f>
        <v>0.04</v>
      </c>
      <c r="G572" s="40">
        <f>IFERROR(_xlfn.RANK.EQ(F572,F:F),"")</f>
        <v>283</v>
      </c>
      <c r="H572" s="46" t="str">
        <f>IFERROR(ROUND(VLOOKUP(A572,[1]fin_journals!B:E,4,0),2),"")</f>
        <v/>
      </c>
      <c r="I572" s="18" t="str">
        <f>IFERROR(_xlfn.RANK.EQ(H572,H:H),"")</f>
        <v/>
      </c>
      <c r="J572" s="42" t="str">
        <f>IFERROR(ROUND(VLOOKUP(A572,[1]bus_journals!B:E,4,0),2),"")</f>
        <v/>
      </c>
      <c r="K572" s="23" t="str">
        <f>IFERROR(_xlfn.RANK.EQ(J572,J:J),"")</f>
        <v/>
      </c>
      <c r="L572" s="43" t="str">
        <f>IFERROR(ROUND(VLOOKUP(A572,[1]man_journals!B:E,4,0),2),"")</f>
        <v/>
      </c>
      <c r="M572" s="26" t="str">
        <f>IFERROR(_xlfn.RANK.EQ(L572,L:L),"")</f>
        <v/>
      </c>
      <c r="N572" s="1" t="s">
        <v>1272</v>
      </c>
    </row>
    <row r="573" spans="1:15" x14ac:dyDescent="0.25">
      <c r="A573" t="s">
        <v>603</v>
      </c>
      <c r="B573" t="s">
        <v>1439</v>
      </c>
      <c r="C573" s="6">
        <f>IFERROR(VLOOKUP(A573,[1]eco_bus_journals!$B:$D,3,0),"")</f>
        <v>39</v>
      </c>
      <c r="D573" s="37">
        <f>IFERROR(ROUND(VLOOKUP(A573,[1]eco_bus_journals!$B:$X,4,0),2),"")</f>
        <v>0.04</v>
      </c>
      <c r="E573" s="37">
        <f>_xlfn.RANK.EQ(D573,D:D)</f>
        <v>562</v>
      </c>
      <c r="F573" s="44">
        <f>IFERROR(ROUND(VLOOKUP(A573,[1]eco_journals!B:E,4,0),2),"")</f>
        <v>0.05</v>
      </c>
      <c r="G573" s="40">
        <f>IFERROR(_xlfn.RANK.EQ(F573,F:F),"")</f>
        <v>275</v>
      </c>
      <c r="H573" s="46" t="str">
        <f>IFERROR(ROUND(VLOOKUP(A573,[1]fin_journals!B:E,4,0),2),"")</f>
        <v/>
      </c>
      <c r="I573" s="18" t="str">
        <f>IFERROR(_xlfn.RANK.EQ(H573,H:H),"")</f>
        <v/>
      </c>
      <c r="J573" s="42" t="str">
        <f>IFERROR(ROUND(VLOOKUP(A573,[1]bus_journals!B:E,4,0),2),"")</f>
        <v/>
      </c>
      <c r="K573" s="23" t="str">
        <f>IFERROR(_xlfn.RANK.EQ(J573,J:J),"")</f>
        <v/>
      </c>
      <c r="L573" s="43" t="str">
        <f>IFERROR(ROUND(VLOOKUP(A573,[1]man_journals!B:E,4,0),2),"")</f>
        <v/>
      </c>
      <c r="M573" s="26" t="str">
        <f>IFERROR(_xlfn.RANK.EQ(L573,L:L),"")</f>
        <v/>
      </c>
      <c r="N573" s="1" t="s">
        <v>1272</v>
      </c>
    </row>
    <row r="574" spans="1:15" x14ac:dyDescent="0.25">
      <c r="A574" t="s">
        <v>567</v>
      </c>
      <c r="B574" t="s">
        <v>1363</v>
      </c>
      <c r="C574" s="6">
        <f>IFERROR(VLOOKUP(A574,[1]eco_bus_journals!$B:$D,3,0),"")</f>
        <v>29</v>
      </c>
      <c r="D574" s="37">
        <f>IFERROR(ROUND(VLOOKUP(A574,[1]eco_bus_journals!$B:$X,4,0),2),"")</f>
        <v>0.03</v>
      </c>
      <c r="E574" s="37">
        <f>_xlfn.RANK.EQ(D574,D:D)</f>
        <v>576</v>
      </c>
      <c r="F574" s="44">
        <f>IFERROR(ROUND(VLOOKUP(A574,[1]eco_journals!B:E,4,0),2),"")</f>
        <v>0.03</v>
      </c>
      <c r="G574" s="40">
        <f>IFERROR(_xlfn.RANK.EQ(F574,F:F),"")</f>
        <v>294</v>
      </c>
      <c r="H574" s="46" t="str">
        <f>IFERROR(ROUND(VLOOKUP(A574,[1]fin_journals!B:E,4,0),2),"")</f>
        <v/>
      </c>
      <c r="I574" s="18" t="str">
        <f>IFERROR(_xlfn.RANK.EQ(H574,H:H),"")</f>
        <v/>
      </c>
      <c r="J574" s="42" t="str">
        <f>IFERROR(ROUND(VLOOKUP(A574,[1]bus_journals!B:E,4,0),2),"")</f>
        <v/>
      </c>
      <c r="K574" s="23" t="str">
        <f>IFERROR(_xlfn.RANK.EQ(J574,J:J),"")</f>
        <v/>
      </c>
      <c r="L574" s="43" t="str">
        <f>IFERROR(ROUND(VLOOKUP(A574,[1]man_journals!B:E,4,0),2),"")</f>
        <v/>
      </c>
      <c r="M574" s="26" t="str">
        <f>IFERROR(_xlfn.RANK.EQ(L574,L:L),"")</f>
        <v/>
      </c>
      <c r="N574" s="1" t="s">
        <v>1272</v>
      </c>
    </row>
    <row r="575" spans="1:15" x14ac:dyDescent="0.25">
      <c r="A575" t="s">
        <v>558</v>
      </c>
      <c r="B575" t="s">
        <v>1411</v>
      </c>
      <c r="C575" s="6">
        <f>IFERROR(VLOOKUP(A575,[1]eco_bus_journals!$B:$D,3,0),"")</f>
        <v>48</v>
      </c>
      <c r="D575" s="37">
        <f>IFERROR(ROUND(VLOOKUP(A575,[1]eco_bus_journals!$B:$X,4,0),2),"")</f>
        <v>0.04</v>
      </c>
      <c r="E575" s="37">
        <f>_xlfn.RANK.EQ(D575,D:D)</f>
        <v>562</v>
      </c>
      <c r="F575" s="44" t="str">
        <f>IFERROR(ROUND(VLOOKUP(A575,[1]eco_journals!B:E,4,0),2),"")</f>
        <v/>
      </c>
      <c r="G575" s="40" t="str">
        <f>IFERROR(_xlfn.RANK.EQ(F575,F:F),"")</f>
        <v/>
      </c>
      <c r="H575" s="46" t="str">
        <f>IFERROR(ROUND(VLOOKUP(A575,[1]fin_journals!B:E,4,0),2),"")</f>
        <v/>
      </c>
      <c r="I575" s="18" t="str">
        <f>IFERROR(_xlfn.RANK.EQ(H575,H:H),"")</f>
        <v/>
      </c>
      <c r="J575" s="42">
        <f>IFERROR(ROUND(VLOOKUP(A575,[1]bus_journals!B:E,4,0),2),"")</f>
        <v>7.0000000000000007E-2</v>
      </c>
      <c r="K575" s="23">
        <f>IFERROR(_xlfn.RANK.EQ(J575,J:J),"")</f>
        <v>131</v>
      </c>
      <c r="L575" s="43">
        <f>IFERROR(ROUND(VLOOKUP(A575,[1]man_journals!B:E,4,0),2),"")</f>
        <v>0.06</v>
      </c>
      <c r="M575" s="26">
        <f>IFERROR(_xlfn.RANK.EQ(L575,L:L),"")</f>
        <v>173</v>
      </c>
      <c r="N575" s="2" t="s">
        <v>1273</v>
      </c>
      <c r="O575" s="4" t="s">
        <v>1275</v>
      </c>
    </row>
    <row r="576" spans="1:15" x14ac:dyDescent="0.25">
      <c r="A576" t="s">
        <v>591</v>
      </c>
      <c r="B576" t="s">
        <v>1384</v>
      </c>
      <c r="C576" s="6">
        <f>IFERROR(VLOOKUP(A576,[1]eco_bus_journals!$B:$D,3,0),"")</f>
        <v>6</v>
      </c>
      <c r="D576" s="37">
        <f>IFERROR(ROUND(VLOOKUP(A576,[1]eco_bus_journals!$B:$X,4,0),2),"")</f>
        <v>0.06</v>
      </c>
      <c r="E576" s="37">
        <f>_xlfn.RANK.EQ(D576,D:D)</f>
        <v>531</v>
      </c>
      <c r="F576" s="44">
        <f>IFERROR(ROUND(VLOOKUP(A576,[1]eco_journals!B:E,4,0),2),"")</f>
        <v>0.03</v>
      </c>
      <c r="G576" s="40">
        <f>IFERROR(_xlfn.RANK.EQ(F576,F:F),"")</f>
        <v>294</v>
      </c>
      <c r="H576" s="46" t="str">
        <f>IFERROR(ROUND(VLOOKUP(A576,[1]fin_journals!B:E,4,0),2),"")</f>
        <v/>
      </c>
      <c r="I576" s="18" t="str">
        <f>IFERROR(_xlfn.RANK.EQ(H576,H:H),"")</f>
        <v/>
      </c>
      <c r="J576" s="42" t="str">
        <f>IFERROR(ROUND(VLOOKUP(A576,[1]bus_journals!B:E,4,0),2),"")</f>
        <v/>
      </c>
      <c r="K576" s="23" t="str">
        <f>IFERROR(_xlfn.RANK.EQ(J576,J:J),"")</f>
        <v/>
      </c>
      <c r="L576" s="43" t="str">
        <f>IFERROR(ROUND(VLOOKUP(A576,[1]man_journals!B:E,4,0),2),"")</f>
        <v/>
      </c>
      <c r="M576" s="26" t="str">
        <f>IFERROR(_xlfn.RANK.EQ(L576,L:L),"")</f>
        <v/>
      </c>
      <c r="N576" s="1" t="s">
        <v>1272</v>
      </c>
    </row>
    <row r="577" spans="1:17" x14ac:dyDescent="0.25">
      <c r="A577" t="s">
        <v>578</v>
      </c>
      <c r="B577" t="s">
        <v>1422</v>
      </c>
      <c r="C577" s="6">
        <f>IFERROR(VLOOKUP(A577,[1]eco_bus_journals!$B:$D,3,0),"")</f>
        <v>40</v>
      </c>
      <c r="D577" s="37">
        <f>IFERROR(ROUND(VLOOKUP(A577,[1]eco_bus_journals!$B:$X,4,0),2),"")</f>
        <v>0.04</v>
      </c>
      <c r="E577" s="37">
        <f>_xlfn.RANK.EQ(D577,D:D)</f>
        <v>562</v>
      </c>
      <c r="F577" s="44">
        <f>IFERROR(ROUND(VLOOKUP(A577,[1]eco_journals!B:E,4,0),2),"")</f>
        <v>0.04</v>
      </c>
      <c r="G577" s="40">
        <f>IFERROR(_xlfn.RANK.EQ(F577,F:F),"")</f>
        <v>283</v>
      </c>
      <c r="H577" s="46" t="str">
        <f>IFERROR(ROUND(VLOOKUP(A577,[1]fin_journals!B:E,4,0),2),"")</f>
        <v/>
      </c>
      <c r="I577" s="18" t="str">
        <f>IFERROR(_xlfn.RANK.EQ(H577,H:H),"")</f>
        <v/>
      </c>
      <c r="J577" s="42" t="str">
        <f>IFERROR(ROUND(VLOOKUP(A577,[1]bus_journals!B:E,4,0),2),"")</f>
        <v/>
      </c>
      <c r="K577" s="23" t="str">
        <f>IFERROR(_xlfn.RANK.EQ(J577,J:J),"")</f>
        <v/>
      </c>
      <c r="L577" s="43" t="str">
        <f>IFERROR(ROUND(VLOOKUP(A577,[1]man_journals!B:E,4,0),2),"")</f>
        <v/>
      </c>
      <c r="M577" s="26" t="str">
        <f>IFERROR(_xlfn.RANK.EQ(L577,L:L),"")</f>
        <v/>
      </c>
      <c r="N577" s="1" t="s">
        <v>1272</v>
      </c>
    </row>
    <row r="578" spans="1:17" x14ac:dyDescent="0.25">
      <c r="A578" t="s">
        <v>513</v>
      </c>
      <c r="B578" t="s">
        <v>1358</v>
      </c>
      <c r="C578" s="6">
        <f>IFERROR(VLOOKUP(A578,[1]eco_bus_journals!$B:$D,3,0),"")</f>
        <v>32</v>
      </c>
      <c r="D578" s="37">
        <f>IFERROR(ROUND(VLOOKUP(A578,[1]eco_bus_journals!$B:$X,4,0),2),"")</f>
        <v>0.05</v>
      </c>
      <c r="E578" s="37">
        <f>_xlfn.RANK.EQ(D578,D:D)</f>
        <v>550</v>
      </c>
      <c r="F578" s="44" t="str">
        <f>IFERROR(ROUND(VLOOKUP(A578,[1]eco_journals!B:E,4,0),2),"")</f>
        <v/>
      </c>
      <c r="G578" s="40" t="str">
        <f>IFERROR(_xlfn.RANK.EQ(F578,F:F),"")</f>
        <v/>
      </c>
      <c r="H578" s="46" t="str">
        <f>IFERROR(ROUND(VLOOKUP(A578,[1]fin_journals!B:E,4,0),2),"")</f>
        <v/>
      </c>
      <c r="I578" s="18" t="str">
        <f>IFERROR(_xlfn.RANK.EQ(H578,H:H),"")</f>
        <v/>
      </c>
      <c r="J578" s="42" t="str">
        <f>IFERROR(ROUND(VLOOKUP(A578,[1]bus_journals!B:E,4,0),2),"")</f>
        <v/>
      </c>
      <c r="K578" s="23" t="str">
        <f>IFERROR(_xlfn.RANK.EQ(J578,J:J),"")</f>
        <v/>
      </c>
      <c r="L578" s="43">
        <f>IFERROR(ROUND(VLOOKUP(A578,[1]man_journals!B:E,4,0),2),"")</f>
        <v>0.08</v>
      </c>
      <c r="M578" s="26">
        <f>IFERROR(_xlfn.RANK.EQ(L578,L:L),"")</f>
        <v>169</v>
      </c>
      <c r="N578" s="4" t="s">
        <v>1275</v>
      </c>
    </row>
    <row r="579" spans="1:17" x14ac:dyDescent="0.25">
      <c r="A579" t="s">
        <v>531</v>
      </c>
      <c r="B579" t="s">
        <v>1404</v>
      </c>
      <c r="C579" s="6">
        <f>IFERROR(VLOOKUP(A579,[1]eco_bus_journals!$B:$D,3,0),"")</f>
        <v>29</v>
      </c>
      <c r="D579" s="37">
        <f>IFERROR(ROUND(VLOOKUP(A579,[1]eco_bus_journals!$B:$X,4,0),2),"")</f>
        <v>0.04</v>
      </c>
      <c r="E579" s="37">
        <f>_xlfn.RANK.EQ(D579,D:D)</f>
        <v>562</v>
      </c>
      <c r="F579" s="44" t="str">
        <f>IFERROR(ROUND(VLOOKUP(A579,[1]eco_journals!B:E,4,0),2),"")</f>
        <v/>
      </c>
      <c r="G579" s="40" t="str">
        <f>IFERROR(_xlfn.RANK.EQ(F579,F:F),"")</f>
        <v/>
      </c>
      <c r="H579" s="46" t="str">
        <f>IFERROR(ROUND(VLOOKUP(A579,[1]fin_journals!B:E,4,0),2),"")</f>
        <v/>
      </c>
      <c r="I579" s="18" t="str">
        <f>IFERROR(_xlfn.RANK.EQ(H579,H:H),"")</f>
        <v/>
      </c>
      <c r="J579" s="42">
        <f>IFERROR(ROUND(VLOOKUP(A579,[1]bus_journals!B:E,4,0),2),"")</f>
        <v>7.0000000000000007E-2</v>
      </c>
      <c r="K579" s="23">
        <f>IFERROR(_xlfn.RANK.EQ(J579,J:J),"")</f>
        <v>131</v>
      </c>
      <c r="L579" s="43">
        <f>IFERROR(ROUND(VLOOKUP(A579,[1]man_journals!B:E,4,0),2),"")</f>
        <v>7.0000000000000007E-2</v>
      </c>
      <c r="M579" s="26">
        <f>IFERROR(_xlfn.RANK.EQ(L579,L:L),"")</f>
        <v>170</v>
      </c>
      <c r="N579" s="2" t="s">
        <v>1273</v>
      </c>
      <c r="O579" s="4" t="s">
        <v>1275</v>
      </c>
    </row>
    <row r="580" spans="1:17" x14ac:dyDescent="0.25">
      <c r="A580" t="s">
        <v>559</v>
      </c>
      <c r="B580" t="s">
        <v>1372</v>
      </c>
      <c r="C580" s="6">
        <f>IFERROR(VLOOKUP(A580,[1]eco_bus_journals!$B:$D,3,0),"")</f>
        <v>18</v>
      </c>
      <c r="D580" s="37">
        <f>IFERROR(ROUND(VLOOKUP(A580,[1]eco_bus_journals!$B:$X,4,0),2),"")</f>
        <v>0.03</v>
      </c>
      <c r="E580" s="37">
        <f>_xlfn.RANK.EQ(D580,D:D)</f>
        <v>576</v>
      </c>
      <c r="F580" s="44" t="str">
        <f>IFERROR(ROUND(VLOOKUP(A580,[1]eco_journals!B:E,4,0),2),"")</f>
        <v/>
      </c>
      <c r="G580" s="40" t="str">
        <f>IFERROR(_xlfn.RANK.EQ(F580,F:F),"")</f>
        <v/>
      </c>
      <c r="H580" s="46">
        <f>IFERROR(ROUND(VLOOKUP(A580,[1]fin_journals!B:E,4,0),2),"")</f>
        <v>0.01</v>
      </c>
      <c r="I580" s="18">
        <f>IFERROR(_xlfn.RANK.EQ(H580,H:H),"")</f>
        <v>114</v>
      </c>
      <c r="J580" s="42" t="str">
        <f>IFERROR(ROUND(VLOOKUP(A580,[1]bus_journals!B:E,4,0),2),"")</f>
        <v/>
      </c>
      <c r="K580" s="23" t="str">
        <f>IFERROR(_xlfn.RANK.EQ(J580,J:J),"")</f>
        <v/>
      </c>
      <c r="L580" s="43" t="str">
        <f>IFERROR(ROUND(VLOOKUP(A580,[1]man_journals!B:E,4,0),2),"")</f>
        <v/>
      </c>
      <c r="M580" s="26" t="str">
        <f>IFERROR(_xlfn.RANK.EQ(L580,L:L),"")</f>
        <v/>
      </c>
      <c r="N580" s="3" t="s">
        <v>1274</v>
      </c>
    </row>
    <row r="581" spans="1:17" x14ac:dyDescent="0.25">
      <c r="A581" t="s">
        <v>585</v>
      </c>
      <c r="B581" t="s">
        <v>1425</v>
      </c>
      <c r="C581" s="6">
        <f>IFERROR(VLOOKUP(A581,[1]eco_bus_journals!$B:$D,3,0),"")</f>
        <v>37</v>
      </c>
      <c r="D581" s="37">
        <f>IFERROR(ROUND(VLOOKUP(A581,[1]eco_bus_journals!$B:$X,4,0),2),"")</f>
        <v>0.02</v>
      </c>
      <c r="E581" s="37">
        <f>_xlfn.RANK.EQ(D581,D:D)</f>
        <v>593</v>
      </c>
      <c r="F581" s="44">
        <f>IFERROR(ROUND(VLOOKUP(A581,[1]eco_journals!B:E,4,0),2),"")</f>
        <v>0.02</v>
      </c>
      <c r="G581" s="40">
        <f>IFERROR(_xlfn.RANK.EQ(F581,F:F),"")</f>
        <v>310</v>
      </c>
      <c r="H581" s="46" t="str">
        <f>IFERROR(ROUND(VLOOKUP(A581,[1]fin_journals!B:E,4,0),2),"")</f>
        <v/>
      </c>
      <c r="I581" s="18" t="str">
        <f>IFERROR(_xlfn.RANK.EQ(H581,H:H),"")</f>
        <v/>
      </c>
      <c r="J581" s="42" t="str">
        <f>IFERROR(ROUND(VLOOKUP(A581,[1]bus_journals!B:E,4,0),2),"")</f>
        <v/>
      </c>
      <c r="K581" s="23" t="str">
        <f>IFERROR(_xlfn.RANK.EQ(J581,J:J),"")</f>
        <v/>
      </c>
      <c r="L581" s="43" t="str">
        <f>IFERROR(ROUND(VLOOKUP(A581,[1]man_journals!B:E,4,0),2),"")</f>
        <v/>
      </c>
      <c r="M581" s="26" t="str">
        <f>IFERROR(_xlfn.RANK.EQ(L581,L:L),"")</f>
        <v/>
      </c>
      <c r="N581" s="1" t="s">
        <v>1272</v>
      </c>
    </row>
    <row r="582" spans="1:17" x14ac:dyDescent="0.25">
      <c r="A582" t="s">
        <v>560</v>
      </c>
      <c r="B582" t="s">
        <v>1415</v>
      </c>
      <c r="C582" s="6">
        <f>IFERROR(VLOOKUP(A582,[1]eco_bus_journals!$B:$D,3,0),"")</f>
        <v>56</v>
      </c>
      <c r="D582" s="37">
        <f>IFERROR(ROUND(VLOOKUP(A582,[1]eco_bus_journals!$B:$X,4,0),2),"")</f>
        <v>0.03</v>
      </c>
      <c r="E582" s="37">
        <f>_xlfn.RANK.EQ(D582,D:D)</f>
        <v>576</v>
      </c>
      <c r="F582" s="44">
        <f>IFERROR(ROUND(VLOOKUP(A582,[1]eco_journals!B:E,4,0),2),"")</f>
        <v>0.03</v>
      </c>
      <c r="G582" s="40">
        <f>IFERROR(_xlfn.RANK.EQ(F582,F:F),"")</f>
        <v>294</v>
      </c>
      <c r="H582" s="46" t="str">
        <f>IFERROR(ROUND(VLOOKUP(A582,[1]fin_journals!B:E,4,0),2),"")</f>
        <v/>
      </c>
      <c r="I582" s="18" t="str">
        <f>IFERROR(_xlfn.RANK.EQ(H582,H:H),"")</f>
        <v/>
      </c>
      <c r="J582" s="42" t="str">
        <f>IFERROR(ROUND(VLOOKUP(A582,[1]bus_journals!B:E,4,0),2),"")</f>
        <v/>
      </c>
      <c r="K582" s="23" t="str">
        <f>IFERROR(_xlfn.RANK.EQ(J582,J:J),"")</f>
        <v/>
      </c>
      <c r="L582" s="43" t="str">
        <f>IFERROR(ROUND(VLOOKUP(A582,[1]man_journals!B:E,4,0),2),"")</f>
        <v/>
      </c>
      <c r="M582" s="26" t="str">
        <f>IFERROR(_xlfn.RANK.EQ(L582,L:L),"")</f>
        <v/>
      </c>
      <c r="N582" t="s">
        <v>1304</v>
      </c>
      <c r="O582" s="1" t="s">
        <v>1272</v>
      </c>
    </row>
    <row r="583" spans="1:17" x14ac:dyDescent="0.25">
      <c r="A583" t="s">
        <v>551</v>
      </c>
      <c r="B583" t="s">
        <v>1417</v>
      </c>
      <c r="C583" s="6">
        <f>IFERROR(VLOOKUP(A583,[1]eco_bus_journals!$B:$D,3,0),"")</f>
        <v>72</v>
      </c>
      <c r="D583" s="37">
        <f>IFERROR(ROUND(VLOOKUP(A583,[1]eco_bus_journals!$B:$X,4,0),2),"")</f>
        <v>0.02</v>
      </c>
      <c r="E583" s="37">
        <f>_xlfn.RANK.EQ(D583,D:D)</f>
        <v>593</v>
      </c>
      <c r="F583" s="44">
        <f>IFERROR(ROUND(VLOOKUP(A583,[1]eco_journals!B:E,4,0),2),"")</f>
        <v>0.01</v>
      </c>
      <c r="G583" s="40">
        <f>IFERROR(_xlfn.RANK.EQ(F583,F:F),"")</f>
        <v>320</v>
      </c>
      <c r="H583" s="46" t="str">
        <f>IFERROR(ROUND(VLOOKUP(A583,[1]fin_journals!B:E,4,0),2),"")</f>
        <v/>
      </c>
      <c r="I583" s="18" t="str">
        <f>IFERROR(_xlfn.RANK.EQ(H583,H:H),"")</f>
        <v/>
      </c>
      <c r="J583" s="42">
        <f>IFERROR(ROUND(VLOOKUP(A583,[1]bus_journals!B:E,4,0),2),"")</f>
        <v>0.03</v>
      </c>
      <c r="K583" s="23">
        <f>IFERROR(_xlfn.RANK.EQ(J583,J:J),"")</f>
        <v>137</v>
      </c>
      <c r="L583" s="43">
        <f>IFERROR(ROUND(VLOOKUP(A583,[1]man_journals!B:E,4,0),2),"")</f>
        <v>0.02</v>
      </c>
      <c r="M583" s="26">
        <f>IFERROR(_xlfn.RANK.EQ(L583,L:L),"")</f>
        <v>180</v>
      </c>
      <c r="N583" s="2" t="s">
        <v>1273</v>
      </c>
      <c r="O583" s="1" t="s">
        <v>1272</v>
      </c>
      <c r="P583" s="4" t="s">
        <v>1275</v>
      </c>
    </row>
    <row r="584" spans="1:17" x14ac:dyDescent="0.25">
      <c r="A584" t="s">
        <v>561</v>
      </c>
      <c r="B584" t="s">
        <v>1413</v>
      </c>
      <c r="C584" s="6">
        <f>IFERROR(VLOOKUP(A584,[1]eco_bus_journals!$B:$D,3,0),"")</f>
        <v>19</v>
      </c>
      <c r="D584" s="37">
        <f>IFERROR(ROUND(VLOOKUP(A584,[1]eco_bus_journals!$B:$X,4,0),2),"")</f>
        <v>0.03</v>
      </c>
      <c r="E584" s="37">
        <f>_xlfn.RANK.EQ(D584,D:D)</f>
        <v>576</v>
      </c>
      <c r="F584" s="44">
        <f>IFERROR(ROUND(VLOOKUP(A584,[1]eco_journals!B:E,4,0),2),"")</f>
        <v>0.02</v>
      </c>
      <c r="G584" s="40">
        <f>IFERROR(_xlfn.RANK.EQ(F584,F:F),"")</f>
        <v>310</v>
      </c>
      <c r="H584" s="46" t="str">
        <f>IFERROR(ROUND(VLOOKUP(A584,[1]fin_journals!B:E,4,0),2),"")</f>
        <v/>
      </c>
      <c r="I584" s="18" t="str">
        <f>IFERROR(_xlfn.RANK.EQ(H584,H:H),"")</f>
        <v/>
      </c>
      <c r="J584" s="42" t="str">
        <f>IFERROR(ROUND(VLOOKUP(A584,[1]bus_journals!B:E,4,0),2),"")</f>
        <v/>
      </c>
      <c r="K584" s="23" t="str">
        <f>IFERROR(_xlfn.RANK.EQ(J584,J:J),"")</f>
        <v/>
      </c>
      <c r="L584" s="43" t="str">
        <f>IFERROR(ROUND(VLOOKUP(A584,[1]man_journals!B:E,4,0),2),"")</f>
        <v/>
      </c>
      <c r="M584" s="26" t="str">
        <f>IFERROR(_xlfn.RANK.EQ(L584,L:L),"")</f>
        <v/>
      </c>
      <c r="N584" s="1" t="s">
        <v>1272</v>
      </c>
    </row>
    <row r="585" spans="1:17" x14ac:dyDescent="0.25">
      <c r="A585" t="s">
        <v>587</v>
      </c>
      <c r="B585" t="s">
        <v>1384</v>
      </c>
      <c r="C585" s="6">
        <f>IFERROR(VLOOKUP(A585,[1]eco_bus_journals!$B:$D,3,0),"")</f>
        <v>41</v>
      </c>
      <c r="D585" s="37">
        <f>IFERROR(ROUND(VLOOKUP(A585,[1]eco_bus_journals!$B:$X,4,0),2),"")</f>
        <v>0.03</v>
      </c>
      <c r="E585" s="37">
        <f>_xlfn.RANK.EQ(D585,D:D)</f>
        <v>576</v>
      </c>
      <c r="F585" s="44">
        <f>IFERROR(ROUND(VLOOKUP(A585,[1]eco_journals!B:E,4,0),2),"")</f>
        <v>0.03</v>
      </c>
      <c r="G585" s="40">
        <f>IFERROR(_xlfn.RANK.EQ(F585,F:F),"")</f>
        <v>294</v>
      </c>
      <c r="H585" s="46" t="str">
        <f>IFERROR(ROUND(VLOOKUP(A585,[1]fin_journals!B:E,4,0),2),"")</f>
        <v/>
      </c>
      <c r="I585" s="18" t="str">
        <f>IFERROR(_xlfn.RANK.EQ(H585,H:H),"")</f>
        <v/>
      </c>
      <c r="J585" s="42" t="str">
        <f>IFERROR(ROUND(VLOOKUP(A585,[1]bus_journals!B:E,4,0),2),"")</f>
        <v/>
      </c>
      <c r="K585" s="23" t="str">
        <f>IFERROR(_xlfn.RANK.EQ(J585,J:J),"")</f>
        <v/>
      </c>
      <c r="L585" s="43" t="str">
        <f>IFERROR(ROUND(VLOOKUP(A585,[1]man_journals!B:E,4,0),2),"")</f>
        <v/>
      </c>
      <c r="M585" s="26" t="str">
        <f>IFERROR(_xlfn.RANK.EQ(L585,L:L),"")</f>
        <v/>
      </c>
      <c r="N585" s="1" t="s">
        <v>1272</v>
      </c>
    </row>
    <row r="586" spans="1:17" x14ac:dyDescent="0.25">
      <c r="A586" t="s">
        <v>573</v>
      </c>
      <c r="B586" t="s">
        <v>1419</v>
      </c>
      <c r="C586" s="6">
        <f>IFERROR(VLOOKUP(A586,[1]eco_bus_journals!$B:$D,3,0),"")</f>
        <v>55</v>
      </c>
      <c r="D586" s="37">
        <f>IFERROR(ROUND(VLOOKUP(A586,[1]eco_bus_journals!$B:$X,4,0),2),"")</f>
        <v>0.02</v>
      </c>
      <c r="E586" s="37">
        <f>_xlfn.RANK.EQ(D586,D:D)</f>
        <v>593</v>
      </c>
      <c r="F586" s="44">
        <f>IFERROR(ROUND(VLOOKUP(A586,[1]eco_journals!B:E,4,0),2),"")</f>
        <v>0.02</v>
      </c>
      <c r="G586" s="40">
        <f>IFERROR(_xlfn.RANK.EQ(F586,F:F),"")</f>
        <v>310</v>
      </c>
      <c r="H586" s="46" t="str">
        <f>IFERROR(ROUND(VLOOKUP(A586,[1]fin_journals!B:E,4,0),2),"")</f>
        <v/>
      </c>
      <c r="I586" s="18" t="str">
        <f>IFERROR(_xlfn.RANK.EQ(H586,H:H),"")</f>
        <v/>
      </c>
      <c r="J586" s="42" t="str">
        <f>IFERROR(ROUND(VLOOKUP(A586,[1]bus_journals!B:E,4,0),2),"")</f>
        <v/>
      </c>
      <c r="K586" s="23" t="str">
        <f>IFERROR(_xlfn.RANK.EQ(J586,J:J),"")</f>
        <v/>
      </c>
      <c r="L586" s="43">
        <f>IFERROR(ROUND(VLOOKUP(A586,[1]man_journals!B:E,4,0),2),"")</f>
        <v>0.02</v>
      </c>
      <c r="M586" s="26">
        <f>IFERROR(_xlfn.RANK.EQ(L586,L:L),"")</f>
        <v>180</v>
      </c>
      <c r="N586" s="1" t="s">
        <v>1272</v>
      </c>
      <c r="O586" s="4" t="s">
        <v>1275</v>
      </c>
    </row>
    <row r="587" spans="1:17" x14ac:dyDescent="0.25">
      <c r="A587" t="s">
        <v>594</v>
      </c>
      <c r="B587" t="s">
        <v>1434</v>
      </c>
      <c r="C587" s="6">
        <f>IFERROR(VLOOKUP(A587,[1]eco_bus_journals!$B:$D,3,0),"")</f>
        <v>25</v>
      </c>
      <c r="D587" s="37">
        <f>IFERROR(ROUND(VLOOKUP(A587,[1]eco_bus_journals!$B:$X,4,0),2),"")</f>
        <v>0.03</v>
      </c>
      <c r="E587" s="37">
        <f>_xlfn.RANK.EQ(D587,D:D)</f>
        <v>576</v>
      </c>
      <c r="F587" s="44">
        <f>IFERROR(ROUND(VLOOKUP(A587,[1]eco_journals!B:E,4,0),2),"")</f>
        <v>0.03</v>
      </c>
      <c r="G587" s="40">
        <f>IFERROR(_xlfn.RANK.EQ(F587,F:F),"")</f>
        <v>294</v>
      </c>
      <c r="H587" s="46" t="str">
        <f>IFERROR(ROUND(VLOOKUP(A587,[1]fin_journals!B:E,4,0),2),"")</f>
        <v/>
      </c>
      <c r="I587" s="18" t="str">
        <f>IFERROR(_xlfn.RANK.EQ(H587,H:H),"")</f>
        <v/>
      </c>
      <c r="J587" s="42" t="str">
        <f>IFERROR(ROUND(VLOOKUP(A587,[1]bus_journals!B:E,4,0),2),"")</f>
        <v/>
      </c>
      <c r="K587" s="23" t="str">
        <f>IFERROR(_xlfn.RANK.EQ(J587,J:J),"")</f>
        <v/>
      </c>
      <c r="L587" s="43" t="str">
        <f>IFERROR(ROUND(VLOOKUP(A587,[1]man_journals!B:E,4,0),2),"")</f>
        <v/>
      </c>
      <c r="M587" s="26" t="str">
        <f>IFERROR(_xlfn.RANK.EQ(L587,L:L),"")</f>
        <v/>
      </c>
      <c r="N587" s="1" t="s">
        <v>1272</v>
      </c>
    </row>
    <row r="588" spans="1:17" x14ac:dyDescent="0.25">
      <c r="A588" t="s">
        <v>604</v>
      </c>
      <c r="B588" t="s">
        <v>1440</v>
      </c>
      <c r="C588" s="6">
        <f>IFERROR(VLOOKUP(A588,[1]eco_bus_journals!$B:$D,3,0),"")</f>
        <v>53</v>
      </c>
      <c r="D588" s="37">
        <f>IFERROR(ROUND(VLOOKUP(A588,[1]eco_bus_journals!$B:$X,4,0),2),"")</f>
        <v>0.02</v>
      </c>
      <c r="E588" s="37">
        <f>_xlfn.RANK.EQ(D588,D:D)</f>
        <v>593</v>
      </c>
      <c r="F588" s="44">
        <f>IFERROR(ROUND(VLOOKUP(A588,[1]eco_journals!B:E,4,0),2),"")</f>
        <v>0.02</v>
      </c>
      <c r="G588" s="40">
        <f>IFERROR(_xlfn.RANK.EQ(F588,F:F),"")</f>
        <v>310</v>
      </c>
      <c r="H588" s="46" t="str">
        <f>IFERROR(ROUND(VLOOKUP(A588,[1]fin_journals!B:E,4,0),2),"")</f>
        <v/>
      </c>
      <c r="I588" s="18" t="str">
        <f>IFERROR(_xlfn.RANK.EQ(H588,H:H),"")</f>
        <v/>
      </c>
      <c r="J588" s="42" t="str">
        <f>IFERROR(ROUND(VLOOKUP(A588,[1]bus_journals!B:E,4,0),2),"")</f>
        <v/>
      </c>
      <c r="K588" s="23" t="str">
        <f>IFERROR(_xlfn.RANK.EQ(J588,J:J),"")</f>
        <v/>
      </c>
      <c r="L588" s="43" t="str">
        <f>IFERROR(ROUND(VLOOKUP(A588,[1]man_journals!B:E,4,0),2),"")</f>
        <v/>
      </c>
      <c r="M588" s="26" t="str">
        <f>IFERROR(_xlfn.RANK.EQ(L588,L:L),"")</f>
        <v/>
      </c>
      <c r="N588" s="1" t="s">
        <v>1272</v>
      </c>
    </row>
    <row r="589" spans="1:17" x14ac:dyDescent="0.25">
      <c r="A589" t="s">
        <v>588</v>
      </c>
      <c r="B589" t="s">
        <v>1372</v>
      </c>
      <c r="C589" s="6">
        <f>IFERROR(VLOOKUP(A589,[1]eco_bus_journals!$B:$D,3,0),"")</f>
        <v>18</v>
      </c>
      <c r="D589" s="37">
        <f>IFERROR(ROUND(VLOOKUP(A589,[1]eco_bus_journals!$B:$X,4,0),2),"")</f>
        <v>0.03</v>
      </c>
      <c r="E589" s="37">
        <f>_xlfn.RANK.EQ(D589,D:D)</f>
        <v>576</v>
      </c>
      <c r="F589" s="44" t="str">
        <f>IFERROR(ROUND(VLOOKUP(A589,[1]eco_journals!B:E,4,0),2),"")</f>
        <v/>
      </c>
      <c r="G589" s="40" t="str">
        <f>IFERROR(_xlfn.RANK.EQ(F589,F:F),"")</f>
        <v/>
      </c>
      <c r="H589" s="46" t="str">
        <f>IFERROR(ROUND(VLOOKUP(A589,[1]fin_journals!B:E,4,0),2),"")</f>
        <v/>
      </c>
      <c r="I589" s="18" t="str">
        <f>IFERROR(_xlfn.RANK.EQ(H589,H:H),"")</f>
        <v/>
      </c>
      <c r="J589" s="42">
        <f>IFERROR(ROUND(VLOOKUP(A589,[1]bus_journals!B:E,4,0),2),"")</f>
        <v>0.05</v>
      </c>
      <c r="K589" s="23">
        <f>IFERROR(_xlfn.RANK.EQ(J589,J:J),"")</f>
        <v>135</v>
      </c>
      <c r="L589" s="43">
        <f>IFERROR(ROUND(VLOOKUP(A589,[1]man_journals!B:E,4,0),2),"")</f>
        <v>0.05</v>
      </c>
      <c r="M589" s="26">
        <f>IFERROR(_xlfn.RANK.EQ(L589,L:L),"")</f>
        <v>176</v>
      </c>
      <c r="N589" s="2" t="s">
        <v>1273</v>
      </c>
      <c r="O589" t="s">
        <v>1282</v>
      </c>
      <c r="P589" s="4" t="s">
        <v>1275</v>
      </c>
      <c r="Q589" t="s">
        <v>1277</v>
      </c>
    </row>
    <row r="590" spans="1:17" x14ac:dyDescent="0.25">
      <c r="A590" t="s">
        <v>599</v>
      </c>
      <c r="B590" t="s">
        <v>1436</v>
      </c>
      <c r="C590" s="6">
        <f>IFERROR(VLOOKUP(A590,[1]eco_bus_journals!$B:$D,3,0),"")</f>
        <v>22</v>
      </c>
      <c r="D590" s="37">
        <f>IFERROR(ROUND(VLOOKUP(A590,[1]eco_bus_journals!$B:$X,4,0),2),"")</f>
        <v>0.02</v>
      </c>
      <c r="E590" s="37">
        <f>_xlfn.RANK.EQ(D590,D:D)</f>
        <v>593</v>
      </c>
      <c r="F590" s="44">
        <f>IFERROR(ROUND(VLOOKUP(A590,[1]eco_journals!B:E,4,0),2),"")</f>
        <v>0.02</v>
      </c>
      <c r="G590" s="40">
        <f>IFERROR(_xlfn.RANK.EQ(F590,F:F),"")</f>
        <v>310</v>
      </c>
      <c r="H590" s="46" t="str">
        <f>IFERROR(ROUND(VLOOKUP(A590,[1]fin_journals!B:E,4,0),2),"")</f>
        <v/>
      </c>
      <c r="I590" s="18" t="str">
        <f>IFERROR(_xlfn.RANK.EQ(H590,H:H),"")</f>
        <v/>
      </c>
      <c r="J590" s="42" t="str">
        <f>IFERROR(ROUND(VLOOKUP(A590,[1]bus_journals!B:E,4,0),2),"")</f>
        <v/>
      </c>
      <c r="K590" s="23" t="str">
        <f>IFERROR(_xlfn.RANK.EQ(J590,J:J),"")</f>
        <v/>
      </c>
      <c r="L590" s="43" t="str">
        <f>IFERROR(ROUND(VLOOKUP(A590,[1]man_journals!B:E,4,0),2),"")</f>
        <v/>
      </c>
      <c r="M590" s="26" t="str">
        <f>IFERROR(_xlfn.RANK.EQ(L590,L:L),"")</f>
        <v/>
      </c>
      <c r="N590" s="1" t="s">
        <v>1272</v>
      </c>
    </row>
    <row r="591" spans="1:17" x14ac:dyDescent="0.25">
      <c r="A591" t="s">
        <v>606</v>
      </c>
      <c r="B591" t="s">
        <v>1437</v>
      </c>
      <c r="C591" s="6">
        <f>IFERROR(VLOOKUP(A591,[1]eco_bus_journals!$B:$D,3,0),"")</f>
        <v>8</v>
      </c>
      <c r="D591" s="37">
        <f>IFERROR(ROUND(VLOOKUP(A591,[1]eco_bus_journals!$B:$X,4,0),2),"")</f>
        <v>0.03</v>
      </c>
      <c r="E591" s="37">
        <f>_xlfn.RANK.EQ(D591,D:D)</f>
        <v>576</v>
      </c>
      <c r="F591" s="44">
        <f>IFERROR(ROUND(VLOOKUP(A591,[1]eco_journals!B:E,4,0),2),"")</f>
        <v>0.03</v>
      </c>
      <c r="G591" s="40">
        <f>IFERROR(_xlfn.RANK.EQ(F591,F:F),"")</f>
        <v>294</v>
      </c>
      <c r="H591" s="46" t="str">
        <f>IFERROR(ROUND(VLOOKUP(A591,[1]fin_journals!B:E,4,0),2),"")</f>
        <v/>
      </c>
      <c r="I591" s="18" t="str">
        <f>IFERROR(_xlfn.RANK.EQ(H591,H:H),"")</f>
        <v/>
      </c>
      <c r="J591" s="42" t="str">
        <f>IFERROR(ROUND(VLOOKUP(A591,[1]bus_journals!B:E,4,0),2),"")</f>
        <v/>
      </c>
      <c r="K591" s="23" t="str">
        <f>IFERROR(_xlfn.RANK.EQ(J591,J:J),"")</f>
        <v/>
      </c>
      <c r="L591" s="43" t="str">
        <f>IFERROR(ROUND(VLOOKUP(A591,[1]man_journals!B:E,4,0),2),"")</f>
        <v/>
      </c>
      <c r="M591" s="26" t="str">
        <f>IFERROR(_xlfn.RANK.EQ(L591,L:L),"")</f>
        <v/>
      </c>
      <c r="N591" s="1" t="s">
        <v>1272</v>
      </c>
    </row>
    <row r="592" spans="1:17" x14ac:dyDescent="0.25">
      <c r="A592" t="s">
        <v>600</v>
      </c>
      <c r="B592" t="s">
        <v>1435</v>
      </c>
      <c r="C592" s="6">
        <f>IFERROR(VLOOKUP(A592,[1]eco_bus_journals!$B:$D,3,0),"")</f>
        <v>40</v>
      </c>
      <c r="D592" s="37">
        <f>IFERROR(ROUND(VLOOKUP(A592,[1]eco_bus_journals!$B:$X,4,0),2),"")</f>
        <v>0.03</v>
      </c>
      <c r="E592" s="37">
        <f>_xlfn.RANK.EQ(D592,D:D)</f>
        <v>576</v>
      </c>
      <c r="F592" s="44">
        <f>IFERROR(ROUND(VLOOKUP(A592,[1]eco_journals!B:E,4,0),2),"")</f>
        <v>0.03</v>
      </c>
      <c r="G592" s="40">
        <f>IFERROR(_xlfn.RANK.EQ(F592,F:F),"")</f>
        <v>294</v>
      </c>
      <c r="H592" s="46" t="str">
        <f>IFERROR(ROUND(VLOOKUP(A592,[1]fin_journals!B:E,4,0),2),"")</f>
        <v/>
      </c>
      <c r="I592" s="18" t="str">
        <f>IFERROR(_xlfn.RANK.EQ(H592,H:H),"")</f>
        <v/>
      </c>
      <c r="J592" s="42" t="str">
        <f>IFERROR(ROUND(VLOOKUP(A592,[1]bus_journals!B:E,4,0),2),"")</f>
        <v/>
      </c>
      <c r="K592" s="23" t="str">
        <f>IFERROR(_xlfn.RANK.EQ(J592,J:J),"")</f>
        <v/>
      </c>
      <c r="L592" s="43" t="str">
        <f>IFERROR(ROUND(VLOOKUP(A592,[1]man_journals!B:E,4,0),2),"")</f>
        <v/>
      </c>
      <c r="M592" s="26" t="str">
        <f>IFERROR(_xlfn.RANK.EQ(L592,L:L),"")</f>
        <v/>
      </c>
      <c r="N592" s="1" t="s">
        <v>1272</v>
      </c>
      <c r="O592" t="s">
        <v>1319</v>
      </c>
    </row>
    <row r="593" spans="1:16" x14ac:dyDescent="0.25">
      <c r="A593" t="s">
        <v>564</v>
      </c>
      <c r="B593" t="s">
        <v>1363</v>
      </c>
      <c r="C593" s="6">
        <f>IFERROR(VLOOKUP(A593,[1]eco_bus_journals!$B:$D,3,0),"")</f>
        <v>12</v>
      </c>
      <c r="D593" s="37">
        <f>IFERROR(ROUND(VLOOKUP(A593,[1]eco_bus_journals!$B:$X,4,0),2),"")</f>
        <v>0.02</v>
      </c>
      <c r="E593" s="37">
        <f>_xlfn.RANK.EQ(D593,D:D)</f>
        <v>593</v>
      </c>
      <c r="F593" s="44" t="str">
        <f>IFERROR(ROUND(VLOOKUP(A593,[1]eco_journals!B:E,4,0),2),"")</f>
        <v/>
      </c>
      <c r="G593" s="40" t="str">
        <f>IFERROR(_xlfn.RANK.EQ(F593,F:F),"")</f>
        <v/>
      </c>
      <c r="H593" s="46" t="str">
        <f>IFERROR(ROUND(VLOOKUP(A593,[1]fin_journals!B:E,4,0),2),"")</f>
        <v/>
      </c>
      <c r="I593" s="18" t="str">
        <f>IFERROR(_xlfn.RANK.EQ(H593,H:H),"")</f>
        <v/>
      </c>
      <c r="J593" s="42" t="str">
        <f>IFERROR(ROUND(VLOOKUP(A593,[1]bus_journals!B:E,4,0),2),"")</f>
        <v/>
      </c>
      <c r="K593" s="23" t="str">
        <f>IFERROR(_xlfn.RANK.EQ(J593,J:J),"")</f>
        <v/>
      </c>
      <c r="L593" s="43">
        <f>IFERROR(ROUND(VLOOKUP(A593,[1]man_journals!B:E,4,0),2),"")</f>
        <v>0.06</v>
      </c>
      <c r="M593" s="26">
        <f>IFERROR(_xlfn.RANK.EQ(L593,L:L),"")</f>
        <v>173</v>
      </c>
      <c r="N593" t="s">
        <v>1294</v>
      </c>
      <c r="O593" s="4" t="s">
        <v>1275</v>
      </c>
    </row>
    <row r="594" spans="1:16" x14ac:dyDescent="0.25">
      <c r="A594" t="s">
        <v>574</v>
      </c>
      <c r="B594" t="s">
        <v>1385</v>
      </c>
      <c r="C594" s="6">
        <f>IFERROR(VLOOKUP(A594,[1]eco_bus_journals!$B:$D,3,0),"")</f>
        <v>28</v>
      </c>
      <c r="D594" s="37">
        <f>IFERROR(ROUND(VLOOKUP(A594,[1]eco_bus_journals!$B:$X,4,0),2),"")</f>
        <v>0.03</v>
      </c>
      <c r="E594" s="37">
        <f>_xlfn.RANK.EQ(D594,D:D)</f>
        <v>576</v>
      </c>
      <c r="F594" s="44" t="str">
        <f>IFERROR(ROUND(VLOOKUP(A594,[1]eco_journals!B:E,4,0),2),"")</f>
        <v/>
      </c>
      <c r="G594" s="40" t="str">
        <f>IFERROR(_xlfn.RANK.EQ(F594,F:F),"")</f>
        <v/>
      </c>
      <c r="H594" s="46" t="str">
        <f>IFERROR(ROUND(VLOOKUP(A594,[1]fin_journals!B:E,4,0),2),"")</f>
        <v/>
      </c>
      <c r="I594" s="18" t="str">
        <f>IFERROR(_xlfn.RANK.EQ(H594,H:H),"")</f>
        <v/>
      </c>
      <c r="J594" s="42" t="str">
        <f>IFERROR(ROUND(VLOOKUP(A594,[1]bus_journals!B:E,4,0),2),"")</f>
        <v/>
      </c>
      <c r="K594" s="23" t="str">
        <f>IFERROR(_xlfn.RANK.EQ(J594,J:J),"")</f>
        <v/>
      </c>
      <c r="L594" s="43">
        <f>IFERROR(ROUND(VLOOKUP(A594,[1]man_journals!B:E,4,0),2),"")</f>
        <v>7.0000000000000007E-2</v>
      </c>
      <c r="M594" s="26">
        <f>IFERROR(_xlfn.RANK.EQ(L594,L:L),"")</f>
        <v>170</v>
      </c>
      <c r="N594" s="4" t="s">
        <v>1275</v>
      </c>
      <c r="O594" t="s">
        <v>1326</v>
      </c>
    </row>
    <row r="595" spans="1:16" x14ac:dyDescent="0.25">
      <c r="A595" t="s">
        <v>583</v>
      </c>
      <c r="B595" t="s">
        <v>1429</v>
      </c>
      <c r="C595" s="6">
        <f>IFERROR(VLOOKUP(A595,[1]eco_bus_journals!$B:$D,3,0),"")</f>
        <v>37</v>
      </c>
      <c r="D595" s="37">
        <f>IFERROR(ROUND(VLOOKUP(A595,[1]eco_bus_journals!$B:$X,4,0),2),"")</f>
        <v>0.02</v>
      </c>
      <c r="E595" s="37">
        <f>_xlfn.RANK.EQ(D595,D:D)</f>
        <v>593</v>
      </c>
      <c r="F595" s="44" t="str">
        <f>IFERROR(ROUND(VLOOKUP(A595,[1]eco_journals!B:E,4,0),2),"")</f>
        <v/>
      </c>
      <c r="G595" s="40" t="str">
        <f>IFERROR(_xlfn.RANK.EQ(F595,F:F),"")</f>
        <v/>
      </c>
      <c r="H595" s="46" t="str">
        <f>IFERROR(ROUND(VLOOKUP(A595,[1]fin_journals!B:E,4,0),2),"")</f>
        <v/>
      </c>
      <c r="I595" s="18" t="str">
        <f>IFERROR(_xlfn.RANK.EQ(H595,H:H),"")</f>
        <v/>
      </c>
      <c r="J595" s="42" t="str">
        <f>IFERROR(ROUND(VLOOKUP(A595,[1]bus_journals!B:E,4,0),2),"")</f>
        <v/>
      </c>
      <c r="K595" s="23" t="str">
        <f>IFERROR(_xlfn.RANK.EQ(J595,J:J),"")</f>
        <v/>
      </c>
      <c r="L595" s="43">
        <f>IFERROR(ROUND(VLOOKUP(A595,[1]man_journals!B:E,4,0),2),"")</f>
        <v>0.03</v>
      </c>
      <c r="M595" s="26">
        <f>IFERROR(_xlfn.RANK.EQ(L595,L:L),"")</f>
        <v>179</v>
      </c>
      <c r="N595" s="4" t="s">
        <v>1275</v>
      </c>
    </row>
    <row r="596" spans="1:16" x14ac:dyDescent="0.25">
      <c r="A596" t="s">
        <v>590</v>
      </c>
      <c r="B596" t="s">
        <v>1418</v>
      </c>
      <c r="C596" s="6">
        <f>IFERROR(VLOOKUP(A596,[1]eco_bus_journals!$B:$D,3,0),"")</f>
        <v>16</v>
      </c>
      <c r="D596" s="37">
        <f>IFERROR(ROUND(VLOOKUP(A596,[1]eco_bus_journals!$B:$X,4,0),2),"")</f>
        <v>0.02</v>
      </c>
      <c r="E596" s="37">
        <f>_xlfn.RANK.EQ(D596,D:D)</f>
        <v>593</v>
      </c>
      <c r="F596" s="44">
        <f>IFERROR(ROUND(VLOOKUP(A596,[1]eco_journals!B:E,4,0),2),"")</f>
        <v>0.03</v>
      </c>
      <c r="G596" s="40">
        <f>IFERROR(_xlfn.RANK.EQ(F596,F:F),"")</f>
        <v>294</v>
      </c>
      <c r="H596" s="46" t="str">
        <f>IFERROR(ROUND(VLOOKUP(A596,[1]fin_journals!B:E,4,0),2),"")</f>
        <v/>
      </c>
      <c r="I596" s="18" t="str">
        <f>IFERROR(_xlfn.RANK.EQ(H596,H:H),"")</f>
        <v/>
      </c>
      <c r="J596" s="42" t="str">
        <f>IFERROR(ROUND(VLOOKUP(A596,[1]bus_journals!B:E,4,0),2),"")</f>
        <v/>
      </c>
      <c r="K596" s="23" t="str">
        <f>IFERROR(_xlfn.RANK.EQ(J596,J:J),"")</f>
        <v/>
      </c>
      <c r="L596" s="43" t="str">
        <f>IFERROR(ROUND(VLOOKUP(A596,[1]man_journals!B:E,4,0),2),"")</f>
        <v/>
      </c>
      <c r="M596" s="26" t="str">
        <f>IFERROR(_xlfn.RANK.EQ(L596,L:L),"")</f>
        <v/>
      </c>
      <c r="N596" s="1" t="s">
        <v>1272</v>
      </c>
      <c r="O596" t="s">
        <v>1331</v>
      </c>
    </row>
    <row r="597" spans="1:16" x14ac:dyDescent="0.25">
      <c r="A597" t="s">
        <v>602</v>
      </c>
      <c r="B597" t="s">
        <v>1431</v>
      </c>
      <c r="C597" s="6">
        <f>IFERROR(VLOOKUP(A597,[1]eco_bus_journals!$B:$D,3,0),"")</f>
        <v>57</v>
      </c>
      <c r="D597" s="37">
        <f>IFERROR(ROUND(VLOOKUP(A597,[1]eco_bus_journals!$B:$X,4,0),2),"")</f>
        <v>0.02</v>
      </c>
      <c r="E597" s="37">
        <f>_xlfn.RANK.EQ(D597,D:D)</f>
        <v>593</v>
      </c>
      <c r="F597" s="44">
        <f>IFERROR(ROUND(VLOOKUP(A597,[1]eco_journals!B:E,4,0),2),"")</f>
        <v>0.01</v>
      </c>
      <c r="G597" s="40">
        <f>IFERROR(_xlfn.RANK.EQ(F597,F:F),"")</f>
        <v>320</v>
      </c>
      <c r="H597" s="46" t="str">
        <f>IFERROR(ROUND(VLOOKUP(A597,[1]fin_journals!B:E,4,0),2),"")</f>
        <v/>
      </c>
      <c r="I597" s="18" t="str">
        <f>IFERROR(_xlfn.RANK.EQ(H597,H:H),"")</f>
        <v/>
      </c>
      <c r="J597" s="42" t="str">
        <f>IFERROR(ROUND(VLOOKUP(A597,[1]bus_journals!B:E,4,0),2),"")</f>
        <v/>
      </c>
      <c r="K597" s="23" t="str">
        <f>IFERROR(_xlfn.RANK.EQ(J597,J:J),"")</f>
        <v/>
      </c>
      <c r="L597" s="43" t="str">
        <f>IFERROR(ROUND(VLOOKUP(A597,[1]man_journals!B:E,4,0),2),"")</f>
        <v/>
      </c>
      <c r="M597" s="26" t="str">
        <f>IFERROR(_xlfn.RANK.EQ(L597,L:L),"")</f>
        <v/>
      </c>
      <c r="N597" s="1" t="s">
        <v>1272</v>
      </c>
    </row>
    <row r="598" spans="1:16" x14ac:dyDescent="0.25">
      <c r="A598" t="s">
        <v>596</v>
      </c>
      <c r="B598" t="s">
        <v>1361</v>
      </c>
      <c r="C598" s="6">
        <f>IFERROR(VLOOKUP(A598,[1]eco_bus_journals!$B:$D,3,0),"")</f>
        <v>32</v>
      </c>
      <c r="D598" s="37">
        <f>IFERROR(ROUND(VLOOKUP(A598,[1]eco_bus_journals!$B:$X,4,0),2),"")</f>
        <v>0.02</v>
      </c>
      <c r="E598" s="37">
        <f>_xlfn.RANK.EQ(D598,D:D)</f>
        <v>593</v>
      </c>
      <c r="F598" s="44" t="str">
        <f>IFERROR(ROUND(VLOOKUP(A598,[1]eco_journals!B:E,4,0),2),"")</f>
        <v/>
      </c>
      <c r="G598" s="40" t="str">
        <f>IFERROR(_xlfn.RANK.EQ(F598,F:F),"")</f>
        <v/>
      </c>
      <c r="H598" s="46" t="str">
        <f>IFERROR(ROUND(VLOOKUP(A598,[1]fin_journals!B:E,4,0),2),"")</f>
        <v/>
      </c>
      <c r="I598" s="18" t="str">
        <f>IFERROR(_xlfn.RANK.EQ(H598,H:H),"")</f>
        <v/>
      </c>
      <c r="J598" s="42">
        <f>IFERROR(ROUND(VLOOKUP(A598,[1]bus_journals!B:E,4,0),2),"")</f>
        <v>0.06</v>
      </c>
      <c r="K598" s="23">
        <f>IFERROR(_xlfn.RANK.EQ(J598,J:J),"")</f>
        <v>133</v>
      </c>
      <c r="L598" s="43" t="str">
        <f>IFERROR(ROUND(VLOOKUP(A598,[1]man_journals!B:E,4,0),2),"")</f>
        <v/>
      </c>
      <c r="M598" s="26" t="str">
        <f>IFERROR(_xlfn.RANK.EQ(L598,L:L),"")</f>
        <v/>
      </c>
      <c r="N598" s="2" t="s">
        <v>1273</v>
      </c>
      <c r="O598" t="s">
        <v>1295</v>
      </c>
    </row>
    <row r="599" spans="1:16" x14ac:dyDescent="0.25">
      <c r="A599" t="s">
        <v>605</v>
      </c>
      <c r="B599" t="s">
        <v>1432</v>
      </c>
      <c r="C599" s="6">
        <f>IFERROR(VLOOKUP(A599,[1]eco_bus_journals!$B:$D,3,0),"")</f>
        <v>15</v>
      </c>
      <c r="D599" s="37">
        <f>IFERROR(ROUND(VLOOKUP(A599,[1]eco_bus_journals!$B:$X,4,0),2),"")</f>
        <v>0.03</v>
      </c>
      <c r="E599" s="37">
        <f>_xlfn.RANK.EQ(D599,D:D)</f>
        <v>576</v>
      </c>
      <c r="F599" s="44">
        <f>IFERROR(ROUND(VLOOKUP(A599,[1]eco_journals!B:E,4,0),2),"")</f>
        <v>0.03</v>
      </c>
      <c r="G599" s="40">
        <f>IFERROR(_xlfn.RANK.EQ(F599,F:F),"")</f>
        <v>294</v>
      </c>
      <c r="H599" s="46" t="str">
        <f>IFERROR(ROUND(VLOOKUP(A599,[1]fin_journals!B:E,4,0),2),"")</f>
        <v/>
      </c>
      <c r="I599" s="18" t="str">
        <f>IFERROR(_xlfn.RANK.EQ(H599,H:H),"")</f>
        <v/>
      </c>
      <c r="J599" s="42" t="str">
        <f>IFERROR(ROUND(VLOOKUP(A599,[1]bus_journals!B:E,4,0),2),"")</f>
        <v/>
      </c>
      <c r="K599" s="23" t="str">
        <f>IFERROR(_xlfn.RANK.EQ(J599,J:J),"")</f>
        <v/>
      </c>
      <c r="L599" s="43" t="str">
        <f>IFERROR(ROUND(VLOOKUP(A599,[1]man_journals!B:E,4,0),2),"")</f>
        <v/>
      </c>
      <c r="M599" s="26" t="str">
        <f>IFERROR(_xlfn.RANK.EQ(L599,L:L),"")</f>
        <v/>
      </c>
      <c r="N599" s="1" t="s">
        <v>1272</v>
      </c>
    </row>
    <row r="600" spans="1:16" x14ac:dyDescent="0.25">
      <c r="A600" t="s">
        <v>589</v>
      </c>
      <c r="B600" t="s">
        <v>1427</v>
      </c>
      <c r="C600" s="6">
        <f>IFERROR(VLOOKUP(A600,[1]eco_bus_journals!$B:$D,3,0),"")</f>
        <v>6</v>
      </c>
      <c r="D600" s="37">
        <f>IFERROR(ROUND(VLOOKUP(A600,[1]eco_bus_journals!$B:$X,4,0),2),"")</f>
        <v>0.02</v>
      </c>
      <c r="E600" s="37">
        <f>_xlfn.RANK.EQ(D600,D:D)</f>
        <v>593</v>
      </c>
      <c r="F600" s="44">
        <f>IFERROR(ROUND(VLOOKUP(A600,[1]eco_journals!B:E,4,0),2),"")</f>
        <v>0.02</v>
      </c>
      <c r="G600" s="40">
        <f>IFERROR(_xlfn.RANK.EQ(F600,F:F),"")</f>
        <v>310</v>
      </c>
      <c r="H600" s="46" t="str">
        <f>IFERROR(ROUND(VLOOKUP(A600,[1]fin_journals!B:E,4,0),2),"")</f>
        <v/>
      </c>
      <c r="I600" s="18" t="str">
        <f>IFERROR(_xlfn.RANK.EQ(H600,H:H),"")</f>
        <v/>
      </c>
      <c r="J600" s="42" t="str">
        <f>IFERROR(ROUND(VLOOKUP(A600,[1]bus_journals!B:E,4,0),2),"")</f>
        <v/>
      </c>
      <c r="K600" s="23" t="str">
        <f>IFERROR(_xlfn.RANK.EQ(J600,J:J),"")</f>
        <v/>
      </c>
      <c r="L600" s="43" t="str">
        <f>IFERROR(ROUND(VLOOKUP(A600,[1]man_journals!B:E,4,0),2),"")</f>
        <v/>
      </c>
      <c r="M600" s="26" t="str">
        <f>IFERROR(_xlfn.RANK.EQ(L600,L:L),"")</f>
        <v/>
      </c>
      <c r="N600" s="1" t="s">
        <v>1272</v>
      </c>
    </row>
    <row r="601" spans="1:16" x14ac:dyDescent="0.25">
      <c r="A601" t="s">
        <v>584</v>
      </c>
      <c r="B601" t="s">
        <v>1421</v>
      </c>
      <c r="C601" s="6">
        <f>IFERROR(VLOOKUP(A601,[1]eco_bus_journals!$B:$D,3,0),"")</f>
        <v>35</v>
      </c>
      <c r="D601" s="37">
        <f>IFERROR(ROUND(VLOOKUP(A601,[1]eco_bus_journals!$B:$X,4,0),2),"")</f>
        <v>0.03</v>
      </c>
      <c r="E601" s="37">
        <f>_xlfn.RANK.EQ(D601,D:D)</f>
        <v>576</v>
      </c>
      <c r="F601" s="44">
        <f>IFERROR(ROUND(VLOOKUP(A601,[1]eco_journals!B:E,4,0),2),"")</f>
        <v>0.02</v>
      </c>
      <c r="G601" s="40">
        <f>IFERROR(_xlfn.RANK.EQ(F601,F:F),"")</f>
        <v>310</v>
      </c>
      <c r="H601" s="46" t="str">
        <f>IFERROR(ROUND(VLOOKUP(A601,[1]fin_journals!B:E,4,0),2),"")</f>
        <v/>
      </c>
      <c r="I601" s="18" t="str">
        <f>IFERROR(_xlfn.RANK.EQ(H601,H:H),"")</f>
        <v/>
      </c>
      <c r="J601" s="42" t="str">
        <f>IFERROR(ROUND(VLOOKUP(A601,[1]bus_journals!B:E,4,0),2),"")</f>
        <v/>
      </c>
      <c r="K601" s="23" t="str">
        <f>IFERROR(_xlfn.RANK.EQ(J601,J:J),"")</f>
        <v/>
      </c>
      <c r="L601" s="43" t="str">
        <f>IFERROR(ROUND(VLOOKUP(A601,[1]man_journals!B:E,4,0),2),"")</f>
        <v/>
      </c>
      <c r="M601" s="26" t="str">
        <f>IFERROR(_xlfn.RANK.EQ(L601,L:L),"")</f>
        <v/>
      </c>
      <c r="N601" s="1" t="s">
        <v>1272</v>
      </c>
    </row>
    <row r="602" spans="1:16" x14ac:dyDescent="0.25">
      <c r="A602" t="s">
        <v>568</v>
      </c>
      <c r="B602" t="s">
        <v>1424</v>
      </c>
      <c r="C602" s="6">
        <f>IFERROR(VLOOKUP(A602,[1]eco_bus_journals!$B:$D,3,0),"")</f>
        <v>32</v>
      </c>
      <c r="D602" s="37">
        <f>IFERROR(ROUND(VLOOKUP(A602,[1]eco_bus_journals!$B:$X,4,0),2),"")</f>
        <v>0.03</v>
      </c>
      <c r="E602" s="37">
        <f>_xlfn.RANK.EQ(D602,D:D)</f>
        <v>576</v>
      </c>
      <c r="F602" s="44" t="str">
        <f>IFERROR(ROUND(VLOOKUP(A602,[1]eco_journals!B:E,4,0),2),"")</f>
        <v/>
      </c>
      <c r="G602" s="40" t="str">
        <f>IFERROR(_xlfn.RANK.EQ(F602,F:F),"")</f>
        <v/>
      </c>
      <c r="H602" s="46" t="str">
        <f>IFERROR(ROUND(VLOOKUP(A602,[1]fin_journals!B:E,4,0),2),"")</f>
        <v/>
      </c>
      <c r="I602" s="18" t="str">
        <f>IFERROR(_xlfn.RANK.EQ(H602,H:H),"")</f>
        <v/>
      </c>
      <c r="J602" s="42">
        <f>IFERROR(ROUND(VLOOKUP(A602,[1]bus_journals!B:E,4,0),2),"")</f>
        <v>0.04</v>
      </c>
      <c r="K602" s="23">
        <f>IFERROR(_xlfn.RANK.EQ(J602,J:J),"")</f>
        <v>136</v>
      </c>
      <c r="L602" s="43">
        <f>IFERROR(ROUND(VLOOKUP(A602,[1]man_journals!B:E,4,0),2),"")</f>
        <v>0.06</v>
      </c>
      <c r="M602" s="26">
        <f>IFERROR(_xlfn.RANK.EQ(L602,L:L),"")</f>
        <v>173</v>
      </c>
      <c r="N602" s="2" t="s">
        <v>1273</v>
      </c>
      <c r="O602" s="4" t="s">
        <v>1275</v>
      </c>
    </row>
    <row r="603" spans="1:16" x14ac:dyDescent="0.25">
      <c r="A603" t="s">
        <v>592</v>
      </c>
      <c r="B603" t="s">
        <v>1433</v>
      </c>
      <c r="C603" s="6">
        <f>IFERROR(VLOOKUP(A603,[1]eco_bus_journals!$B:$D,3,0),"")</f>
        <v>19</v>
      </c>
      <c r="D603" s="37">
        <f>IFERROR(ROUND(VLOOKUP(A603,[1]eco_bus_journals!$B:$X,4,0),2),"")</f>
        <v>0.03</v>
      </c>
      <c r="E603" s="37">
        <f>_xlfn.RANK.EQ(D603,D:D)</f>
        <v>576</v>
      </c>
      <c r="F603" s="44">
        <f>IFERROR(ROUND(VLOOKUP(A603,[1]eco_journals!B:E,4,0),2),"")</f>
        <v>0.02</v>
      </c>
      <c r="G603" s="40">
        <f>IFERROR(_xlfn.RANK.EQ(F603,F:F),"")</f>
        <v>310</v>
      </c>
      <c r="H603" s="46" t="str">
        <f>IFERROR(ROUND(VLOOKUP(A603,[1]fin_journals!B:E,4,0),2),"")</f>
        <v/>
      </c>
      <c r="I603" s="18" t="str">
        <f>IFERROR(_xlfn.RANK.EQ(H603,H:H),"")</f>
        <v/>
      </c>
      <c r="J603" s="42" t="str">
        <f>IFERROR(ROUND(VLOOKUP(A603,[1]bus_journals!B:E,4,0),2),"")</f>
        <v/>
      </c>
      <c r="K603" s="23" t="str">
        <f>IFERROR(_xlfn.RANK.EQ(J603,J:J),"")</f>
        <v/>
      </c>
      <c r="L603" s="43" t="str">
        <f>IFERROR(ROUND(VLOOKUP(A603,[1]man_journals!B:E,4,0),2),"")</f>
        <v/>
      </c>
      <c r="M603" s="26" t="str">
        <f>IFERROR(_xlfn.RANK.EQ(L603,L:L),"")</f>
        <v/>
      </c>
      <c r="N603" s="1" t="s">
        <v>1272</v>
      </c>
    </row>
    <row r="604" spans="1:16" x14ac:dyDescent="0.25">
      <c r="A604" t="s">
        <v>571</v>
      </c>
      <c r="B604" t="s">
        <v>1404</v>
      </c>
      <c r="C604" s="6">
        <f>IFERROR(VLOOKUP(A604,[1]eco_bus_journals!$B:$D,3,0),"")</f>
        <v>35</v>
      </c>
      <c r="D604" s="37">
        <f>IFERROR(ROUND(VLOOKUP(A604,[1]eco_bus_journals!$B:$X,4,0),2),"")</f>
        <v>0.03</v>
      </c>
      <c r="E604" s="37">
        <f>_xlfn.RANK.EQ(D604,D:D)</f>
        <v>576</v>
      </c>
      <c r="F604" s="44">
        <f>IFERROR(ROUND(VLOOKUP(A604,[1]eco_journals!B:E,4,0),2),"")</f>
        <v>0.03</v>
      </c>
      <c r="G604" s="40">
        <f>IFERROR(_xlfn.RANK.EQ(F604,F:F),"")</f>
        <v>294</v>
      </c>
      <c r="H604" s="46" t="str">
        <f>IFERROR(ROUND(VLOOKUP(A604,[1]fin_journals!B:E,4,0),2),"")</f>
        <v/>
      </c>
      <c r="I604" s="18" t="str">
        <f>IFERROR(_xlfn.RANK.EQ(H604,H:H),"")</f>
        <v/>
      </c>
      <c r="J604" s="42" t="str">
        <f>IFERROR(ROUND(VLOOKUP(A604,[1]bus_journals!B:E,4,0),2),"")</f>
        <v/>
      </c>
      <c r="K604" s="23" t="str">
        <f>IFERROR(_xlfn.RANK.EQ(J604,J:J),"")</f>
        <v/>
      </c>
      <c r="L604" s="43">
        <f>IFERROR(ROUND(VLOOKUP(A604,[1]man_journals!B:E,4,0),2),"")</f>
        <v>0.04</v>
      </c>
      <c r="M604" s="26">
        <f>IFERROR(_xlfn.RANK.EQ(L604,L:L),"")</f>
        <v>177</v>
      </c>
      <c r="N604" s="1" t="s">
        <v>1272</v>
      </c>
      <c r="O604" s="4" t="s">
        <v>1275</v>
      </c>
    </row>
    <row r="605" spans="1:16" x14ac:dyDescent="0.25">
      <c r="A605" t="s">
        <v>550</v>
      </c>
      <c r="B605" t="s">
        <v>1363</v>
      </c>
      <c r="C605" s="6">
        <f>IFERROR(VLOOKUP(A605,[1]eco_bus_journals!$B:$D,3,0),"")</f>
        <v>58</v>
      </c>
      <c r="D605" s="37">
        <f>IFERROR(ROUND(VLOOKUP(A605,[1]eco_bus_journals!$B:$X,4,0),2),"")</f>
        <v>0.04</v>
      </c>
      <c r="E605" s="37">
        <f>_xlfn.RANK.EQ(D605,D:D)</f>
        <v>562</v>
      </c>
      <c r="F605" s="44" t="str">
        <f>IFERROR(ROUND(VLOOKUP(A605,[1]eco_journals!B:E,4,0),2),"")</f>
        <v/>
      </c>
      <c r="G605" s="40" t="str">
        <f>IFERROR(_xlfn.RANK.EQ(F605,F:F),"")</f>
        <v/>
      </c>
      <c r="H605" s="46" t="str">
        <f>IFERROR(ROUND(VLOOKUP(A605,[1]fin_journals!B:E,4,0),2),"")</f>
        <v/>
      </c>
      <c r="I605" s="18" t="str">
        <f>IFERROR(_xlfn.RANK.EQ(H605,H:H),"")</f>
        <v/>
      </c>
      <c r="J605" s="42" t="str">
        <f>IFERROR(ROUND(VLOOKUP(A605,[1]bus_journals!B:E,4,0),2),"")</f>
        <v/>
      </c>
      <c r="K605" s="23" t="str">
        <f>IFERROR(_xlfn.RANK.EQ(J605,J:J),"")</f>
        <v/>
      </c>
      <c r="L605" s="43">
        <f>IFERROR(ROUND(VLOOKUP(A605,[1]man_journals!B:E,4,0),2),"")</f>
        <v>0.09</v>
      </c>
      <c r="M605" s="26">
        <f>IFERROR(_xlfn.RANK.EQ(L605,L:L),"")</f>
        <v>167</v>
      </c>
      <c r="N605" s="4" t="s">
        <v>1275</v>
      </c>
    </row>
    <row r="606" spans="1:16" x14ac:dyDescent="0.25">
      <c r="A606" t="s">
        <v>597</v>
      </c>
      <c r="B606" t="s">
        <v>1430</v>
      </c>
      <c r="C606" s="6">
        <f>IFERROR(VLOOKUP(A606,[1]eco_bus_journals!$B:$D,3,0),"")</f>
        <v>97</v>
      </c>
      <c r="D606" s="37">
        <f>IFERROR(ROUND(VLOOKUP(A606,[1]eco_bus_journals!$B:$X,4,0),2),"")</f>
        <v>0.02</v>
      </c>
      <c r="E606" s="37">
        <f>_xlfn.RANK.EQ(D606,D:D)</f>
        <v>593</v>
      </c>
      <c r="F606" s="44">
        <f>IFERROR(ROUND(VLOOKUP(A606,[1]eco_journals!B:E,4,0),2),"")</f>
        <v>0.02</v>
      </c>
      <c r="G606" s="40">
        <f>IFERROR(_xlfn.RANK.EQ(F606,F:F),"")</f>
        <v>310</v>
      </c>
      <c r="H606" s="46" t="str">
        <f>IFERROR(ROUND(VLOOKUP(A606,[1]fin_journals!B:E,4,0),2),"")</f>
        <v/>
      </c>
      <c r="I606" s="18" t="str">
        <f>IFERROR(_xlfn.RANK.EQ(H606,H:H),"")</f>
        <v/>
      </c>
      <c r="J606" s="42">
        <f>IFERROR(ROUND(VLOOKUP(A606,[1]bus_journals!B:E,4,0),2),"")</f>
        <v>0.02</v>
      </c>
      <c r="K606" s="23">
        <f>IFERROR(_xlfn.RANK.EQ(J606,J:J),"")</f>
        <v>138</v>
      </c>
      <c r="L606" s="43" t="str">
        <f>IFERROR(ROUND(VLOOKUP(A606,[1]man_journals!B:E,4,0),2),"")</f>
        <v/>
      </c>
      <c r="M606" s="26" t="str">
        <f>IFERROR(_xlfn.RANK.EQ(L606,L:L),"")</f>
        <v/>
      </c>
      <c r="N606" s="2" t="s">
        <v>1273</v>
      </c>
      <c r="O606" s="1" t="s">
        <v>1272</v>
      </c>
    </row>
    <row r="607" spans="1:16" x14ac:dyDescent="0.25">
      <c r="A607" t="s">
        <v>593</v>
      </c>
      <c r="B607" t="s">
        <v>1426</v>
      </c>
      <c r="C607" s="6">
        <f>IFERROR(VLOOKUP(A607,[1]eco_bus_journals!$B:$D,3,0),"")</f>
        <v>27</v>
      </c>
      <c r="D607" s="37">
        <f>IFERROR(ROUND(VLOOKUP(A607,[1]eco_bus_journals!$B:$X,4,0),2),"")</f>
        <v>0.02</v>
      </c>
      <c r="E607" s="37">
        <f>_xlfn.RANK.EQ(D607,D:D)</f>
        <v>593</v>
      </c>
      <c r="F607" s="44">
        <f>IFERROR(ROUND(VLOOKUP(A607,[1]eco_journals!B:E,4,0),2),"")</f>
        <v>0.01</v>
      </c>
      <c r="G607" s="40">
        <f>IFERROR(_xlfn.RANK.EQ(F607,F:F),"")</f>
        <v>320</v>
      </c>
      <c r="H607" s="46" t="str">
        <f>IFERROR(ROUND(VLOOKUP(A607,[1]fin_journals!B:E,4,0),2),"")</f>
        <v/>
      </c>
      <c r="I607" s="18" t="str">
        <f>IFERROR(_xlfn.RANK.EQ(H607,H:H),"")</f>
        <v/>
      </c>
      <c r="J607" s="42" t="str">
        <f>IFERROR(ROUND(VLOOKUP(A607,[1]bus_journals!B:E,4,0),2),"")</f>
        <v/>
      </c>
      <c r="K607" s="23" t="str">
        <f>IFERROR(_xlfn.RANK.EQ(J607,J:J),"")</f>
        <v/>
      </c>
      <c r="L607" s="43" t="str">
        <f>IFERROR(ROUND(VLOOKUP(A607,[1]man_journals!B:E,4,0),2),"")</f>
        <v/>
      </c>
      <c r="M607" s="26" t="str">
        <f>IFERROR(_xlfn.RANK.EQ(L607,L:L),"")</f>
        <v/>
      </c>
      <c r="N607" s="1" t="s">
        <v>1272</v>
      </c>
    </row>
    <row r="608" spans="1:16" x14ac:dyDescent="0.25">
      <c r="A608" t="s">
        <v>614</v>
      </c>
      <c r="B608" t="s">
        <v>1447</v>
      </c>
      <c r="C608" s="6">
        <f>IFERROR(VLOOKUP(A608,[1]eco_bus_journals!$B:$D,3,0),"")</f>
        <v>26</v>
      </c>
      <c r="D608" s="37">
        <f>IFERROR(ROUND(VLOOKUP(A608,[1]eco_bus_journals!$B:$X,4,0),2),"")</f>
        <v>0.01</v>
      </c>
      <c r="E608" s="37">
        <f>_xlfn.RANK.EQ(D608,D:D)</f>
        <v>607</v>
      </c>
      <c r="F608" s="44" t="str">
        <f>IFERROR(ROUND(VLOOKUP(A608,[1]eco_journals!B:E,4,0),2),"")</f>
        <v/>
      </c>
      <c r="G608" s="40" t="str">
        <f>IFERROR(_xlfn.RANK.EQ(F608,F:F),"")</f>
        <v/>
      </c>
      <c r="H608" s="46" t="str">
        <f>IFERROR(ROUND(VLOOKUP(A608,[1]fin_journals!B:E,4,0),2),"")</f>
        <v/>
      </c>
      <c r="I608" s="18" t="str">
        <f>IFERROR(_xlfn.RANK.EQ(H608,H:H),"")</f>
        <v/>
      </c>
      <c r="J608" s="42">
        <f>IFERROR(ROUND(VLOOKUP(A608,[1]bus_journals!B:E,4,0),2),"")</f>
        <v>0.01</v>
      </c>
      <c r="K608" s="23">
        <f>IFERROR(_xlfn.RANK.EQ(J608,J:J),"")</f>
        <v>140</v>
      </c>
      <c r="L608" s="43">
        <f>IFERROR(ROUND(VLOOKUP(A608,[1]man_journals!B:E,4,0),2),"")</f>
        <v>0.01</v>
      </c>
      <c r="M608" s="26">
        <f>IFERROR(_xlfn.RANK.EQ(L608,L:L),"")</f>
        <v>182</v>
      </c>
      <c r="N608" s="2" t="s">
        <v>1273</v>
      </c>
      <c r="O608" s="1" t="s">
        <v>1272</v>
      </c>
      <c r="P608" s="4" t="s">
        <v>1275</v>
      </c>
    </row>
    <row r="609" spans="1:16" x14ac:dyDescent="0.25">
      <c r="A609" t="s">
        <v>610</v>
      </c>
      <c r="B609" t="s">
        <v>1444</v>
      </c>
      <c r="C609" s="6">
        <f>IFERROR(VLOOKUP(A609,[1]eco_bus_journals!$B:$D,3,0),"")</f>
        <v>104</v>
      </c>
      <c r="D609" s="37">
        <f>IFERROR(ROUND(VLOOKUP(A609,[1]eco_bus_journals!$B:$X,4,0),2),"")</f>
        <v>0.01</v>
      </c>
      <c r="E609" s="37">
        <f>_xlfn.RANK.EQ(D609,D:D)</f>
        <v>607</v>
      </c>
      <c r="F609" s="44">
        <f>IFERROR(ROUND(VLOOKUP(A609,[1]eco_journals!B:E,4,0),2),"")</f>
        <v>0.01</v>
      </c>
      <c r="G609" s="40">
        <f>IFERROR(_xlfn.RANK.EQ(F609,F:F),"")</f>
        <v>320</v>
      </c>
      <c r="H609" s="46" t="str">
        <f>IFERROR(ROUND(VLOOKUP(A609,[1]fin_journals!B:E,4,0),2),"")</f>
        <v/>
      </c>
      <c r="I609" s="18" t="str">
        <f>IFERROR(_xlfn.RANK.EQ(H609,H:H),"")</f>
        <v/>
      </c>
      <c r="J609" s="42">
        <f>IFERROR(ROUND(VLOOKUP(A609,[1]bus_journals!B:E,4,0),2),"")</f>
        <v>0.02</v>
      </c>
      <c r="K609" s="23">
        <f>IFERROR(_xlfn.RANK.EQ(J609,J:J),"")</f>
        <v>138</v>
      </c>
      <c r="L609" s="43" t="str">
        <f>IFERROR(ROUND(VLOOKUP(A609,[1]man_journals!B:E,4,0),2),"")</f>
        <v/>
      </c>
      <c r="M609" s="26" t="str">
        <f>IFERROR(_xlfn.RANK.EQ(L609,L:L),"")</f>
        <v/>
      </c>
      <c r="N609" t="s">
        <v>1304</v>
      </c>
      <c r="O609" s="2" t="s">
        <v>1273</v>
      </c>
      <c r="P609" s="1" t="s">
        <v>1272</v>
      </c>
    </row>
    <row r="610" spans="1:16" x14ac:dyDescent="0.25">
      <c r="A610" t="s">
        <v>598</v>
      </c>
      <c r="B610" t="s">
        <v>1417</v>
      </c>
      <c r="C610" s="6">
        <f>IFERROR(VLOOKUP(A610,[1]eco_bus_journals!$B:$D,3,0),"")</f>
        <v>76</v>
      </c>
      <c r="D610" s="37">
        <f>IFERROR(ROUND(VLOOKUP(A610,[1]eco_bus_journals!$B:$X,4,0),2),"")</f>
        <v>0.02</v>
      </c>
      <c r="E610" s="37">
        <f>_xlfn.RANK.EQ(D610,D:D)</f>
        <v>593</v>
      </c>
      <c r="F610" s="44">
        <f>IFERROR(ROUND(VLOOKUP(A610,[1]eco_journals!B:E,4,0),2),"")</f>
        <v>0.01</v>
      </c>
      <c r="G610" s="40">
        <f>IFERROR(_xlfn.RANK.EQ(F610,F:F),"")</f>
        <v>320</v>
      </c>
      <c r="H610" s="46" t="str">
        <f>IFERROR(ROUND(VLOOKUP(A610,[1]fin_journals!B:E,4,0),2),"")</f>
        <v/>
      </c>
      <c r="I610" s="18" t="str">
        <f>IFERROR(_xlfn.RANK.EQ(H610,H:H),"")</f>
        <v/>
      </c>
      <c r="J610" s="42" t="str">
        <f>IFERROR(ROUND(VLOOKUP(A610,[1]bus_journals!B:E,4,0),2),"")</f>
        <v/>
      </c>
      <c r="K610" s="23" t="str">
        <f>IFERROR(_xlfn.RANK.EQ(J610,J:J),"")</f>
        <v/>
      </c>
      <c r="L610" s="43" t="str">
        <f>IFERROR(ROUND(VLOOKUP(A610,[1]man_journals!B:E,4,0),2),"")</f>
        <v/>
      </c>
      <c r="M610" s="26" t="str">
        <f>IFERROR(_xlfn.RANK.EQ(L610,L:L),"")</f>
        <v/>
      </c>
      <c r="N610" s="1" t="s">
        <v>1272</v>
      </c>
      <c r="O610" t="s">
        <v>1279</v>
      </c>
    </row>
    <row r="611" spans="1:16" x14ac:dyDescent="0.25">
      <c r="A611" t="s">
        <v>609</v>
      </c>
      <c r="B611" t="s">
        <v>1442</v>
      </c>
      <c r="C611" s="6">
        <f>IFERROR(VLOOKUP(A611,[1]eco_bus_journals!$B:$D,3,0),"")</f>
        <v>20</v>
      </c>
      <c r="D611" s="37">
        <f>IFERROR(ROUND(VLOOKUP(A611,[1]eco_bus_journals!$B:$X,4,0),2),"")</f>
        <v>0.01</v>
      </c>
      <c r="E611" s="37">
        <f>_xlfn.RANK.EQ(D611,D:D)</f>
        <v>607</v>
      </c>
      <c r="F611" s="44">
        <f>IFERROR(ROUND(VLOOKUP(A611,[1]eco_journals!B:E,4,0),2),"")</f>
        <v>0.01</v>
      </c>
      <c r="G611" s="40">
        <f>IFERROR(_xlfn.RANK.EQ(F611,F:F),"")</f>
        <v>320</v>
      </c>
      <c r="H611" s="46" t="str">
        <f>IFERROR(ROUND(VLOOKUP(A611,[1]fin_journals!B:E,4,0),2),"")</f>
        <v/>
      </c>
      <c r="I611" s="18" t="str">
        <f>IFERROR(_xlfn.RANK.EQ(H611,H:H),"")</f>
        <v/>
      </c>
      <c r="J611" s="42" t="str">
        <f>IFERROR(ROUND(VLOOKUP(A611,[1]bus_journals!B:E,4,0),2),"")</f>
        <v/>
      </c>
      <c r="K611" s="23" t="str">
        <f>IFERROR(_xlfn.RANK.EQ(J611,J:J),"")</f>
        <v/>
      </c>
      <c r="L611" s="43" t="str">
        <f>IFERROR(ROUND(VLOOKUP(A611,[1]man_journals!B:E,4,0),2),"")</f>
        <v/>
      </c>
      <c r="M611" s="26" t="str">
        <f>IFERROR(_xlfn.RANK.EQ(L611,L:L),"")</f>
        <v/>
      </c>
      <c r="N611" s="1" t="s">
        <v>1272</v>
      </c>
      <c r="O611" t="s">
        <v>1326</v>
      </c>
    </row>
    <row r="612" spans="1:16" x14ac:dyDescent="0.25">
      <c r="A612" t="s">
        <v>601</v>
      </c>
      <c r="B612" t="s">
        <v>1438</v>
      </c>
      <c r="C612" s="6">
        <f>IFERROR(VLOOKUP(A612,[1]eco_bus_journals!$B:$D,3,0),"")</f>
        <v>20</v>
      </c>
      <c r="D612" s="37">
        <f>IFERROR(ROUND(VLOOKUP(A612,[1]eco_bus_journals!$B:$X,4,0),2),"")</f>
        <v>0.01</v>
      </c>
      <c r="E612" s="37">
        <f>_xlfn.RANK.EQ(D612,D:D)</f>
        <v>607</v>
      </c>
      <c r="F612" s="44">
        <f>IFERROR(ROUND(VLOOKUP(A612,[1]eco_journals!B:E,4,0),2),"")</f>
        <v>0.01</v>
      </c>
      <c r="G612" s="40">
        <f>IFERROR(_xlfn.RANK.EQ(F612,F:F),"")</f>
        <v>320</v>
      </c>
      <c r="H612" s="46" t="str">
        <f>IFERROR(ROUND(VLOOKUP(A612,[1]fin_journals!B:E,4,0),2),"")</f>
        <v/>
      </c>
      <c r="I612" s="18" t="str">
        <f>IFERROR(_xlfn.RANK.EQ(H612,H:H),"")</f>
        <v/>
      </c>
      <c r="J612" s="42" t="str">
        <f>IFERROR(ROUND(VLOOKUP(A612,[1]bus_journals!B:E,4,0),2),"")</f>
        <v/>
      </c>
      <c r="K612" s="23" t="str">
        <f>IFERROR(_xlfn.RANK.EQ(J612,J:J),"")</f>
        <v/>
      </c>
      <c r="L612" s="43" t="str">
        <f>IFERROR(ROUND(VLOOKUP(A612,[1]man_journals!B:E,4,0),2),"")</f>
        <v/>
      </c>
      <c r="M612" s="26" t="str">
        <f>IFERROR(_xlfn.RANK.EQ(L612,L:L),"")</f>
        <v/>
      </c>
      <c r="N612" s="1" t="s">
        <v>1272</v>
      </c>
    </row>
    <row r="613" spans="1:16" x14ac:dyDescent="0.25">
      <c r="A613" t="s">
        <v>611</v>
      </c>
      <c r="B613" t="s">
        <v>1446</v>
      </c>
      <c r="C613" s="6">
        <f>IFERROR(VLOOKUP(A613,[1]eco_bus_journals!$B:$D,3,0),"")</f>
        <v>17</v>
      </c>
      <c r="D613" s="37">
        <f>IFERROR(ROUND(VLOOKUP(A613,[1]eco_bus_journals!$B:$X,4,0),2),"")</f>
        <v>0.01</v>
      </c>
      <c r="E613" s="37">
        <f>_xlfn.RANK.EQ(D613,D:D)</f>
        <v>607</v>
      </c>
      <c r="F613" s="44" t="str">
        <f>IFERROR(ROUND(VLOOKUP(A613,[1]eco_journals!B:E,4,0),2),"")</f>
        <v/>
      </c>
      <c r="G613" s="40" t="str">
        <f>IFERROR(_xlfn.RANK.EQ(F613,F:F),"")</f>
        <v/>
      </c>
      <c r="H613" s="46" t="str">
        <f>IFERROR(ROUND(VLOOKUP(A613,[1]fin_journals!B:E,4,0),2),"")</f>
        <v/>
      </c>
      <c r="I613" s="18" t="str">
        <f>IFERROR(_xlfn.RANK.EQ(H613,H:H),"")</f>
        <v/>
      </c>
      <c r="J613" s="42" t="str">
        <f>IFERROR(ROUND(VLOOKUP(A613,[1]bus_journals!B:E,4,0),2),"")</f>
        <v/>
      </c>
      <c r="K613" s="23" t="str">
        <f>IFERROR(_xlfn.RANK.EQ(J613,J:J),"")</f>
        <v/>
      </c>
      <c r="L613" s="43">
        <f>IFERROR(ROUND(VLOOKUP(A613,[1]man_journals!B:E,4,0),2),"")</f>
        <v>0.01</v>
      </c>
      <c r="M613" s="26">
        <f>IFERROR(_xlfn.RANK.EQ(L613,L:L),"")</f>
        <v>182</v>
      </c>
      <c r="N613" t="s">
        <v>1277</v>
      </c>
    </row>
    <row r="614" spans="1:16" x14ac:dyDescent="0.25">
      <c r="A614" t="s">
        <v>613</v>
      </c>
      <c r="B614" t="s">
        <v>1421</v>
      </c>
      <c r="C614" s="6">
        <f>IFERROR(VLOOKUP(A614,[1]eco_bus_journals!$B:$D,3,0),"")</f>
        <v>29</v>
      </c>
      <c r="D614" s="37">
        <f>IFERROR(ROUND(VLOOKUP(A614,[1]eco_bus_journals!$B:$X,4,0),2),"")</f>
        <v>0.01</v>
      </c>
      <c r="E614" s="37">
        <f>_xlfn.RANK.EQ(D614,D:D)</f>
        <v>607</v>
      </c>
      <c r="F614" s="44">
        <f>IFERROR(ROUND(VLOOKUP(A614,[1]eco_journals!B:E,4,0),2),"")</f>
        <v>0.01</v>
      </c>
      <c r="G614" s="40">
        <f>IFERROR(_xlfn.RANK.EQ(F614,F:F),"")</f>
        <v>320</v>
      </c>
      <c r="H614" s="46" t="str">
        <f>IFERROR(ROUND(VLOOKUP(A614,[1]fin_journals!B:E,4,0),2),"")</f>
        <v/>
      </c>
      <c r="I614" s="18" t="str">
        <f>IFERROR(_xlfn.RANK.EQ(H614,H:H),"")</f>
        <v/>
      </c>
      <c r="J614" s="42" t="str">
        <f>IFERROR(ROUND(VLOOKUP(A614,[1]bus_journals!B:E,4,0),2),"")</f>
        <v/>
      </c>
      <c r="K614" s="23" t="str">
        <f>IFERROR(_xlfn.RANK.EQ(J614,J:J),"")</f>
        <v/>
      </c>
      <c r="L614" s="43" t="str">
        <f>IFERROR(ROUND(VLOOKUP(A614,[1]man_journals!B:E,4,0),2),"")</f>
        <v/>
      </c>
      <c r="M614" s="26" t="str">
        <f>IFERROR(_xlfn.RANK.EQ(L614,L:L),"")</f>
        <v/>
      </c>
      <c r="N614" s="1" t="s">
        <v>1272</v>
      </c>
      <c r="O614" t="s">
        <v>1319</v>
      </c>
    </row>
    <row r="615" spans="1:16" x14ac:dyDescent="0.25">
      <c r="A615" t="s">
        <v>612</v>
      </c>
      <c r="B615" t="s">
        <v>1445</v>
      </c>
      <c r="C615" s="7">
        <f>IFERROR(VLOOKUP(A615,[1]eco_bus_journals!$B:$D,3,0),"")</f>
        <v>19</v>
      </c>
      <c r="D615" s="8">
        <f>IFERROR(ROUND(VLOOKUP(A615,[1]eco_bus_journals!$B:$X,4,0),2),"")</f>
        <v>0.01</v>
      </c>
      <c r="E615" s="8">
        <f>_xlfn.RANK.EQ(D615,D:D)</f>
        <v>607</v>
      </c>
      <c r="F615" s="45">
        <f>IFERROR(ROUND(VLOOKUP(A615,[1]eco_journals!B:E,4,0),2),"")</f>
        <v>0.01</v>
      </c>
      <c r="G615" s="15">
        <f>IFERROR(_xlfn.RANK.EQ(F615,F:F),"")</f>
        <v>320</v>
      </c>
      <c r="H615" s="47" t="str">
        <f>IFERROR(ROUND(VLOOKUP(A615,[1]fin_journals!B:E,4,0),2),"")</f>
        <v/>
      </c>
      <c r="I615" s="20" t="str">
        <f>IFERROR(_xlfn.RANK.EQ(H615,H:H),"")</f>
        <v/>
      </c>
      <c r="J615" s="24" t="str">
        <f>IFERROR(ROUND(VLOOKUP(A615,[1]bus_journals!B:E,4,0),2),"")</f>
        <v/>
      </c>
      <c r="K615" s="25" t="str">
        <f>IFERROR(_xlfn.RANK.EQ(J615,J:J),"")</f>
        <v/>
      </c>
      <c r="L615" s="27" t="str">
        <f>IFERROR(ROUND(VLOOKUP(A615,[1]man_journals!B:E,4,0),2),"")</f>
        <v/>
      </c>
      <c r="M615" s="28" t="str">
        <f>IFERROR(_xlfn.RANK.EQ(L615,L:L),"")</f>
        <v/>
      </c>
      <c r="N615" s="1" t="s">
        <v>1272</v>
      </c>
    </row>
  </sheetData>
  <sortState ref="A3:S615">
    <sortCondition ref="E3:E615"/>
    <sortCondition ref="A3:A615"/>
  </sortState>
  <mergeCells count="5">
    <mergeCell ref="C1:E1"/>
    <mergeCell ref="F1:G1"/>
    <mergeCell ref="H1:I1"/>
    <mergeCell ref="J1:K1"/>
    <mergeCell ref="L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2"/>
  <sheetViews>
    <sheetView workbookViewId="0">
      <selection activeCell="G4" sqref="G4"/>
    </sheetView>
  </sheetViews>
  <sheetFormatPr baseColWidth="10" defaultColWidth="9.140625" defaultRowHeight="15" x14ac:dyDescent="0.25"/>
  <cols>
    <col min="1" max="1" width="46.5703125" customWidth="1"/>
    <col min="2" max="2" width="17.85546875" customWidth="1"/>
    <col min="3" max="3" width="4.28515625" bestFit="1" customWidth="1"/>
    <col min="4" max="4" width="5.42578125" bestFit="1" customWidth="1"/>
    <col min="5" max="5" width="4.7109375" bestFit="1" customWidth="1"/>
    <col min="6" max="18" width="5.28515625" customWidth="1"/>
  </cols>
  <sheetData>
    <row r="1" spans="1:17" x14ac:dyDescent="0.25">
      <c r="C1" s="82" t="s">
        <v>1340</v>
      </c>
      <c r="D1" s="80"/>
      <c r="E1" s="80"/>
      <c r="F1" s="82" t="s">
        <v>1342</v>
      </c>
      <c r="G1" s="80"/>
      <c r="H1" s="81"/>
      <c r="I1" s="80" t="s">
        <v>1343</v>
      </c>
      <c r="J1" s="80"/>
      <c r="K1" s="81"/>
      <c r="L1" s="80" t="s">
        <v>1344</v>
      </c>
      <c r="M1" s="80"/>
      <c r="N1" s="81"/>
      <c r="O1" s="80" t="s">
        <v>1345</v>
      </c>
      <c r="P1" s="80"/>
      <c r="Q1" s="81"/>
    </row>
    <row r="2" spans="1:17" x14ac:dyDescent="0.25">
      <c r="A2" s="5" t="s">
        <v>615</v>
      </c>
      <c r="B2" s="5" t="s">
        <v>1215</v>
      </c>
      <c r="C2" s="13" t="s">
        <v>1</v>
      </c>
      <c r="D2" s="36" t="s">
        <v>1341</v>
      </c>
      <c r="E2" s="39" t="s">
        <v>1339</v>
      </c>
      <c r="F2" s="67" t="s">
        <v>1</v>
      </c>
      <c r="G2" s="68" t="s">
        <v>1341</v>
      </c>
      <c r="H2" s="69" t="s">
        <v>1339</v>
      </c>
      <c r="I2" s="39" t="s">
        <v>1</v>
      </c>
      <c r="J2" s="36" t="s">
        <v>1341</v>
      </c>
      <c r="K2" s="12" t="s">
        <v>1339</v>
      </c>
      <c r="L2" s="5" t="s">
        <v>1</v>
      </c>
      <c r="M2" s="11" t="s">
        <v>1341</v>
      </c>
      <c r="N2" s="12" t="s">
        <v>1339</v>
      </c>
      <c r="O2" s="5" t="s">
        <v>1</v>
      </c>
      <c r="P2" s="11" t="s">
        <v>1341</v>
      </c>
      <c r="Q2" s="12" t="s">
        <v>1339</v>
      </c>
    </row>
    <row r="3" spans="1:17" x14ac:dyDescent="0.25">
      <c r="A3" s="9" t="s">
        <v>619</v>
      </c>
      <c r="B3" s="10" t="s">
        <v>1217</v>
      </c>
      <c r="C3" s="70">
        <f>IFERROR(VLOOKUP(A3,[1]eco_bus_institutions!B:E,2,0),"")</f>
        <v>158</v>
      </c>
      <c r="D3" s="70">
        <f>IFERROR(VLOOKUP(A3,[1]eco_bus_institutions!B:E,4,0),"")</f>
        <v>8</v>
      </c>
      <c r="E3" s="71">
        <f t="shared" ref="E3:E66" si="0">_xlfn.RANK.EQ(D3,D:D)</f>
        <v>1</v>
      </c>
      <c r="F3" s="52">
        <f>IFERROR(VLOOKUP(A3,[1]eco_institutions!B:D,2,0),"")</f>
        <v>151</v>
      </c>
      <c r="G3" s="52">
        <f>IFERROR(VLOOKUP(A3,[1]eco_institutions!B:E,4,0),"")</f>
        <v>6.8528581107335986</v>
      </c>
      <c r="H3" s="53">
        <f t="shared" ref="H3:H66" si="1">IFERROR(_xlfn.RANK.EQ(G3,G:G),"")</f>
        <v>4</v>
      </c>
      <c r="I3" s="54">
        <f>IFERROR(VLOOKUP(A3,[1]fin_institutions!B:D,2,0),"")</f>
        <v>43</v>
      </c>
      <c r="J3" s="17">
        <f>IFERROR(VLOOKUP(A3,[1]fin_institutions!B:E,4,0),"")</f>
        <v>5.909833908466493</v>
      </c>
      <c r="K3" s="17">
        <f t="shared" ref="K3:K66" si="2">IFERROR(_xlfn.RANK.EQ(J3,J:J),"")</f>
        <v>6</v>
      </c>
      <c r="L3" s="55" t="str">
        <f>IFERROR(VLOOKUP(A3,[1]bus_institutions!B:D,2,0),"")</f>
        <v/>
      </c>
      <c r="M3" s="21" t="str">
        <f>IFERROR(VLOOKUP(A3,[1]bus_institutions!B:E,4,0),"")</f>
        <v/>
      </c>
      <c r="N3" s="22" t="str">
        <f t="shared" ref="N3:N66" si="3">IFERROR(_xlfn.RANK.EQ(M3,M:M),"")</f>
        <v/>
      </c>
      <c r="O3" s="58" t="str">
        <f>IFERROR(VLOOKUP(A3,[1]man_institutions!B:E,2,0),"")</f>
        <v/>
      </c>
      <c r="P3" s="59" t="str">
        <f>IFERROR(VLOOKUP(A3,[1]man_institutions!B:E,4,0),"")</f>
        <v/>
      </c>
      <c r="Q3" s="60" t="str">
        <f t="shared" ref="Q3:Q66" si="4">IFERROR(_xlfn.RANK.EQ(P3,P:P),"")</f>
        <v/>
      </c>
    </row>
    <row r="4" spans="1:17" x14ac:dyDescent="0.25">
      <c r="A4" s="6" t="s">
        <v>618</v>
      </c>
      <c r="B4" s="37" t="s">
        <v>1217</v>
      </c>
      <c r="C4" s="72">
        <f>IFERROR(VLOOKUP(A4,[1]eco_bus_institutions!B:E,2,0),"")</f>
        <v>203</v>
      </c>
      <c r="D4" s="72">
        <f>IFERROR(VLOOKUP(A4,[1]eco_bus_institutions!B:E,4,0),"")</f>
        <v>7.9167939820521784</v>
      </c>
      <c r="E4" s="73">
        <f t="shared" si="0"/>
        <v>2</v>
      </c>
      <c r="F4" s="40">
        <f>IFERROR(VLOOKUP(A4,[1]eco_institutions!B:D,2,0),"")</f>
        <v>157</v>
      </c>
      <c r="G4" s="40">
        <f>IFERROR(VLOOKUP(A4,[1]eco_institutions!B:E,4,0),"")</f>
        <v>7.778876548235564</v>
      </c>
      <c r="H4" s="14">
        <f t="shared" si="1"/>
        <v>2</v>
      </c>
      <c r="I4" s="46">
        <f>IFERROR(VLOOKUP(A4,[1]fin_institutions!B:D,2,0),"")</f>
        <v>49</v>
      </c>
      <c r="J4" s="41">
        <f>IFERROR(VLOOKUP(A4,[1]fin_institutions!B:E,4,0),"")</f>
        <v>6.8858103915022131</v>
      </c>
      <c r="K4" s="41">
        <f t="shared" si="2"/>
        <v>3</v>
      </c>
      <c r="L4" s="56">
        <f>IFERROR(VLOOKUP(A4,[1]bus_institutions!B:D,2,0),"")</f>
        <v>18</v>
      </c>
      <c r="M4" s="42">
        <f>IFERROR(VLOOKUP(A4,[1]bus_institutions!B:E,4,0),"")</f>
        <v>2.9859333311799729</v>
      </c>
      <c r="N4" s="23">
        <f t="shared" si="3"/>
        <v>118</v>
      </c>
      <c r="O4" s="61">
        <f>IFERROR(VLOOKUP(A4,[1]man_institutions!B:E,2,0),"")</f>
        <v>9</v>
      </c>
      <c r="P4" s="62">
        <f>IFERROR(VLOOKUP(A4,[1]man_institutions!B:E,4,0),"")</f>
        <v>1.92644114894994</v>
      </c>
      <c r="Q4" s="63">
        <f t="shared" si="4"/>
        <v>422</v>
      </c>
    </row>
    <row r="5" spans="1:17" x14ac:dyDescent="0.25">
      <c r="A5" s="6" t="s">
        <v>617</v>
      </c>
      <c r="B5" s="37" t="s">
        <v>1217</v>
      </c>
      <c r="C5" s="72">
        <f>IFERROR(VLOOKUP(A5,[1]eco_bus_institutions!B:E,2,0),"")</f>
        <v>56</v>
      </c>
      <c r="D5" s="72">
        <f>IFERROR(VLOOKUP(A5,[1]eco_bus_institutions!B:E,4,0),"")</f>
        <v>7.8669057359282943</v>
      </c>
      <c r="E5" s="73">
        <f t="shared" si="0"/>
        <v>3</v>
      </c>
      <c r="F5" s="40">
        <f>IFERROR(VLOOKUP(A5,[1]eco_institutions!B:D,2,0),"")</f>
        <v>44</v>
      </c>
      <c r="G5" s="40">
        <f>IFERROR(VLOOKUP(A5,[1]eco_institutions!B:E,4,0),"")</f>
        <v>8</v>
      </c>
      <c r="H5" s="14">
        <f t="shared" si="1"/>
        <v>1</v>
      </c>
      <c r="I5" s="46">
        <f>IFERROR(VLOOKUP(A5,[1]fin_institutions!B:D,2,0),"")</f>
        <v>6</v>
      </c>
      <c r="J5" s="41">
        <f>IFERROR(VLOOKUP(A5,[1]fin_institutions!B:E,4,0),"")</f>
        <v>1.950129069525619</v>
      </c>
      <c r="K5" s="41">
        <f t="shared" si="2"/>
        <v>170</v>
      </c>
      <c r="L5" s="56">
        <f>IFERROR(VLOOKUP(A5,[1]bus_institutions!B:D,2,0),"")</f>
        <v>5</v>
      </c>
      <c r="M5" s="42">
        <f>IFERROR(VLOOKUP(A5,[1]bus_institutions!B:E,4,0),"")</f>
        <v>2.053471762758261</v>
      </c>
      <c r="N5" s="23">
        <f t="shared" si="3"/>
        <v>311</v>
      </c>
      <c r="O5" s="61">
        <f>IFERROR(VLOOKUP(A5,[1]man_institutions!B:E,2,0),"")</f>
        <v>10</v>
      </c>
      <c r="P5" s="62">
        <f>IFERROR(VLOOKUP(A5,[1]man_institutions!B:E,4,0),"")</f>
        <v>5.3733351838239454</v>
      </c>
      <c r="Q5" s="63">
        <f t="shared" si="4"/>
        <v>31</v>
      </c>
    </row>
    <row r="6" spans="1:17" x14ac:dyDescent="0.25">
      <c r="A6" s="6" t="s">
        <v>621</v>
      </c>
      <c r="B6" s="37" t="s">
        <v>1219</v>
      </c>
      <c r="C6" s="72">
        <f>IFERROR(VLOOKUP(A6,[1]eco_bus_institutions!B:E,2,0),"")</f>
        <v>39</v>
      </c>
      <c r="D6" s="72">
        <f>IFERROR(VLOOKUP(A6,[1]eco_bus_institutions!B:E,4,0),"")</f>
        <v>5.1989095576021986</v>
      </c>
      <c r="E6" s="73">
        <f t="shared" si="0"/>
        <v>12</v>
      </c>
      <c r="F6" s="40">
        <f>IFERROR(VLOOKUP(A6,[1]eco_institutions!B:D,2,0),"")</f>
        <v>28</v>
      </c>
      <c r="G6" s="40">
        <f>IFERROR(VLOOKUP(A6,[1]eco_institutions!B:E,4,0),"")</f>
        <v>4.0017151316232962</v>
      </c>
      <c r="H6" s="14">
        <f t="shared" si="1"/>
        <v>26</v>
      </c>
      <c r="I6" s="46">
        <f>IFERROR(VLOOKUP(A6,[1]fin_institutions!B:D,2,0),"")</f>
        <v>28</v>
      </c>
      <c r="J6" s="41">
        <f>IFERROR(VLOOKUP(A6,[1]fin_institutions!B:E,4,0),"")</f>
        <v>4.7617702250038203</v>
      </c>
      <c r="K6" s="41">
        <f t="shared" si="2"/>
        <v>17</v>
      </c>
      <c r="L6" s="56" t="str">
        <f>IFERROR(VLOOKUP(A6,[1]bus_institutions!B:D,2,0),"")</f>
        <v/>
      </c>
      <c r="M6" s="42" t="str">
        <f>IFERROR(VLOOKUP(A6,[1]bus_institutions!B:E,4,0),"")</f>
        <v/>
      </c>
      <c r="N6" s="23" t="str">
        <f t="shared" si="3"/>
        <v/>
      </c>
      <c r="O6" s="61" t="str">
        <f>IFERROR(VLOOKUP(A6,[1]man_institutions!B:E,2,0),"")</f>
        <v/>
      </c>
      <c r="P6" s="62" t="str">
        <f>IFERROR(VLOOKUP(A6,[1]man_institutions!B:E,4,0),"")</f>
        <v/>
      </c>
      <c r="Q6" s="63" t="str">
        <f t="shared" si="4"/>
        <v/>
      </c>
    </row>
    <row r="7" spans="1:17" x14ac:dyDescent="0.25">
      <c r="A7" s="6" t="s">
        <v>616</v>
      </c>
      <c r="B7" s="37" t="s">
        <v>1216</v>
      </c>
      <c r="C7" s="72">
        <f>IFERROR(VLOOKUP(A7,[1]eco_bus_institutions!B:E,2,0),"")</f>
        <v>61</v>
      </c>
      <c r="D7" s="72">
        <f>IFERROR(VLOOKUP(A7,[1]eco_bus_institutions!B:E,4,0),"")</f>
        <v>6.8992680164598612</v>
      </c>
      <c r="E7" s="73">
        <f t="shared" si="0"/>
        <v>4</v>
      </c>
      <c r="F7" s="40">
        <f>IFERROR(VLOOKUP(A7,[1]eco_institutions!B:D,2,0),"")</f>
        <v>30</v>
      </c>
      <c r="G7" s="40">
        <f>IFERROR(VLOOKUP(A7,[1]eco_institutions!B:E,4,0),"")</f>
        <v>7.4382433689431187</v>
      </c>
      <c r="H7" s="14">
        <f t="shared" si="1"/>
        <v>3</v>
      </c>
      <c r="I7" s="46">
        <f>IFERROR(VLOOKUP(A7,[1]fin_institutions!B:D,2,0),"")</f>
        <v>16</v>
      </c>
      <c r="J7" s="41">
        <f>IFERROR(VLOOKUP(A7,[1]fin_institutions!B:E,4,0),"")</f>
        <v>5.043986007285957</v>
      </c>
      <c r="K7" s="41">
        <f t="shared" si="2"/>
        <v>13</v>
      </c>
      <c r="L7" s="56">
        <f>IFERROR(VLOOKUP(A7,[1]bus_institutions!B:D,2,0),"")</f>
        <v>23</v>
      </c>
      <c r="M7" s="42">
        <f>IFERROR(VLOOKUP(A7,[1]bus_institutions!B:E,4,0),"")</f>
        <v>5.1544791471468674</v>
      </c>
      <c r="N7" s="23">
        <f t="shared" si="3"/>
        <v>11</v>
      </c>
      <c r="O7" s="61">
        <f>IFERROR(VLOOKUP(A7,[1]man_institutions!B:E,2,0),"")</f>
        <v>22</v>
      </c>
      <c r="P7" s="62">
        <f>IFERROR(VLOOKUP(A7,[1]man_institutions!B:E,4,0),"")</f>
        <v>5.7121905763979726</v>
      </c>
      <c r="Q7" s="63">
        <f t="shared" si="4"/>
        <v>21</v>
      </c>
    </row>
    <row r="8" spans="1:17" x14ac:dyDescent="0.25">
      <c r="A8" s="6" t="s">
        <v>623</v>
      </c>
      <c r="B8" s="37" t="s">
        <v>1217</v>
      </c>
      <c r="C8" s="72">
        <f>IFERROR(VLOOKUP(A8,[1]eco_bus_institutions!B:E,2,0),"")</f>
        <v>113</v>
      </c>
      <c r="D8" s="72">
        <f>IFERROR(VLOOKUP(A8,[1]eco_bus_institutions!B:E,4,0),"")</f>
        <v>6.7455877651758529</v>
      </c>
      <c r="E8" s="73">
        <f t="shared" si="0"/>
        <v>5</v>
      </c>
      <c r="F8" s="40">
        <f>IFERROR(VLOOKUP(A8,[1]eco_institutions!B:D,2,0),"")</f>
        <v>101</v>
      </c>
      <c r="G8" s="40">
        <f>IFERROR(VLOOKUP(A8,[1]eco_institutions!B:E,4,0),"")</f>
        <v>6.4527793481973239</v>
      </c>
      <c r="H8" s="14">
        <f t="shared" si="1"/>
        <v>5</v>
      </c>
      <c r="I8" s="46">
        <f>IFERROR(VLOOKUP(A8,[1]fin_institutions!B:D,2,0),"")</f>
        <v>18</v>
      </c>
      <c r="J8" s="41">
        <f>IFERROR(VLOOKUP(A8,[1]fin_institutions!B:E,4,0),"")</f>
        <v>3.9390817567704501</v>
      </c>
      <c r="K8" s="41">
        <f t="shared" si="2"/>
        <v>36</v>
      </c>
      <c r="L8" s="56" t="str">
        <f>IFERROR(VLOOKUP(A8,[1]bus_institutions!B:D,2,0),"")</f>
        <v/>
      </c>
      <c r="M8" s="42" t="str">
        <f>IFERROR(VLOOKUP(A8,[1]bus_institutions!B:E,4,0),"")</f>
        <v/>
      </c>
      <c r="N8" s="23" t="str">
        <f t="shared" si="3"/>
        <v/>
      </c>
      <c r="O8" s="61" t="str">
        <f>IFERROR(VLOOKUP(A8,[1]man_institutions!B:E,2,0),"")</f>
        <v/>
      </c>
      <c r="P8" s="62" t="str">
        <f>IFERROR(VLOOKUP(A8,[1]man_institutions!B:E,4,0),"")</f>
        <v/>
      </c>
      <c r="Q8" s="63" t="str">
        <f t="shared" si="4"/>
        <v/>
      </c>
    </row>
    <row r="9" spans="1:17" x14ac:dyDescent="0.25">
      <c r="A9" s="6" t="s">
        <v>624</v>
      </c>
      <c r="B9" s="37" t="s">
        <v>1217</v>
      </c>
      <c r="C9" s="72">
        <f>IFERROR(VLOOKUP(A9,[1]eco_bus_institutions!B:E,2,0),"")</f>
        <v>165</v>
      </c>
      <c r="D9" s="72">
        <f>IFERROR(VLOOKUP(A9,[1]eco_bus_institutions!B:E,4,0),"")</f>
        <v>6.0289883070787189</v>
      </c>
      <c r="E9" s="73">
        <f t="shared" si="0"/>
        <v>6</v>
      </c>
      <c r="F9" s="40">
        <f>IFERROR(VLOOKUP(A9,[1]eco_institutions!B:D,2,0),"")</f>
        <v>134</v>
      </c>
      <c r="G9" s="40">
        <f>IFERROR(VLOOKUP(A9,[1]eco_institutions!B:E,4,0),"")</f>
        <v>5.6264041115100492</v>
      </c>
      <c r="H9" s="14">
        <f t="shared" si="1"/>
        <v>9</v>
      </c>
      <c r="I9" s="46">
        <f>IFERROR(VLOOKUP(A9,[1]fin_institutions!B:D,2,0),"")</f>
        <v>27</v>
      </c>
      <c r="J9" s="41">
        <f>IFERROR(VLOOKUP(A9,[1]fin_institutions!B:E,4,0),"")</f>
        <v>7.5523197236165753</v>
      </c>
      <c r="K9" s="41">
        <f t="shared" si="2"/>
        <v>2</v>
      </c>
      <c r="L9" s="56">
        <f>IFERROR(VLOOKUP(A9,[1]bus_institutions!B:D,2,0),"")</f>
        <v>13</v>
      </c>
      <c r="M9" s="42">
        <f>IFERROR(VLOOKUP(A9,[1]bus_institutions!B:E,4,0),"")</f>
        <v>5.2209887143744549</v>
      </c>
      <c r="N9" s="23">
        <f t="shared" si="3"/>
        <v>10</v>
      </c>
      <c r="O9" s="61">
        <f>IFERROR(VLOOKUP(A9,[1]man_institutions!B:E,2,0),"")</f>
        <v>14</v>
      </c>
      <c r="P9" s="62">
        <f>IFERROR(VLOOKUP(A9,[1]man_institutions!B:E,4,0),"")</f>
        <v>5.3674032909759406</v>
      </c>
      <c r="Q9" s="63">
        <f t="shared" si="4"/>
        <v>32</v>
      </c>
    </row>
    <row r="10" spans="1:17" x14ac:dyDescent="0.25">
      <c r="A10" s="6" t="s">
        <v>630</v>
      </c>
      <c r="B10" s="37" t="s">
        <v>1217</v>
      </c>
      <c r="C10" s="72">
        <f>IFERROR(VLOOKUP(A10,[1]eco_bus_institutions!B:E,2,0),"")</f>
        <v>724</v>
      </c>
      <c r="D10" s="72">
        <f>IFERROR(VLOOKUP(A10,[1]eco_bus_institutions!B:E,4,0),"")</f>
        <v>5.8878174693094119</v>
      </c>
      <c r="E10" s="73">
        <f t="shared" si="0"/>
        <v>8</v>
      </c>
      <c r="F10" s="40">
        <f>IFERROR(VLOOKUP(A10,[1]eco_institutions!B:D,2,0),"")</f>
        <v>710</v>
      </c>
      <c r="G10" s="40">
        <f>IFERROR(VLOOKUP(A10,[1]eco_institutions!B:E,4,0),"")</f>
        <v>5.0418361208377824</v>
      </c>
      <c r="H10" s="14">
        <f t="shared" si="1"/>
        <v>13</v>
      </c>
      <c r="I10" s="46" t="str">
        <f>IFERROR(VLOOKUP(A10,[1]fin_institutions!B:D,2,0),"")</f>
        <v/>
      </c>
      <c r="J10" s="41" t="str">
        <f>IFERROR(VLOOKUP(A10,[1]fin_institutions!B:E,4,0),"")</f>
        <v/>
      </c>
      <c r="K10" s="41" t="str">
        <f t="shared" si="2"/>
        <v/>
      </c>
      <c r="L10" s="56" t="str">
        <f>IFERROR(VLOOKUP(A10,[1]bus_institutions!B:D,2,0),"")</f>
        <v/>
      </c>
      <c r="M10" s="42" t="str">
        <f>IFERROR(VLOOKUP(A10,[1]bus_institutions!B:E,4,0),"")</f>
        <v/>
      </c>
      <c r="N10" s="23" t="str">
        <f t="shared" si="3"/>
        <v/>
      </c>
      <c r="O10" s="61" t="str">
        <f>IFERROR(VLOOKUP(A10,[1]man_institutions!B:E,2,0),"")</f>
        <v/>
      </c>
      <c r="P10" s="62" t="str">
        <f>IFERROR(VLOOKUP(A10,[1]man_institutions!B:E,4,0),"")</f>
        <v/>
      </c>
      <c r="Q10" s="63" t="str">
        <f t="shared" si="4"/>
        <v/>
      </c>
    </row>
    <row r="11" spans="1:17" x14ac:dyDescent="0.25">
      <c r="A11" s="6" t="s">
        <v>622</v>
      </c>
      <c r="B11" s="37" t="s">
        <v>1217</v>
      </c>
      <c r="C11" s="72">
        <f>IFERROR(VLOOKUP(A11,[1]eco_bus_institutions!B:E,2,0),"")</f>
        <v>273</v>
      </c>
      <c r="D11" s="72">
        <f>IFERROR(VLOOKUP(A11,[1]eco_bus_institutions!B:E,4,0),"")</f>
        <v>5.9488520702807559</v>
      </c>
      <c r="E11" s="73">
        <f t="shared" si="0"/>
        <v>7</v>
      </c>
      <c r="F11" s="40">
        <f>IFERROR(VLOOKUP(A11,[1]eco_institutions!B:D,2,0),"")</f>
        <v>196</v>
      </c>
      <c r="G11" s="40">
        <f>IFERROR(VLOOKUP(A11,[1]eco_institutions!B:E,4,0),"")</f>
        <v>5.2596414163536247</v>
      </c>
      <c r="H11" s="14">
        <f t="shared" si="1"/>
        <v>11</v>
      </c>
      <c r="I11" s="46">
        <f>IFERROR(VLOOKUP(A11,[1]fin_institutions!B:D,2,0),"")</f>
        <v>44</v>
      </c>
      <c r="J11" s="41">
        <f>IFERROR(VLOOKUP(A11,[1]fin_institutions!B:E,4,0),"")</f>
        <v>6.3582140353265606</v>
      </c>
      <c r="K11" s="41">
        <f t="shared" si="2"/>
        <v>4</v>
      </c>
      <c r="L11" s="56">
        <f>IFERROR(VLOOKUP(A11,[1]bus_institutions!B:D,2,0),"")</f>
        <v>37</v>
      </c>
      <c r="M11" s="42">
        <f>IFERROR(VLOOKUP(A11,[1]bus_institutions!B:E,4,0),"")</f>
        <v>5.1481253436939287</v>
      </c>
      <c r="N11" s="23">
        <f t="shared" si="3"/>
        <v>12</v>
      </c>
      <c r="O11" s="61">
        <f>IFERROR(VLOOKUP(A11,[1]man_institutions!B:E,2,0),"")</f>
        <v>59</v>
      </c>
      <c r="P11" s="62">
        <f>IFERROR(VLOOKUP(A11,[1]man_institutions!B:E,4,0),"")</f>
        <v>7.7233048660269246</v>
      </c>
      <c r="Q11" s="63">
        <f t="shared" si="4"/>
        <v>3</v>
      </c>
    </row>
    <row r="12" spans="1:17" x14ac:dyDescent="0.25">
      <c r="A12" s="6" t="s">
        <v>628</v>
      </c>
      <c r="B12" s="37" t="s">
        <v>1217</v>
      </c>
      <c r="C12" s="72">
        <f>IFERROR(VLOOKUP(A12,[1]eco_bus_institutions!B:E,2,0),"")</f>
        <v>244</v>
      </c>
      <c r="D12" s="72">
        <f>IFERROR(VLOOKUP(A12,[1]eco_bus_institutions!B:E,4,0),"")</f>
        <v>5.8630031809066976</v>
      </c>
      <c r="E12" s="73">
        <f t="shared" si="0"/>
        <v>9</v>
      </c>
      <c r="F12" s="40">
        <f>IFERROR(VLOOKUP(A12,[1]eco_institutions!B:D,2,0),"")</f>
        <v>152</v>
      </c>
      <c r="G12" s="40">
        <f>IFERROR(VLOOKUP(A12,[1]eco_institutions!B:E,4,0),"")</f>
        <v>6.2364644534629496</v>
      </c>
      <c r="H12" s="14">
        <f t="shared" si="1"/>
        <v>6</v>
      </c>
      <c r="I12" s="46">
        <f>IFERROR(VLOOKUP(A12,[1]fin_institutions!B:D,2,0),"")</f>
        <v>49</v>
      </c>
      <c r="J12" s="41">
        <f>IFERROR(VLOOKUP(A12,[1]fin_institutions!B:E,4,0),"")</f>
        <v>3.322530482725877</v>
      </c>
      <c r="K12" s="41">
        <f t="shared" si="2"/>
        <v>60</v>
      </c>
      <c r="L12" s="56">
        <f>IFERROR(VLOOKUP(A12,[1]bus_institutions!B:D,2,0),"")</f>
        <v>33</v>
      </c>
      <c r="M12" s="42">
        <f>IFERROR(VLOOKUP(A12,[1]bus_institutions!B:E,4,0),"")</f>
        <v>3.0510826354338652</v>
      </c>
      <c r="N12" s="23">
        <f t="shared" si="3"/>
        <v>108</v>
      </c>
      <c r="O12" s="61">
        <f>IFERROR(VLOOKUP(A12,[1]man_institutions!B:E,2,0),"")</f>
        <v>65</v>
      </c>
      <c r="P12" s="62">
        <f>IFERROR(VLOOKUP(A12,[1]man_institutions!B:E,4,0),"")</f>
        <v>5.1443481712869996</v>
      </c>
      <c r="Q12" s="63">
        <f t="shared" si="4"/>
        <v>36</v>
      </c>
    </row>
    <row r="13" spans="1:17" x14ac:dyDescent="0.25">
      <c r="A13" s="6" t="s">
        <v>637</v>
      </c>
      <c r="B13" s="37" t="s">
        <v>1217</v>
      </c>
      <c r="C13" s="72">
        <f>IFERROR(VLOOKUP(A13,[1]eco_bus_institutions!B:E,2,0),"")</f>
        <v>207</v>
      </c>
      <c r="D13" s="72">
        <f>IFERROR(VLOOKUP(A13,[1]eco_bus_institutions!B:E,4,0),"")</f>
        <v>5.3261617446355363</v>
      </c>
      <c r="E13" s="73">
        <f t="shared" si="0"/>
        <v>10</v>
      </c>
      <c r="F13" s="40">
        <f>IFERROR(VLOOKUP(A13,[1]eco_institutions!B:D,2,0),"")</f>
        <v>156</v>
      </c>
      <c r="G13" s="40">
        <f>IFERROR(VLOOKUP(A13,[1]eco_institutions!B:E,4,0),"")</f>
        <v>5.2397573373506372</v>
      </c>
      <c r="H13" s="14">
        <f t="shared" si="1"/>
        <v>12</v>
      </c>
      <c r="I13" s="46">
        <f>IFERROR(VLOOKUP(A13,[1]fin_institutions!B:D,2,0),"")</f>
        <v>28</v>
      </c>
      <c r="J13" s="41">
        <f>IFERROR(VLOOKUP(A13,[1]fin_institutions!B:E,4,0),"")</f>
        <v>4.1640943039222078</v>
      </c>
      <c r="K13" s="41">
        <f t="shared" si="2"/>
        <v>28</v>
      </c>
      <c r="L13" s="56">
        <f>IFERROR(VLOOKUP(A13,[1]bus_institutions!B:D,2,0),"")</f>
        <v>26</v>
      </c>
      <c r="M13" s="42">
        <f>IFERROR(VLOOKUP(A13,[1]bus_institutions!B:E,4,0),"")</f>
        <v>3.8922578639566838</v>
      </c>
      <c r="N13" s="23">
        <f t="shared" si="3"/>
        <v>40</v>
      </c>
      <c r="O13" s="61">
        <f>IFERROR(VLOOKUP(A13,[1]man_institutions!B:E,2,0),"")</f>
        <v>45</v>
      </c>
      <c r="P13" s="62">
        <f>IFERROR(VLOOKUP(A13,[1]man_institutions!B:E,4,0),"")</f>
        <v>4.3768842812169364</v>
      </c>
      <c r="Q13" s="63">
        <f t="shared" si="4"/>
        <v>60</v>
      </c>
    </row>
    <row r="14" spans="1:17" x14ac:dyDescent="0.25">
      <c r="A14" s="6" t="s">
        <v>633</v>
      </c>
      <c r="B14" s="37" t="s">
        <v>1217</v>
      </c>
      <c r="C14" s="72">
        <f>IFERROR(VLOOKUP(A14,[1]eco_bus_institutions!B:E,2,0),"")</f>
        <v>256</v>
      </c>
      <c r="D14" s="72">
        <f>IFERROR(VLOOKUP(A14,[1]eco_bus_institutions!B:E,4,0),"")</f>
        <v>4.933784390681943</v>
      </c>
      <c r="E14" s="73">
        <f t="shared" si="0"/>
        <v>15</v>
      </c>
      <c r="F14" s="40">
        <f>IFERROR(VLOOKUP(A14,[1]eco_institutions!B:D,2,0),"")</f>
        <v>165</v>
      </c>
      <c r="G14" s="40">
        <f>IFERROR(VLOOKUP(A14,[1]eco_institutions!B:E,4,0),"")</f>
        <v>4.6213954813069984</v>
      </c>
      <c r="H14" s="14">
        <f t="shared" si="1"/>
        <v>18</v>
      </c>
      <c r="I14" s="46">
        <f>IFERROR(VLOOKUP(A14,[1]fin_institutions!B:D,2,0),"")</f>
        <v>61</v>
      </c>
      <c r="J14" s="41">
        <f>IFERROR(VLOOKUP(A14,[1]fin_institutions!B:E,4,0),"")</f>
        <v>4.6779708327209724</v>
      </c>
      <c r="K14" s="41">
        <f t="shared" si="2"/>
        <v>19</v>
      </c>
      <c r="L14" s="56">
        <f>IFERROR(VLOOKUP(A14,[1]bus_institutions!B:D,2,0),"")</f>
        <v>47</v>
      </c>
      <c r="M14" s="42">
        <f>IFERROR(VLOOKUP(A14,[1]bus_institutions!B:E,4,0),"")</f>
        <v>5.0050458049808313</v>
      </c>
      <c r="N14" s="23">
        <f t="shared" si="3"/>
        <v>14</v>
      </c>
      <c r="O14" s="61">
        <f>IFERROR(VLOOKUP(A14,[1]man_institutions!B:E,2,0),"")</f>
        <v>39</v>
      </c>
      <c r="P14" s="62">
        <f>IFERROR(VLOOKUP(A14,[1]man_institutions!B:E,4,0),"")</f>
        <v>3.340290057164558</v>
      </c>
      <c r="Q14" s="63">
        <f t="shared" si="4"/>
        <v>153</v>
      </c>
    </row>
    <row r="15" spans="1:17" x14ac:dyDescent="0.25">
      <c r="A15" s="6" t="s">
        <v>632</v>
      </c>
      <c r="B15" s="37" t="s">
        <v>1217</v>
      </c>
      <c r="C15" s="72">
        <f>IFERROR(VLOOKUP(A15,[1]eco_bus_institutions!B:E,2,0),"")</f>
        <v>430</v>
      </c>
      <c r="D15" s="72">
        <f>IFERROR(VLOOKUP(A15,[1]eco_bus_institutions!B:E,4,0),"")</f>
        <v>5.2647342061697051</v>
      </c>
      <c r="E15" s="73">
        <f t="shared" si="0"/>
        <v>11</v>
      </c>
      <c r="F15" s="40">
        <f>IFERROR(VLOOKUP(A15,[1]eco_institutions!B:D,2,0),"")</f>
        <v>265</v>
      </c>
      <c r="G15" s="40">
        <f>IFERROR(VLOOKUP(A15,[1]eco_institutions!B:E,4,0),"")</f>
        <v>5.7076664030410704</v>
      </c>
      <c r="H15" s="14">
        <f t="shared" si="1"/>
        <v>8</v>
      </c>
      <c r="I15" s="46">
        <f>IFERROR(VLOOKUP(A15,[1]fin_institutions!B:D,2,0),"")</f>
        <v>52</v>
      </c>
      <c r="J15" s="41">
        <f>IFERROR(VLOOKUP(A15,[1]fin_institutions!B:E,4,0),"")</f>
        <v>4.1362221824191892</v>
      </c>
      <c r="K15" s="41">
        <f t="shared" si="2"/>
        <v>30</v>
      </c>
      <c r="L15" s="56">
        <f>IFERROR(VLOOKUP(A15,[1]bus_institutions!B:D,2,0),"")</f>
        <v>85</v>
      </c>
      <c r="M15" s="42">
        <f>IFERROR(VLOOKUP(A15,[1]bus_institutions!B:E,4,0),"")</f>
        <v>3.3867385873760329</v>
      </c>
      <c r="N15" s="23">
        <f t="shared" si="3"/>
        <v>77</v>
      </c>
      <c r="O15" s="61">
        <f>IFERROR(VLOOKUP(A15,[1]man_institutions!B:E,2,0),"")</f>
        <v>106</v>
      </c>
      <c r="P15" s="62">
        <f>IFERROR(VLOOKUP(A15,[1]man_institutions!B:E,4,0),"")</f>
        <v>4.4284250678852981</v>
      </c>
      <c r="Q15" s="63">
        <f t="shared" si="4"/>
        <v>56</v>
      </c>
    </row>
    <row r="16" spans="1:17" x14ac:dyDescent="0.25">
      <c r="A16" s="6" t="s">
        <v>629</v>
      </c>
      <c r="B16" s="37" t="s">
        <v>1217</v>
      </c>
      <c r="C16" s="72">
        <f>IFERROR(VLOOKUP(A16,[1]eco_bus_institutions!B:E,2,0),"")</f>
        <v>109</v>
      </c>
      <c r="D16" s="72">
        <f>IFERROR(VLOOKUP(A16,[1]eco_bus_institutions!B:E,4,0),"")</f>
        <v>4.6515633622217987</v>
      </c>
      <c r="E16" s="73">
        <f t="shared" si="0"/>
        <v>20</v>
      </c>
      <c r="F16" s="40">
        <f>IFERROR(VLOOKUP(A16,[1]eco_institutions!B:D,2,0),"")</f>
        <v>54</v>
      </c>
      <c r="G16" s="40">
        <f>IFERROR(VLOOKUP(A16,[1]eco_institutions!B:E,4,0),"")</f>
        <v>3.7597089217697932</v>
      </c>
      <c r="H16" s="14">
        <f t="shared" si="1"/>
        <v>28</v>
      </c>
      <c r="I16" s="46">
        <f>IFERROR(VLOOKUP(A16,[1]fin_institutions!B:D,2,0),"")</f>
        <v>32</v>
      </c>
      <c r="J16" s="41">
        <f>IFERROR(VLOOKUP(A16,[1]fin_institutions!B:E,4,0),"")</f>
        <v>5.588968987165301</v>
      </c>
      <c r="K16" s="41">
        <f t="shared" si="2"/>
        <v>9</v>
      </c>
      <c r="L16" s="56">
        <f>IFERROR(VLOOKUP(A16,[1]bus_institutions!B:D,2,0),"")</f>
        <v>26</v>
      </c>
      <c r="M16" s="42">
        <f>IFERROR(VLOOKUP(A16,[1]bus_institutions!B:E,4,0),"")</f>
        <v>4.6320505277084614</v>
      </c>
      <c r="N16" s="23">
        <f t="shared" si="3"/>
        <v>21</v>
      </c>
      <c r="O16" s="61">
        <f>IFERROR(VLOOKUP(A16,[1]man_institutions!B:E,2,0),"")</f>
        <v>29</v>
      </c>
      <c r="P16" s="62">
        <f>IFERROR(VLOOKUP(A16,[1]man_institutions!B:E,4,0),"")</f>
        <v>6.8249857291477989</v>
      </c>
      <c r="Q16" s="63">
        <f t="shared" si="4"/>
        <v>7</v>
      </c>
    </row>
    <row r="17" spans="1:17" x14ac:dyDescent="0.25">
      <c r="A17" s="6" t="s">
        <v>625</v>
      </c>
      <c r="B17" s="37" t="s">
        <v>1217</v>
      </c>
      <c r="C17" s="72">
        <f>IFERROR(VLOOKUP(A17,[1]eco_bus_institutions!B:E,2,0),"")</f>
        <v>126</v>
      </c>
      <c r="D17" s="72">
        <f>IFERROR(VLOOKUP(A17,[1]eco_bus_institutions!B:E,4,0),"")</f>
        <v>5.1307579802757468</v>
      </c>
      <c r="E17" s="73">
        <f t="shared" si="0"/>
        <v>13</v>
      </c>
      <c r="F17" s="40">
        <f>IFERROR(VLOOKUP(A17,[1]eco_institutions!B:D,2,0),"")</f>
        <v>73</v>
      </c>
      <c r="G17" s="40">
        <f>IFERROR(VLOOKUP(A17,[1]eco_institutions!B:E,4,0),"")</f>
        <v>4.71934944217859</v>
      </c>
      <c r="H17" s="14">
        <f t="shared" si="1"/>
        <v>17</v>
      </c>
      <c r="I17" s="46">
        <f>IFERROR(VLOOKUP(A17,[1]fin_institutions!B:D,2,0),"")</f>
        <v>23</v>
      </c>
      <c r="J17" s="41">
        <f>IFERROR(VLOOKUP(A17,[1]fin_institutions!B:E,4,0),"")</f>
        <v>2.82321077389927</v>
      </c>
      <c r="K17" s="41">
        <f t="shared" si="2"/>
        <v>78</v>
      </c>
      <c r="L17" s="56">
        <f>IFERROR(VLOOKUP(A17,[1]bus_institutions!B:D,2,0),"")</f>
        <v>21</v>
      </c>
      <c r="M17" s="42">
        <f>IFERROR(VLOOKUP(A17,[1]bus_institutions!B:E,4,0),"")</f>
        <v>6.8808288893050191</v>
      </c>
      <c r="N17" s="23">
        <f t="shared" si="3"/>
        <v>2</v>
      </c>
      <c r="O17" s="61">
        <f>IFERROR(VLOOKUP(A17,[1]man_institutions!B:E,2,0),"")</f>
        <v>30</v>
      </c>
      <c r="P17" s="62">
        <f>IFERROR(VLOOKUP(A17,[1]man_institutions!B:E,4,0),"")</f>
        <v>6.7696815236389982</v>
      </c>
      <c r="Q17" s="63">
        <f t="shared" si="4"/>
        <v>8</v>
      </c>
    </row>
    <row r="18" spans="1:17" x14ac:dyDescent="0.25">
      <c r="A18" s="6" t="s">
        <v>631</v>
      </c>
      <c r="B18" s="37" t="s">
        <v>1217</v>
      </c>
      <c r="C18" s="72">
        <f>IFERROR(VLOOKUP(A18,[1]eco_bus_institutions!B:E,2,0),"")</f>
        <v>180</v>
      </c>
      <c r="D18" s="72">
        <f>IFERROR(VLOOKUP(A18,[1]eco_bus_institutions!B:E,4,0),"")</f>
        <v>4.93065683597416</v>
      </c>
      <c r="E18" s="73">
        <f t="shared" si="0"/>
        <v>16</v>
      </c>
      <c r="F18" s="40">
        <f>IFERROR(VLOOKUP(A18,[1]eco_institutions!B:D,2,0),"")</f>
        <v>102</v>
      </c>
      <c r="G18" s="40">
        <f>IFERROR(VLOOKUP(A18,[1]eco_institutions!B:E,4,0),"")</f>
        <v>4.909136133601451</v>
      </c>
      <c r="H18" s="14">
        <f t="shared" si="1"/>
        <v>14</v>
      </c>
      <c r="I18" s="46">
        <f>IFERROR(VLOOKUP(A18,[1]fin_institutions!B:D,2,0),"")</f>
        <v>9</v>
      </c>
      <c r="J18" s="41">
        <f>IFERROR(VLOOKUP(A18,[1]fin_institutions!B:E,4,0),"")</f>
        <v>5.6655085552305282</v>
      </c>
      <c r="K18" s="41">
        <f t="shared" si="2"/>
        <v>8</v>
      </c>
      <c r="L18" s="56">
        <f>IFERROR(VLOOKUP(A18,[1]bus_institutions!B:D,2,0),"")</f>
        <v>48</v>
      </c>
      <c r="M18" s="42">
        <f>IFERROR(VLOOKUP(A18,[1]bus_institutions!B:E,4,0),"")</f>
        <v>4.9950535290815967</v>
      </c>
      <c r="N18" s="23">
        <f t="shared" si="3"/>
        <v>15</v>
      </c>
      <c r="O18" s="61">
        <f>IFERROR(VLOOKUP(A18,[1]man_institutions!B:E,2,0),"")</f>
        <v>52</v>
      </c>
      <c r="P18" s="62">
        <f>IFERROR(VLOOKUP(A18,[1]man_institutions!B:E,4,0),"")</f>
        <v>4.326277201933701</v>
      </c>
      <c r="Q18" s="63">
        <f t="shared" si="4"/>
        <v>62</v>
      </c>
    </row>
    <row r="19" spans="1:17" x14ac:dyDescent="0.25">
      <c r="A19" s="6" t="s">
        <v>638</v>
      </c>
      <c r="B19" s="37" t="s">
        <v>1217</v>
      </c>
      <c r="C19" s="72">
        <f>IFERROR(VLOOKUP(A19,[1]eco_bus_institutions!B:E,2,0),"")</f>
        <v>83</v>
      </c>
      <c r="D19" s="72">
        <f>IFERROR(VLOOKUP(A19,[1]eco_bus_institutions!B:E,4,0),"")</f>
        <v>4.4397853077330183</v>
      </c>
      <c r="E19" s="73">
        <f t="shared" si="0"/>
        <v>23</v>
      </c>
      <c r="F19" s="40">
        <f>IFERROR(VLOOKUP(A19,[1]eco_institutions!B:D,2,0),"")</f>
        <v>46</v>
      </c>
      <c r="G19" s="40">
        <f>IFERROR(VLOOKUP(A19,[1]eco_institutions!B:E,4,0),"")</f>
        <v>3.4909442423729971</v>
      </c>
      <c r="H19" s="14">
        <f t="shared" si="1"/>
        <v>32</v>
      </c>
      <c r="I19" s="46">
        <f>IFERROR(VLOOKUP(A19,[1]fin_institutions!B:D,2,0),"")</f>
        <v>29</v>
      </c>
      <c r="J19" s="41">
        <f>IFERROR(VLOOKUP(A19,[1]fin_institutions!B:E,4,0),"")</f>
        <v>4.7518944327795971</v>
      </c>
      <c r="K19" s="41">
        <f t="shared" si="2"/>
        <v>18</v>
      </c>
      <c r="L19" s="56">
        <f>IFERROR(VLOOKUP(A19,[1]bus_institutions!B:D,2,0),"")</f>
        <v>11</v>
      </c>
      <c r="M19" s="42">
        <f>IFERROR(VLOOKUP(A19,[1]bus_institutions!B:E,4,0),"")</f>
        <v>5.0364637519908753</v>
      </c>
      <c r="N19" s="23">
        <f t="shared" si="3"/>
        <v>13</v>
      </c>
      <c r="O19" s="61">
        <f>IFERROR(VLOOKUP(A19,[1]man_institutions!B:E,2,0),"")</f>
        <v>18</v>
      </c>
      <c r="P19" s="62">
        <f>IFERROR(VLOOKUP(A19,[1]man_institutions!B:E,4,0),"")</f>
        <v>6.0838983777745623</v>
      </c>
      <c r="Q19" s="63">
        <f t="shared" si="4"/>
        <v>14</v>
      </c>
    </row>
    <row r="20" spans="1:17" x14ac:dyDescent="0.25">
      <c r="A20" s="6" t="s">
        <v>641</v>
      </c>
      <c r="B20" s="37" t="s">
        <v>1219</v>
      </c>
      <c r="C20" s="72">
        <f>IFERROR(VLOOKUP(A20,[1]eco_bus_institutions!B:E,2,0),"")</f>
        <v>50</v>
      </c>
      <c r="D20" s="72">
        <f>IFERROR(VLOOKUP(A20,[1]eco_bus_institutions!B:E,4,0),"")</f>
        <v>3.685229122165389</v>
      </c>
      <c r="E20" s="73">
        <f t="shared" si="0"/>
        <v>39</v>
      </c>
      <c r="F20" s="40">
        <f>IFERROR(VLOOKUP(A20,[1]eco_institutions!B:D,2,0),"")</f>
        <v>36</v>
      </c>
      <c r="G20" s="40">
        <f>IFERROR(VLOOKUP(A20,[1]eco_institutions!B:E,4,0),"")</f>
        <v>2.8349841098082531</v>
      </c>
      <c r="H20" s="14">
        <f t="shared" si="1"/>
        <v>61</v>
      </c>
      <c r="I20" s="46">
        <f>IFERROR(VLOOKUP(A20,[1]fin_institutions!B:D,2,0),"")</f>
        <v>15</v>
      </c>
      <c r="J20" s="41">
        <f>IFERROR(VLOOKUP(A20,[1]fin_institutions!B:E,4,0),"")</f>
        <v>5.8481869011237588</v>
      </c>
      <c r="K20" s="41">
        <f t="shared" si="2"/>
        <v>7</v>
      </c>
      <c r="L20" s="56">
        <f>IFERROR(VLOOKUP(A20,[1]bus_institutions!B:D,2,0),"")</f>
        <v>11</v>
      </c>
      <c r="M20" s="42">
        <f>IFERROR(VLOOKUP(A20,[1]bus_institutions!B:E,4,0),"")</f>
        <v>2.336773064567081</v>
      </c>
      <c r="N20" s="23">
        <f t="shared" si="3"/>
        <v>237</v>
      </c>
      <c r="O20" s="61">
        <f>IFERROR(VLOOKUP(A20,[1]man_institutions!B:E,2,0),"")</f>
        <v>7</v>
      </c>
      <c r="P20" s="62">
        <f>IFERROR(VLOOKUP(A20,[1]man_institutions!B:E,4,0),"")</f>
        <v>3.5250497663729812</v>
      </c>
      <c r="Q20" s="63">
        <f t="shared" si="4"/>
        <v>123</v>
      </c>
    </row>
    <row r="21" spans="1:17" x14ac:dyDescent="0.25">
      <c r="A21" s="6" t="s">
        <v>651</v>
      </c>
      <c r="B21" s="37" t="s">
        <v>1216</v>
      </c>
      <c r="C21" s="72">
        <f>IFERROR(VLOOKUP(A21,[1]eco_bus_institutions!B:E,2,0),"")</f>
        <v>253</v>
      </c>
      <c r="D21" s="72">
        <f>IFERROR(VLOOKUP(A21,[1]eco_bus_institutions!B:E,4,0),"")</f>
        <v>4.8386890638372382</v>
      </c>
      <c r="E21" s="73">
        <f t="shared" si="0"/>
        <v>17</v>
      </c>
      <c r="F21" s="40">
        <f>IFERROR(VLOOKUP(A21,[1]eco_institutions!B:D,2,0),"")</f>
        <v>233</v>
      </c>
      <c r="G21" s="40">
        <f>IFERROR(VLOOKUP(A21,[1]eco_institutions!B:E,4,0),"")</f>
        <v>4.3003542027293378</v>
      </c>
      <c r="H21" s="14">
        <f t="shared" si="1"/>
        <v>21</v>
      </c>
      <c r="I21" s="46">
        <f>IFERROR(VLOOKUP(A21,[1]fin_institutions!B:D,2,0),"")</f>
        <v>63</v>
      </c>
      <c r="J21" s="41">
        <f>IFERROR(VLOOKUP(A21,[1]fin_institutions!B:E,4,0),"")</f>
        <v>2.8826172911789931</v>
      </c>
      <c r="K21" s="41">
        <f t="shared" si="2"/>
        <v>74</v>
      </c>
      <c r="L21" s="56" t="str">
        <f>IFERROR(VLOOKUP(A21,[1]bus_institutions!B:D,2,0),"")</f>
        <v/>
      </c>
      <c r="M21" s="42" t="str">
        <f>IFERROR(VLOOKUP(A21,[1]bus_institutions!B:E,4,0),"")</f>
        <v/>
      </c>
      <c r="N21" s="23" t="str">
        <f t="shared" si="3"/>
        <v/>
      </c>
      <c r="O21" s="61" t="str">
        <f>IFERROR(VLOOKUP(A21,[1]man_institutions!B:E,2,0),"")</f>
        <v/>
      </c>
      <c r="P21" s="62" t="str">
        <f>IFERROR(VLOOKUP(A21,[1]man_institutions!B:E,4,0),"")</f>
        <v/>
      </c>
      <c r="Q21" s="63" t="str">
        <f t="shared" si="4"/>
        <v/>
      </c>
    </row>
    <row r="22" spans="1:17" x14ac:dyDescent="0.25">
      <c r="A22" s="6" t="s">
        <v>635</v>
      </c>
      <c r="B22" s="37" t="s">
        <v>1217</v>
      </c>
      <c r="C22" s="72">
        <f>IFERROR(VLOOKUP(A22,[1]eco_bus_institutions!B:E,2,0),"")</f>
        <v>64</v>
      </c>
      <c r="D22" s="72">
        <f>IFERROR(VLOOKUP(A22,[1]eco_bus_institutions!B:E,4,0),"")</f>
        <v>4.0317361832241554</v>
      </c>
      <c r="E22" s="73">
        <f t="shared" si="0"/>
        <v>29</v>
      </c>
      <c r="F22" s="40">
        <f>IFERROR(VLOOKUP(A22,[1]eco_institutions!B:D,2,0),"")</f>
        <v>33</v>
      </c>
      <c r="G22" s="40">
        <f>IFERROR(VLOOKUP(A22,[1]eco_institutions!B:E,4,0),"")</f>
        <v>2.2795397319645381</v>
      </c>
      <c r="H22" s="14">
        <f t="shared" si="1"/>
        <v>100</v>
      </c>
      <c r="I22" s="46">
        <f>IFERROR(VLOOKUP(A22,[1]fin_institutions!B:D,2,0),"")</f>
        <v>12</v>
      </c>
      <c r="J22" s="41">
        <f>IFERROR(VLOOKUP(A22,[1]fin_institutions!B:E,4,0),"")</f>
        <v>4.2004490983342846</v>
      </c>
      <c r="K22" s="41">
        <f t="shared" si="2"/>
        <v>27</v>
      </c>
      <c r="L22" s="56">
        <f>IFERROR(VLOOKUP(A22,[1]bus_institutions!B:D,2,0),"")</f>
        <v>15</v>
      </c>
      <c r="M22" s="42">
        <f>IFERROR(VLOOKUP(A22,[1]bus_institutions!B:E,4,0),"")</f>
        <v>8</v>
      </c>
      <c r="N22" s="23">
        <f t="shared" si="3"/>
        <v>1</v>
      </c>
      <c r="O22" s="61">
        <f>IFERROR(VLOOKUP(A22,[1]man_institutions!B:E,2,0),"")</f>
        <v>14</v>
      </c>
      <c r="P22" s="62">
        <f>IFERROR(VLOOKUP(A22,[1]man_institutions!B:E,4,0),"")</f>
        <v>6.1799181891480686</v>
      </c>
      <c r="Q22" s="63">
        <f t="shared" si="4"/>
        <v>12</v>
      </c>
    </row>
    <row r="23" spans="1:17" x14ac:dyDescent="0.25">
      <c r="A23" s="6" t="s">
        <v>649</v>
      </c>
      <c r="B23" s="37" t="s">
        <v>1217</v>
      </c>
      <c r="C23" s="72">
        <f>IFERROR(VLOOKUP(A23,[1]eco_bus_institutions!B:E,2,0),"")</f>
        <v>149</v>
      </c>
      <c r="D23" s="72">
        <f>IFERROR(VLOOKUP(A23,[1]eco_bus_institutions!B:E,4,0),"")</f>
        <v>4.7648017627089168</v>
      </c>
      <c r="E23" s="73">
        <f t="shared" si="0"/>
        <v>18</v>
      </c>
      <c r="F23" s="40">
        <f>IFERROR(VLOOKUP(A23,[1]eco_institutions!B:D,2,0),"")</f>
        <v>88</v>
      </c>
      <c r="G23" s="40">
        <f>IFERROR(VLOOKUP(A23,[1]eco_institutions!B:E,4,0),"")</f>
        <v>5.4430353081393088</v>
      </c>
      <c r="H23" s="14">
        <f t="shared" si="1"/>
        <v>10</v>
      </c>
      <c r="I23" s="46">
        <f>IFERROR(VLOOKUP(A23,[1]fin_institutions!B:D,2,0),"")</f>
        <v>37</v>
      </c>
      <c r="J23" s="41">
        <f>IFERROR(VLOOKUP(A23,[1]fin_institutions!B:E,4,0),"")</f>
        <v>3.0514621944822871</v>
      </c>
      <c r="K23" s="41">
        <f t="shared" si="2"/>
        <v>69</v>
      </c>
      <c r="L23" s="56">
        <f>IFERROR(VLOOKUP(A23,[1]bus_institutions!B:D,2,0),"")</f>
        <v>24</v>
      </c>
      <c r="M23" s="42">
        <f>IFERROR(VLOOKUP(A23,[1]bus_institutions!B:E,4,0),"")</f>
        <v>2.6593013278211051</v>
      </c>
      <c r="N23" s="23">
        <f t="shared" si="3"/>
        <v>161</v>
      </c>
      <c r="O23" s="61">
        <f>IFERROR(VLOOKUP(A23,[1]man_institutions!B:E,2,0),"")</f>
        <v>38</v>
      </c>
      <c r="P23" s="62">
        <f>IFERROR(VLOOKUP(A23,[1]man_institutions!B:E,4,0),"")</f>
        <v>3.9214853911155632</v>
      </c>
      <c r="Q23" s="63">
        <f t="shared" si="4"/>
        <v>83</v>
      </c>
    </row>
    <row r="24" spans="1:17" x14ac:dyDescent="0.25">
      <c r="A24" s="6" t="s">
        <v>620</v>
      </c>
      <c r="B24" s="37" t="s">
        <v>1218</v>
      </c>
      <c r="C24" s="72">
        <f>IFERROR(VLOOKUP(A24,[1]eco_bus_institutions!B:E,2,0),"")</f>
        <v>89</v>
      </c>
      <c r="D24" s="72">
        <f>IFERROR(VLOOKUP(A24,[1]eco_bus_institutions!B:E,4,0),"")</f>
        <v>4.6105493956553811</v>
      </c>
      <c r="E24" s="73">
        <f t="shared" si="0"/>
        <v>21</v>
      </c>
      <c r="F24" s="40">
        <f>IFERROR(VLOOKUP(A24,[1]eco_institutions!B:D,2,0),"")</f>
        <v>21</v>
      </c>
      <c r="G24" s="40">
        <f>IFERROR(VLOOKUP(A24,[1]eco_institutions!B:E,4,0),"")</f>
        <v>2.658511727868432</v>
      </c>
      <c r="H24" s="14">
        <f t="shared" si="1"/>
        <v>71</v>
      </c>
      <c r="I24" s="46">
        <f>IFERROR(VLOOKUP(A24,[1]fin_institutions!B:D,2,0),"")</f>
        <v>11</v>
      </c>
      <c r="J24" s="41">
        <f>IFERROR(VLOOKUP(A24,[1]fin_institutions!B:E,4,0),"")</f>
        <v>4.1206038605977016</v>
      </c>
      <c r="K24" s="41">
        <f t="shared" si="2"/>
        <v>31</v>
      </c>
      <c r="L24" s="56">
        <f>IFERROR(VLOOKUP(A24,[1]bus_institutions!B:D,2,0),"")</f>
        <v>45</v>
      </c>
      <c r="M24" s="42">
        <f>IFERROR(VLOOKUP(A24,[1]bus_institutions!B:E,4,0),"")</f>
        <v>5.4904979069074349</v>
      </c>
      <c r="N24" s="23">
        <f t="shared" si="3"/>
        <v>8</v>
      </c>
      <c r="O24" s="61">
        <f>IFERROR(VLOOKUP(A24,[1]man_institutions!B:E,2,0),"")</f>
        <v>51</v>
      </c>
      <c r="P24" s="62">
        <f>IFERROR(VLOOKUP(A24,[1]man_institutions!B:E,4,0),"")</f>
        <v>6.5705772506799871</v>
      </c>
      <c r="Q24" s="63">
        <f t="shared" si="4"/>
        <v>9</v>
      </c>
    </row>
    <row r="25" spans="1:17" x14ac:dyDescent="0.25">
      <c r="A25" s="6" t="s">
        <v>639</v>
      </c>
      <c r="B25" s="37" t="s">
        <v>1218</v>
      </c>
      <c r="C25" s="72">
        <f>IFERROR(VLOOKUP(A25,[1]eco_bus_institutions!B:E,2,0),"")</f>
        <v>58</v>
      </c>
      <c r="D25" s="72">
        <f>IFERROR(VLOOKUP(A25,[1]eco_bus_institutions!B:E,4,0),"")</f>
        <v>3.87870824423482</v>
      </c>
      <c r="E25" s="73">
        <f t="shared" si="0"/>
        <v>33</v>
      </c>
      <c r="F25" s="40">
        <f>IFERROR(VLOOKUP(A25,[1]eco_institutions!B:D,2,0),"")</f>
        <v>24</v>
      </c>
      <c r="G25" s="40">
        <f>IFERROR(VLOOKUP(A25,[1]eco_institutions!B:E,4,0),"")</f>
        <v>2.9448139893713399</v>
      </c>
      <c r="H25" s="14">
        <f t="shared" si="1"/>
        <v>55</v>
      </c>
      <c r="I25" s="46">
        <f>IFERROR(VLOOKUP(A25,[1]fin_institutions!B:D,2,0),"")</f>
        <v>25</v>
      </c>
      <c r="J25" s="41">
        <f>IFERROR(VLOOKUP(A25,[1]fin_institutions!B:E,4,0),"")</f>
        <v>3.853434329285979</v>
      </c>
      <c r="K25" s="41">
        <f t="shared" si="2"/>
        <v>38</v>
      </c>
      <c r="L25" s="56">
        <f>IFERROR(VLOOKUP(A25,[1]bus_institutions!B:D,2,0),"")</f>
        <v>20</v>
      </c>
      <c r="M25" s="42">
        <f>IFERROR(VLOOKUP(A25,[1]bus_institutions!B:E,4,0),"")</f>
        <v>3.890175184508359</v>
      </c>
      <c r="N25" s="23">
        <f t="shared" si="3"/>
        <v>41</v>
      </c>
      <c r="O25" s="61">
        <f>IFERROR(VLOOKUP(A25,[1]man_institutions!B:E,2,0),"")</f>
        <v>16</v>
      </c>
      <c r="P25" s="62">
        <f>IFERROR(VLOOKUP(A25,[1]man_institutions!B:E,4,0),"")</f>
        <v>7.4391877228527772</v>
      </c>
      <c r="Q25" s="63">
        <f t="shared" si="4"/>
        <v>6</v>
      </c>
    </row>
    <row r="26" spans="1:17" x14ac:dyDescent="0.25">
      <c r="A26" s="6" t="s">
        <v>645</v>
      </c>
      <c r="B26" s="37" t="s">
        <v>1217</v>
      </c>
      <c r="C26" s="72">
        <f>IFERROR(VLOOKUP(A26,[1]eco_bus_institutions!B:E,2,0),"")</f>
        <v>253</v>
      </c>
      <c r="D26" s="72">
        <f>IFERROR(VLOOKUP(A26,[1]eco_bus_institutions!B:E,4,0),"")</f>
        <v>4.2545541378051901</v>
      </c>
      <c r="E26" s="73">
        <f t="shared" si="0"/>
        <v>26</v>
      </c>
      <c r="F26" s="40">
        <f>IFERROR(VLOOKUP(A26,[1]eco_institutions!B:D,2,0),"")</f>
        <v>124</v>
      </c>
      <c r="G26" s="40">
        <f>IFERROR(VLOOKUP(A26,[1]eco_institutions!B:E,4,0),"")</f>
        <v>4.0445984140058782</v>
      </c>
      <c r="H26" s="14">
        <f t="shared" si="1"/>
        <v>25</v>
      </c>
      <c r="I26" s="46">
        <f>IFERROR(VLOOKUP(A26,[1]fin_institutions!B:D,2,0),"")</f>
        <v>52</v>
      </c>
      <c r="J26" s="41">
        <f>IFERROR(VLOOKUP(A26,[1]fin_institutions!B:E,4,0),"")</f>
        <v>3.9903357720702388</v>
      </c>
      <c r="K26" s="41">
        <f t="shared" si="2"/>
        <v>34</v>
      </c>
      <c r="L26" s="56">
        <f>IFERROR(VLOOKUP(A26,[1]bus_institutions!B:D,2,0),"")</f>
        <v>62</v>
      </c>
      <c r="M26" s="42">
        <f>IFERROR(VLOOKUP(A26,[1]bus_institutions!B:E,4,0),"")</f>
        <v>4.3045013646129169</v>
      </c>
      <c r="N26" s="23">
        <f t="shared" si="3"/>
        <v>29</v>
      </c>
      <c r="O26" s="61">
        <f>IFERROR(VLOOKUP(A26,[1]man_institutions!B:E,2,0),"")</f>
        <v>83</v>
      </c>
      <c r="P26" s="62">
        <f>IFERROR(VLOOKUP(A26,[1]man_institutions!B:E,4,0),"")</f>
        <v>4.8628611372580721</v>
      </c>
      <c r="Q26" s="63">
        <f t="shared" si="4"/>
        <v>41</v>
      </c>
    </row>
    <row r="27" spans="1:17" x14ac:dyDescent="0.25">
      <c r="A27" s="6" t="s">
        <v>791</v>
      </c>
      <c r="B27" s="37" t="s">
        <v>1220</v>
      </c>
      <c r="C27" s="72">
        <f>IFERROR(VLOOKUP(A27,[1]eco_bus_institutions!B:E,2,0),"")</f>
        <v>80</v>
      </c>
      <c r="D27" s="72">
        <f>IFERROR(VLOOKUP(A27,[1]eco_bus_institutions!B:E,4,0),"")</f>
        <v>5.0134844647562611</v>
      </c>
      <c r="E27" s="73">
        <f t="shared" si="0"/>
        <v>14</v>
      </c>
      <c r="F27" s="40">
        <f>IFERROR(VLOOKUP(A27,[1]eco_institutions!B:D,2,0),"")</f>
        <v>55</v>
      </c>
      <c r="G27" s="40">
        <f>IFERROR(VLOOKUP(A27,[1]eco_institutions!B:E,4,0),"")</f>
        <v>5.7544054222421703</v>
      </c>
      <c r="H27" s="14">
        <f t="shared" si="1"/>
        <v>7</v>
      </c>
      <c r="I27" s="46">
        <f>IFERROR(VLOOKUP(A27,[1]fin_institutions!B:D,2,0),"")</f>
        <v>16</v>
      </c>
      <c r="J27" s="41">
        <f>IFERROR(VLOOKUP(A27,[1]fin_institutions!B:E,4,0),"")</f>
        <v>1.920815633120101</v>
      </c>
      <c r="K27" s="41">
        <f t="shared" si="2"/>
        <v>175</v>
      </c>
      <c r="L27" s="56">
        <f>IFERROR(VLOOKUP(A27,[1]bus_institutions!B:D,2,0),"")</f>
        <v>14</v>
      </c>
      <c r="M27" s="42">
        <f>IFERROR(VLOOKUP(A27,[1]bus_institutions!B:E,4,0),"")</f>
        <v>1.0753565102135441</v>
      </c>
      <c r="N27" s="23">
        <f t="shared" si="3"/>
        <v>562</v>
      </c>
      <c r="O27" s="61">
        <f>IFERROR(VLOOKUP(A27,[1]man_institutions!B:E,2,0),"")</f>
        <v>15</v>
      </c>
      <c r="P27" s="62">
        <f>IFERROR(VLOOKUP(A27,[1]man_institutions!B:E,4,0),"")</f>
        <v>1.300557176086967</v>
      </c>
      <c r="Q27" s="63">
        <f t="shared" si="4"/>
        <v>560</v>
      </c>
    </row>
    <row r="28" spans="1:17" x14ac:dyDescent="0.25">
      <c r="A28" s="6" t="s">
        <v>634</v>
      </c>
      <c r="B28" s="37" t="s">
        <v>1217</v>
      </c>
      <c r="C28" s="72">
        <f>IFERROR(VLOOKUP(A28,[1]eco_bus_institutions!B:E,2,0),"")</f>
        <v>123</v>
      </c>
      <c r="D28" s="72">
        <f>IFERROR(VLOOKUP(A28,[1]eco_bus_institutions!B:E,4,0),"")</f>
        <v>4.135664710285349</v>
      </c>
      <c r="E28" s="73">
        <f t="shared" si="0"/>
        <v>28</v>
      </c>
      <c r="F28" s="40">
        <f>IFERROR(VLOOKUP(A28,[1]eco_institutions!B:D,2,0),"")</f>
        <v>58</v>
      </c>
      <c r="G28" s="40">
        <f>IFERROR(VLOOKUP(A28,[1]eco_institutions!B:E,4,0),"")</f>
        <v>4.0830671298948387</v>
      </c>
      <c r="H28" s="14">
        <f t="shared" si="1"/>
        <v>24</v>
      </c>
      <c r="I28" s="46">
        <f>IFERROR(VLOOKUP(A28,[1]fin_institutions!B:D,2,0),"")</f>
        <v>32</v>
      </c>
      <c r="J28" s="41">
        <f>IFERROR(VLOOKUP(A28,[1]fin_institutions!B:E,4,0),"")</f>
        <v>5.033412011086015</v>
      </c>
      <c r="K28" s="41">
        <f t="shared" si="2"/>
        <v>14</v>
      </c>
      <c r="L28" s="56">
        <f>IFERROR(VLOOKUP(A28,[1]bus_institutions!B:D,2,0),"")</f>
        <v>29</v>
      </c>
      <c r="M28" s="42">
        <f>IFERROR(VLOOKUP(A28,[1]bus_institutions!B:E,4,0),"")</f>
        <v>3.6378770387298029</v>
      </c>
      <c r="N28" s="23">
        <f t="shared" si="3"/>
        <v>56</v>
      </c>
      <c r="O28" s="61">
        <f>IFERROR(VLOOKUP(A28,[1]man_institutions!B:E,2,0),"")</f>
        <v>26</v>
      </c>
      <c r="P28" s="62">
        <f>IFERROR(VLOOKUP(A28,[1]man_institutions!B:E,4,0),"")</f>
        <v>5.5498978734345492</v>
      </c>
      <c r="Q28" s="63">
        <f t="shared" si="4"/>
        <v>26</v>
      </c>
    </row>
    <row r="29" spans="1:17" x14ac:dyDescent="0.25">
      <c r="A29" s="6" t="s">
        <v>627</v>
      </c>
      <c r="B29" s="37" t="s">
        <v>1217</v>
      </c>
      <c r="C29" s="72">
        <f>IFERROR(VLOOKUP(A29,[1]eco_bus_institutions!B:E,2,0),"")</f>
        <v>55</v>
      </c>
      <c r="D29" s="72">
        <f>IFERROR(VLOOKUP(A29,[1]eco_bus_institutions!B:E,4,0),"")</f>
        <v>3.67366154076164</v>
      </c>
      <c r="E29" s="73">
        <f t="shared" si="0"/>
        <v>40</v>
      </c>
      <c r="F29" s="40">
        <f>IFERROR(VLOOKUP(A29,[1]eco_institutions!B:D,2,0),"")</f>
        <v>13</v>
      </c>
      <c r="G29" s="40">
        <f>IFERROR(VLOOKUP(A29,[1]eco_institutions!B:E,4,0),"")</f>
        <v>2.276953463868415</v>
      </c>
      <c r="H29" s="14">
        <f t="shared" si="1"/>
        <v>102</v>
      </c>
      <c r="I29" s="46">
        <f>IFERROR(VLOOKUP(A29,[1]fin_institutions!B:D,2,0),"")</f>
        <v>8</v>
      </c>
      <c r="J29" s="41">
        <f>IFERROR(VLOOKUP(A29,[1]fin_institutions!B:E,4,0),"")</f>
        <v>3.835375219198828</v>
      </c>
      <c r="K29" s="41">
        <f t="shared" si="2"/>
        <v>39</v>
      </c>
      <c r="L29" s="56">
        <f>IFERROR(VLOOKUP(A29,[1]bus_institutions!B:D,2,0),"")</f>
        <v>39</v>
      </c>
      <c r="M29" s="42">
        <f>IFERROR(VLOOKUP(A29,[1]bus_institutions!B:E,4,0),"")</f>
        <v>4.2093192490897007</v>
      </c>
      <c r="N29" s="23">
        <f t="shared" si="3"/>
        <v>30</v>
      </c>
      <c r="O29" s="61">
        <f>IFERROR(VLOOKUP(A29,[1]man_institutions!B:E,2,0),"")</f>
        <v>19</v>
      </c>
      <c r="P29" s="62">
        <f>IFERROR(VLOOKUP(A29,[1]man_institutions!B:E,4,0),"")</f>
        <v>4.0634675886728742</v>
      </c>
      <c r="Q29" s="63">
        <f t="shared" si="4"/>
        <v>73</v>
      </c>
    </row>
    <row r="30" spans="1:17" x14ac:dyDescent="0.25">
      <c r="A30" s="6" t="s">
        <v>663</v>
      </c>
      <c r="B30" s="37" t="s">
        <v>1217</v>
      </c>
      <c r="C30" s="72">
        <f>IFERROR(VLOOKUP(A30,[1]eco_bus_institutions!B:E,2,0),"")</f>
        <v>101</v>
      </c>
      <c r="D30" s="72">
        <f>IFERROR(VLOOKUP(A30,[1]eco_bus_institutions!B:E,4,0),"")</f>
        <v>4.5223509270697839</v>
      </c>
      <c r="E30" s="73">
        <f t="shared" si="0"/>
        <v>22</v>
      </c>
      <c r="F30" s="40">
        <f>IFERROR(VLOOKUP(A30,[1]eco_institutions!B:D,2,0),"")</f>
        <v>82</v>
      </c>
      <c r="G30" s="40">
        <f>IFERROR(VLOOKUP(A30,[1]eco_institutions!B:E,4,0),"")</f>
        <v>4.190181993193872</v>
      </c>
      <c r="H30" s="14">
        <f t="shared" si="1"/>
        <v>23</v>
      </c>
      <c r="I30" s="46">
        <f>IFERROR(VLOOKUP(A30,[1]fin_institutions!B:D,2,0),"")</f>
        <v>18</v>
      </c>
      <c r="J30" s="41">
        <f>IFERROR(VLOOKUP(A30,[1]fin_institutions!B:E,4,0),"")</f>
        <v>4.8241011107127791</v>
      </c>
      <c r="K30" s="41">
        <f t="shared" si="2"/>
        <v>16</v>
      </c>
      <c r="L30" s="56">
        <f>IFERROR(VLOOKUP(A30,[1]bus_institutions!B:D,2,0),"")</f>
        <v>9</v>
      </c>
      <c r="M30" s="42">
        <f>IFERROR(VLOOKUP(A30,[1]bus_institutions!B:E,4,0),"")</f>
        <v>3.7865982535136871</v>
      </c>
      <c r="N30" s="23">
        <f t="shared" si="3"/>
        <v>48</v>
      </c>
      <c r="O30" s="61">
        <f>IFERROR(VLOOKUP(A30,[1]man_institutions!B:E,2,0),"")</f>
        <v>7</v>
      </c>
      <c r="P30" s="62">
        <f>IFERROR(VLOOKUP(A30,[1]man_institutions!B:E,4,0),"")</f>
        <v>2.2793791602930189</v>
      </c>
      <c r="Q30" s="63">
        <f t="shared" si="4"/>
        <v>324</v>
      </c>
    </row>
    <row r="31" spans="1:17" x14ac:dyDescent="0.25">
      <c r="A31" s="6" t="s">
        <v>642</v>
      </c>
      <c r="B31" s="37" t="s">
        <v>1217</v>
      </c>
      <c r="C31" s="72">
        <f>IFERROR(VLOOKUP(A31,[1]eco_bus_institutions!B:E,2,0),"")</f>
        <v>128</v>
      </c>
      <c r="D31" s="72">
        <f>IFERROR(VLOOKUP(A31,[1]eco_bus_institutions!B:E,4,0),"")</f>
        <v>3.9162727698952811</v>
      </c>
      <c r="E31" s="73">
        <f t="shared" si="0"/>
        <v>32</v>
      </c>
      <c r="F31" s="40">
        <f>IFERROR(VLOOKUP(A31,[1]eco_institutions!B:D,2,0),"")</f>
        <v>73</v>
      </c>
      <c r="G31" s="40">
        <f>IFERROR(VLOOKUP(A31,[1]eco_institutions!B:E,4,0),"")</f>
        <v>2.8572580604335438</v>
      </c>
      <c r="H31" s="14">
        <f t="shared" si="1"/>
        <v>59</v>
      </c>
      <c r="I31" s="46">
        <f>IFERROR(VLOOKUP(A31,[1]fin_institutions!B:D,2,0),"")</f>
        <v>22</v>
      </c>
      <c r="J31" s="41">
        <f>IFERROR(VLOOKUP(A31,[1]fin_institutions!B:E,4,0),"")</f>
        <v>4.2410630491155139</v>
      </c>
      <c r="K31" s="41">
        <f t="shared" si="2"/>
        <v>26</v>
      </c>
      <c r="L31" s="56">
        <f>IFERROR(VLOOKUP(A31,[1]bus_institutions!B:D,2,0),"")</f>
        <v>36</v>
      </c>
      <c r="M31" s="42">
        <f>IFERROR(VLOOKUP(A31,[1]bus_institutions!B:E,4,0),"")</f>
        <v>6.1253740108844026</v>
      </c>
      <c r="N31" s="23">
        <f t="shared" si="3"/>
        <v>3</v>
      </c>
      <c r="O31" s="61">
        <f>IFERROR(VLOOKUP(A31,[1]man_institutions!B:E,2,0),"")</f>
        <v>35</v>
      </c>
      <c r="P31" s="62">
        <f>IFERROR(VLOOKUP(A31,[1]man_institutions!B:E,4,0),"")</f>
        <v>4.410191268598096</v>
      </c>
      <c r="Q31" s="63">
        <f t="shared" si="4"/>
        <v>58</v>
      </c>
    </row>
    <row r="32" spans="1:17" x14ac:dyDescent="0.25">
      <c r="A32" s="6" t="s">
        <v>643</v>
      </c>
      <c r="B32" s="37" t="s">
        <v>1217</v>
      </c>
      <c r="C32" s="72">
        <f>IFERROR(VLOOKUP(A32,[1]eco_bus_institutions!B:E,2,0),"")</f>
        <v>54</v>
      </c>
      <c r="D32" s="72">
        <f>IFERROR(VLOOKUP(A32,[1]eco_bus_institutions!B:E,4,0),"")</f>
        <v>4.368763438275578</v>
      </c>
      <c r="E32" s="73">
        <f t="shared" si="0"/>
        <v>25</v>
      </c>
      <c r="F32" s="40">
        <f>IFERROR(VLOOKUP(A32,[1]eco_institutions!B:D,2,0),"")</f>
        <v>30</v>
      </c>
      <c r="G32" s="40">
        <f>IFERROR(VLOOKUP(A32,[1]eco_institutions!B:E,4,0),"")</f>
        <v>4.6080061426039371</v>
      </c>
      <c r="H32" s="14">
        <f t="shared" si="1"/>
        <v>19</v>
      </c>
      <c r="I32" s="46">
        <f>IFERROR(VLOOKUP(A32,[1]fin_institutions!B:D,2,0),"")</f>
        <v>12</v>
      </c>
      <c r="J32" s="41">
        <f>IFERROR(VLOOKUP(A32,[1]fin_institutions!B:E,4,0),"")</f>
        <v>4.3209509150782353</v>
      </c>
      <c r="K32" s="41">
        <f t="shared" si="2"/>
        <v>25</v>
      </c>
      <c r="L32" s="56">
        <f>IFERROR(VLOOKUP(A32,[1]bus_institutions!B:D,2,0),"")</f>
        <v>10</v>
      </c>
      <c r="M32" s="42">
        <f>IFERROR(VLOOKUP(A32,[1]bus_institutions!B:E,4,0),"")</f>
        <v>3.5999391957834899</v>
      </c>
      <c r="N32" s="23">
        <f t="shared" si="3"/>
        <v>58</v>
      </c>
      <c r="O32" s="61">
        <f>IFERROR(VLOOKUP(A32,[1]man_institutions!B:E,2,0),"")</f>
        <v>8</v>
      </c>
      <c r="P32" s="62">
        <f>IFERROR(VLOOKUP(A32,[1]man_institutions!B:E,4,0),"")</f>
        <v>5.9982346252021062</v>
      </c>
      <c r="Q32" s="63">
        <f t="shared" si="4"/>
        <v>17</v>
      </c>
    </row>
    <row r="33" spans="1:17" x14ac:dyDescent="0.25">
      <c r="A33" s="6" t="s">
        <v>661</v>
      </c>
      <c r="B33" s="37" t="s">
        <v>1218</v>
      </c>
      <c r="C33" s="72">
        <f>IFERROR(VLOOKUP(A33,[1]eco_bus_institutions!B:E,2,0),"")</f>
        <v>92</v>
      </c>
      <c r="D33" s="72">
        <f>IFERROR(VLOOKUP(A33,[1]eco_bus_institutions!B:E,4,0),"")</f>
        <v>4.6584979871664327</v>
      </c>
      <c r="E33" s="73">
        <f t="shared" si="0"/>
        <v>19</v>
      </c>
      <c r="F33" s="40">
        <f>IFERROR(VLOOKUP(A33,[1]eco_institutions!B:D,2,0),"")</f>
        <v>76</v>
      </c>
      <c r="G33" s="40">
        <f>IFERROR(VLOOKUP(A33,[1]eco_institutions!B:E,4,0),"")</f>
        <v>4.5698168480078181</v>
      </c>
      <c r="H33" s="14">
        <f t="shared" si="1"/>
        <v>20</v>
      </c>
      <c r="I33" s="46">
        <f>IFERROR(VLOOKUP(A33,[1]fin_institutions!B:D,2,0),"")</f>
        <v>22</v>
      </c>
      <c r="J33" s="41">
        <f>IFERROR(VLOOKUP(A33,[1]fin_institutions!B:E,4,0),"")</f>
        <v>1.725117349489705</v>
      </c>
      <c r="K33" s="41">
        <f t="shared" si="2"/>
        <v>212</v>
      </c>
      <c r="L33" s="56" t="str">
        <f>IFERROR(VLOOKUP(A33,[1]bus_institutions!B:D,2,0),"")</f>
        <v/>
      </c>
      <c r="M33" s="42" t="str">
        <f>IFERROR(VLOOKUP(A33,[1]bus_institutions!B:E,4,0),"")</f>
        <v/>
      </c>
      <c r="N33" s="23" t="str">
        <f t="shared" si="3"/>
        <v/>
      </c>
      <c r="O33" s="61">
        <f>IFERROR(VLOOKUP(A33,[1]man_institutions!B:E,2,0),"")</f>
        <v>9</v>
      </c>
      <c r="P33" s="62">
        <f>IFERROR(VLOOKUP(A33,[1]man_institutions!B:E,4,0),"")</f>
        <v>2.4349581859841969</v>
      </c>
      <c r="Q33" s="63">
        <f t="shared" si="4"/>
        <v>292</v>
      </c>
    </row>
    <row r="34" spans="1:17" x14ac:dyDescent="0.25">
      <c r="A34" s="6" t="s">
        <v>660</v>
      </c>
      <c r="B34" s="37" t="s">
        <v>1216</v>
      </c>
      <c r="C34" s="72">
        <f>IFERROR(VLOOKUP(A34,[1]eco_bus_institutions!B:E,2,0),"")</f>
        <v>48</v>
      </c>
      <c r="D34" s="72">
        <f>IFERROR(VLOOKUP(A34,[1]eco_bus_institutions!B:E,4,0),"")</f>
        <v>4.2483417266747576</v>
      </c>
      <c r="E34" s="73">
        <f t="shared" si="0"/>
        <v>27</v>
      </c>
      <c r="F34" s="40">
        <f>IFERROR(VLOOKUP(A34,[1]eco_institutions!B:D,2,0),"")</f>
        <v>38</v>
      </c>
      <c r="G34" s="40">
        <f>IFERROR(VLOOKUP(A34,[1]eco_institutions!B:E,4,0),"")</f>
        <v>4.2682272336127722</v>
      </c>
      <c r="H34" s="14">
        <f t="shared" si="1"/>
        <v>22</v>
      </c>
      <c r="I34" s="46">
        <f>IFERROR(VLOOKUP(A34,[1]fin_institutions!B:D,2,0),"")</f>
        <v>24</v>
      </c>
      <c r="J34" s="41">
        <f>IFERROR(VLOOKUP(A34,[1]fin_institutions!B:E,4,0),"")</f>
        <v>1.8577708754518181</v>
      </c>
      <c r="K34" s="41">
        <f t="shared" si="2"/>
        <v>185</v>
      </c>
      <c r="L34" s="56" t="str">
        <f>IFERROR(VLOOKUP(A34,[1]bus_institutions!B:D,2,0),"")</f>
        <v/>
      </c>
      <c r="M34" s="42" t="str">
        <f>IFERROR(VLOOKUP(A34,[1]bus_institutions!B:E,4,0),"")</f>
        <v/>
      </c>
      <c r="N34" s="23" t="str">
        <f t="shared" si="3"/>
        <v/>
      </c>
      <c r="O34" s="61" t="str">
        <f>IFERROR(VLOOKUP(A34,[1]man_institutions!B:E,2,0),"")</f>
        <v/>
      </c>
      <c r="P34" s="62" t="str">
        <f>IFERROR(VLOOKUP(A34,[1]man_institutions!B:E,4,0),"")</f>
        <v/>
      </c>
      <c r="Q34" s="63" t="str">
        <f t="shared" si="4"/>
        <v/>
      </c>
    </row>
    <row r="35" spans="1:17" x14ac:dyDescent="0.25">
      <c r="A35" s="6" t="s">
        <v>658</v>
      </c>
      <c r="B35" s="37" t="s">
        <v>1217</v>
      </c>
      <c r="C35" s="72">
        <f>IFERROR(VLOOKUP(A35,[1]eco_bus_institutions!B:E,2,0),"")</f>
        <v>44</v>
      </c>
      <c r="D35" s="72">
        <f>IFERROR(VLOOKUP(A35,[1]eco_bus_institutions!B:E,4,0),"")</f>
        <v>3.7166341500197149</v>
      </c>
      <c r="E35" s="73">
        <f t="shared" si="0"/>
        <v>38</v>
      </c>
      <c r="F35" s="40">
        <f>IFERROR(VLOOKUP(A35,[1]eco_institutions!B:D,2,0),"")</f>
        <v>12</v>
      </c>
      <c r="G35" s="40">
        <f>IFERROR(VLOOKUP(A35,[1]eco_institutions!B:E,4,0),"")</f>
        <v>4.7339204775641894</v>
      </c>
      <c r="H35" s="14">
        <f t="shared" si="1"/>
        <v>16</v>
      </c>
      <c r="I35" s="46">
        <f>IFERROR(VLOOKUP(A35,[1]fin_institutions!B:D,2,0),"")</f>
        <v>16</v>
      </c>
      <c r="J35" s="41">
        <f>IFERROR(VLOOKUP(A35,[1]fin_institutions!B:E,4,0),"")</f>
        <v>6.1855433108977547</v>
      </c>
      <c r="K35" s="41">
        <f t="shared" si="2"/>
        <v>5</v>
      </c>
      <c r="L35" s="56">
        <f>IFERROR(VLOOKUP(A35,[1]bus_institutions!B:D,2,0),"")</f>
        <v>12</v>
      </c>
      <c r="M35" s="42">
        <f>IFERROR(VLOOKUP(A35,[1]bus_institutions!B:E,4,0),"")</f>
        <v>2.3751501072018728</v>
      </c>
      <c r="N35" s="23">
        <f t="shared" si="3"/>
        <v>227</v>
      </c>
      <c r="O35" s="61">
        <f>IFERROR(VLOOKUP(A35,[1]man_institutions!B:E,2,0),"")</f>
        <v>18</v>
      </c>
      <c r="P35" s="62">
        <f>IFERROR(VLOOKUP(A35,[1]man_institutions!B:E,4,0),"")</f>
        <v>3.5144881547232512</v>
      </c>
      <c r="Q35" s="63">
        <f t="shared" si="4"/>
        <v>124</v>
      </c>
    </row>
    <row r="36" spans="1:17" x14ac:dyDescent="0.25">
      <c r="A36" s="6" t="s">
        <v>650</v>
      </c>
      <c r="B36" s="37" t="s">
        <v>1217</v>
      </c>
      <c r="C36" s="72">
        <f>IFERROR(VLOOKUP(A36,[1]eco_bus_institutions!B:E,2,0),"")</f>
        <v>92</v>
      </c>
      <c r="D36" s="72">
        <f>IFERROR(VLOOKUP(A36,[1]eco_bus_institutions!B:E,4,0),"")</f>
        <v>3.6387343800049452</v>
      </c>
      <c r="E36" s="73">
        <f t="shared" si="0"/>
        <v>42</v>
      </c>
      <c r="F36" s="40">
        <f>IFERROR(VLOOKUP(A36,[1]eco_institutions!B:D,2,0),"")</f>
        <v>39</v>
      </c>
      <c r="G36" s="40">
        <f>IFERROR(VLOOKUP(A36,[1]eco_institutions!B:E,4,0),"")</f>
        <v>3.1139205646420738</v>
      </c>
      <c r="H36" s="14">
        <f t="shared" si="1"/>
        <v>44</v>
      </c>
      <c r="I36" s="46">
        <f>IFERROR(VLOOKUP(A36,[1]fin_institutions!B:D,2,0),"")</f>
        <v>24</v>
      </c>
      <c r="J36" s="41">
        <f>IFERROR(VLOOKUP(A36,[1]fin_institutions!B:E,4,0),"")</f>
        <v>4.0061767802613044</v>
      </c>
      <c r="K36" s="41">
        <f t="shared" si="2"/>
        <v>33</v>
      </c>
      <c r="L36" s="56">
        <f>IFERROR(VLOOKUP(A36,[1]bus_institutions!B:D,2,0),"")</f>
        <v>35</v>
      </c>
      <c r="M36" s="42">
        <f>IFERROR(VLOOKUP(A36,[1]bus_institutions!B:E,4,0),"")</f>
        <v>3.5639923504603139</v>
      </c>
      <c r="N36" s="23">
        <f t="shared" si="3"/>
        <v>62</v>
      </c>
      <c r="O36" s="61">
        <f>IFERROR(VLOOKUP(A36,[1]man_institutions!B:E,2,0),"")</f>
        <v>26</v>
      </c>
      <c r="P36" s="62">
        <f>IFERROR(VLOOKUP(A36,[1]man_institutions!B:E,4,0),"")</f>
        <v>3.4835734757358421</v>
      </c>
      <c r="Q36" s="63">
        <f t="shared" si="4"/>
        <v>126</v>
      </c>
    </row>
    <row r="37" spans="1:17" x14ac:dyDescent="0.25">
      <c r="A37" s="6" t="s">
        <v>668</v>
      </c>
      <c r="B37" s="37" t="s">
        <v>1217</v>
      </c>
      <c r="C37" s="72">
        <f>IFERROR(VLOOKUP(A37,[1]eco_bus_institutions!B:E,2,0),"")</f>
        <v>199</v>
      </c>
      <c r="D37" s="72">
        <f>IFERROR(VLOOKUP(A37,[1]eco_bus_institutions!B:E,4,0),"")</f>
        <v>4.0107759303544439</v>
      </c>
      <c r="E37" s="73">
        <f t="shared" si="0"/>
        <v>30</v>
      </c>
      <c r="F37" s="40">
        <f>IFERROR(VLOOKUP(A37,[1]eco_institutions!B:D,2,0),"")</f>
        <v>107</v>
      </c>
      <c r="G37" s="40">
        <f>IFERROR(VLOOKUP(A37,[1]eco_institutions!B:E,4,0),"")</f>
        <v>3.9241048679124231</v>
      </c>
      <c r="H37" s="14">
        <f t="shared" si="1"/>
        <v>27</v>
      </c>
      <c r="I37" s="46">
        <f>IFERROR(VLOOKUP(A37,[1]fin_institutions!B:D,2,0),"")</f>
        <v>41</v>
      </c>
      <c r="J37" s="41">
        <f>IFERROR(VLOOKUP(A37,[1]fin_institutions!B:E,4,0),"")</f>
        <v>2.6506042178063169</v>
      </c>
      <c r="K37" s="41">
        <f t="shared" si="2"/>
        <v>91</v>
      </c>
      <c r="L37" s="56">
        <f>IFERROR(VLOOKUP(A37,[1]bus_institutions!B:D,2,0),"")</f>
        <v>47</v>
      </c>
      <c r="M37" s="42">
        <f>IFERROR(VLOOKUP(A37,[1]bus_institutions!B:E,4,0),"")</f>
        <v>3.516877126276043</v>
      </c>
      <c r="N37" s="23">
        <f t="shared" si="3"/>
        <v>65</v>
      </c>
      <c r="O37" s="61">
        <f>IFERROR(VLOOKUP(A37,[1]man_institutions!B:E,2,0),"")</f>
        <v>53</v>
      </c>
      <c r="P37" s="62">
        <f>IFERROR(VLOOKUP(A37,[1]man_institutions!B:E,4,0),"")</f>
        <v>5.5849330831591164</v>
      </c>
      <c r="Q37" s="63">
        <f t="shared" si="4"/>
        <v>24</v>
      </c>
    </row>
    <row r="38" spans="1:17" x14ac:dyDescent="0.25">
      <c r="A38" s="6" t="s">
        <v>647</v>
      </c>
      <c r="B38" s="37" t="s">
        <v>1216</v>
      </c>
      <c r="C38" s="72">
        <f>IFERROR(VLOOKUP(A38,[1]eco_bus_institutions!B:E,2,0),"")</f>
        <v>106</v>
      </c>
      <c r="D38" s="72">
        <f>IFERROR(VLOOKUP(A38,[1]eco_bus_institutions!B:E,4,0),"")</f>
        <v>3.9247857370530008</v>
      </c>
      <c r="E38" s="73">
        <f t="shared" si="0"/>
        <v>31</v>
      </c>
      <c r="F38" s="40">
        <f>IFERROR(VLOOKUP(A38,[1]eco_institutions!B:D,2,0),"")</f>
        <v>58</v>
      </c>
      <c r="G38" s="40">
        <f>IFERROR(VLOOKUP(A38,[1]eco_institutions!B:E,4,0),"")</f>
        <v>3.0347389745640152</v>
      </c>
      <c r="H38" s="14">
        <f t="shared" si="1"/>
        <v>49</v>
      </c>
      <c r="I38" s="46">
        <f>IFERROR(VLOOKUP(A38,[1]fin_institutions!B:D,2,0),"")</f>
        <v>37</v>
      </c>
      <c r="J38" s="41">
        <f>IFERROR(VLOOKUP(A38,[1]fin_institutions!B:E,4,0),"")</f>
        <v>2.7554870658385902</v>
      </c>
      <c r="K38" s="41">
        <f t="shared" si="2"/>
        <v>82</v>
      </c>
      <c r="L38" s="56">
        <f>IFERROR(VLOOKUP(A38,[1]bus_institutions!B:D,2,0),"")</f>
        <v>27</v>
      </c>
      <c r="M38" s="42">
        <f>IFERROR(VLOOKUP(A38,[1]bus_institutions!B:E,4,0),"")</f>
        <v>4.7928919343161773</v>
      </c>
      <c r="N38" s="23">
        <f t="shared" si="3"/>
        <v>18</v>
      </c>
      <c r="O38" s="61">
        <f>IFERROR(VLOOKUP(A38,[1]man_institutions!B:E,2,0),"")</f>
        <v>32</v>
      </c>
      <c r="P38" s="62">
        <f>IFERROR(VLOOKUP(A38,[1]man_institutions!B:E,4,0),"")</f>
        <v>5.4370779553133932</v>
      </c>
      <c r="Q38" s="63">
        <f t="shared" si="4"/>
        <v>29</v>
      </c>
    </row>
    <row r="39" spans="1:17" x14ac:dyDescent="0.25">
      <c r="A39" s="6" t="s">
        <v>659</v>
      </c>
      <c r="B39" s="37" t="s">
        <v>1219</v>
      </c>
      <c r="C39" s="72">
        <f>IFERROR(VLOOKUP(A39,[1]eco_bus_institutions!B:E,2,0),"")</f>
        <v>156</v>
      </c>
      <c r="D39" s="72">
        <f>IFERROR(VLOOKUP(A39,[1]eco_bus_institutions!B:E,4,0),"")</f>
        <v>4.3875817922507432</v>
      </c>
      <c r="E39" s="73">
        <f t="shared" si="0"/>
        <v>24</v>
      </c>
      <c r="F39" s="40">
        <f>IFERROR(VLOOKUP(A39,[1]eco_institutions!B:D,2,0),"")</f>
        <v>98</v>
      </c>
      <c r="G39" s="40">
        <f>IFERROR(VLOOKUP(A39,[1]eco_institutions!B:E,4,0),"")</f>
        <v>4.8973206055403704</v>
      </c>
      <c r="H39" s="14">
        <f t="shared" si="1"/>
        <v>15</v>
      </c>
      <c r="I39" s="46">
        <f>IFERROR(VLOOKUP(A39,[1]fin_institutions!B:D,2,0),"")</f>
        <v>43</v>
      </c>
      <c r="J39" s="41">
        <f>IFERROR(VLOOKUP(A39,[1]fin_institutions!B:E,4,0),"")</f>
        <v>2.131029842767826</v>
      </c>
      <c r="K39" s="41">
        <f t="shared" si="2"/>
        <v>133</v>
      </c>
      <c r="L39" s="56">
        <f>IFERROR(VLOOKUP(A39,[1]bus_institutions!B:D,2,0),"")</f>
        <v>18</v>
      </c>
      <c r="M39" s="42">
        <f>IFERROR(VLOOKUP(A39,[1]bus_institutions!B:E,4,0),"")</f>
        <v>2.500478825012979</v>
      </c>
      <c r="N39" s="23">
        <f t="shared" si="3"/>
        <v>184</v>
      </c>
      <c r="O39" s="61">
        <f>IFERROR(VLOOKUP(A39,[1]man_institutions!B:E,2,0),"")</f>
        <v>21</v>
      </c>
      <c r="P39" s="62">
        <f>IFERROR(VLOOKUP(A39,[1]man_institutions!B:E,4,0),"")</f>
        <v>3.6120090934222131</v>
      </c>
      <c r="Q39" s="63">
        <f t="shared" si="4"/>
        <v>112</v>
      </c>
    </row>
    <row r="40" spans="1:17" x14ac:dyDescent="0.25">
      <c r="A40" s="6" t="s">
        <v>648</v>
      </c>
      <c r="B40" s="37" t="s">
        <v>1217</v>
      </c>
      <c r="C40" s="72">
        <f>IFERROR(VLOOKUP(A40,[1]eco_bus_institutions!B:E,2,0),"")</f>
        <v>59</v>
      </c>
      <c r="D40" s="72">
        <f>IFERROR(VLOOKUP(A40,[1]eco_bus_institutions!B:E,4,0),"")</f>
        <v>3.7755543343518032</v>
      </c>
      <c r="E40" s="73">
        <f t="shared" si="0"/>
        <v>35</v>
      </c>
      <c r="F40" s="40">
        <f>IFERROR(VLOOKUP(A40,[1]eco_institutions!B:D,2,0),"")</f>
        <v>22</v>
      </c>
      <c r="G40" s="40">
        <f>IFERROR(VLOOKUP(A40,[1]eco_institutions!B:E,4,0),"")</f>
        <v>3.3179572940701112</v>
      </c>
      <c r="H40" s="14">
        <f t="shared" si="1"/>
        <v>38</v>
      </c>
      <c r="I40" s="46">
        <f>IFERROR(VLOOKUP(A40,[1]fin_institutions!B:D,2,0),"")</f>
        <v>16</v>
      </c>
      <c r="J40" s="41">
        <f>IFERROR(VLOOKUP(A40,[1]fin_institutions!B:E,4,0),"")</f>
        <v>3.3802058349446509</v>
      </c>
      <c r="K40" s="41">
        <f t="shared" si="2"/>
        <v>55</v>
      </c>
      <c r="L40" s="56">
        <f>IFERROR(VLOOKUP(A40,[1]bus_institutions!B:D,2,0),"")</f>
        <v>21</v>
      </c>
      <c r="M40" s="42">
        <f>IFERROR(VLOOKUP(A40,[1]bus_institutions!B:E,4,0),"")</f>
        <v>3.5304580696341992</v>
      </c>
      <c r="N40" s="23">
        <f t="shared" si="3"/>
        <v>64</v>
      </c>
      <c r="O40" s="61">
        <f>IFERROR(VLOOKUP(A40,[1]man_institutions!B:E,2,0),"")</f>
        <v>17</v>
      </c>
      <c r="P40" s="62">
        <f>IFERROR(VLOOKUP(A40,[1]man_institutions!B:E,4,0),"")</f>
        <v>6.2548770496345476</v>
      </c>
      <c r="Q40" s="63">
        <f t="shared" si="4"/>
        <v>11</v>
      </c>
    </row>
    <row r="41" spans="1:17" x14ac:dyDescent="0.25">
      <c r="A41" s="6" t="s">
        <v>675</v>
      </c>
      <c r="B41" s="37" t="s">
        <v>1223</v>
      </c>
      <c r="C41" s="72">
        <f>IFERROR(VLOOKUP(A41,[1]eco_bus_institutions!B:E,2,0),"")</f>
        <v>85</v>
      </c>
      <c r="D41" s="72">
        <f>IFERROR(VLOOKUP(A41,[1]eco_bus_institutions!B:E,4,0),"")</f>
        <v>3.4365673721824659</v>
      </c>
      <c r="E41" s="73">
        <f t="shared" si="0"/>
        <v>52</v>
      </c>
      <c r="F41" s="40">
        <f>IFERROR(VLOOKUP(A41,[1]eco_institutions!B:D,2,0),"")</f>
        <v>45</v>
      </c>
      <c r="G41" s="40">
        <f>IFERROR(VLOOKUP(A41,[1]eco_institutions!B:E,4,0),"")</f>
        <v>3.0634360984525149</v>
      </c>
      <c r="H41" s="14">
        <f t="shared" si="1"/>
        <v>46</v>
      </c>
      <c r="I41" s="46">
        <f>IFERROR(VLOOKUP(A41,[1]fin_institutions!B:D,2,0),"")</f>
        <v>21</v>
      </c>
      <c r="J41" s="41">
        <f>IFERROR(VLOOKUP(A41,[1]fin_institutions!B:E,4,0),"")</f>
        <v>3.1725165922770948</v>
      </c>
      <c r="K41" s="41">
        <f t="shared" si="2"/>
        <v>64</v>
      </c>
      <c r="L41" s="56">
        <f>IFERROR(VLOOKUP(A41,[1]bus_institutions!B:D,2,0),"")</f>
        <v>16</v>
      </c>
      <c r="M41" s="42">
        <f>IFERROR(VLOOKUP(A41,[1]bus_institutions!B:E,4,0),"")</f>
        <v>4.4597432925901881</v>
      </c>
      <c r="N41" s="23">
        <f t="shared" si="3"/>
        <v>27</v>
      </c>
      <c r="O41" s="61">
        <f>IFERROR(VLOOKUP(A41,[1]man_institutions!B:E,2,0),"")</f>
        <v>26</v>
      </c>
      <c r="P41" s="62">
        <f>IFERROR(VLOOKUP(A41,[1]man_institutions!B:E,4,0),"")</f>
        <v>3.8803247728378798</v>
      </c>
      <c r="Q41" s="63">
        <f t="shared" si="4"/>
        <v>85</v>
      </c>
    </row>
    <row r="42" spans="1:17" x14ac:dyDescent="0.25">
      <c r="A42" s="6" t="s">
        <v>640</v>
      </c>
      <c r="B42" s="37" t="s">
        <v>1217</v>
      </c>
      <c r="C42" s="72">
        <f>IFERROR(VLOOKUP(A42,[1]eco_bus_institutions!B:E,2,0),"")</f>
        <v>114</v>
      </c>
      <c r="D42" s="72">
        <f>IFERROR(VLOOKUP(A42,[1]eco_bus_institutions!B:E,4,0),"")</f>
        <v>3.749471226099121</v>
      </c>
      <c r="E42" s="73">
        <f t="shared" si="0"/>
        <v>36</v>
      </c>
      <c r="F42" s="40">
        <f>IFERROR(VLOOKUP(A42,[1]eco_institutions!B:D,2,0),"")</f>
        <v>55</v>
      </c>
      <c r="G42" s="40">
        <f>IFERROR(VLOOKUP(A42,[1]eco_institutions!B:E,4,0),"")</f>
        <v>2.275702746525214</v>
      </c>
      <c r="H42" s="14">
        <f t="shared" si="1"/>
        <v>103</v>
      </c>
      <c r="I42" s="46">
        <f>IFERROR(VLOOKUP(A42,[1]fin_institutions!B:D,2,0),"")</f>
        <v>22</v>
      </c>
      <c r="J42" s="41">
        <f>IFERROR(VLOOKUP(A42,[1]fin_institutions!B:E,4,0),"")</f>
        <v>5.5291886478584393</v>
      </c>
      <c r="K42" s="41">
        <f t="shared" si="2"/>
        <v>10</v>
      </c>
      <c r="L42" s="56">
        <f>IFERROR(VLOOKUP(A42,[1]bus_institutions!B:D,2,0),"")</f>
        <v>33</v>
      </c>
      <c r="M42" s="42">
        <f>IFERROR(VLOOKUP(A42,[1]bus_institutions!B:E,4,0),"")</f>
        <v>4.8555918342032802</v>
      </c>
      <c r="N42" s="23">
        <f t="shared" si="3"/>
        <v>16</v>
      </c>
      <c r="O42" s="61">
        <f>IFERROR(VLOOKUP(A42,[1]man_institutions!B:E,2,0),"")</f>
        <v>27</v>
      </c>
      <c r="P42" s="62">
        <f>IFERROR(VLOOKUP(A42,[1]man_institutions!B:E,4,0),"")</f>
        <v>6.0191429378705283</v>
      </c>
      <c r="Q42" s="63">
        <f t="shared" si="4"/>
        <v>16</v>
      </c>
    </row>
    <row r="43" spans="1:17" x14ac:dyDescent="0.25">
      <c r="A43" s="6" t="s">
        <v>679</v>
      </c>
      <c r="B43" s="37" t="s">
        <v>1217</v>
      </c>
      <c r="C43" s="72">
        <f>IFERROR(VLOOKUP(A43,[1]eco_bus_institutions!B:E,2,0),"")</f>
        <v>259</v>
      </c>
      <c r="D43" s="72">
        <f>IFERROR(VLOOKUP(A43,[1]eco_bus_institutions!B:E,4,0),"")</f>
        <v>3.7362329528986469</v>
      </c>
      <c r="E43" s="73">
        <f t="shared" si="0"/>
        <v>37</v>
      </c>
      <c r="F43" s="40">
        <f>IFERROR(VLOOKUP(A43,[1]eco_institutions!B:D,2,0),"")</f>
        <v>155</v>
      </c>
      <c r="G43" s="40">
        <f>IFERROR(VLOOKUP(A43,[1]eco_institutions!B:E,4,0),"")</f>
        <v>3.5913867728754729</v>
      </c>
      <c r="H43" s="14">
        <f t="shared" si="1"/>
        <v>30</v>
      </c>
      <c r="I43" s="46">
        <f>IFERROR(VLOOKUP(A43,[1]fin_institutions!B:D,2,0),"")</f>
        <v>53</v>
      </c>
      <c r="J43" s="41">
        <f>IFERROR(VLOOKUP(A43,[1]fin_institutions!B:E,4,0),"")</f>
        <v>2.6381349092564061</v>
      </c>
      <c r="K43" s="41">
        <f t="shared" si="2"/>
        <v>92</v>
      </c>
      <c r="L43" s="56">
        <f>IFERROR(VLOOKUP(A43,[1]bus_institutions!B:D,2,0),"")</f>
        <v>45</v>
      </c>
      <c r="M43" s="42">
        <f>IFERROR(VLOOKUP(A43,[1]bus_institutions!B:E,4,0),"")</f>
        <v>3.938845803458491</v>
      </c>
      <c r="N43" s="23">
        <f t="shared" si="3"/>
        <v>37</v>
      </c>
      <c r="O43" s="61">
        <f>IFERROR(VLOOKUP(A43,[1]man_institutions!B:E,2,0),"")</f>
        <v>57</v>
      </c>
      <c r="P43" s="62">
        <f>IFERROR(VLOOKUP(A43,[1]man_institutions!B:E,4,0),"")</f>
        <v>4.8561808998050484</v>
      </c>
      <c r="Q43" s="63">
        <f t="shared" si="4"/>
        <v>42</v>
      </c>
    </row>
    <row r="44" spans="1:17" x14ac:dyDescent="0.25">
      <c r="A44" s="6" t="s">
        <v>664</v>
      </c>
      <c r="B44" s="37" t="s">
        <v>1217</v>
      </c>
      <c r="C44" s="72">
        <f>IFERROR(VLOOKUP(A44,[1]eco_bus_institutions!B:E,2,0),"")</f>
        <v>54</v>
      </c>
      <c r="D44" s="72">
        <f>IFERROR(VLOOKUP(A44,[1]eco_bus_institutions!B:E,4,0),"")</f>
        <v>3.0449673383727949</v>
      </c>
      <c r="E44" s="73">
        <f t="shared" si="0"/>
        <v>70</v>
      </c>
      <c r="F44" s="40">
        <f>IFERROR(VLOOKUP(A44,[1]eco_institutions!B:D,2,0),"")</f>
        <v>15</v>
      </c>
      <c r="G44" s="40">
        <f>IFERROR(VLOOKUP(A44,[1]eco_institutions!B:E,4,0),"")</f>
        <v>2.1756318411240079</v>
      </c>
      <c r="H44" s="14">
        <f t="shared" si="1"/>
        <v>116</v>
      </c>
      <c r="I44" s="46">
        <f>IFERROR(VLOOKUP(A44,[1]fin_institutions!B:D,2,0),"")</f>
        <v>15</v>
      </c>
      <c r="J44" s="41">
        <f>IFERROR(VLOOKUP(A44,[1]fin_institutions!B:E,4,0),"")</f>
        <v>3.4547005925431371</v>
      </c>
      <c r="K44" s="41">
        <f t="shared" si="2"/>
        <v>54</v>
      </c>
      <c r="L44" s="56">
        <f>IFERROR(VLOOKUP(A44,[1]bus_institutions!B:D,2,0),"")</f>
        <v>22</v>
      </c>
      <c r="M44" s="42">
        <f>IFERROR(VLOOKUP(A44,[1]bus_institutions!B:E,4,0),"")</f>
        <v>3.795875724182864</v>
      </c>
      <c r="N44" s="23">
        <f t="shared" si="3"/>
        <v>47</v>
      </c>
      <c r="O44" s="61">
        <f>IFERROR(VLOOKUP(A44,[1]man_institutions!B:E,2,0),"")</f>
        <v>19</v>
      </c>
      <c r="P44" s="62">
        <f>IFERROR(VLOOKUP(A44,[1]man_institutions!B:E,4,0),"")</f>
        <v>4.4648754610808741</v>
      </c>
      <c r="Q44" s="63">
        <f t="shared" si="4"/>
        <v>52</v>
      </c>
    </row>
    <row r="45" spans="1:17" x14ac:dyDescent="0.25">
      <c r="A45" s="6" t="s">
        <v>653</v>
      </c>
      <c r="B45" s="37" t="s">
        <v>1217</v>
      </c>
      <c r="C45" s="72">
        <f>IFERROR(VLOOKUP(A45,[1]eco_bus_institutions!B:E,2,0),"")</f>
        <v>125</v>
      </c>
      <c r="D45" s="72">
        <f>IFERROR(VLOOKUP(A45,[1]eco_bus_institutions!B:E,4,0),"")</f>
        <v>3.5423668290671291</v>
      </c>
      <c r="E45" s="73">
        <f t="shared" si="0"/>
        <v>46</v>
      </c>
      <c r="F45" s="40">
        <f>IFERROR(VLOOKUP(A45,[1]eco_institutions!B:D,2,0),"")</f>
        <v>68</v>
      </c>
      <c r="G45" s="40">
        <f>IFERROR(VLOOKUP(A45,[1]eco_institutions!B:E,4,0),"")</f>
        <v>2.5015896548949179</v>
      </c>
      <c r="H45" s="14">
        <f t="shared" si="1"/>
        <v>83</v>
      </c>
      <c r="I45" s="46">
        <f>IFERROR(VLOOKUP(A45,[1]fin_institutions!B:D,2,0),"")</f>
        <v>27</v>
      </c>
      <c r="J45" s="41">
        <f>IFERROR(VLOOKUP(A45,[1]fin_institutions!B:E,4,0),"")</f>
        <v>3.783653767979386</v>
      </c>
      <c r="K45" s="41">
        <f t="shared" si="2"/>
        <v>40</v>
      </c>
      <c r="L45" s="56">
        <f>IFERROR(VLOOKUP(A45,[1]bus_institutions!B:D,2,0),"")</f>
        <v>27</v>
      </c>
      <c r="M45" s="42">
        <f>IFERROR(VLOOKUP(A45,[1]bus_institutions!B:E,4,0),"")</f>
        <v>5.6584593987043172</v>
      </c>
      <c r="N45" s="23">
        <f t="shared" si="3"/>
        <v>4</v>
      </c>
      <c r="O45" s="61">
        <f>IFERROR(VLOOKUP(A45,[1]man_institutions!B:E,2,0),"")</f>
        <v>29</v>
      </c>
      <c r="P45" s="62">
        <f>IFERROR(VLOOKUP(A45,[1]man_institutions!B:E,4,0),"")</f>
        <v>5.3407027585964038</v>
      </c>
      <c r="Q45" s="63">
        <f t="shared" si="4"/>
        <v>34</v>
      </c>
    </row>
    <row r="46" spans="1:17" x14ac:dyDescent="0.25">
      <c r="A46" s="6" t="s">
        <v>691</v>
      </c>
      <c r="B46" s="37" t="s">
        <v>1217</v>
      </c>
      <c r="C46" s="72">
        <f>IFERROR(VLOOKUP(A46,[1]eco_bus_institutions!B:E,2,0),"")</f>
        <v>139</v>
      </c>
      <c r="D46" s="72">
        <f>IFERROR(VLOOKUP(A46,[1]eco_bus_institutions!B:E,4,0),"")</f>
        <v>3.503159052296303</v>
      </c>
      <c r="E46" s="73">
        <f t="shared" si="0"/>
        <v>50</v>
      </c>
      <c r="F46" s="40">
        <f>IFERROR(VLOOKUP(A46,[1]eco_institutions!B:D,2,0),"")</f>
        <v>90</v>
      </c>
      <c r="G46" s="40">
        <f>IFERROR(VLOOKUP(A46,[1]eco_institutions!B:E,4,0),"")</f>
        <v>3.3080386012318579</v>
      </c>
      <c r="H46" s="14">
        <f t="shared" si="1"/>
        <v>40</v>
      </c>
      <c r="I46" s="46">
        <f>IFERROR(VLOOKUP(A46,[1]fin_institutions!B:D,2,0),"")</f>
        <v>26</v>
      </c>
      <c r="J46" s="41">
        <f>IFERROR(VLOOKUP(A46,[1]fin_institutions!B:E,4,0),"")</f>
        <v>4.6181542948732854</v>
      </c>
      <c r="K46" s="41">
        <f t="shared" si="2"/>
        <v>20</v>
      </c>
      <c r="L46" s="56">
        <f>IFERROR(VLOOKUP(A46,[1]bus_institutions!B:D,2,0),"")</f>
        <v>21</v>
      </c>
      <c r="M46" s="42">
        <f>IFERROR(VLOOKUP(A46,[1]bus_institutions!B:E,4,0),"")</f>
        <v>2.4787659282068839</v>
      </c>
      <c r="N46" s="23">
        <f t="shared" si="3"/>
        <v>191</v>
      </c>
      <c r="O46" s="61">
        <f>IFERROR(VLOOKUP(A46,[1]man_institutions!B:E,2,0),"")</f>
        <v>27</v>
      </c>
      <c r="P46" s="62">
        <f>IFERROR(VLOOKUP(A46,[1]man_institutions!B:E,4,0),"")</f>
        <v>3.3662331312872271</v>
      </c>
      <c r="Q46" s="63">
        <f t="shared" si="4"/>
        <v>148</v>
      </c>
    </row>
    <row r="47" spans="1:17" x14ac:dyDescent="0.25">
      <c r="A47" s="6" t="s">
        <v>676</v>
      </c>
      <c r="B47" s="37" t="s">
        <v>1227</v>
      </c>
      <c r="C47" s="72">
        <f>IFERROR(VLOOKUP(A47,[1]eco_bus_institutions!B:E,2,0),"")</f>
        <v>85</v>
      </c>
      <c r="D47" s="72">
        <f>IFERROR(VLOOKUP(A47,[1]eco_bus_institutions!B:E,4,0),"")</f>
        <v>2.975987813741428</v>
      </c>
      <c r="E47" s="73">
        <f t="shared" si="0"/>
        <v>79</v>
      </c>
      <c r="F47" s="40">
        <f>IFERROR(VLOOKUP(A47,[1]eco_institutions!B:D,2,0),"")</f>
        <v>29</v>
      </c>
      <c r="G47" s="40">
        <f>IFERROR(VLOOKUP(A47,[1]eco_institutions!B:E,4,0),"")</f>
        <v>1.8914557151079141</v>
      </c>
      <c r="H47" s="14">
        <f t="shared" si="1"/>
        <v>170</v>
      </c>
      <c r="I47" s="46">
        <f>IFERROR(VLOOKUP(A47,[1]fin_institutions!B:D,2,0),"")</f>
        <v>21</v>
      </c>
      <c r="J47" s="41">
        <f>IFERROR(VLOOKUP(A47,[1]fin_institutions!B:E,4,0),"")</f>
        <v>3.5140172735859299</v>
      </c>
      <c r="K47" s="41">
        <f t="shared" si="2"/>
        <v>49</v>
      </c>
      <c r="L47" s="56">
        <f>IFERROR(VLOOKUP(A47,[1]bus_institutions!B:D,2,0),"")</f>
        <v>23</v>
      </c>
      <c r="M47" s="42">
        <f>IFERROR(VLOOKUP(A47,[1]bus_institutions!B:E,4,0),"")</f>
        <v>3.8375298264760609</v>
      </c>
      <c r="N47" s="23">
        <f t="shared" si="3"/>
        <v>45</v>
      </c>
      <c r="O47" s="61">
        <f>IFERROR(VLOOKUP(A47,[1]man_institutions!B:E,2,0),"")</f>
        <v>32</v>
      </c>
      <c r="P47" s="62">
        <f>IFERROR(VLOOKUP(A47,[1]man_institutions!B:E,4,0),"")</f>
        <v>3.6912229582198148</v>
      </c>
      <c r="Q47" s="63">
        <f t="shared" si="4"/>
        <v>101</v>
      </c>
    </row>
    <row r="48" spans="1:17" x14ac:dyDescent="0.25">
      <c r="A48" s="6" t="s">
        <v>677</v>
      </c>
      <c r="B48" s="37" t="s">
        <v>1217</v>
      </c>
      <c r="C48" s="72">
        <f>IFERROR(VLOOKUP(A48,[1]eco_bus_institutions!B:E,2,0),"")</f>
        <v>85</v>
      </c>
      <c r="D48" s="72">
        <f>IFERROR(VLOOKUP(A48,[1]eco_bus_institutions!B:E,4,0),"")</f>
        <v>2.975987813741428</v>
      </c>
      <c r="E48" s="73">
        <f t="shared" si="0"/>
        <v>79</v>
      </c>
      <c r="F48" s="40">
        <f>IFERROR(VLOOKUP(A48,[1]eco_institutions!B:D,2,0),"")</f>
        <v>29</v>
      </c>
      <c r="G48" s="40">
        <f>IFERROR(VLOOKUP(A48,[1]eco_institutions!B:E,4,0),"")</f>
        <v>1.8914557151079141</v>
      </c>
      <c r="H48" s="14">
        <f t="shared" si="1"/>
        <v>170</v>
      </c>
      <c r="I48" s="46">
        <f>IFERROR(VLOOKUP(A48,[1]fin_institutions!B:D,2,0),"")</f>
        <v>21</v>
      </c>
      <c r="J48" s="41">
        <f>IFERROR(VLOOKUP(A48,[1]fin_institutions!B:E,4,0),"")</f>
        <v>3.5140172735859299</v>
      </c>
      <c r="K48" s="41">
        <f t="shared" si="2"/>
        <v>49</v>
      </c>
      <c r="L48" s="56">
        <f>IFERROR(VLOOKUP(A48,[1]bus_institutions!B:D,2,0),"")</f>
        <v>23</v>
      </c>
      <c r="M48" s="42">
        <f>IFERROR(VLOOKUP(A48,[1]bus_institutions!B:E,4,0),"")</f>
        <v>3.8375298264760609</v>
      </c>
      <c r="N48" s="23">
        <f t="shared" si="3"/>
        <v>45</v>
      </c>
      <c r="O48" s="61">
        <f>IFERROR(VLOOKUP(A48,[1]man_institutions!B:E,2,0),"")</f>
        <v>32</v>
      </c>
      <c r="P48" s="62">
        <f>IFERROR(VLOOKUP(A48,[1]man_institutions!B:E,4,0),"")</f>
        <v>3.6912229582198148</v>
      </c>
      <c r="Q48" s="63">
        <f t="shared" si="4"/>
        <v>101</v>
      </c>
    </row>
    <row r="49" spans="1:17" x14ac:dyDescent="0.25">
      <c r="A49" s="6" t="s">
        <v>680</v>
      </c>
      <c r="B49" s="37" t="s">
        <v>1217</v>
      </c>
      <c r="C49" s="72">
        <f>IFERROR(VLOOKUP(A49,[1]eco_bus_institutions!B:E,2,0),"")</f>
        <v>86</v>
      </c>
      <c r="D49" s="72">
        <f>IFERROR(VLOOKUP(A49,[1]eco_bus_institutions!B:E,4,0),"")</f>
        <v>3.372313348405251</v>
      </c>
      <c r="E49" s="73">
        <f t="shared" si="0"/>
        <v>56</v>
      </c>
      <c r="F49" s="40">
        <f>IFERROR(VLOOKUP(A49,[1]eco_institutions!B:D,2,0),"")</f>
        <v>42</v>
      </c>
      <c r="G49" s="40">
        <f>IFERROR(VLOOKUP(A49,[1]eco_institutions!B:E,4,0),"")</f>
        <v>3.030965067717041</v>
      </c>
      <c r="H49" s="14">
        <f t="shared" si="1"/>
        <v>50</v>
      </c>
      <c r="I49" s="46">
        <f>IFERROR(VLOOKUP(A49,[1]fin_institutions!B:D,2,0),"")</f>
        <v>15</v>
      </c>
      <c r="J49" s="41">
        <f>IFERROR(VLOOKUP(A49,[1]fin_institutions!B:E,4,0),"")</f>
        <v>5.4906634212061416</v>
      </c>
      <c r="K49" s="41">
        <f t="shared" si="2"/>
        <v>11</v>
      </c>
      <c r="L49" s="56">
        <f>IFERROR(VLOOKUP(A49,[1]bus_institutions!B:D,2,0),"")</f>
        <v>23</v>
      </c>
      <c r="M49" s="42">
        <f>IFERROR(VLOOKUP(A49,[1]bus_institutions!B:E,4,0),"")</f>
        <v>4.206755966537048</v>
      </c>
      <c r="N49" s="23">
        <f t="shared" si="3"/>
        <v>31</v>
      </c>
      <c r="O49" s="61">
        <f>IFERROR(VLOOKUP(A49,[1]man_institutions!B:E,2,0),"")</f>
        <v>27</v>
      </c>
      <c r="P49" s="62">
        <f>IFERROR(VLOOKUP(A49,[1]man_institutions!B:E,4,0),"")</f>
        <v>3.4739514036883379</v>
      </c>
      <c r="Q49" s="63">
        <f t="shared" si="4"/>
        <v>129</v>
      </c>
    </row>
    <row r="50" spans="1:17" x14ac:dyDescent="0.25">
      <c r="A50" s="6" t="s">
        <v>673</v>
      </c>
      <c r="B50" s="37" t="s">
        <v>1217</v>
      </c>
      <c r="C50" s="72">
        <f>IFERROR(VLOOKUP(A50,[1]eco_bus_institutions!B:E,2,0),"")</f>
        <v>63</v>
      </c>
      <c r="D50" s="72">
        <f>IFERROR(VLOOKUP(A50,[1]eco_bus_institutions!B:E,4,0),"")</f>
        <v>3.5072354662891811</v>
      </c>
      <c r="E50" s="73">
        <f t="shared" si="0"/>
        <v>49</v>
      </c>
      <c r="F50" s="40">
        <f>IFERROR(VLOOKUP(A50,[1]eco_institutions!B:D,2,0),"")</f>
        <v>35</v>
      </c>
      <c r="G50" s="40">
        <f>IFERROR(VLOOKUP(A50,[1]eco_institutions!B:E,4,0),"")</f>
        <v>2.6285605600348112</v>
      </c>
      <c r="H50" s="14">
        <f t="shared" si="1"/>
        <v>74</v>
      </c>
      <c r="I50" s="46">
        <f>IFERROR(VLOOKUP(A50,[1]fin_institutions!B:D,2,0),"")</f>
        <v>18</v>
      </c>
      <c r="J50" s="41">
        <f>IFERROR(VLOOKUP(A50,[1]fin_institutions!B:E,4,0),"")</f>
        <v>3.6719474624745061</v>
      </c>
      <c r="K50" s="41">
        <f t="shared" si="2"/>
        <v>43</v>
      </c>
      <c r="L50" s="56">
        <f>IFERROR(VLOOKUP(A50,[1]bus_institutions!B:D,2,0),"")</f>
        <v>12</v>
      </c>
      <c r="M50" s="42">
        <f>IFERROR(VLOOKUP(A50,[1]bus_institutions!B:E,4,0),"")</f>
        <v>4.0846743397686076</v>
      </c>
      <c r="N50" s="23">
        <f t="shared" si="3"/>
        <v>34</v>
      </c>
      <c r="O50" s="61">
        <f>IFERROR(VLOOKUP(A50,[1]man_institutions!B:E,2,0),"")</f>
        <v>18</v>
      </c>
      <c r="P50" s="62">
        <f>IFERROR(VLOOKUP(A50,[1]man_institutions!B:E,4,0),"")</f>
        <v>5.50653113327441</v>
      </c>
      <c r="Q50" s="63">
        <f t="shared" si="4"/>
        <v>27</v>
      </c>
    </row>
    <row r="51" spans="1:17" x14ac:dyDescent="0.25">
      <c r="A51" s="6" t="s">
        <v>646</v>
      </c>
      <c r="B51" s="37" t="s">
        <v>1217</v>
      </c>
      <c r="C51" s="72">
        <f>IFERROR(VLOOKUP(A51,[1]eco_bus_institutions!B:E,2,0),"")</f>
        <v>66</v>
      </c>
      <c r="D51" s="72">
        <f>IFERROR(VLOOKUP(A51,[1]eco_bus_institutions!B:E,4,0),"")</f>
        <v>3.4240477598587442</v>
      </c>
      <c r="E51" s="73">
        <f t="shared" si="0"/>
        <v>54</v>
      </c>
      <c r="F51" s="40">
        <f>IFERROR(VLOOKUP(A51,[1]eco_institutions!B:D,2,0),"")</f>
        <v>32</v>
      </c>
      <c r="G51" s="40">
        <f>IFERROR(VLOOKUP(A51,[1]eco_institutions!B:E,4,0),"")</f>
        <v>1.9978180391434921</v>
      </c>
      <c r="H51" s="14">
        <f t="shared" si="1"/>
        <v>152</v>
      </c>
      <c r="I51" s="46">
        <f>IFERROR(VLOOKUP(A51,[1]fin_institutions!B:D,2,0),"")</f>
        <v>6</v>
      </c>
      <c r="J51" s="41">
        <f>IFERROR(VLOOKUP(A51,[1]fin_institutions!B:E,4,0),"")</f>
        <v>3.5638793208132449</v>
      </c>
      <c r="K51" s="41">
        <f t="shared" si="2"/>
        <v>47</v>
      </c>
      <c r="L51" s="56">
        <f>IFERROR(VLOOKUP(A51,[1]bus_institutions!B:D,2,0),"")</f>
        <v>20</v>
      </c>
      <c r="M51" s="42">
        <f>IFERROR(VLOOKUP(A51,[1]bus_institutions!B:E,4,0),"")</f>
        <v>5.3012816989237557</v>
      </c>
      <c r="N51" s="23">
        <f t="shared" si="3"/>
        <v>9</v>
      </c>
      <c r="O51" s="61">
        <f>IFERROR(VLOOKUP(A51,[1]man_institutions!B:E,2,0),"")</f>
        <v>19</v>
      </c>
      <c r="P51" s="62">
        <f>IFERROR(VLOOKUP(A51,[1]man_institutions!B:E,4,0),"")</f>
        <v>5.7103006680341091</v>
      </c>
      <c r="Q51" s="63">
        <f t="shared" si="4"/>
        <v>22</v>
      </c>
    </row>
    <row r="52" spans="1:17" x14ac:dyDescent="0.25">
      <c r="A52" s="6" t="s">
        <v>704</v>
      </c>
      <c r="B52" s="37" t="s">
        <v>1217</v>
      </c>
      <c r="C52" s="72">
        <f>IFERROR(VLOOKUP(A52,[1]eco_bus_institutions!B:E,2,0),"")</f>
        <v>194</v>
      </c>
      <c r="D52" s="72">
        <f>IFERROR(VLOOKUP(A52,[1]eco_bus_institutions!B:E,4,0),"")</f>
        <v>3.5303544123904631</v>
      </c>
      <c r="E52" s="73">
        <f t="shared" si="0"/>
        <v>48</v>
      </c>
      <c r="F52" s="40">
        <f>IFERROR(VLOOKUP(A52,[1]eco_institutions!B:D,2,0),"")</f>
        <v>111</v>
      </c>
      <c r="G52" s="40">
        <f>IFERROR(VLOOKUP(A52,[1]eco_institutions!B:E,4,0),"")</f>
        <v>3.0306615575361668</v>
      </c>
      <c r="H52" s="14">
        <f t="shared" si="1"/>
        <v>51</v>
      </c>
      <c r="I52" s="46">
        <f>IFERROR(VLOOKUP(A52,[1]fin_institutions!B:D,2,0),"")</f>
        <v>44</v>
      </c>
      <c r="J52" s="41">
        <f>IFERROR(VLOOKUP(A52,[1]fin_institutions!B:E,4,0),"")</f>
        <v>3.5097199300887318</v>
      </c>
      <c r="K52" s="41">
        <f t="shared" si="2"/>
        <v>51</v>
      </c>
      <c r="L52" s="56">
        <f>IFERROR(VLOOKUP(A52,[1]bus_institutions!B:D,2,0),"")</f>
        <v>37</v>
      </c>
      <c r="M52" s="42">
        <f>IFERROR(VLOOKUP(A52,[1]bus_institutions!B:E,4,0),"")</f>
        <v>4.580925341178089</v>
      </c>
      <c r="N52" s="23">
        <f t="shared" si="3"/>
        <v>25</v>
      </c>
      <c r="O52" s="61">
        <f>IFERROR(VLOOKUP(A52,[1]man_institutions!B:E,2,0),"")</f>
        <v>47</v>
      </c>
      <c r="P52" s="62">
        <f>IFERROR(VLOOKUP(A52,[1]man_institutions!B:E,4,0),"")</f>
        <v>4.5774962144540794</v>
      </c>
      <c r="Q52" s="63">
        <f t="shared" si="4"/>
        <v>48</v>
      </c>
    </row>
    <row r="53" spans="1:17" x14ac:dyDescent="0.25">
      <c r="A53" s="6" t="s">
        <v>657</v>
      </c>
      <c r="B53" s="37" t="s">
        <v>1217</v>
      </c>
      <c r="C53" s="72">
        <f>IFERROR(VLOOKUP(A53,[1]eco_bus_institutions!B:E,2,0),"")</f>
        <v>84</v>
      </c>
      <c r="D53" s="72">
        <f>IFERROR(VLOOKUP(A53,[1]eco_bus_institutions!B:E,4,0),"")</f>
        <v>3.6275800802676921</v>
      </c>
      <c r="E53" s="73">
        <f t="shared" si="0"/>
        <v>43</v>
      </c>
      <c r="F53" s="40">
        <f>IFERROR(VLOOKUP(A53,[1]eco_institutions!B:D,2,0),"")</f>
        <v>53</v>
      </c>
      <c r="G53" s="40">
        <f>IFERROR(VLOOKUP(A53,[1]eco_institutions!B:E,4,0),"")</f>
        <v>2.3304959260351552</v>
      </c>
      <c r="H53" s="14">
        <f t="shared" si="1"/>
        <v>96</v>
      </c>
      <c r="I53" s="46">
        <f>IFERROR(VLOOKUP(A53,[1]fin_institutions!B:D,2,0),"")</f>
        <v>18</v>
      </c>
      <c r="J53" s="41">
        <f>IFERROR(VLOOKUP(A53,[1]fin_institutions!B:E,4,0),"")</f>
        <v>5.1228078340390306</v>
      </c>
      <c r="K53" s="41">
        <f t="shared" si="2"/>
        <v>12</v>
      </c>
      <c r="L53" s="56">
        <f>IFERROR(VLOOKUP(A53,[1]bus_institutions!B:D,2,0),"")</f>
        <v>13</v>
      </c>
      <c r="M53" s="42">
        <f>IFERROR(VLOOKUP(A53,[1]bus_institutions!B:E,4,0),"")</f>
        <v>5.5328069975813712</v>
      </c>
      <c r="N53" s="23">
        <f t="shared" si="3"/>
        <v>7</v>
      </c>
      <c r="O53" s="61">
        <f>IFERROR(VLOOKUP(A53,[1]man_institutions!B:E,2,0),"")</f>
        <v>21</v>
      </c>
      <c r="P53" s="62">
        <f>IFERROR(VLOOKUP(A53,[1]man_institutions!B:E,4,0),"")</f>
        <v>7.5400946353324274</v>
      </c>
      <c r="Q53" s="63">
        <f t="shared" si="4"/>
        <v>4</v>
      </c>
    </row>
    <row r="54" spans="1:17" x14ac:dyDescent="0.25">
      <c r="A54" s="6" t="s">
        <v>652</v>
      </c>
      <c r="B54" s="37" t="s">
        <v>1225</v>
      </c>
      <c r="C54" s="72">
        <f>IFERROR(VLOOKUP(A54,[1]eco_bus_institutions!B:E,2,0),"")</f>
        <v>63</v>
      </c>
      <c r="D54" s="72">
        <f>IFERROR(VLOOKUP(A54,[1]eco_bus_institutions!B:E,4,0),"")</f>
        <v>2.6505831431292042</v>
      </c>
      <c r="E54" s="73">
        <f t="shared" si="0"/>
        <v>107</v>
      </c>
      <c r="F54" s="40">
        <f>IFERROR(VLOOKUP(A54,[1]eco_institutions!B:D,2,0),"")</f>
        <v>6</v>
      </c>
      <c r="G54" s="40">
        <f>IFERROR(VLOOKUP(A54,[1]eco_institutions!B:E,4,0),"")</f>
        <v>1.1449669193502749</v>
      </c>
      <c r="H54" s="14">
        <f t="shared" si="1"/>
        <v>548</v>
      </c>
      <c r="I54" s="46" t="str">
        <f>IFERROR(VLOOKUP(A54,[1]fin_institutions!B:D,2,0),"")</f>
        <v/>
      </c>
      <c r="J54" s="41" t="str">
        <f>IFERROR(VLOOKUP(A54,[1]fin_institutions!B:E,4,0),"")</f>
        <v/>
      </c>
      <c r="K54" s="41" t="str">
        <f t="shared" si="2"/>
        <v/>
      </c>
      <c r="L54" s="56">
        <f>IFERROR(VLOOKUP(A54,[1]bus_institutions!B:D,2,0),"")</f>
        <v>48</v>
      </c>
      <c r="M54" s="42">
        <f>IFERROR(VLOOKUP(A54,[1]bus_institutions!B:E,4,0),"")</f>
        <v>2.9317402632008229</v>
      </c>
      <c r="N54" s="23">
        <f t="shared" si="3"/>
        <v>127</v>
      </c>
      <c r="O54" s="61">
        <f>IFERROR(VLOOKUP(A54,[1]man_institutions!B:E,2,0),"")</f>
        <v>37</v>
      </c>
      <c r="P54" s="62">
        <f>IFERROR(VLOOKUP(A54,[1]man_institutions!B:E,4,0),"")</f>
        <v>3.9678094765404168</v>
      </c>
      <c r="Q54" s="63">
        <f t="shared" si="4"/>
        <v>78</v>
      </c>
    </row>
    <row r="55" spans="1:17" x14ac:dyDescent="0.25">
      <c r="A55" s="6" t="s">
        <v>656</v>
      </c>
      <c r="B55" s="37" t="s">
        <v>1217</v>
      </c>
      <c r="C55" s="72">
        <f>IFERROR(VLOOKUP(A55,[1]eco_bus_institutions!B:E,2,0),"")</f>
        <v>50</v>
      </c>
      <c r="D55" s="72">
        <f>IFERROR(VLOOKUP(A55,[1]eco_bus_institutions!B:E,4,0),"")</f>
        <v>3.034472695965555</v>
      </c>
      <c r="E55" s="73">
        <f t="shared" si="0"/>
        <v>71</v>
      </c>
      <c r="F55" s="40">
        <f>IFERROR(VLOOKUP(A55,[1]eco_institutions!B:D,2,0),"")</f>
        <v>10</v>
      </c>
      <c r="G55" s="40">
        <f>IFERROR(VLOOKUP(A55,[1]eco_institutions!B:E,4,0),"")</f>
        <v>2.0236690334046181</v>
      </c>
      <c r="H55" s="14">
        <f t="shared" si="1"/>
        <v>143</v>
      </c>
      <c r="I55" s="46">
        <f>IFERROR(VLOOKUP(A55,[1]fin_institutions!B:D,2,0),"")</f>
        <v>14</v>
      </c>
      <c r="J55" s="41">
        <f>IFERROR(VLOOKUP(A55,[1]fin_institutions!B:E,4,0),"")</f>
        <v>2.3742187105410761</v>
      </c>
      <c r="K55" s="41">
        <f t="shared" si="2"/>
        <v>109</v>
      </c>
      <c r="L55" s="56">
        <f>IFERROR(VLOOKUP(A55,[1]bus_institutions!B:D,2,0),"")</f>
        <v>18</v>
      </c>
      <c r="M55" s="42">
        <f>IFERROR(VLOOKUP(A55,[1]bus_institutions!B:E,4,0),"")</f>
        <v>3.8898053417446068</v>
      </c>
      <c r="N55" s="23">
        <f t="shared" si="3"/>
        <v>42</v>
      </c>
      <c r="O55" s="61">
        <f>IFERROR(VLOOKUP(A55,[1]man_institutions!B:E,2,0),"")</f>
        <v>28</v>
      </c>
      <c r="P55" s="62">
        <f>IFERROR(VLOOKUP(A55,[1]man_institutions!B:E,4,0),"")</f>
        <v>3.9573189597981848</v>
      </c>
      <c r="Q55" s="63">
        <f t="shared" si="4"/>
        <v>80</v>
      </c>
    </row>
    <row r="56" spans="1:17" x14ac:dyDescent="0.25">
      <c r="A56" s="6" t="s">
        <v>671</v>
      </c>
      <c r="B56" s="37" t="s">
        <v>1224</v>
      </c>
      <c r="C56" s="72">
        <f>IFERROR(VLOOKUP(A56,[1]eco_bus_institutions!B:E,2,0),"")</f>
        <v>127</v>
      </c>
      <c r="D56" s="72">
        <f>IFERROR(VLOOKUP(A56,[1]eco_bus_institutions!B:E,4,0),"")</f>
        <v>3.603833418976691</v>
      </c>
      <c r="E56" s="73">
        <f t="shared" si="0"/>
        <v>44</v>
      </c>
      <c r="F56" s="40">
        <f>IFERROR(VLOOKUP(A56,[1]eco_institutions!B:D,2,0),"")</f>
        <v>79</v>
      </c>
      <c r="G56" s="40">
        <f>IFERROR(VLOOKUP(A56,[1]eco_institutions!B:E,4,0),"")</f>
        <v>3.4869614344964739</v>
      </c>
      <c r="H56" s="14">
        <f t="shared" si="1"/>
        <v>33</v>
      </c>
      <c r="I56" s="46">
        <f>IFERROR(VLOOKUP(A56,[1]fin_institutions!B:D,2,0),"")</f>
        <v>20</v>
      </c>
      <c r="J56" s="41">
        <f>IFERROR(VLOOKUP(A56,[1]fin_institutions!B:E,4,0),"")</f>
        <v>4.4446866494102171</v>
      </c>
      <c r="K56" s="41">
        <f t="shared" si="2"/>
        <v>23</v>
      </c>
      <c r="L56" s="56">
        <f>IFERROR(VLOOKUP(A56,[1]bus_institutions!B:D,2,0),"")</f>
        <v>28</v>
      </c>
      <c r="M56" s="42">
        <f>IFERROR(VLOOKUP(A56,[1]bus_institutions!B:E,4,0),"")</f>
        <v>3.1387827659820879</v>
      </c>
      <c r="N56" s="23">
        <f t="shared" si="3"/>
        <v>99</v>
      </c>
      <c r="O56" s="61">
        <f>IFERROR(VLOOKUP(A56,[1]man_institutions!B:E,2,0),"")</f>
        <v>22</v>
      </c>
      <c r="P56" s="62">
        <f>IFERROR(VLOOKUP(A56,[1]man_institutions!B:E,4,0),"")</f>
        <v>3.5436799090634521</v>
      </c>
      <c r="Q56" s="63">
        <f t="shared" si="4"/>
        <v>120</v>
      </c>
    </row>
    <row r="57" spans="1:17" x14ac:dyDescent="0.25">
      <c r="A57" s="6" t="s">
        <v>669</v>
      </c>
      <c r="B57" s="37" t="s">
        <v>1221</v>
      </c>
      <c r="C57" s="72">
        <f>IFERROR(VLOOKUP(A57,[1]eco_bus_institutions!B:E,2,0),"")</f>
        <v>103</v>
      </c>
      <c r="D57" s="72">
        <f>IFERROR(VLOOKUP(A57,[1]eco_bus_institutions!B:E,4,0),"")</f>
        <v>3.2227919820268141</v>
      </c>
      <c r="E57" s="73">
        <f t="shared" si="0"/>
        <v>61</v>
      </c>
      <c r="F57" s="40">
        <f>IFERROR(VLOOKUP(A57,[1]eco_institutions!B:D,2,0),"")</f>
        <v>31</v>
      </c>
      <c r="G57" s="40">
        <f>IFERROR(VLOOKUP(A57,[1]eco_institutions!B:E,4,0),"")</f>
        <v>3.383898410559556</v>
      </c>
      <c r="H57" s="14">
        <f t="shared" si="1"/>
        <v>36</v>
      </c>
      <c r="I57" s="46">
        <f>IFERROR(VLOOKUP(A57,[1]fin_institutions!B:D,2,0),"")</f>
        <v>13</v>
      </c>
      <c r="J57" s="41">
        <f>IFERROR(VLOOKUP(A57,[1]fin_institutions!B:E,4,0),"")</f>
        <v>3.490876664974365</v>
      </c>
      <c r="K57" s="41">
        <f t="shared" si="2"/>
        <v>52</v>
      </c>
      <c r="L57" s="56">
        <f>IFERROR(VLOOKUP(A57,[1]bus_institutions!B:D,2,0),"")</f>
        <v>35</v>
      </c>
      <c r="M57" s="42">
        <f>IFERROR(VLOOKUP(A57,[1]bus_institutions!B:E,4,0),"")</f>
        <v>2.7441845883872058</v>
      </c>
      <c r="N57" s="23">
        <f t="shared" si="3"/>
        <v>148</v>
      </c>
      <c r="O57" s="61">
        <f>IFERROR(VLOOKUP(A57,[1]man_institutions!B:E,2,0),"")</f>
        <v>48</v>
      </c>
      <c r="P57" s="62">
        <f>IFERROR(VLOOKUP(A57,[1]man_institutions!B:E,4,0),"")</f>
        <v>3.2770509145466278</v>
      </c>
      <c r="Q57" s="63">
        <f t="shared" si="4"/>
        <v>161</v>
      </c>
    </row>
    <row r="58" spans="1:17" x14ac:dyDescent="0.25">
      <c r="A58" s="6" t="s">
        <v>674</v>
      </c>
      <c r="B58" s="37" t="s">
        <v>1218</v>
      </c>
      <c r="C58" s="72">
        <f>IFERROR(VLOOKUP(A58,[1]eco_bus_institutions!B:E,2,0),"")</f>
        <v>44</v>
      </c>
      <c r="D58" s="72">
        <f>IFERROR(VLOOKUP(A58,[1]eco_bus_institutions!B:E,4,0),"")</f>
        <v>3.0969926392369298</v>
      </c>
      <c r="E58" s="73">
        <f t="shared" si="0"/>
        <v>67</v>
      </c>
      <c r="F58" s="40">
        <f>IFERROR(VLOOKUP(A58,[1]eco_institutions!B:D,2,0),"")</f>
        <v>19</v>
      </c>
      <c r="G58" s="40">
        <f>IFERROR(VLOOKUP(A58,[1]eco_institutions!B:E,4,0),"")</f>
        <v>2.970218277659177</v>
      </c>
      <c r="H58" s="14">
        <f t="shared" si="1"/>
        <v>54</v>
      </c>
      <c r="I58" s="46">
        <f>IFERROR(VLOOKUP(A58,[1]fin_institutions!B:D,2,0),"")</f>
        <v>18</v>
      </c>
      <c r="J58" s="41">
        <f>IFERROR(VLOOKUP(A58,[1]fin_institutions!B:E,4,0),"")</f>
        <v>1.803875422052672</v>
      </c>
      <c r="K58" s="41">
        <f t="shared" si="2"/>
        <v>193</v>
      </c>
      <c r="L58" s="56">
        <f>IFERROR(VLOOKUP(A58,[1]bus_institutions!B:D,2,0),"")</f>
        <v>9</v>
      </c>
      <c r="M58" s="42">
        <f>IFERROR(VLOOKUP(A58,[1]bus_institutions!B:E,4,0),"")</f>
        <v>3.8455447396588349</v>
      </c>
      <c r="N58" s="23">
        <f t="shared" si="3"/>
        <v>44</v>
      </c>
      <c r="O58" s="61">
        <f>IFERROR(VLOOKUP(A58,[1]man_institutions!B:E,2,0),"")</f>
        <v>12</v>
      </c>
      <c r="P58" s="62">
        <f>IFERROR(VLOOKUP(A58,[1]man_institutions!B:E,4,0),"")</f>
        <v>3.383174776176646</v>
      </c>
      <c r="Q58" s="63">
        <f t="shared" si="4"/>
        <v>141</v>
      </c>
    </row>
    <row r="59" spans="1:17" x14ac:dyDescent="0.25">
      <c r="A59" s="6" t="s">
        <v>670</v>
      </c>
      <c r="B59" s="37" t="s">
        <v>1217</v>
      </c>
      <c r="C59" s="72">
        <f>IFERROR(VLOOKUP(A59,[1]eco_bus_institutions!B:E,2,0),"")</f>
        <v>66</v>
      </c>
      <c r="D59" s="72">
        <f>IFERROR(VLOOKUP(A59,[1]eco_bus_institutions!B:E,4,0),"")</f>
        <v>3.2184443454744791</v>
      </c>
      <c r="E59" s="73">
        <f t="shared" si="0"/>
        <v>62</v>
      </c>
      <c r="F59" s="40">
        <f>IFERROR(VLOOKUP(A59,[1]eco_institutions!B:D,2,0),"")</f>
        <v>23</v>
      </c>
      <c r="G59" s="40">
        <f>IFERROR(VLOOKUP(A59,[1]eco_institutions!B:E,4,0),"")</f>
        <v>2.7917347772451859</v>
      </c>
      <c r="H59" s="14">
        <f t="shared" si="1"/>
        <v>63</v>
      </c>
      <c r="I59" s="46">
        <f>IFERROR(VLOOKUP(A59,[1]fin_institutions!B:D,2,0),"")</f>
        <v>15</v>
      </c>
      <c r="J59" s="41">
        <f>IFERROR(VLOOKUP(A59,[1]fin_institutions!B:E,4,0),"")</f>
        <v>2.2430584147864132</v>
      </c>
      <c r="K59" s="41">
        <f t="shared" si="2"/>
        <v>125</v>
      </c>
      <c r="L59" s="56">
        <f>IFERROR(VLOOKUP(A59,[1]bus_institutions!B:D,2,0),"")</f>
        <v>11</v>
      </c>
      <c r="M59" s="42">
        <f>IFERROR(VLOOKUP(A59,[1]bus_institutions!B:E,4,0),"")</f>
        <v>4.5105937348127876</v>
      </c>
      <c r="N59" s="23">
        <f t="shared" si="3"/>
        <v>26</v>
      </c>
      <c r="O59" s="61">
        <f>IFERROR(VLOOKUP(A59,[1]man_institutions!B:E,2,0),"")</f>
        <v>29</v>
      </c>
      <c r="P59" s="62">
        <f>IFERROR(VLOOKUP(A59,[1]man_institutions!B:E,4,0),"")</f>
        <v>3.8294024764881782</v>
      </c>
      <c r="Q59" s="63">
        <f t="shared" si="4"/>
        <v>87</v>
      </c>
    </row>
    <row r="60" spans="1:17" x14ac:dyDescent="0.25">
      <c r="A60" s="6" t="s">
        <v>644</v>
      </c>
      <c r="B60" s="37" t="s">
        <v>1217</v>
      </c>
      <c r="C60" s="72">
        <f>IFERROR(VLOOKUP(A60,[1]eco_bus_institutions!B:E,2,0),"")</f>
        <v>79</v>
      </c>
      <c r="D60" s="72">
        <f>IFERROR(VLOOKUP(A60,[1]eco_bus_institutions!B:E,4,0),"")</f>
        <v>3.2100304377135211</v>
      </c>
      <c r="E60" s="73">
        <f t="shared" si="0"/>
        <v>63</v>
      </c>
      <c r="F60" s="40">
        <f>IFERROR(VLOOKUP(A60,[1]eco_institutions!B:D,2,0),"")</f>
        <v>19</v>
      </c>
      <c r="G60" s="40">
        <f>IFERROR(VLOOKUP(A60,[1]eco_institutions!B:E,4,0),"")</f>
        <v>2.262427335457692</v>
      </c>
      <c r="H60" s="14">
        <f t="shared" si="1"/>
        <v>104</v>
      </c>
      <c r="I60" s="46">
        <f>IFERROR(VLOOKUP(A60,[1]fin_institutions!B:D,2,0),"")</f>
        <v>15</v>
      </c>
      <c r="J60" s="41">
        <f>IFERROR(VLOOKUP(A60,[1]fin_institutions!B:E,4,0),"")</f>
        <v>3.783164972240431</v>
      </c>
      <c r="K60" s="41">
        <f t="shared" si="2"/>
        <v>41</v>
      </c>
      <c r="L60" s="56">
        <f>IFERROR(VLOOKUP(A60,[1]bus_institutions!B:D,2,0),"")</f>
        <v>42</v>
      </c>
      <c r="M60" s="42">
        <f>IFERROR(VLOOKUP(A60,[1]bus_institutions!B:E,4,0),"")</f>
        <v>3.640566442230095</v>
      </c>
      <c r="N60" s="23">
        <f t="shared" si="3"/>
        <v>55</v>
      </c>
      <c r="O60" s="61">
        <f>IFERROR(VLOOKUP(A60,[1]man_institutions!B:E,2,0),"")</f>
        <v>30</v>
      </c>
      <c r="P60" s="62">
        <f>IFERROR(VLOOKUP(A60,[1]man_institutions!B:E,4,0),"")</f>
        <v>4.3667417325611959</v>
      </c>
      <c r="Q60" s="63">
        <f t="shared" si="4"/>
        <v>61</v>
      </c>
    </row>
    <row r="61" spans="1:17" x14ac:dyDescent="0.25">
      <c r="A61" s="6" t="s">
        <v>636</v>
      </c>
      <c r="B61" s="37" t="s">
        <v>1217</v>
      </c>
      <c r="C61" s="72">
        <f>IFERROR(VLOOKUP(A61,[1]eco_bus_institutions!B:E,2,0),"")</f>
        <v>51</v>
      </c>
      <c r="D61" s="72">
        <f>IFERROR(VLOOKUP(A61,[1]eco_bus_institutions!B:E,4,0),"")</f>
        <v>3.2427961748900209</v>
      </c>
      <c r="E61" s="73">
        <f t="shared" si="0"/>
        <v>59</v>
      </c>
      <c r="F61" s="40">
        <f>IFERROR(VLOOKUP(A61,[1]eco_institutions!B:D,2,0),"")</f>
        <v>7</v>
      </c>
      <c r="G61" s="40">
        <f>IFERROR(VLOOKUP(A61,[1]eco_institutions!B:E,4,0),"")</f>
        <v>1.305474393478139</v>
      </c>
      <c r="H61" s="14">
        <f t="shared" si="1"/>
        <v>429</v>
      </c>
      <c r="I61" s="46">
        <f>IFERROR(VLOOKUP(A61,[1]fin_institutions!B:D,2,0),"")</f>
        <v>15</v>
      </c>
      <c r="J61" s="41">
        <f>IFERROR(VLOOKUP(A61,[1]fin_institutions!B:E,4,0),"")</f>
        <v>2.4292003295562679</v>
      </c>
      <c r="K61" s="41">
        <f t="shared" si="2"/>
        <v>108</v>
      </c>
      <c r="L61" s="56">
        <f>IFERROR(VLOOKUP(A61,[1]bus_institutions!B:D,2,0),"")</f>
        <v>23</v>
      </c>
      <c r="M61" s="42">
        <f>IFERROR(VLOOKUP(A61,[1]bus_institutions!B:E,4,0),"")</f>
        <v>4.6107638105356781</v>
      </c>
      <c r="N61" s="23">
        <f t="shared" si="3"/>
        <v>23</v>
      </c>
      <c r="O61" s="61">
        <f>IFERROR(VLOOKUP(A61,[1]man_institutions!B:E,2,0),"")</f>
        <v>18</v>
      </c>
      <c r="P61" s="62">
        <f>IFERROR(VLOOKUP(A61,[1]man_institutions!B:E,4,0),"")</f>
        <v>3.302108402922928</v>
      </c>
      <c r="Q61" s="63">
        <f t="shared" si="4"/>
        <v>158</v>
      </c>
    </row>
    <row r="62" spans="1:17" x14ac:dyDescent="0.25">
      <c r="A62" s="6" t="s">
        <v>737</v>
      </c>
      <c r="B62" s="37" t="s">
        <v>1217</v>
      </c>
      <c r="C62" s="72">
        <f>IFERROR(VLOOKUP(A62,[1]eco_bus_institutions!B:E,2,0),"")</f>
        <v>357</v>
      </c>
      <c r="D62" s="72">
        <f>IFERROR(VLOOKUP(A62,[1]eco_bus_institutions!B:E,4,0),"")</f>
        <v>3.5680228141643529</v>
      </c>
      <c r="E62" s="73">
        <f t="shared" si="0"/>
        <v>45</v>
      </c>
      <c r="F62" s="40">
        <f>IFERROR(VLOOKUP(A62,[1]eco_institutions!B:D,2,0),"")</f>
        <v>311</v>
      </c>
      <c r="G62" s="40">
        <f>IFERROR(VLOOKUP(A62,[1]eco_institutions!B:E,4,0),"")</f>
        <v>3.4188762955094538</v>
      </c>
      <c r="H62" s="14">
        <f t="shared" si="1"/>
        <v>34</v>
      </c>
      <c r="I62" s="46">
        <f>IFERROR(VLOOKUP(A62,[1]fin_institutions!B:D,2,0),"")</f>
        <v>152</v>
      </c>
      <c r="J62" s="41">
        <f>IFERROR(VLOOKUP(A62,[1]fin_institutions!B:E,4,0),"")</f>
        <v>2.5360662704232788</v>
      </c>
      <c r="K62" s="41">
        <f t="shared" si="2"/>
        <v>100</v>
      </c>
      <c r="L62" s="56" t="str">
        <f>IFERROR(VLOOKUP(A62,[1]bus_institutions!B:D,2,0),"")</f>
        <v/>
      </c>
      <c r="M62" s="42" t="str">
        <f>IFERROR(VLOOKUP(A62,[1]bus_institutions!B:E,4,0),"")</f>
        <v/>
      </c>
      <c r="N62" s="23" t="str">
        <f t="shared" si="3"/>
        <v/>
      </c>
      <c r="O62" s="61" t="str">
        <f>IFERROR(VLOOKUP(A62,[1]man_institutions!B:E,2,0),"")</f>
        <v/>
      </c>
      <c r="P62" s="62" t="str">
        <f>IFERROR(VLOOKUP(A62,[1]man_institutions!B:E,4,0),"")</f>
        <v/>
      </c>
      <c r="Q62" s="63" t="str">
        <f t="shared" si="4"/>
        <v/>
      </c>
    </row>
    <row r="63" spans="1:17" x14ac:dyDescent="0.25">
      <c r="A63" s="6" t="s">
        <v>682</v>
      </c>
      <c r="B63" s="37" t="s">
        <v>1222</v>
      </c>
      <c r="C63" s="72">
        <f>IFERROR(VLOOKUP(A63,[1]eco_bus_institutions!B:E,2,0),"")</f>
        <v>185</v>
      </c>
      <c r="D63" s="72">
        <f>IFERROR(VLOOKUP(A63,[1]eco_bus_institutions!B:E,4,0),"")</f>
        <v>3.4316488573931649</v>
      </c>
      <c r="E63" s="73">
        <f t="shared" si="0"/>
        <v>53</v>
      </c>
      <c r="F63" s="40">
        <f>IFERROR(VLOOKUP(A63,[1]eco_institutions!B:D,2,0),"")</f>
        <v>107</v>
      </c>
      <c r="G63" s="40">
        <f>IFERROR(VLOOKUP(A63,[1]eco_institutions!B:E,4,0),"")</f>
        <v>3.3100951121255662</v>
      </c>
      <c r="H63" s="14">
        <f t="shared" si="1"/>
        <v>39</v>
      </c>
      <c r="I63" s="46">
        <f>IFERROR(VLOOKUP(A63,[1]fin_institutions!B:D,2,0),"")</f>
        <v>21</v>
      </c>
      <c r="J63" s="41">
        <f>IFERROR(VLOOKUP(A63,[1]fin_institutions!B:E,4,0),"")</f>
        <v>1.81521378997473</v>
      </c>
      <c r="K63" s="41">
        <f t="shared" si="2"/>
        <v>191</v>
      </c>
      <c r="L63" s="56">
        <f>IFERROR(VLOOKUP(A63,[1]bus_institutions!B:D,2,0),"")</f>
        <v>51</v>
      </c>
      <c r="M63" s="42">
        <f>IFERROR(VLOOKUP(A63,[1]bus_institutions!B:E,4,0),"")</f>
        <v>3.2962692346903051</v>
      </c>
      <c r="N63" s="23">
        <f t="shared" si="3"/>
        <v>85</v>
      </c>
      <c r="O63" s="61">
        <f>IFERROR(VLOOKUP(A63,[1]man_institutions!B:E,2,0),"")</f>
        <v>54</v>
      </c>
      <c r="P63" s="62">
        <f>IFERROR(VLOOKUP(A63,[1]man_institutions!B:E,4,0),"")</f>
        <v>4.8437324821691252</v>
      </c>
      <c r="Q63" s="63">
        <f t="shared" si="4"/>
        <v>43</v>
      </c>
    </row>
    <row r="64" spans="1:17" x14ac:dyDescent="0.25">
      <c r="A64" s="6" t="s">
        <v>729</v>
      </c>
      <c r="B64" s="37" t="s">
        <v>1216</v>
      </c>
      <c r="C64" s="72">
        <f>IFERROR(VLOOKUP(A64,[1]eco_bus_institutions!B:E,2,0),"")</f>
        <v>331</v>
      </c>
      <c r="D64" s="72">
        <f>IFERROR(VLOOKUP(A64,[1]eco_bus_institutions!B:E,4,0),"")</f>
        <v>3.6660879363744638</v>
      </c>
      <c r="E64" s="73">
        <f t="shared" si="0"/>
        <v>41</v>
      </c>
      <c r="F64" s="40">
        <f>IFERROR(VLOOKUP(A64,[1]eco_institutions!B:D,2,0),"")</f>
        <v>281</v>
      </c>
      <c r="G64" s="40">
        <f>IFERROR(VLOOKUP(A64,[1]eco_institutions!B:E,4,0),"")</f>
        <v>3.52044976801302</v>
      </c>
      <c r="H64" s="14">
        <f t="shared" si="1"/>
        <v>31</v>
      </c>
      <c r="I64" s="46">
        <f>IFERROR(VLOOKUP(A64,[1]fin_institutions!B:D,2,0),"")</f>
        <v>76</v>
      </c>
      <c r="J64" s="41">
        <f>IFERROR(VLOOKUP(A64,[1]fin_institutions!B:E,4,0),"")</f>
        <v>2.1963168022579369</v>
      </c>
      <c r="K64" s="41">
        <f t="shared" si="2"/>
        <v>129</v>
      </c>
      <c r="L64" s="56">
        <f>IFERROR(VLOOKUP(A64,[1]bus_institutions!B:D,2,0),"")</f>
        <v>18</v>
      </c>
      <c r="M64" s="42">
        <f>IFERROR(VLOOKUP(A64,[1]bus_institutions!B:E,4,0),"")</f>
        <v>3.2274467636430479</v>
      </c>
      <c r="N64" s="23">
        <f t="shared" si="3"/>
        <v>91</v>
      </c>
      <c r="O64" s="61">
        <f>IFERROR(VLOOKUP(A64,[1]man_institutions!B:E,2,0),"")</f>
        <v>22</v>
      </c>
      <c r="P64" s="62">
        <f>IFERROR(VLOOKUP(A64,[1]man_institutions!B:E,4,0),"")</f>
        <v>4.6829392407203994</v>
      </c>
      <c r="Q64" s="63">
        <f t="shared" si="4"/>
        <v>46</v>
      </c>
    </row>
    <row r="65" spans="1:17" x14ac:dyDescent="0.25">
      <c r="A65" s="6" t="s">
        <v>665</v>
      </c>
      <c r="B65" s="37" t="s">
        <v>1217</v>
      </c>
      <c r="C65" s="72">
        <f>IFERROR(VLOOKUP(A65,[1]eco_bus_institutions!B:E,2,0),"")</f>
        <v>90</v>
      </c>
      <c r="D65" s="72">
        <f>IFERROR(VLOOKUP(A65,[1]eco_bus_institutions!B:E,4,0),"")</f>
        <v>3.5326593279160159</v>
      </c>
      <c r="E65" s="73">
        <f t="shared" si="0"/>
        <v>47</v>
      </c>
      <c r="F65" s="40">
        <f>IFERROR(VLOOKUP(A65,[1]eco_institutions!B:D,2,0),"")</f>
        <v>52</v>
      </c>
      <c r="G65" s="40">
        <f>IFERROR(VLOOKUP(A65,[1]eco_institutions!B:E,4,0),"")</f>
        <v>2.549087240796529</v>
      </c>
      <c r="H65" s="14">
        <f t="shared" si="1"/>
        <v>77</v>
      </c>
      <c r="I65" s="46">
        <f>IFERROR(VLOOKUP(A65,[1]fin_institutions!B:D,2,0),"")</f>
        <v>19</v>
      </c>
      <c r="J65" s="41">
        <f>IFERROR(VLOOKUP(A65,[1]fin_institutions!B:E,4,0),"")</f>
        <v>3.46869081208999</v>
      </c>
      <c r="K65" s="41">
        <f t="shared" si="2"/>
        <v>53</v>
      </c>
      <c r="L65" s="56">
        <f>IFERROR(VLOOKUP(A65,[1]bus_institutions!B:D,2,0),"")</f>
        <v>20</v>
      </c>
      <c r="M65" s="42">
        <f>IFERROR(VLOOKUP(A65,[1]bus_institutions!B:E,4,0),"")</f>
        <v>5.6058852276234754</v>
      </c>
      <c r="N65" s="23">
        <f t="shared" si="3"/>
        <v>5</v>
      </c>
      <c r="O65" s="61">
        <f>IFERROR(VLOOKUP(A65,[1]man_institutions!B:E,2,0),"")</f>
        <v>21</v>
      </c>
      <c r="P65" s="62">
        <f>IFERROR(VLOOKUP(A65,[1]man_institutions!B:E,4,0),"")</f>
        <v>6.3024225224204926</v>
      </c>
      <c r="Q65" s="63">
        <f t="shared" si="4"/>
        <v>10</v>
      </c>
    </row>
    <row r="66" spans="1:17" x14ac:dyDescent="0.25">
      <c r="A66" s="6" t="s">
        <v>725</v>
      </c>
      <c r="B66" s="37" t="s">
        <v>1217</v>
      </c>
      <c r="C66" s="72">
        <f>IFERROR(VLOOKUP(A66,[1]eco_bus_institutions!B:E,2,0),"")</f>
        <v>144</v>
      </c>
      <c r="D66" s="72">
        <f>IFERROR(VLOOKUP(A66,[1]eco_bus_institutions!B:E,4,0),"")</f>
        <v>3.3701818664025822</v>
      </c>
      <c r="E66" s="73">
        <f t="shared" si="0"/>
        <v>57</v>
      </c>
      <c r="F66" s="40">
        <f>IFERROR(VLOOKUP(A66,[1]eco_institutions!B:D,2,0),"")</f>
        <v>97</v>
      </c>
      <c r="G66" s="40">
        <f>IFERROR(VLOOKUP(A66,[1]eco_institutions!B:E,4,0),"")</f>
        <v>3.118277193771013</v>
      </c>
      <c r="H66" s="14">
        <f t="shared" si="1"/>
        <v>43</v>
      </c>
      <c r="I66" s="46">
        <f>IFERROR(VLOOKUP(A66,[1]fin_institutions!B:D,2,0),"")</f>
        <v>34</v>
      </c>
      <c r="J66" s="41">
        <f>IFERROR(VLOOKUP(A66,[1]fin_institutions!B:E,4,0),"")</f>
        <v>3.3711042907665201</v>
      </c>
      <c r="K66" s="41">
        <f t="shared" si="2"/>
        <v>56</v>
      </c>
      <c r="L66" s="56">
        <f>IFERROR(VLOOKUP(A66,[1]bus_institutions!B:D,2,0),"")</f>
        <v>18</v>
      </c>
      <c r="M66" s="42">
        <f>IFERROR(VLOOKUP(A66,[1]bus_institutions!B:E,4,0),"")</f>
        <v>4.601577991598889</v>
      </c>
      <c r="N66" s="23">
        <f t="shared" si="3"/>
        <v>24</v>
      </c>
      <c r="O66" s="61">
        <f>IFERROR(VLOOKUP(A66,[1]man_institutions!B:E,2,0),"")</f>
        <v>23</v>
      </c>
      <c r="P66" s="62">
        <f>IFERROR(VLOOKUP(A66,[1]man_institutions!B:E,4,0),"")</f>
        <v>3.4822257597958881</v>
      </c>
      <c r="Q66" s="63">
        <f t="shared" si="4"/>
        <v>127</v>
      </c>
    </row>
    <row r="67" spans="1:17" x14ac:dyDescent="0.25">
      <c r="A67" s="6" t="s">
        <v>702</v>
      </c>
      <c r="B67" s="37" t="s">
        <v>1217</v>
      </c>
      <c r="C67" s="72">
        <f>IFERROR(VLOOKUP(A67,[1]eco_bus_institutions!B:E,2,0),"")</f>
        <v>86</v>
      </c>
      <c r="D67" s="72">
        <f>IFERROR(VLOOKUP(A67,[1]eco_bus_institutions!B:E,4,0),"")</f>
        <v>3.242615849034491</v>
      </c>
      <c r="E67" s="73">
        <f t="shared" ref="E67:E130" si="5">_xlfn.RANK.EQ(D67,D:D)</f>
        <v>60</v>
      </c>
      <c r="F67" s="40">
        <f>IFERROR(VLOOKUP(A67,[1]eco_institutions!B:D,2,0),"")</f>
        <v>48</v>
      </c>
      <c r="G67" s="40">
        <f>IFERROR(VLOOKUP(A67,[1]eco_institutions!B:E,4,0),"")</f>
        <v>2.9979334892875831</v>
      </c>
      <c r="H67" s="14">
        <f t="shared" ref="H67:H130" si="6">IFERROR(_xlfn.RANK.EQ(G67,G:G),"")</f>
        <v>53</v>
      </c>
      <c r="I67" s="46">
        <f>IFERROR(VLOOKUP(A67,[1]fin_institutions!B:D,2,0),"")</f>
        <v>30</v>
      </c>
      <c r="J67" s="41">
        <f>IFERROR(VLOOKUP(A67,[1]fin_institutions!B:E,4,0),"")</f>
        <v>3.9220493988705911</v>
      </c>
      <c r="K67" s="41">
        <f t="shared" ref="K67:K130" si="7">IFERROR(_xlfn.RANK.EQ(J67,J:J),"")</f>
        <v>37</v>
      </c>
      <c r="L67" s="56">
        <f>IFERROR(VLOOKUP(A67,[1]bus_institutions!B:D,2,0),"")</f>
        <v>17</v>
      </c>
      <c r="M67" s="42">
        <f>IFERROR(VLOOKUP(A67,[1]bus_institutions!B:E,4,0),"")</f>
        <v>3.5165034834830382</v>
      </c>
      <c r="N67" s="23">
        <f t="shared" ref="N67:N130" si="8">IFERROR(_xlfn.RANK.EQ(M67,M:M),"")</f>
        <v>66</v>
      </c>
      <c r="O67" s="61">
        <f>IFERROR(VLOOKUP(A67,[1]man_institutions!B:E,2,0),"")</f>
        <v>14</v>
      </c>
      <c r="P67" s="62">
        <f>IFERROR(VLOOKUP(A67,[1]man_institutions!B:E,4,0),"")</f>
        <v>3.2374779101080229</v>
      </c>
      <c r="Q67" s="63">
        <f t="shared" ref="Q67:Q130" si="9">IFERROR(_xlfn.RANK.EQ(P67,P:P),"")</f>
        <v>165</v>
      </c>
    </row>
    <row r="68" spans="1:17" x14ac:dyDescent="0.25">
      <c r="A68" s="6" t="s">
        <v>654</v>
      </c>
      <c r="B68" s="37" t="s">
        <v>1217</v>
      </c>
      <c r="C68" s="72">
        <f>IFERROR(VLOOKUP(A68,[1]eco_bus_institutions!B:E,2,0),"")</f>
        <v>45</v>
      </c>
      <c r="D68" s="72">
        <f>IFERROR(VLOOKUP(A68,[1]eco_bus_institutions!B:E,4,0),"")</f>
        <v>3.0611129912237049</v>
      </c>
      <c r="E68" s="73">
        <f t="shared" si="5"/>
        <v>69</v>
      </c>
      <c r="F68" s="40">
        <f>IFERROR(VLOOKUP(A68,[1]eco_institutions!B:D,2,0),"")</f>
        <v>17</v>
      </c>
      <c r="G68" s="40">
        <f>IFERROR(VLOOKUP(A68,[1]eco_institutions!B:E,4,0),"")</f>
        <v>2.1221340640470872</v>
      </c>
      <c r="H68" s="14">
        <f t="shared" si="6"/>
        <v>121</v>
      </c>
      <c r="I68" s="46">
        <f>IFERROR(VLOOKUP(A68,[1]fin_institutions!B:D,2,0),"")</f>
        <v>5</v>
      </c>
      <c r="J68" s="41">
        <f>IFERROR(VLOOKUP(A68,[1]fin_institutions!B:E,4,0),"")</f>
        <v>2.480062936430691</v>
      </c>
      <c r="K68" s="41">
        <f t="shared" si="7"/>
        <v>104</v>
      </c>
      <c r="L68" s="56">
        <f>IFERROR(VLOOKUP(A68,[1]bus_institutions!B:D,2,0),"")</f>
        <v>24</v>
      </c>
      <c r="M68" s="42">
        <f>IFERROR(VLOOKUP(A68,[1]bus_institutions!B:E,4,0),"")</f>
        <v>3.6533986845326418</v>
      </c>
      <c r="N68" s="23">
        <f t="shared" si="8"/>
        <v>54</v>
      </c>
      <c r="O68" s="61">
        <f>IFERROR(VLOOKUP(A68,[1]man_institutions!B:E,2,0),"")</f>
        <v>16</v>
      </c>
      <c r="P68" s="62">
        <f>IFERROR(VLOOKUP(A68,[1]man_institutions!B:E,4,0),"")</f>
        <v>4.273968055859136</v>
      </c>
      <c r="Q68" s="63">
        <f t="shared" si="9"/>
        <v>65</v>
      </c>
    </row>
    <row r="69" spans="1:17" x14ac:dyDescent="0.25">
      <c r="A69" s="6" t="s">
        <v>688</v>
      </c>
      <c r="B69" s="37" t="s">
        <v>1217</v>
      </c>
      <c r="C69" s="72">
        <f>IFERROR(VLOOKUP(A69,[1]eco_bus_institutions!B:E,2,0),"")</f>
        <v>82</v>
      </c>
      <c r="D69" s="72">
        <f>IFERROR(VLOOKUP(A69,[1]eco_bus_institutions!B:E,4,0),"")</f>
        <v>3.7851461297977371</v>
      </c>
      <c r="E69" s="73">
        <f t="shared" si="5"/>
        <v>34</v>
      </c>
      <c r="F69" s="40">
        <f>IFERROR(VLOOKUP(A69,[1]eco_institutions!B:D,2,0),"")</f>
        <v>61</v>
      </c>
      <c r="G69" s="40">
        <f>IFERROR(VLOOKUP(A69,[1]eco_institutions!B:E,4,0),"")</f>
        <v>3.645755034649004</v>
      </c>
      <c r="H69" s="14">
        <f t="shared" si="6"/>
        <v>29</v>
      </c>
      <c r="I69" s="46">
        <f>IFERROR(VLOOKUP(A69,[1]fin_institutions!B:D,2,0),"")</f>
        <v>10</v>
      </c>
      <c r="J69" s="41">
        <f>IFERROR(VLOOKUP(A69,[1]fin_institutions!B:E,4,0),"")</f>
        <v>2.3165772203312889</v>
      </c>
      <c r="K69" s="41">
        <f t="shared" si="7"/>
        <v>116</v>
      </c>
      <c r="L69" s="56">
        <f>IFERROR(VLOOKUP(A69,[1]bus_institutions!B:D,2,0),"")</f>
        <v>10</v>
      </c>
      <c r="M69" s="42">
        <f>IFERROR(VLOOKUP(A69,[1]bus_institutions!B:E,4,0),"")</f>
        <v>4.6521300563294554</v>
      </c>
      <c r="N69" s="23">
        <f t="shared" si="8"/>
        <v>20</v>
      </c>
      <c r="O69" s="61">
        <f>IFERROR(VLOOKUP(A69,[1]man_institutions!B:E,2,0),"")</f>
        <v>8</v>
      </c>
      <c r="P69" s="62">
        <f>IFERROR(VLOOKUP(A69,[1]man_institutions!B:E,4,0),"")</f>
        <v>7.4821964079569439</v>
      </c>
      <c r="Q69" s="63">
        <f t="shared" si="9"/>
        <v>5</v>
      </c>
    </row>
    <row r="70" spans="1:17" x14ac:dyDescent="0.25">
      <c r="A70" s="6" t="s">
        <v>723</v>
      </c>
      <c r="B70" s="37" t="s">
        <v>1224</v>
      </c>
      <c r="C70" s="72">
        <f>IFERROR(VLOOKUP(A70,[1]eco_bus_institutions!B:E,2,0),"")</f>
        <v>184</v>
      </c>
      <c r="D70" s="72">
        <f>IFERROR(VLOOKUP(A70,[1]eco_bus_institutions!B:E,4,0),"")</f>
        <v>3.3030488226099139</v>
      </c>
      <c r="E70" s="73">
        <f t="shared" si="5"/>
        <v>58</v>
      </c>
      <c r="F70" s="40">
        <f>IFERROR(VLOOKUP(A70,[1]eco_institutions!B:D,2,0),"")</f>
        <v>109</v>
      </c>
      <c r="G70" s="40">
        <f>IFERROR(VLOOKUP(A70,[1]eco_institutions!B:E,4,0),"")</f>
        <v>3.0191767601742261</v>
      </c>
      <c r="H70" s="14">
        <f t="shared" si="6"/>
        <v>52</v>
      </c>
      <c r="I70" s="46">
        <f>IFERROR(VLOOKUP(A70,[1]fin_institutions!B:D,2,0),"")</f>
        <v>44</v>
      </c>
      <c r="J70" s="41">
        <f>IFERROR(VLOOKUP(A70,[1]fin_institutions!B:E,4,0),"")</f>
        <v>3.3259678338478471</v>
      </c>
      <c r="K70" s="41">
        <f t="shared" si="7"/>
        <v>59</v>
      </c>
      <c r="L70" s="56">
        <f>IFERROR(VLOOKUP(A70,[1]bus_institutions!B:D,2,0),"")</f>
        <v>33</v>
      </c>
      <c r="M70" s="42">
        <f>IFERROR(VLOOKUP(A70,[1]bus_institutions!B:E,4,0),"")</f>
        <v>2.6884872378411182</v>
      </c>
      <c r="N70" s="23">
        <f t="shared" si="8"/>
        <v>153</v>
      </c>
      <c r="O70" s="61">
        <f>IFERROR(VLOOKUP(A70,[1]man_institutions!B:E,2,0),"")</f>
        <v>51</v>
      </c>
      <c r="P70" s="62">
        <f>IFERROR(VLOOKUP(A70,[1]man_institutions!B:E,4,0),"")</f>
        <v>3.819341362561044</v>
      </c>
      <c r="Q70" s="63">
        <f t="shared" si="9"/>
        <v>89</v>
      </c>
    </row>
    <row r="71" spans="1:17" x14ac:dyDescent="0.25">
      <c r="A71" s="6" t="s">
        <v>796</v>
      </c>
      <c r="B71" s="37" t="s">
        <v>1271</v>
      </c>
      <c r="C71" s="72">
        <f>IFERROR(VLOOKUP(A71,[1]eco_bus_institutions!B:E,2,0),"")</f>
        <v>77</v>
      </c>
      <c r="D71" s="72">
        <f>IFERROR(VLOOKUP(A71,[1]eco_bus_institutions!B:E,4,0),"")</f>
        <v>3.496584402029451</v>
      </c>
      <c r="E71" s="73">
        <f t="shared" si="5"/>
        <v>51</v>
      </c>
      <c r="F71" s="40">
        <f>IFERROR(VLOOKUP(A71,[1]eco_institutions!B:D,2,0),"")</f>
        <v>69</v>
      </c>
      <c r="G71" s="40">
        <f>IFERROR(VLOOKUP(A71,[1]eco_institutions!B:E,4,0),"")</f>
        <v>3.3272446519680061</v>
      </c>
      <c r="H71" s="14">
        <f t="shared" si="6"/>
        <v>37</v>
      </c>
      <c r="I71" s="46">
        <f>IFERROR(VLOOKUP(A71,[1]fin_institutions!B:D,2,0),"")</f>
        <v>9</v>
      </c>
      <c r="J71" s="41">
        <f>IFERROR(VLOOKUP(A71,[1]fin_institutions!B:E,4,0),"")</f>
        <v>2.63700556999129</v>
      </c>
      <c r="K71" s="41">
        <f t="shared" si="7"/>
        <v>93</v>
      </c>
      <c r="L71" s="56" t="str">
        <f>IFERROR(VLOOKUP(A71,[1]bus_institutions!B:D,2,0),"")</f>
        <v/>
      </c>
      <c r="M71" s="42" t="str">
        <f>IFERROR(VLOOKUP(A71,[1]bus_institutions!B:E,4,0),"")</f>
        <v/>
      </c>
      <c r="N71" s="23" t="str">
        <f t="shared" si="8"/>
        <v/>
      </c>
      <c r="O71" s="61" t="str">
        <f>IFERROR(VLOOKUP(A71,[1]man_institutions!B:E,2,0),"")</f>
        <v/>
      </c>
      <c r="P71" s="62" t="str">
        <f>IFERROR(VLOOKUP(A71,[1]man_institutions!B:E,4,0),"")</f>
        <v/>
      </c>
      <c r="Q71" s="63" t="str">
        <f t="shared" si="9"/>
        <v/>
      </c>
    </row>
    <row r="72" spans="1:17" x14ac:dyDescent="0.25">
      <c r="A72" s="6" t="s">
        <v>666</v>
      </c>
      <c r="B72" s="37" t="s">
        <v>1217</v>
      </c>
      <c r="C72" s="72">
        <f>IFERROR(VLOOKUP(A72,[1]eco_bus_institutions!B:E,2,0),"")</f>
        <v>199</v>
      </c>
      <c r="D72" s="72">
        <f>IFERROR(VLOOKUP(A72,[1]eco_bus_institutions!B:E,4,0),"")</f>
        <v>3.002472972391339</v>
      </c>
      <c r="E72" s="73">
        <f t="shared" si="5"/>
        <v>76</v>
      </c>
      <c r="F72" s="40">
        <f>IFERROR(VLOOKUP(A72,[1]eco_institutions!B:D,2,0),"")</f>
        <v>76</v>
      </c>
      <c r="G72" s="40">
        <f>IFERROR(VLOOKUP(A72,[1]eco_institutions!B:E,4,0),"")</f>
        <v>2.0190835100165829</v>
      </c>
      <c r="H72" s="14">
        <f t="shared" si="6"/>
        <v>145</v>
      </c>
      <c r="I72" s="46">
        <f>IFERROR(VLOOKUP(A72,[1]fin_institutions!B:D,2,0),"")</f>
        <v>34</v>
      </c>
      <c r="J72" s="41">
        <f>IFERROR(VLOOKUP(A72,[1]fin_institutions!B:E,4,0),"")</f>
        <v>3.622663509445013</v>
      </c>
      <c r="K72" s="41">
        <f t="shared" si="7"/>
        <v>45</v>
      </c>
      <c r="L72" s="56">
        <f>IFERROR(VLOOKUP(A72,[1]bus_institutions!B:D,2,0),"")</f>
        <v>85</v>
      </c>
      <c r="M72" s="42">
        <f>IFERROR(VLOOKUP(A72,[1]bus_institutions!B:E,4,0),"")</f>
        <v>3.2623101602122531</v>
      </c>
      <c r="N72" s="23">
        <f t="shared" si="8"/>
        <v>89</v>
      </c>
      <c r="O72" s="61">
        <f>IFERROR(VLOOKUP(A72,[1]man_institutions!B:E,2,0),"")</f>
        <v>70</v>
      </c>
      <c r="P72" s="62">
        <f>IFERROR(VLOOKUP(A72,[1]man_institutions!B:E,4,0),"")</f>
        <v>3.7754518447843428</v>
      </c>
      <c r="Q72" s="63">
        <f t="shared" si="9"/>
        <v>97</v>
      </c>
    </row>
    <row r="73" spans="1:17" x14ac:dyDescent="0.25">
      <c r="A73" s="6" t="s">
        <v>667</v>
      </c>
      <c r="B73" s="37" t="s">
        <v>1226</v>
      </c>
      <c r="C73" s="72">
        <f>IFERROR(VLOOKUP(A73,[1]eco_bus_institutions!B:E,2,0),"")</f>
        <v>126</v>
      </c>
      <c r="D73" s="72">
        <f>IFERROR(VLOOKUP(A73,[1]eco_bus_institutions!B:E,4,0),"")</f>
        <v>2.969487870551752</v>
      </c>
      <c r="E73" s="73">
        <f t="shared" si="5"/>
        <v>83</v>
      </c>
      <c r="F73" s="40">
        <f>IFERROR(VLOOKUP(A73,[1]eco_institutions!B:D,2,0),"")</f>
        <v>61</v>
      </c>
      <c r="G73" s="40">
        <f>IFERROR(VLOOKUP(A73,[1]eco_institutions!B:E,4,0),"")</f>
        <v>1.7308166833295171</v>
      </c>
      <c r="H73" s="14">
        <f t="shared" si="6"/>
        <v>209</v>
      </c>
      <c r="I73" s="46">
        <f>IFERROR(VLOOKUP(A73,[1]fin_institutions!B:D,2,0),"")</f>
        <v>36</v>
      </c>
      <c r="J73" s="41">
        <f>IFERROR(VLOOKUP(A73,[1]fin_institutions!B:E,4,0),"")</f>
        <v>2.8650086970790531</v>
      </c>
      <c r="K73" s="41">
        <f t="shared" si="7"/>
        <v>75</v>
      </c>
      <c r="L73" s="56">
        <f>IFERROR(VLOOKUP(A73,[1]bus_institutions!B:D,2,0),"")</f>
        <v>29</v>
      </c>
      <c r="M73" s="42">
        <f>IFERROR(VLOOKUP(A73,[1]bus_institutions!B:E,4,0),"")</f>
        <v>4.7968541726328997</v>
      </c>
      <c r="N73" s="23">
        <f t="shared" si="8"/>
        <v>17</v>
      </c>
      <c r="O73" s="61">
        <f>IFERROR(VLOOKUP(A73,[1]man_institutions!B:E,2,0),"")</f>
        <v>34</v>
      </c>
      <c r="P73" s="62">
        <f>IFERROR(VLOOKUP(A73,[1]man_institutions!B:E,4,0),"")</f>
        <v>4.8847801817224381</v>
      </c>
      <c r="Q73" s="63">
        <f t="shared" si="9"/>
        <v>40</v>
      </c>
    </row>
    <row r="74" spans="1:17" x14ac:dyDescent="0.25">
      <c r="A74" s="6" t="s">
        <v>696</v>
      </c>
      <c r="B74" s="37" t="s">
        <v>1230</v>
      </c>
      <c r="C74" s="72">
        <f>IFERROR(VLOOKUP(A74,[1]eco_bus_institutions!B:E,2,0),"")</f>
        <v>42</v>
      </c>
      <c r="D74" s="72">
        <f>IFERROR(VLOOKUP(A74,[1]eco_bus_institutions!B:E,4,0),"")</f>
        <v>2.9352454720549161</v>
      </c>
      <c r="E74" s="73">
        <f t="shared" si="5"/>
        <v>86</v>
      </c>
      <c r="F74" s="40">
        <f>IFERROR(VLOOKUP(A74,[1]eco_institutions!B:D,2,0),"")</f>
        <v>30</v>
      </c>
      <c r="G74" s="40">
        <f>IFERROR(VLOOKUP(A74,[1]eco_institutions!B:E,4,0),"")</f>
        <v>2.5411602186318412</v>
      </c>
      <c r="H74" s="14">
        <f t="shared" si="6"/>
        <v>79</v>
      </c>
      <c r="I74" s="46">
        <f>IFERROR(VLOOKUP(A74,[1]fin_institutions!B:D,2,0),"")</f>
        <v>14</v>
      </c>
      <c r="J74" s="41">
        <f>IFERROR(VLOOKUP(A74,[1]fin_institutions!B:E,4,0),"")</f>
        <v>2.5579283073563568</v>
      </c>
      <c r="K74" s="41">
        <f t="shared" si="7"/>
        <v>97</v>
      </c>
      <c r="L74" s="56">
        <f>IFERROR(VLOOKUP(A74,[1]bus_institutions!B:D,2,0),"")</f>
        <v>4</v>
      </c>
      <c r="M74" s="42">
        <f>IFERROR(VLOOKUP(A74,[1]bus_institutions!B:E,4,0),"")</f>
        <v>2.7879538226699512</v>
      </c>
      <c r="N74" s="23">
        <f t="shared" si="8"/>
        <v>138</v>
      </c>
      <c r="O74" s="61">
        <f>IFERROR(VLOOKUP(A74,[1]man_institutions!B:E,2,0),"")</f>
        <v>5</v>
      </c>
      <c r="P74" s="62">
        <f>IFERROR(VLOOKUP(A74,[1]man_institutions!B:E,4,0),"")</f>
        <v>2.3062889911212241</v>
      </c>
      <c r="Q74" s="63">
        <f t="shared" si="9"/>
        <v>322</v>
      </c>
    </row>
    <row r="75" spans="1:17" x14ac:dyDescent="0.25">
      <c r="A75" s="6" t="s">
        <v>684</v>
      </c>
      <c r="B75" s="37" t="s">
        <v>1217</v>
      </c>
      <c r="C75" s="72">
        <f>IFERROR(VLOOKUP(A75,[1]eco_bus_institutions!B:E,2,0),"")</f>
        <v>59</v>
      </c>
      <c r="D75" s="72">
        <f>IFERROR(VLOOKUP(A75,[1]eco_bus_institutions!B:E,4,0),"")</f>
        <v>3.0861419819276601</v>
      </c>
      <c r="E75" s="73">
        <f t="shared" si="5"/>
        <v>68</v>
      </c>
      <c r="F75" s="40">
        <f>IFERROR(VLOOKUP(A75,[1]eco_institutions!B:D,2,0),"")</f>
        <v>32</v>
      </c>
      <c r="G75" s="40">
        <f>IFERROR(VLOOKUP(A75,[1]eco_institutions!B:E,4,0),"")</f>
        <v>2.4156223337580132</v>
      </c>
      <c r="H75" s="14">
        <f t="shared" si="6"/>
        <v>88</v>
      </c>
      <c r="I75" s="46">
        <f>IFERROR(VLOOKUP(A75,[1]fin_institutions!B:D,2,0),"")</f>
        <v>12</v>
      </c>
      <c r="J75" s="41">
        <f>IFERROR(VLOOKUP(A75,[1]fin_institutions!B:E,4,0),"")</f>
        <v>4.9886799764523371</v>
      </c>
      <c r="K75" s="41">
        <f t="shared" si="7"/>
        <v>15</v>
      </c>
      <c r="L75" s="56">
        <f>IFERROR(VLOOKUP(A75,[1]bus_institutions!B:D,2,0),"")</f>
        <v>12</v>
      </c>
      <c r="M75" s="42">
        <f>IFERROR(VLOOKUP(A75,[1]bus_institutions!B:E,4,0),"")</f>
        <v>2.434863716831758</v>
      </c>
      <c r="N75" s="23">
        <f t="shared" si="8"/>
        <v>212</v>
      </c>
      <c r="O75" s="61">
        <f>IFERROR(VLOOKUP(A75,[1]man_institutions!B:E,2,0),"")</f>
        <v>13</v>
      </c>
      <c r="P75" s="62">
        <f>IFERROR(VLOOKUP(A75,[1]man_institutions!B:E,4,0),"")</f>
        <v>4.1703206804746742</v>
      </c>
      <c r="Q75" s="63">
        <f t="shared" si="9"/>
        <v>68</v>
      </c>
    </row>
    <row r="76" spans="1:17" x14ac:dyDescent="0.25">
      <c r="A76" s="6" t="s">
        <v>703</v>
      </c>
      <c r="B76" s="37" t="s">
        <v>1217</v>
      </c>
      <c r="C76" s="72">
        <f>IFERROR(VLOOKUP(A76,[1]eco_bus_institutions!B:E,2,0),"")</f>
        <v>156</v>
      </c>
      <c r="D76" s="72">
        <f>IFERROR(VLOOKUP(A76,[1]eco_bus_institutions!B:E,4,0),"")</f>
        <v>3.180884103619539</v>
      </c>
      <c r="E76" s="73">
        <f t="shared" si="5"/>
        <v>65</v>
      </c>
      <c r="F76" s="40">
        <f>IFERROR(VLOOKUP(A76,[1]eco_institutions!B:D,2,0),"")</f>
        <v>75</v>
      </c>
      <c r="G76" s="40">
        <f>IFERROR(VLOOKUP(A76,[1]eco_institutions!B:E,4,0),"")</f>
        <v>2.858145924266505</v>
      </c>
      <c r="H76" s="14">
        <f t="shared" si="6"/>
        <v>58</v>
      </c>
      <c r="I76" s="46">
        <f>IFERROR(VLOOKUP(A76,[1]fin_institutions!B:D,2,0),"")</f>
        <v>19</v>
      </c>
      <c r="J76" s="41">
        <f>IFERROR(VLOOKUP(A76,[1]fin_institutions!B:E,4,0),"")</f>
        <v>3.3524999597057068</v>
      </c>
      <c r="K76" s="41">
        <f t="shared" si="7"/>
        <v>58</v>
      </c>
      <c r="L76" s="56">
        <f>IFERROR(VLOOKUP(A76,[1]bus_institutions!B:D,2,0),"")</f>
        <v>41</v>
      </c>
      <c r="M76" s="42">
        <f>IFERROR(VLOOKUP(A76,[1]bus_institutions!B:E,4,0),"")</f>
        <v>3.4089940068622449</v>
      </c>
      <c r="N76" s="23">
        <f t="shared" si="8"/>
        <v>75</v>
      </c>
      <c r="O76" s="61">
        <f>IFERROR(VLOOKUP(A76,[1]man_institutions!B:E,2,0),"")</f>
        <v>53</v>
      </c>
      <c r="P76" s="62">
        <f>IFERROR(VLOOKUP(A76,[1]man_institutions!B:E,4,0),"")</f>
        <v>4.8000380024028946</v>
      </c>
      <c r="Q76" s="63">
        <f t="shared" si="9"/>
        <v>44</v>
      </c>
    </row>
    <row r="77" spans="1:17" x14ac:dyDescent="0.25">
      <c r="A77" s="6" t="s">
        <v>707</v>
      </c>
      <c r="B77" s="37" t="s">
        <v>1223</v>
      </c>
      <c r="C77" s="72">
        <f>IFERROR(VLOOKUP(A77,[1]eco_bus_institutions!B:E,2,0),"")</f>
        <v>130</v>
      </c>
      <c r="D77" s="72">
        <f>IFERROR(VLOOKUP(A77,[1]eco_bus_institutions!B:E,4,0),"")</f>
        <v>2.6095129891360269</v>
      </c>
      <c r="E77" s="73">
        <f t="shared" si="5"/>
        <v>113</v>
      </c>
      <c r="F77" s="40">
        <f>IFERROR(VLOOKUP(A77,[1]eco_institutions!B:D,2,0),"")</f>
        <v>65</v>
      </c>
      <c r="G77" s="40">
        <f>IFERROR(VLOOKUP(A77,[1]eco_institutions!B:E,4,0),"")</f>
        <v>2.1773757086609811</v>
      </c>
      <c r="H77" s="14">
        <f t="shared" si="6"/>
        <v>114</v>
      </c>
      <c r="I77" s="46">
        <f>IFERROR(VLOOKUP(A77,[1]fin_institutions!B:D,2,0),"")</f>
        <v>40</v>
      </c>
      <c r="J77" s="41">
        <f>IFERROR(VLOOKUP(A77,[1]fin_institutions!B:E,4,0),"")</f>
        <v>2.7473701212769708</v>
      </c>
      <c r="K77" s="41">
        <f t="shared" si="7"/>
        <v>84</v>
      </c>
      <c r="L77" s="56">
        <f>IFERROR(VLOOKUP(A77,[1]bus_institutions!B:D,2,0),"")</f>
        <v>24</v>
      </c>
      <c r="M77" s="42">
        <f>IFERROR(VLOOKUP(A77,[1]bus_institutions!B:E,4,0),"")</f>
        <v>2.713509828301349</v>
      </c>
      <c r="N77" s="23">
        <f t="shared" si="8"/>
        <v>149</v>
      </c>
      <c r="O77" s="61">
        <f>IFERROR(VLOOKUP(A77,[1]man_institutions!B:E,2,0),"")</f>
        <v>32</v>
      </c>
      <c r="P77" s="62">
        <f>IFERROR(VLOOKUP(A77,[1]man_institutions!B:E,4,0),"")</f>
        <v>2.4796042168796801</v>
      </c>
      <c r="Q77" s="63">
        <f t="shared" si="9"/>
        <v>279</v>
      </c>
    </row>
    <row r="78" spans="1:17" x14ac:dyDescent="0.25">
      <c r="A78" s="6" t="s">
        <v>672</v>
      </c>
      <c r="B78" s="37" t="s">
        <v>1217</v>
      </c>
      <c r="C78" s="72">
        <f>IFERROR(VLOOKUP(A78,[1]eco_bus_institutions!B:E,2,0),"")</f>
        <v>109</v>
      </c>
      <c r="D78" s="72">
        <f>IFERROR(VLOOKUP(A78,[1]eco_bus_institutions!B:E,4,0),"")</f>
        <v>2.7325367220096122</v>
      </c>
      <c r="E78" s="73">
        <f t="shared" si="5"/>
        <v>102</v>
      </c>
      <c r="F78" s="40">
        <f>IFERROR(VLOOKUP(A78,[1]eco_institutions!B:D,2,0),"")</f>
        <v>29</v>
      </c>
      <c r="G78" s="40">
        <f>IFERROR(VLOOKUP(A78,[1]eco_institutions!B:E,4,0),"")</f>
        <v>1.812201567945418</v>
      </c>
      <c r="H78" s="14">
        <f t="shared" si="6"/>
        <v>191</v>
      </c>
      <c r="I78" s="46">
        <f>IFERROR(VLOOKUP(A78,[1]fin_institutions!B:D,2,0),"")</f>
        <v>25</v>
      </c>
      <c r="J78" s="41">
        <f>IFERROR(VLOOKUP(A78,[1]fin_institutions!B:E,4,0),"")</f>
        <v>2.8376623099971048</v>
      </c>
      <c r="K78" s="41">
        <f t="shared" si="7"/>
        <v>77</v>
      </c>
      <c r="L78" s="56">
        <f>IFERROR(VLOOKUP(A78,[1]bus_institutions!B:D,2,0),"")</f>
        <v>44</v>
      </c>
      <c r="M78" s="42">
        <f>IFERROR(VLOOKUP(A78,[1]bus_institutions!B:E,4,0),"")</f>
        <v>3.5417775794113111</v>
      </c>
      <c r="N78" s="23">
        <f t="shared" si="8"/>
        <v>63</v>
      </c>
      <c r="O78" s="61">
        <f>IFERROR(VLOOKUP(A78,[1]man_institutions!B:E,2,0),"")</f>
        <v>38</v>
      </c>
      <c r="P78" s="62">
        <f>IFERROR(VLOOKUP(A78,[1]man_institutions!B:E,4,0),"")</f>
        <v>2.663033358294967</v>
      </c>
      <c r="Q78" s="63">
        <f t="shared" si="9"/>
        <v>243</v>
      </c>
    </row>
    <row r="79" spans="1:17" x14ac:dyDescent="0.25">
      <c r="A79" s="6" t="s">
        <v>709</v>
      </c>
      <c r="B79" s="37" t="s">
        <v>1217</v>
      </c>
      <c r="C79" s="72">
        <f>IFERROR(VLOOKUP(A79,[1]eco_bus_institutions!B:E,2,0),"")</f>
        <v>220</v>
      </c>
      <c r="D79" s="72">
        <f>IFERROR(VLOOKUP(A79,[1]eco_bus_institutions!B:E,4,0),"")</f>
        <v>3.0179409336065159</v>
      </c>
      <c r="E79" s="73">
        <f t="shared" si="5"/>
        <v>73</v>
      </c>
      <c r="F79" s="40">
        <f>IFERROR(VLOOKUP(A79,[1]eco_institutions!B:D,2,0),"")</f>
        <v>131</v>
      </c>
      <c r="G79" s="40">
        <f>IFERROR(VLOOKUP(A79,[1]eco_institutions!B:E,4,0),"")</f>
        <v>2.3696314449698601</v>
      </c>
      <c r="H79" s="14">
        <f t="shared" si="6"/>
        <v>92</v>
      </c>
      <c r="I79" s="46">
        <f>IFERROR(VLOOKUP(A79,[1]fin_institutions!B:D,2,0),"")</f>
        <v>37</v>
      </c>
      <c r="J79" s="41">
        <f>IFERROR(VLOOKUP(A79,[1]fin_institutions!B:E,4,0),"")</f>
        <v>3.1820396361181711</v>
      </c>
      <c r="K79" s="41">
        <f t="shared" si="7"/>
        <v>63</v>
      </c>
      <c r="L79" s="56">
        <f>IFERROR(VLOOKUP(A79,[1]bus_institutions!B:D,2,0),"")</f>
        <v>37</v>
      </c>
      <c r="M79" s="42">
        <f>IFERROR(VLOOKUP(A79,[1]bus_institutions!B:E,4,0),"")</f>
        <v>4.119117528446508</v>
      </c>
      <c r="N79" s="23">
        <f t="shared" si="8"/>
        <v>33</v>
      </c>
      <c r="O79" s="61">
        <f>IFERROR(VLOOKUP(A79,[1]man_institutions!B:E,2,0),"")</f>
        <v>51</v>
      </c>
      <c r="P79" s="62">
        <f>IFERROR(VLOOKUP(A79,[1]man_institutions!B:E,4,0),"")</f>
        <v>5.2464419386135983</v>
      </c>
      <c r="Q79" s="63">
        <f t="shared" si="9"/>
        <v>35</v>
      </c>
    </row>
    <row r="80" spans="1:17" x14ac:dyDescent="0.25">
      <c r="A80" s="6" t="s">
        <v>698</v>
      </c>
      <c r="B80" s="37" t="s">
        <v>1217</v>
      </c>
      <c r="C80" s="72">
        <f>IFERROR(VLOOKUP(A80,[1]eco_bus_institutions!B:E,2,0),"")</f>
        <v>65</v>
      </c>
      <c r="D80" s="72">
        <f>IFERROR(VLOOKUP(A80,[1]eco_bus_institutions!B:E,4,0),"")</f>
        <v>3.37926508736127</v>
      </c>
      <c r="E80" s="73">
        <f t="shared" si="5"/>
        <v>55</v>
      </c>
      <c r="F80" s="40">
        <f>IFERROR(VLOOKUP(A80,[1]eco_institutions!B:D,2,0),"")</f>
        <v>31</v>
      </c>
      <c r="G80" s="40">
        <f>IFERROR(VLOOKUP(A80,[1]eco_institutions!B:E,4,0),"")</f>
        <v>2.8435827114159409</v>
      </c>
      <c r="H80" s="14">
        <f t="shared" si="6"/>
        <v>60</v>
      </c>
      <c r="I80" s="46">
        <f>IFERROR(VLOOKUP(A80,[1]fin_institutions!B:D,2,0),"")</f>
        <v>10</v>
      </c>
      <c r="J80" s="41">
        <f>IFERROR(VLOOKUP(A80,[1]fin_institutions!B:E,4,0),"")</f>
        <v>2.590619219245653</v>
      </c>
      <c r="K80" s="41">
        <f t="shared" si="7"/>
        <v>95</v>
      </c>
      <c r="L80" s="56">
        <f>IFERROR(VLOOKUP(A80,[1]bus_institutions!B:D,2,0),"")</f>
        <v>14</v>
      </c>
      <c r="M80" s="42">
        <f>IFERROR(VLOOKUP(A80,[1]bus_institutions!B:E,4,0),"")</f>
        <v>2.956210840410372</v>
      </c>
      <c r="N80" s="23">
        <f t="shared" si="8"/>
        <v>122</v>
      </c>
      <c r="O80" s="61">
        <f>IFERROR(VLOOKUP(A80,[1]man_institutions!B:E,2,0),"")</f>
        <v>27</v>
      </c>
      <c r="P80" s="62">
        <f>IFERROR(VLOOKUP(A80,[1]man_institutions!B:E,4,0),"")</f>
        <v>5.5013058073876291</v>
      </c>
      <c r="Q80" s="63">
        <f t="shared" si="9"/>
        <v>28</v>
      </c>
    </row>
    <row r="81" spans="1:17" x14ac:dyDescent="0.25">
      <c r="A81" s="6" t="s">
        <v>678</v>
      </c>
      <c r="B81" s="37" t="s">
        <v>1224</v>
      </c>
      <c r="C81" s="72">
        <f>IFERROR(VLOOKUP(A81,[1]eco_bus_institutions!B:E,2,0),"")</f>
        <v>111</v>
      </c>
      <c r="D81" s="72">
        <f>IFERROR(VLOOKUP(A81,[1]eco_bus_institutions!B:E,4,0),"")</f>
        <v>2.9846912610497309</v>
      </c>
      <c r="E81" s="73">
        <f t="shared" si="5"/>
        <v>78</v>
      </c>
      <c r="F81" s="40">
        <f>IFERROR(VLOOKUP(A81,[1]eco_institutions!B:D,2,0),"")</f>
        <v>38</v>
      </c>
      <c r="G81" s="40">
        <f>IFERROR(VLOOKUP(A81,[1]eco_institutions!B:E,4,0),"")</f>
        <v>1.8888304062765731</v>
      </c>
      <c r="H81" s="14">
        <f t="shared" si="6"/>
        <v>172</v>
      </c>
      <c r="I81" s="46">
        <f>IFERROR(VLOOKUP(A81,[1]fin_institutions!B:D,2,0),"")</f>
        <v>25</v>
      </c>
      <c r="J81" s="41">
        <f>IFERROR(VLOOKUP(A81,[1]fin_institutions!B:E,4,0),"")</f>
        <v>1.8936062005293739</v>
      </c>
      <c r="K81" s="41">
        <f t="shared" si="7"/>
        <v>179</v>
      </c>
      <c r="L81" s="56">
        <f>IFERROR(VLOOKUP(A81,[1]bus_institutions!B:D,2,0),"")</f>
        <v>47</v>
      </c>
      <c r="M81" s="42">
        <f>IFERROR(VLOOKUP(A81,[1]bus_institutions!B:E,4,0),"")</f>
        <v>4.3919583565293614</v>
      </c>
      <c r="N81" s="23">
        <f t="shared" si="8"/>
        <v>28</v>
      </c>
      <c r="O81" s="61">
        <f>IFERROR(VLOOKUP(A81,[1]man_institutions!B:E,2,0),"")</f>
        <v>34</v>
      </c>
      <c r="P81" s="62">
        <f>IFERROR(VLOOKUP(A81,[1]man_institutions!B:E,4,0),"")</f>
        <v>3.8032246383716402</v>
      </c>
      <c r="Q81" s="63">
        <f t="shared" si="9"/>
        <v>93</v>
      </c>
    </row>
    <row r="82" spans="1:17" x14ac:dyDescent="0.25">
      <c r="A82" s="6" t="s">
        <v>655</v>
      </c>
      <c r="B82" s="37" t="s">
        <v>1222</v>
      </c>
      <c r="C82" s="72">
        <f>IFERROR(VLOOKUP(A82,[1]eco_bus_institutions!B:E,2,0),"")</f>
        <v>56</v>
      </c>
      <c r="D82" s="72">
        <f>IFERROR(VLOOKUP(A82,[1]eco_bus_institutions!B:E,4,0),"")</f>
        <v>2.5801593858379488</v>
      </c>
      <c r="E82" s="73">
        <f t="shared" si="5"/>
        <v>116</v>
      </c>
      <c r="F82" s="40">
        <f>IFERROR(VLOOKUP(A82,[1]eco_institutions!B:D,2,0),"")</f>
        <v>21</v>
      </c>
      <c r="G82" s="40">
        <f>IFERROR(VLOOKUP(A82,[1]eco_institutions!B:E,4,0),"")</f>
        <v>1.3937694230007851</v>
      </c>
      <c r="H82" s="14">
        <f t="shared" si="6"/>
        <v>367</v>
      </c>
      <c r="I82" s="46">
        <f>IFERROR(VLOOKUP(A82,[1]fin_institutions!B:D,2,0),"")</f>
        <v>4</v>
      </c>
      <c r="J82" s="41">
        <f>IFERROR(VLOOKUP(A82,[1]fin_institutions!B:E,4,0),"")</f>
        <v>1.7129085941660009</v>
      </c>
      <c r="K82" s="41">
        <f t="shared" si="7"/>
        <v>216</v>
      </c>
      <c r="L82" s="56">
        <f>IFERROR(VLOOKUP(A82,[1]bus_institutions!B:D,2,0),"")</f>
        <v>31</v>
      </c>
      <c r="M82" s="42">
        <f>IFERROR(VLOOKUP(A82,[1]bus_institutions!B:E,4,0),"")</f>
        <v>3.182206887976311</v>
      </c>
      <c r="N82" s="23">
        <f t="shared" si="8"/>
        <v>96</v>
      </c>
      <c r="O82" s="61">
        <f>IFERROR(VLOOKUP(A82,[1]man_institutions!B:E,2,0),"")</f>
        <v>28</v>
      </c>
      <c r="P82" s="62">
        <f>IFERROR(VLOOKUP(A82,[1]man_institutions!B:E,4,0),"")</f>
        <v>3.600983633558255</v>
      </c>
      <c r="Q82" s="63">
        <f t="shared" si="9"/>
        <v>113</v>
      </c>
    </row>
    <row r="83" spans="1:17" x14ac:dyDescent="0.25">
      <c r="A83" s="6" t="s">
        <v>749</v>
      </c>
      <c r="B83" s="37" t="s">
        <v>1217</v>
      </c>
      <c r="C83" s="72">
        <f>IFERROR(VLOOKUP(A83,[1]eco_bus_institutions!B:E,2,0),"")</f>
        <v>110</v>
      </c>
      <c r="D83" s="72">
        <f>IFERROR(VLOOKUP(A83,[1]eco_bus_institutions!B:E,4,0),"")</f>
        <v>3.1847210912335742</v>
      </c>
      <c r="E83" s="73">
        <f t="shared" si="5"/>
        <v>64</v>
      </c>
      <c r="F83" s="40">
        <f>IFERROR(VLOOKUP(A83,[1]eco_institutions!B:D,2,0),"")</f>
        <v>81</v>
      </c>
      <c r="G83" s="40">
        <f>IFERROR(VLOOKUP(A83,[1]eco_institutions!B:E,4,0),"")</f>
        <v>2.888537522972797</v>
      </c>
      <c r="H83" s="14">
        <f t="shared" si="6"/>
        <v>57</v>
      </c>
      <c r="I83" s="46">
        <f>IFERROR(VLOOKUP(A83,[1]fin_institutions!B:D,2,0),"")</f>
        <v>10</v>
      </c>
      <c r="J83" s="41">
        <f>IFERROR(VLOOKUP(A83,[1]fin_institutions!B:E,4,0),"")</f>
        <v>2.3080088350868739</v>
      </c>
      <c r="K83" s="41">
        <f t="shared" si="7"/>
        <v>118</v>
      </c>
      <c r="L83" s="56">
        <f>IFERROR(VLOOKUP(A83,[1]bus_institutions!B:D,2,0),"")</f>
        <v>9</v>
      </c>
      <c r="M83" s="42">
        <f>IFERROR(VLOOKUP(A83,[1]bus_institutions!B:E,4,0),"")</f>
        <v>2.7726466831697461</v>
      </c>
      <c r="N83" s="23">
        <f t="shared" si="8"/>
        <v>141</v>
      </c>
      <c r="O83" s="61">
        <f>IFERROR(VLOOKUP(A83,[1]man_institutions!B:E,2,0),"")</f>
        <v>24</v>
      </c>
      <c r="P83" s="62">
        <f>IFERROR(VLOOKUP(A83,[1]man_institutions!B:E,4,0),"")</f>
        <v>4.1180839773438933</v>
      </c>
      <c r="Q83" s="63">
        <f t="shared" si="9"/>
        <v>70</v>
      </c>
    </row>
    <row r="84" spans="1:17" x14ac:dyDescent="0.25">
      <c r="A84" s="6" t="s">
        <v>693</v>
      </c>
      <c r="B84" s="37" t="s">
        <v>1217</v>
      </c>
      <c r="C84" s="72">
        <f>IFERROR(VLOOKUP(A84,[1]eco_bus_institutions!B:E,2,0),"")</f>
        <v>164</v>
      </c>
      <c r="D84" s="72">
        <f>IFERROR(VLOOKUP(A84,[1]eco_bus_institutions!B:E,4,0),"")</f>
        <v>2.9739109863554289</v>
      </c>
      <c r="E84" s="73">
        <f t="shared" si="5"/>
        <v>81</v>
      </c>
      <c r="F84" s="40">
        <f>IFERROR(VLOOKUP(A84,[1]eco_institutions!B:D,2,0),"")</f>
        <v>91</v>
      </c>
      <c r="G84" s="40">
        <f>IFERROR(VLOOKUP(A84,[1]eco_institutions!B:E,4,0),"")</f>
        <v>2.315356698018435</v>
      </c>
      <c r="H84" s="14">
        <f t="shared" si="6"/>
        <v>98</v>
      </c>
      <c r="I84" s="46">
        <f>IFERROR(VLOOKUP(A84,[1]fin_institutions!B:D,2,0),"")</f>
        <v>16</v>
      </c>
      <c r="J84" s="41">
        <f>IFERROR(VLOOKUP(A84,[1]fin_institutions!B:E,4,0),"")</f>
        <v>8</v>
      </c>
      <c r="K84" s="41">
        <f t="shared" si="7"/>
        <v>1</v>
      </c>
      <c r="L84" s="56">
        <f>IFERROR(VLOOKUP(A84,[1]bus_institutions!B:D,2,0),"")</f>
        <v>37</v>
      </c>
      <c r="M84" s="42">
        <f>IFERROR(VLOOKUP(A84,[1]bus_institutions!B:E,4,0),"")</f>
        <v>3.7309031482444142</v>
      </c>
      <c r="N84" s="23">
        <f t="shared" si="8"/>
        <v>50</v>
      </c>
      <c r="O84" s="61">
        <f>IFERROR(VLOOKUP(A84,[1]man_institutions!B:E,2,0),"")</f>
        <v>51</v>
      </c>
      <c r="P84" s="62">
        <f>IFERROR(VLOOKUP(A84,[1]man_institutions!B:E,4,0),"")</f>
        <v>3.304084244018989</v>
      </c>
      <c r="Q84" s="63">
        <f t="shared" si="9"/>
        <v>157</v>
      </c>
    </row>
    <row r="85" spans="1:17" x14ac:dyDescent="0.25">
      <c r="A85" s="6" t="s">
        <v>753</v>
      </c>
      <c r="B85" s="37" t="s">
        <v>1223</v>
      </c>
      <c r="C85" s="72">
        <f>IFERROR(VLOOKUP(A85,[1]eco_bus_institutions!B:E,2,0),"")</f>
        <v>101</v>
      </c>
      <c r="D85" s="72">
        <f>IFERROR(VLOOKUP(A85,[1]eco_bus_institutions!B:E,4,0),"")</f>
        <v>2.400592447778092</v>
      </c>
      <c r="E85" s="73">
        <f t="shared" si="5"/>
        <v>148</v>
      </c>
      <c r="F85" s="40">
        <f>IFERROR(VLOOKUP(A85,[1]eco_institutions!B:D,2,0),"")</f>
        <v>54</v>
      </c>
      <c r="G85" s="40">
        <f>IFERROR(VLOOKUP(A85,[1]eco_institutions!B:E,4,0),"")</f>
        <v>1.728290987633389</v>
      </c>
      <c r="H85" s="14">
        <f t="shared" si="6"/>
        <v>212</v>
      </c>
      <c r="I85" s="46">
        <f>IFERROR(VLOOKUP(A85,[1]fin_institutions!B:D,2,0),"")</f>
        <v>34</v>
      </c>
      <c r="J85" s="41">
        <f>IFERROR(VLOOKUP(A85,[1]fin_institutions!B:E,4,0),"")</f>
        <v>2.3434074452587739</v>
      </c>
      <c r="K85" s="41">
        <f t="shared" si="7"/>
        <v>111</v>
      </c>
      <c r="L85" s="56">
        <f>IFERROR(VLOOKUP(A85,[1]bus_institutions!B:D,2,0),"")</f>
        <v>22</v>
      </c>
      <c r="M85" s="42">
        <f>IFERROR(VLOOKUP(A85,[1]bus_institutions!B:E,4,0),"")</f>
        <v>2.6584739314052719</v>
      </c>
      <c r="N85" s="23">
        <f t="shared" si="8"/>
        <v>162</v>
      </c>
      <c r="O85" s="61">
        <f>IFERROR(VLOOKUP(A85,[1]man_institutions!B:E,2,0),"")</f>
        <v>25</v>
      </c>
      <c r="P85" s="62">
        <f>IFERROR(VLOOKUP(A85,[1]man_institutions!B:E,4,0),"")</f>
        <v>2.3456488172685428</v>
      </c>
      <c r="Q85" s="63">
        <f t="shared" si="9"/>
        <v>313</v>
      </c>
    </row>
    <row r="86" spans="1:17" x14ac:dyDescent="0.25">
      <c r="A86" s="6" t="s">
        <v>695</v>
      </c>
      <c r="B86" s="37" t="s">
        <v>1217</v>
      </c>
      <c r="C86" s="72">
        <f>IFERROR(VLOOKUP(A86,[1]eco_bus_institutions!B:E,2,0),"")</f>
        <v>177</v>
      </c>
      <c r="D86" s="72">
        <f>IFERROR(VLOOKUP(A86,[1]eco_bus_institutions!B:E,4,0),"")</f>
        <v>2.929655123426365</v>
      </c>
      <c r="E86" s="73">
        <f t="shared" si="5"/>
        <v>87</v>
      </c>
      <c r="F86" s="40">
        <f>IFERROR(VLOOKUP(A86,[1]eco_institutions!B:D,2,0),"")</f>
        <v>67</v>
      </c>
      <c r="G86" s="40">
        <f>IFERROR(VLOOKUP(A86,[1]eco_institutions!B:E,4,0),"")</f>
        <v>2.521348692896455</v>
      </c>
      <c r="H86" s="14">
        <f t="shared" si="6"/>
        <v>81</v>
      </c>
      <c r="I86" s="46">
        <f>IFERROR(VLOOKUP(A86,[1]fin_institutions!B:D,2,0),"")</f>
        <v>37</v>
      </c>
      <c r="J86" s="41">
        <f>IFERROR(VLOOKUP(A86,[1]fin_institutions!B:E,4,0),"")</f>
        <v>3.0482476137096648</v>
      </c>
      <c r="K86" s="41">
        <f t="shared" si="7"/>
        <v>72</v>
      </c>
      <c r="L86" s="56">
        <f>IFERROR(VLOOKUP(A86,[1]bus_institutions!B:D,2,0),"")</f>
        <v>51</v>
      </c>
      <c r="M86" s="42">
        <f>IFERROR(VLOOKUP(A86,[1]bus_institutions!B:E,4,0),"")</f>
        <v>3.9096530757165429</v>
      </c>
      <c r="N86" s="23">
        <f t="shared" si="8"/>
        <v>38</v>
      </c>
      <c r="O86" s="61">
        <f>IFERROR(VLOOKUP(A86,[1]man_institutions!B:E,2,0),"")</f>
        <v>59</v>
      </c>
      <c r="P86" s="62">
        <f>IFERROR(VLOOKUP(A86,[1]man_institutions!B:E,4,0),"")</f>
        <v>3.0656812635644139</v>
      </c>
      <c r="Q86" s="63">
        <f t="shared" si="9"/>
        <v>184</v>
      </c>
    </row>
    <row r="87" spans="1:17" x14ac:dyDescent="0.25">
      <c r="A87" s="6" t="s">
        <v>681</v>
      </c>
      <c r="B87" s="37" t="s">
        <v>1217</v>
      </c>
      <c r="C87" s="72">
        <f>IFERROR(VLOOKUP(A87,[1]eco_bus_institutions!B:E,2,0),"")</f>
        <v>73</v>
      </c>
      <c r="D87" s="72">
        <f>IFERROR(VLOOKUP(A87,[1]eco_bus_institutions!B:E,4,0),"")</f>
        <v>3.1458972129984648</v>
      </c>
      <c r="E87" s="73">
        <f t="shared" si="5"/>
        <v>66</v>
      </c>
      <c r="F87" s="40">
        <f>IFERROR(VLOOKUP(A87,[1]eco_institutions!B:D,2,0),"")</f>
        <v>40</v>
      </c>
      <c r="G87" s="40">
        <f>IFERROR(VLOOKUP(A87,[1]eco_institutions!B:E,4,0),"")</f>
        <v>2.440088315693953</v>
      </c>
      <c r="H87" s="14">
        <f t="shared" si="6"/>
        <v>85</v>
      </c>
      <c r="I87" s="46">
        <f>IFERROR(VLOOKUP(A87,[1]fin_institutions!B:D,2,0),"")</f>
        <v>16</v>
      </c>
      <c r="J87" s="41">
        <f>IFERROR(VLOOKUP(A87,[1]fin_institutions!B:E,4,0),"")</f>
        <v>3.080309335030452</v>
      </c>
      <c r="K87" s="41">
        <f t="shared" si="7"/>
        <v>68</v>
      </c>
      <c r="L87" s="56">
        <f>IFERROR(VLOOKUP(A87,[1]bus_institutions!B:D,2,0),"")</f>
        <v>17</v>
      </c>
      <c r="M87" s="42">
        <f>IFERROR(VLOOKUP(A87,[1]bus_institutions!B:E,4,0),"")</f>
        <v>4.6263455987054662</v>
      </c>
      <c r="N87" s="23">
        <f t="shared" si="8"/>
        <v>22</v>
      </c>
      <c r="O87" s="61">
        <f>IFERROR(VLOOKUP(A87,[1]man_institutions!B:E,2,0),"")</f>
        <v>15</v>
      </c>
      <c r="P87" s="62">
        <f>IFERROR(VLOOKUP(A87,[1]man_institutions!B:E,4,0),"")</f>
        <v>4.4981199195076993</v>
      </c>
      <c r="Q87" s="63">
        <f t="shared" si="9"/>
        <v>51</v>
      </c>
    </row>
    <row r="88" spans="1:17" x14ac:dyDescent="0.25">
      <c r="A88" s="6" t="s">
        <v>719</v>
      </c>
      <c r="B88" s="37" t="s">
        <v>1217</v>
      </c>
      <c r="C88" s="72">
        <f>IFERROR(VLOOKUP(A88,[1]eco_bus_institutions!B:E,2,0),"")</f>
        <v>71</v>
      </c>
      <c r="D88" s="72">
        <f>IFERROR(VLOOKUP(A88,[1]eco_bus_institutions!B:E,4,0),"")</f>
        <v>2.8198339473874969</v>
      </c>
      <c r="E88" s="73">
        <f t="shared" si="5"/>
        <v>94</v>
      </c>
      <c r="F88" s="40">
        <f>IFERROR(VLOOKUP(A88,[1]eco_institutions!B:D,2,0),"")</f>
        <v>32</v>
      </c>
      <c r="G88" s="40">
        <f>IFERROR(VLOOKUP(A88,[1]eco_institutions!B:E,4,0),"")</f>
        <v>2.240380116142163</v>
      </c>
      <c r="H88" s="14">
        <f t="shared" si="6"/>
        <v>107</v>
      </c>
      <c r="I88" s="46">
        <f>IFERROR(VLOOKUP(A88,[1]fin_institutions!B:D,2,0),"")</f>
        <v>21</v>
      </c>
      <c r="J88" s="41">
        <f>IFERROR(VLOOKUP(A88,[1]fin_institutions!B:E,4,0),"")</f>
        <v>2.6128144709703389</v>
      </c>
      <c r="K88" s="41">
        <f t="shared" si="7"/>
        <v>94</v>
      </c>
      <c r="L88" s="56">
        <f>IFERROR(VLOOKUP(A88,[1]bus_institutions!B:D,2,0),"")</f>
        <v>18</v>
      </c>
      <c r="M88" s="42">
        <f>IFERROR(VLOOKUP(A88,[1]bus_institutions!B:E,4,0),"")</f>
        <v>3.2887460070953982</v>
      </c>
      <c r="N88" s="23">
        <f t="shared" si="8"/>
        <v>87</v>
      </c>
      <c r="O88" s="61">
        <f>IFERROR(VLOOKUP(A88,[1]man_institutions!B:E,2,0),"")</f>
        <v>25</v>
      </c>
      <c r="P88" s="62">
        <f>IFERROR(VLOOKUP(A88,[1]man_institutions!B:E,4,0),"")</f>
        <v>4.4565558636359182</v>
      </c>
      <c r="Q88" s="63">
        <f t="shared" si="9"/>
        <v>53</v>
      </c>
    </row>
    <row r="89" spans="1:17" x14ac:dyDescent="0.25">
      <c r="A89" s="6" t="s">
        <v>747</v>
      </c>
      <c r="B89" s="37" t="s">
        <v>1217</v>
      </c>
      <c r="C89" s="72">
        <f>IFERROR(VLOOKUP(A89,[1]eco_bus_institutions!B:E,2,0),"")</f>
        <v>91</v>
      </c>
      <c r="D89" s="72">
        <f>IFERROR(VLOOKUP(A89,[1]eco_bus_institutions!B:E,4,0),"")</f>
        <v>3.0106775255108471</v>
      </c>
      <c r="E89" s="73">
        <f t="shared" si="5"/>
        <v>75</v>
      </c>
      <c r="F89" s="40">
        <f>IFERROR(VLOOKUP(A89,[1]eco_institutions!B:D,2,0),"")</f>
        <v>59</v>
      </c>
      <c r="G89" s="40">
        <f>IFERROR(VLOOKUP(A89,[1]eco_institutions!B:E,4,0),"")</f>
        <v>2.8929849027490042</v>
      </c>
      <c r="H89" s="14">
        <f t="shared" si="6"/>
        <v>56</v>
      </c>
      <c r="I89" s="46">
        <f>IFERROR(VLOOKUP(A89,[1]fin_institutions!B:D,2,0),"")</f>
        <v>12</v>
      </c>
      <c r="J89" s="41">
        <f>IFERROR(VLOOKUP(A89,[1]fin_institutions!B:E,4,0),"")</f>
        <v>3.514587456332662</v>
      </c>
      <c r="K89" s="41">
        <f t="shared" si="7"/>
        <v>48</v>
      </c>
      <c r="L89" s="56">
        <f>IFERROR(VLOOKUP(A89,[1]bus_institutions!B:D,2,0),"")</f>
        <v>14</v>
      </c>
      <c r="M89" s="42">
        <f>IFERROR(VLOOKUP(A89,[1]bus_institutions!B:E,4,0),"")</f>
        <v>2.4775576672855899</v>
      </c>
      <c r="N89" s="23">
        <f t="shared" si="8"/>
        <v>193</v>
      </c>
      <c r="O89" s="61">
        <f>IFERROR(VLOOKUP(A89,[1]man_institutions!B:E,2,0),"")</f>
        <v>20</v>
      </c>
      <c r="P89" s="62">
        <f>IFERROR(VLOOKUP(A89,[1]man_institutions!B:E,4,0),"")</f>
        <v>3.6754236277400638</v>
      </c>
      <c r="Q89" s="63">
        <f t="shared" si="9"/>
        <v>105</v>
      </c>
    </row>
    <row r="90" spans="1:17" x14ac:dyDescent="0.25">
      <c r="A90" s="6" t="s">
        <v>687</v>
      </c>
      <c r="B90" s="37" t="s">
        <v>1216</v>
      </c>
      <c r="C90" s="72">
        <f>IFERROR(VLOOKUP(A90,[1]eco_bus_institutions!B:E,2,0),"")</f>
        <v>80</v>
      </c>
      <c r="D90" s="72">
        <f>IFERROR(VLOOKUP(A90,[1]eco_bus_institutions!B:E,4,0),"")</f>
        <v>2.2052413523215528</v>
      </c>
      <c r="E90" s="73">
        <f t="shared" si="5"/>
        <v>200</v>
      </c>
      <c r="F90" s="40">
        <f>IFERROR(VLOOKUP(A90,[1]eco_institutions!B:D,2,0),"")</f>
        <v>14</v>
      </c>
      <c r="G90" s="40">
        <f>IFERROR(VLOOKUP(A90,[1]eco_institutions!B:E,4,0),"")</f>
        <v>1.4649254626181369</v>
      </c>
      <c r="H90" s="14">
        <f t="shared" si="6"/>
        <v>320</v>
      </c>
      <c r="I90" s="46">
        <f>IFERROR(VLOOKUP(A90,[1]fin_institutions!B:D,2,0),"")</f>
        <v>36</v>
      </c>
      <c r="J90" s="41">
        <f>IFERROR(VLOOKUP(A90,[1]fin_institutions!B:E,4,0),"")</f>
        <v>1.7534167826718119</v>
      </c>
      <c r="K90" s="41">
        <f t="shared" si="7"/>
        <v>198</v>
      </c>
      <c r="L90" s="56">
        <f>IFERROR(VLOOKUP(A90,[1]bus_institutions!B:D,2,0),"")</f>
        <v>30</v>
      </c>
      <c r="M90" s="42">
        <f>IFERROR(VLOOKUP(A90,[1]bus_institutions!B:E,4,0),"")</f>
        <v>2.2500827876941458</v>
      </c>
      <c r="N90" s="23">
        <f t="shared" si="8"/>
        <v>257</v>
      </c>
      <c r="O90" s="61">
        <f>IFERROR(VLOOKUP(A90,[1]man_institutions!B:E,2,0),"")</f>
        <v>26</v>
      </c>
      <c r="P90" s="62">
        <f>IFERROR(VLOOKUP(A90,[1]man_institutions!B:E,4,0),"")</f>
        <v>3.0749989455091642</v>
      </c>
      <c r="Q90" s="63">
        <f t="shared" si="9"/>
        <v>182</v>
      </c>
    </row>
    <row r="91" spans="1:17" x14ac:dyDescent="0.25">
      <c r="A91" s="6" t="s">
        <v>742</v>
      </c>
      <c r="B91" s="37" t="s">
        <v>1216</v>
      </c>
      <c r="C91" s="72">
        <f>IFERROR(VLOOKUP(A91,[1]eco_bus_institutions!B:E,2,0),"")</f>
        <v>194</v>
      </c>
      <c r="D91" s="72">
        <f>IFERROR(VLOOKUP(A91,[1]eco_bus_institutions!B:E,4,0),"")</f>
        <v>3.0319347383605191</v>
      </c>
      <c r="E91" s="73">
        <f t="shared" si="5"/>
        <v>72</v>
      </c>
      <c r="F91" s="40">
        <f>IFERROR(VLOOKUP(A91,[1]eco_institutions!B:D,2,0),"")</f>
        <v>103</v>
      </c>
      <c r="G91" s="40">
        <f>IFERROR(VLOOKUP(A91,[1]eco_institutions!B:E,4,0),"")</f>
        <v>3.0896658528398779</v>
      </c>
      <c r="H91" s="14">
        <f t="shared" si="6"/>
        <v>45</v>
      </c>
      <c r="I91" s="46">
        <f>IFERROR(VLOOKUP(A91,[1]fin_institutions!B:D,2,0),"")</f>
        <v>25</v>
      </c>
      <c r="J91" s="41">
        <f>IFERROR(VLOOKUP(A91,[1]fin_institutions!B:E,4,0),"")</f>
        <v>2.142199811035947</v>
      </c>
      <c r="K91" s="41">
        <f t="shared" si="7"/>
        <v>131</v>
      </c>
      <c r="L91" s="56">
        <f>IFERROR(VLOOKUP(A91,[1]bus_institutions!B:D,2,0),"")</f>
        <v>50</v>
      </c>
      <c r="M91" s="42">
        <f>IFERROR(VLOOKUP(A91,[1]bus_institutions!B:E,4,0),"")</f>
        <v>2.8669479900646628</v>
      </c>
      <c r="N91" s="23">
        <f t="shared" si="8"/>
        <v>132</v>
      </c>
      <c r="O91" s="61">
        <f>IFERROR(VLOOKUP(A91,[1]man_institutions!B:E,2,0),"")</f>
        <v>59</v>
      </c>
      <c r="P91" s="62">
        <f>IFERROR(VLOOKUP(A91,[1]man_institutions!B:E,4,0),"")</f>
        <v>3.826298604848744</v>
      </c>
      <c r="Q91" s="63">
        <f t="shared" si="9"/>
        <v>88</v>
      </c>
    </row>
    <row r="92" spans="1:17" x14ac:dyDescent="0.25">
      <c r="A92" s="6" t="s">
        <v>720</v>
      </c>
      <c r="B92" s="37" t="s">
        <v>1224</v>
      </c>
      <c r="C92" s="72">
        <f>IFERROR(VLOOKUP(A92,[1]eco_bus_institutions!B:E,2,0),"")</f>
        <v>86</v>
      </c>
      <c r="D92" s="72">
        <f>IFERROR(VLOOKUP(A92,[1]eco_bus_institutions!B:E,4,0),"")</f>
        <v>2.9852358531841721</v>
      </c>
      <c r="E92" s="73">
        <f t="shared" si="5"/>
        <v>77</v>
      </c>
      <c r="F92" s="40">
        <f>IFERROR(VLOOKUP(A92,[1]eco_institutions!B:D,2,0),"")</f>
        <v>44</v>
      </c>
      <c r="G92" s="40">
        <f>IFERROR(VLOOKUP(A92,[1]eco_institutions!B:E,4,0),"")</f>
        <v>2.1944306244486098</v>
      </c>
      <c r="H92" s="14">
        <f t="shared" si="6"/>
        <v>112</v>
      </c>
      <c r="I92" s="46">
        <f>IFERROR(VLOOKUP(A92,[1]fin_institutions!B:D,2,0),"")</f>
        <v>13</v>
      </c>
      <c r="J92" s="41">
        <f>IFERROR(VLOOKUP(A92,[1]fin_institutions!B:E,4,0),"")</f>
        <v>2.5690138032581271</v>
      </c>
      <c r="K92" s="41">
        <f t="shared" si="7"/>
        <v>96</v>
      </c>
      <c r="L92" s="56">
        <f>IFERROR(VLOOKUP(A92,[1]bus_institutions!B:D,2,0),"")</f>
        <v>21</v>
      </c>
      <c r="M92" s="42">
        <f>IFERROR(VLOOKUP(A92,[1]bus_institutions!B:E,4,0),"")</f>
        <v>3.3488866672818518</v>
      </c>
      <c r="N92" s="23">
        <f t="shared" si="8"/>
        <v>79</v>
      </c>
      <c r="O92" s="61">
        <f>IFERROR(VLOOKUP(A92,[1]man_institutions!B:E,2,0),"")</f>
        <v>28</v>
      </c>
      <c r="P92" s="62">
        <f>IFERROR(VLOOKUP(A92,[1]man_institutions!B:E,4,0),"")</f>
        <v>5.3672796947694623</v>
      </c>
      <c r="Q92" s="63">
        <f t="shared" si="9"/>
        <v>33</v>
      </c>
    </row>
    <row r="93" spans="1:17" x14ac:dyDescent="0.25">
      <c r="A93" s="6" t="s">
        <v>683</v>
      </c>
      <c r="B93" s="37" t="s">
        <v>1228</v>
      </c>
      <c r="C93" s="72">
        <f>IFERROR(VLOOKUP(A93,[1]eco_bus_institutions!B:E,2,0),"")</f>
        <v>242</v>
      </c>
      <c r="D93" s="72">
        <f>IFERROR(VLOOKUP(A93,[1]eco_bus_institutions!B:E,4,0),"")</f>
        <v>2.665643807427251</v>
      </c>
      <c r="E93" s="73">
        <f t="shared" si="5"/>
        <v>106</v>
      </c>
      <c r="F93" s="40">
        <f>IFERROR(VLOOKUP(A93,[1]eco_institutions!B:D,2,0),"")</f>
        <v>49</v>
      </c>
      <c r="G93" s="40">
        <f>IFERROR(VLOOKUP(A93,[1]eco_institutions!B:E,4,0),"")</f>
        <v>2.217523075623101</v>
      </c>
      <c r="H93" s="14">
        <f t="shared" si="6"/>
        <v>108</v>
      </c>
      <c r="I93" s="46">
        <f>IFERROR(VLOOKUP(A93,[1]fin_institutions!B:D,2,0),"")</f>
        <v>29</v>
      </c>
      <c r="J93" s="41">
        <f>IFERROR(VLOOKUP(A93,[1]fin_institutions!B:E,4,0),"")</f>
        <v>1.9164398958325299</v>
      </c>
      <c r="K93" s="41">
        <f t="shared" si="7"/>
        <v>176</v>
      </c>
      <c r="L93" s="56">
        <f>IFERROR(VLOOKUP(A93,[1]bus_institutions!B:D,2,0),"")</f>
        <v>110</v>
      </c>
      <c r="M93" s="42">
        <f>IFERROR(VLOOKUP(A93,[1]bus_institutions!B:E,4,0),"")</f>
        <v>3.0972899254091901</v>
      </c>
      <c r="N93" s="23">
        <f t="shared" si="8"/>
        <v>104</v>
      </c>
      <c r="O93" s="61">
        <f>IFERROR(VLOOKUP(A93,[1]man_institutions!B:E,2,0),"")</f>
        <v>135</v>
      </c>
      <c r="P93" s="62">
        <f>IFERROR(VLOOKUP(A93,[1]man_institutions!B:E,4,0),"")</f>
        <v>3.6790592785913021</v>
      </c>
      <c r="Q93" s="63">
        <f t="shared" si="9"/>
        <v>104</v>
      </c>
    </row>
    <row r="94" spans="1:17" x14ac:dyDescent="0.25">
      <c r="A94" s="6" t="s">
        <v>705</v>
      </c>
      <c r="B94" s="37" t="s">
        <v>1224</v>
      </c>
      <c r="C94" s="72">
        <f>IFERROR(VLOOKUP(A94,[1]eco_bus_institutions!B:E,2,0),"")</f>
        <v>105</v>
      </c>
      <c r="D94" s="72">
        <f>IFERROR(VLOOKUP(A94,[1]eco_bus_institutions!B:E,4,0),"")</f>
        <v>2.7407807003251521</v>
      </c>
      <c r="E94" s="73">
        <f t="shared" si="5"/>
        <v>99</v>
      </c>
      <c r="F94" s="40">
        <f>IFERROR(VLOOKUP(A94,[1]eco_institutions!B:D,2,0),"")</f>
        <v>41</v>
      </c>
      <c r="G94" s="40">
        <f>IFERROR(VLOOKUP(A94,[1]eco_institutions!B:E,4,0),"")</f>
        <v>2.432390680360148</v>
      </c>
      <c r="H94" s="14">
        <f t="shared" si="6"/>
        <v>87</v>
      </c>
      <c r="I94" s="46">
        <f>IFERROR(VLOOKUP(A94,[1]fin_institutions!B:D,2,0),"")</f>
        <v>13</v>
      </c>
      <c r="J94" s="41">
        <f>IFERROR(VLOOKUP(A94,[1]fin_institutions!B:E,4,0),"")</f>
        <v>1.665060758973665</v>
      </c>
      <c r="K94" s="41">
        <f t="shared" si="7"/>
        <v>227</v>
      </c>
      <c r="L94" s="56">
        <f>IFERROR(VLOOKUP(A94,[1]bus_institutions!B:D,2,0),"")</f>
        <v>42</v>
      </c>
      <c r="M94" s="42">
        <f>IFERROR(VLOOKUP(A94,[1]bus_institutions!B:E,4,0),"")</f>
        <v>3.0987017713452381</v>
      </c>
      <c r="N94" s="23">
        <f t="shared" si="8"/>
        <v>103</v>
      </c>
      <c r="O94" s="61">
        <f>IFERROR(VLOOKUP(A94,[1]man_institutions!B:E,2,0),"")</f>
        <v>38</v>
      </c>
      <c r="P94" s="62">
        <f>IFERROR(VLOOKUP(A94,[1]man_institutions!B:E,4,0),"")</f>
        <v>3.833224785427725</v>
      </c>
      <c r="Q94" s="63">
        <f t="shared" si="9"/>
        <v>86</v>
      </c>
    </row>
    <row r="95" spans="1:17" x14ac:dyDescent="0.25">
      <c r="A95" s="6" t="s">
        <v>716</v>
      </c>
      <c r="B95" s="37" t="s">
        <v>1219</v>
      </c>
      <c r="C95" s="72">
        <f>IFERROR(VLOOKUP(A95,[1]eco_bus_institutions!B:E,2,0),"")</f>
        <v>143</v>
      </c>
      <c r="D95" s="72">
        <f>IFERROR(VLOOKUP(A95,[1]eco_bus_institutions!B:E,4,0),"")</f>
        <v>2.5645152984029229</v>
      </c>
      <c r="E95" s="73">
        <f t="shared" si="5"/>
        <v>120</v>
      </c>
      <c r="F95" s="40">
        <f>IFERROR(VLOOKUP(A95,[1]eco_institutions!B:D,2,0),"")</f>
        <v>56</v>
      </c>
      <c r="G95" s="40">
        <f>IFERROR(VLOOKUP(A95,[1]eco_institutions!B:E,4,0),"")</f>
        <v>1.963083118350498</v>
      </c>
      <c r="H95" s="14">
        <f t="shared" si="6"/>
        <v>157</v>
      </c>
      <c r="I95" s="46">
        <f>IFERROR(VLOOKUP(A95,[1]fin_institutions!B:D,2,0),"")</f>
        <v>22</v>
      </c>
      <c r="J95" s="41">
        <f>IFERROR(VLOOKUP(A95,[1]fin_institutions!B:E,4,0),"")</f>
        <v>1.57745128555146</v>
      </c>
      <c r="K95" s="41">
        <f t="shared" si="7"/>
        <v>256</v>
      </c>
      <c r="L95" s="56">
        <f>IFERROR(VLOOKUP(A95,[1]bus_institutions!B:D,2,0),"")</f>
        <v>64</v>
      </c>
      <c r="M95" s="42">
        <f>IFERROR(VLOOKUP(A95,[1]bus_institutions!B:E,4,0),"")</f>
        <v>3.0420318530981501</v>
      </c>
      <c r="N95" s="23">
        <f t="shared" si="8"/>
        <v>111</v>
      </c>
      <c r="O95" s="61">
        <f>IFERROR(VLOOKUP(A95,[1]man_institutions!B:E,2,0),"")</f>
        <v>50</v>
      </c>
      <c r="P95" s="62">
        <f>IFERROR(VLOOKUP(A95,[1]man_institutions!B:E,4,0),"")</f>
        <v>3.527608603756514</v>
      </c>
      <c r="Q95" s="63">
        <f t="shared" si="9"/>
        <v>122</v>
      </c>
    </row>
    <row r="96" spans="1:17" x14ac:dyDescent="0.25">
      <c r="A96" s="6" t="s">
        <v>731</v>
      </c>
      <c r="B96" s="37" t="s">
        <v>1229</v>
      </c>
      <c r="C96" s="72">
        <f>IFERROR(VLOOKUP(A96,[1]eco_bus_institutions!B:E,2,0),"")</f>
        <v>117</v>
      </c>
      <c r="D96" s="72">
        <f>IFERROR(VLOOKUP(A96,[1]eco_bus_institutions!B:E,4,0),"")</f>
        <v>2.5586892864761879</v>
      </c>
      <c r="E96" s="73">
        <f t="shared" si="5"/>
        <v>123</v>
      </c>
      <c r="F96" s="40">
        <f>IFERROR(VLOOKUP(A96,[1]eco_institutions!B:D,2,0),"")</f>
        <v>43</v>
      </c>
      <c r="G96" s="40">
        <f>IFERROR(VLOOKUP(A96,[1]eco_institutions!B:E,4,0),"")</f>
        <v>2.5368063306840831</v>
      </c>
      <c r="H96" s="14">
        <f t="shared" si="6"/>
        <v>80</v>
      </c>
      <c r="I96" s="46">
        <f>IFERROR(VLOOKUP(A96,[1]fin_institutions!B:D,2,0),"")</f>
        <v>26</v>
      </c>
      <c r="J96" s="41">
        <f>IFERROR(VLOOKUP(A96,[1]fin_institutions!B:E,4,0),"")</f>
        <v>2.342837542944268</v>
      </c>
      <c r="K96" s="41">
        <f t="shared" si="7"/>
        <v>112</v>
      </c>
      <c r="L96" s="56">
        <f>IFERROR(VLOOKUP(A96,[1]bus_institutions!B:D,2,0),"")</f>
        <v>50</v>
      </c>
      <c r="M96" s="42">
        <f>IFERROR(VLOOKUP(A96,[1]bus_institutions!B:E,4,0),"")</f>
        <v>2.4453356236117569</v>
      </c>
      <c r="N96" s="23">
        <f t="shared" si="8"/>
        <v>205</v>
      </c>
      <c r="O96" s="61">
        <f>IFERROR(VLOOKUP(A96,[1]man_institutions!B:E,2,0),"")</f>
        <v>30</v>
      </c>
      <c r="P96" s="62">
        <f>IFERROR(VLOOKUP(A96,[1]man_institutions!B:E,4,0),"")</f>
        <v>2.7834081841574481</v>
      </c>
      <c r="Q96" s="63">
        <f t="shared" si="9"/>
        <v>223</v>
      </c>
    </row>
    <row r="97" spans="1:17" x14ac:dyDescent="0.25">
      <c r="A97" s="6" t="s">
        <v>713</v>
      </c>
      <c r="B97" s="37" t="s">
        <v>1226</v>
      </c>
      <c r="C97" s="72">
        <f>IFERROR(VLOOKUP(A97,[1]eco_bus_institutions!B:E,2,0),"")</f>
        <v>116</v>
      </c>
      <c r="D97" s="72">
        <f>IFERROR(VLOOKUP(A97,[1]eco_bus_institutions!B:E,4,0),"")</f>
        <v>2.5883515623347</v>
      </c>
      <c r="E97" s="73">
        <f t="shared" si="5"/>
        <v>114</v>
      </c>
      <c r="F97" s="40">
        <f>IFERROR(VLOOKUP(A97,[1]eco_institutions!B:D,2,0),"")</f>
        <v>48</v>
      </c>
      <c r="G97" s="40">
        <f>IFERROR(VLOOKUP(A97,[1]eco_institutions!B:E,4,0),"")</f>
        <v>1.519847615436271</v>
      </c>
      <c r="H97" s="14">
        <f t="shared" si="6"/>
        <v>291</v>
      </c>
      <c r="I97" s="46">
        <f>IFERROR(VLOOKUP(A97,[1]fin_institutions!B:D,2,0),"")</f>
        <v>22</v>
      </c>
      <c r="J97" s="41">
        <f>IFERROR(VLOOKUP(A97,[1]fin_institutions!B:E,4,0),"")</f>
        <v>2.901981575412488</v>
      </c>
      <c r="K97" s="41">
        <f t="shared" si="7"/>
        <v>73</v>
      </c>
      <c r="L97" s="56">
        <f>IFERROR(VLOOKUP(A97,[1]bus_institutions!B:D,2,0),"")</f>
        <v>35</v>
      </c>
      <c r="M97" s="42">
        <f>IFERROR(VLOOKUP(A97,[1]bus_institutions!B:E,4,0),"")</f>
        <v>3.3086272295103112</v>
      </c>
      <c r="N97" s="23">
        <f t="shared" si="8"/>
        <v>83</v>
      </c>
      <c r="O97" s="61">
        <f>IFERROR(VLOOKUP(A97,[1]man_institutions!B:E,2,0),"")</f>
        <v>36</v>
      </c>
      <c r="P97" s="62">
        <f>IFERROR(VLOOKUP(A97,[1]man_institutions!B:E,4,0),"")</f>
        <v>3.3983714441831858</v>
      </c>
      <c r="Q97" s="63">
        <f t="shared" si="9"/>
        <v>140</v>
      </c>
    </row>
    <row r="98" spans="1:17" x14ac:dyDescent="0.25">
      <c r="A98" s="6" t="s">
        <v>774</v>
      </c>
      <c r="B98" s="37" t="s">
        <v>1221</v>
      </c>
      <c r="C98" s="72">
        <f>IFERROR(VLOOKUP(A98,[1]eco_bus_institutions!B:E,2,0),"")</f>
        <v>99</v>
      </c>
      <c r="D98" s="72">
        <f>IFERROR(VLOOKUP(A98,[1]eco_bus_institutions!B:E,4,0),"")</f>
        <v>2.8311412740122588</v>
      </c>
      <c r="E98" s="73">
        <f t="shared" si="5"/>
        <v>92</v>
      </c>
      <c r="F98" s="40">
        <f>IFERROR(VLOOKUP(A98,[1]eco_institutions!B:D,2,0),"")</f>
        <v>60</v>
      </c>
      <c r="G98" s="40">
        <f>IFERROR(VLOOKUP(A98,[1]eco_institutions!B:E,4,0),"")</f>
        <v>2.828704184859971</v>
      </c>
      <c r="H98" s="14">
        <f t="shared" si="6"/>
        <v>62</v>
      </c>
      <c r="I98" s="46">
        <f>IFERROR(VLOOKUP(A98,[1]fin_institutions!B:D,2,0),"")</f>
        <v>10</v>
      </c>
      <c r="J98" s="41">
        <f>IFERROR(VLOOKUP(A98,[1]fin_institutions!B:E,4,0),"")</f>
        <v>3.159888217560014</v>
      </c>
      <c r="K98" s="41">
        <f t="shared" si="7"/>
        <v>65</v>
      </c>
      <c r="L98" s="56">
        <f>IFERROR(VLOOKUP(A98,[1]bus_institutions!B:D,2,0),"")</f>
        <v>18</v>
      </c>
      <c r="M98" s="42">
        <f>IFERROR(VLOOKUP(A98,[1]bus_institutions!B:E,4,0),"")</f>
        <v>2.5466544124380341</v>
      </c>
      <c r="N98" s="23">
        <f t="shared" si="8"/>
        <v>175</v>
      </c>
      <c r="O98" s="61">
        <f>IFERROR(VLOOKUP(A98,[1]man_institutions!B:E,2,0),"")</f>
        <v>31</v>
      </c>
      <c r="P98" s="62">
        <f>IFERROR(VLOOKUP(A98,[1]man_institutions!B:E,4,0),"")</f>
        <v>2.7200947483731861</v>
      </c>
      <c r="Q98" s="63">
        <f t="shared" si="9"/>
        <v>232</v>
      </c>
    </row>
    <row r="99" spans="1:17" x14ac:dyDescent="0.25">
      <c r="A99" s="6" t="s">
        <v>764</v>
      </c>
      <c r="B99" s="37" t="s">
        <v>1217</v>
      </c>
      <c r="C99" s="72">
        <f>IFERROR(VLOOKUP(A99,[1]eco_bus_institutions!B:E,2,0),"")</f>
        <v>179</v>
      </c>
      <c r="D99" s="72">
        <f>IFERROR(VLOOKUP(A99,[1]eco_bus_institutions!B:E,4,0),"")</f>
        <v>2.7930345212638019</v>
      </c>
      <c r="E99" s="73">
        <f t="shared" si="5"/>
        <v>95</v>
      </c>
      <c r="F99" s="40">
        <f>IFERROR(VLOOKUP(A99,[1]eco_institutions!B:D,2,0),"")</f>
        <v>98</v>
      </c>
      <c r="G99" s="40">
        <f>IFERROR(VLOOKUP(A99,[1]eco_institutions!B:E,4,0),"")</f>
        <v>2.370727448483525</v>
      </c>
      <c r="H99" s="14">
        <f t="shared" si="6"/>
        <v>91</v>
      </c>
      <c r="I99" s="46">
        <f>IFERROR(VLOOKUP(A99,[1]fin_institutions!B:D,2,0),"")</f>
        <v>46</v>
      </c>
      <c r="J99" s="41">
        <f>IFERROR(VLOOKUP(A99,[1]fin_institutions!B:E,4,0),"")</f>
        <v>3.9393811759661559</v>
      </c>
      <c r="K99" s="41">
        <f t="shared" si="7"/>
        <v>35</v>
      </c>
      <c r="L99" s="56">
        <f>IFERROR(VLOOKUP(A99,[1]bus_institutions!B:D,2,0),"")</f>
        <v>34</v>
      </c>
      <c r="M99" s="42">
        <f>IFERROR(VLOOKUP(A99,[1]bus_institutions!B:E,4,0),"")</f>
        <v>2.385836733333774</v>
      </c>
      <c r="N99" s="23">
        <f t="shared" si="8"/>
        <v>224</v>
      </c>
      <c r="O99" s="61">
        <f>IFERROR(VLOOKUP(A99,[1]man_institutions!B:E,2,0),"")</f>
        <v>38</v>
      </c>
      <c r="P99" s="62">
        <f>IFERROR(VLOOKUP(A99,[1]man_institutions!B:E,4,0),"")</f>
        <v>2.6634110540316649</v>
      </c>
      <c r="Q99" s="63">
        <f t="shared" si="9"/>
        <v>242</v>
      </c>
    </row>
    <row r="100" spans="1:17" x14ac:dyDescent="0.25">
      <c r="A100" s="6" t="s">
        <v>701</v>
      </c>
      <c r="B100" s="37" t="s">
        <v>1217</v>
      </c>
      <c r="C100" s="72">
        <f>IFERROR(VLOOKUP(A100,[1]eco_bus_institutions!B:E,2,0),"")</f>
        <v>40</v>
      </c>
      <c r="D100" s="72">
        <f>IFERROR(VLOOKUP(A100,[1]eco_bus_institutions!B:E,4,0),"")</f>
        <v>2.9699623675798432</v>
      </c>
      <c r="E100" s="73">
        <f t="shared" si="5"/>
        <v>82</v>
      </c>
      <c r="F100" s="40">
        <f>IFERROR(VLOOKUP(A100,[1]eco_institutions!B:D,2,0),"")</f>
        <v>20</v>
      </c>
      <c r="G100" s="40">
        <f>IFERROR(VLOOKUP(A100,[1]eco_institutions!B:E,4,0),"")</f>
        <v>2.7827059263288221</v>
      </c>
      <c r="H100" s="14">
        <f t="shared" si="6"/>
        <v>64</v>
      </c>
      <c r="I100" s="46">
        <f>IFERROR(VLOOKUP(A100,[1]fin_institutions!B:D,2,0),"")</f>
        <v>8</v>
      </c>
      <c r="J100" s="41">
        <f>IFERROR(VLOOKUP(A100,[1]fin_institutions!B:E,4,0),"")</f>
        <v>2.6931995456752258</v>
      </c>
      <c r="K100" s="41">
        <f t="shared" si="7"/>
        <v>87</v>
      </c>
      <c r="L100" s="56">
        <f>IFERROR(VLOOKUP(A100,[1]bus_institutions!B:D,2,0),"")</f>
        <v>7</v>
      </c>
      <c r="M100" s="42">
        <f>IFERROR(VLOOKUP(A100,[1]bus_institutions!B:E,4,0),"")</f>
        <v>3.9079392624224889</v>
      </c>
      <c r="N100" s="23">
        <f t="shared" si="8"/>
        <v>39</v>
      </c>
      <c r="O100" s="61">
        <f>IFERROR(VLOOKUP(A100,[1]man_institutions!B:E,2,0),"")</f>
        <v>13</v>
      </c>
      <c r="P100" s="62">
        <f>IFERROR(VLOOKUP(A100,[1]man_institutions!B:E,4,0),"")</f>
        <v>4.0782727326308041</v>
      </c>
      <c r="Q100" s="63">
        <f t="shared" si="9"/>
        <v>72</v>
      </c>
    </row>
    <row r="101" spans="1:17" x14ac:dyDescent="0.25">
      <c r="A101" s="6" t="s">
        <v>711</v>
      </c>
      <c r="B101" s="37" t="s">
        <v>1218</v>
      </c>
      <c r="C101" s="72">
        <f>IFERROR(VLOOKUP(A101,[1]eco_bus_institutions!B:E,2,0),"")</f>
        <v>82</v>
      </c>
      <c r="D101" s="72">
        <f>IFERROR(VLOOKUP(A101,[1]eco_bus_institutions!B:E,4,0),"")</f>
        <v>2.3914403275584708</v>
      </c>
      <c r="E101" s="73">
        <f t="shared" si="5"/>
        <v>151</v>
      </c>
      <c r="F101" s="40">
        <f>IFERROR(VLOOKUP(A101,[1]eco_institutions!B:D,2,0),"")</f>
        <v>11</v>
      </c>
      <c r="G101" s="40">
        <f>IFERROR(VLOOKUP(A101,[1]eco_institutions!B:E,4,0),"")</f>
        <v>1.2894380603597719</v>
      </c>
      <c r="H101" s="14">
        <f t="shared" si="6"/>
        <v>444</v>
      </c>
      <c r="I101" s="46">
        <f>IFERROR(VLOOKUP(A101,[1]fin_institutions!B:D,2,0),"")</f>
        <v>11</v>
      </c>
      <c r="J101" s="41">
        <f>IFERROR(VLOOKUP(A101,[1]fin_institutions!B:E,4,0),"")</f>
        <v>1.4446666550031011</v>
      </c>
      <c r="K101" s="41">
        <f t="shared" si="7"/>
        <v>313</v>
      </c>
      <c r="L101" s="56">
        <f>IFERROR(VLOOKUP(A101,[1]bus_institutions!B:D,2,0),"")</f>
        <v>41</v>
      </c>
      <c r="M101" s="42">
        <f>IFERROR(VLOOKUP(A101,[1]bus_institutions!B:E,4,0),"")</f>
        <v>2.7974964667861379</v>
      </c>
      <c r="N101" s="23">
        <f t="shared" si="8"/>
        <v>137</v>
      </c>
      <c r="O101" s="61">
        <f>IFERROR(VLOOKUP(A101,[1]man_institutions!B:E,2,0),"")</f>
        <v>43</v>
      </c>
      <c r="P101" s="62">
        <f>IFERROR(VLOOKUP(A101,[1]man_institutions!B:E,4,0),"")</f>
        <v>2.9728986194447242</v>
      </c>
      <c r="Q101" s="63">
        <f t="shared" si="9"/>
        <v>192</v>
      </c>
    </row>
    <row r="102" spans="1:17" x14ac:dyDescent="0.25">
      <c r="A102" s="6" t="s">
        <v>726</v>
      </c>
      <c r="B102" s="37" t="s">
        <v>1218</v>
      </c>
      <c r="C102" s="72">
        <f>IFERROR(VLOOKUP(A102,[1]eco_bus_institutions!B:E,2,0),"")</f>
        <v>98</v>
      </c>
      <c r="D102" s="72">
        <f>IFERROR(VLOOKUP(A102,[1]eco_bus_institutions!B:E,4,0),"")</f>
        <v>2.4314954094207648</v>
      </c>
      <c r="E102" s="73">
        <f t="shared" si="5"/>
        <v>141</v>
      </c>
      <c r="F102" s="40">
        <f>IFERROR(VLOOKUP(A102,[1]eco_institutions!B:D,2,0),"")</f>
        <v>24</v>
      </c>
      <c r="G102" s="40">
        <f>IFERROR(VLOOKUP(A102,[1]eco_institutions!B:E,4,0),"")</f>
        <v>1.980494739676067</v>
      </c>
      <c r="H102" s="14">
        <f t="shared" si="6"/>
        <v>154</v>
      </c>
      <c r="I102" s="46">
        <f>IFERROR(VLOOKUP(A102,[1]fin_institutions!B:D,2,0),"")</f>
        <v>12</v>
      </c>
      <c r="J102" s="41">
        <f>IFERROR(VLOOKUP(A102,[1]fin_institutions!B:E,4,0),"")</f>
        <v>1.4076111004195091</v>
      </c>
      <c r="K102" s="41">
        <f t="shared" si="7"/>
        <v>330</v>
      </c>
      <c r="L102" s="56">
        <f>IFERROR(VLOOKUP(A102,[1]bus_institutions!B:D,2,0),"")</f>
        <v>42</v>
      </c>
      <c r="M102" s="42">
        <f>IFERROR(VLOOKUP(A102,[1]bus_institutions!B:E,4,0),"")</f>
        <v>2.7664100776291982</v>
      </c>
      <c r="N102" s="23">
        <f t="shared" si="8"/>
        <v>143</v>
      </c>
      <c r="O102" s="61">
        <f>IFERROR(VLOOKUP(A102,[1]man_institutions!B:E,2,0),"")</f>
        <v>46</v>
      </c>
      <c r="P102" s="62">
        <f>IFERROR(VLOOKUP(A102,[1]man_institutions!B:E,4,0),"")</f>
        <v>2.833032397008437</v>
      </c>
      <c r="Q102" s="63">
        <f t="shared" si="9"/>
        <v>213</v>
      </c>
    </row>
    <row r="103" spans="1:17" x14ac:dyDescent="0.25">
      <c r="A103" s="6" t="s">
        <v>685</v>
      </c>
      <c r="B103" s="37" t="s">
        <v>1225</v>
      </c>
      <c r="C103" s="72">
        <f>IFERROR(VLOOKUP(A103,[1]eco_bus_institutions!B:E,2,0),"")</f>
        <v>125</v>
      </c>
      <c r="D103" s="72">
        <f>IFERROR(VLOOKUP(A103,[1]eco_bus_institutions!B:E,4,0),"")</f>
        <v>2.5598011508368099</v>
      </c>
      <c r="E103" s="73">
        <f t="shared" si="5"/>
        <v>121</v>
      </c>
      <c r="F103" s="40">
        <f>IFERROR(VLOOKUP(A103,[1]eco_institutions!B:D,2,0),"")</f>
        <v>23</v>
      </c>
      <c r="G103" s="40">
        <f>IFERROR(VLOOKUP(A103,[1]eco_institutions!B:E,4,0),"")</f>
        <v>1.894491176987759</v>
      </c>
      <c r="H103" s="14">
        <f t="shared" si="6"/>
        <v>168</v>
      </c>
      <c r="I103" s="46">
        <f>IFERROR(VLOOKUP(A103,[1]fin_institutions!B:D,2,0),"")</f>
        <v>18</v>
      </c>
      <c r="J103" s="41">
        <f>IFERROR(VLOOKUP(A103,[1]fin_institutions!B:E,4,0),"")</f>
        <v>2.5148682349900562</v>
      </c>
      <c r="K103" s="41">
        <f t="shared" si="7"/>
        <v>102</v>
      </c>
      <c r="L103" s="56">
        <f>IFERROR(VLOOKUP(A103,[1]bus_institutions!B:D,2,0),"")</f>
        <v>61</v>
      </c>
      <c r="M103" s="42">
        <f>IFERROR(VLOOKUP(A103,[1]bus_institutions!B:E,4,0),"")</f>
        <v>2.527551030360554</v>
      </c>
      <c r="N103" s="23">
        <f t="shared" si="8"/>
        <v>180</v>
      </c>
      <c r="O103" s="61">
        <f>IFERROR(VLOOKUP(A103,[1]man_institutions!B:E,2,0),"")</f>
        <v>65</v>
      </c>
      <c r="P103" s="62">
        <f>IFERROR(VLOOKUP(A103,[1]man_institutions!B:E,4,0),"")</f>
        <v>3.6433788077302931</v>
      </c>
      <c r="Q103" s="63">
        <f t="shared" si="9"/>
        <v>108</v>
      </c>
    </row>
    <row r="104" spans="1:17" x14ac:dyDescent="0.25">
      <c r="A104" s="6" t="s">
        <v>712</v>
      </c>
      <c r="B104" s="37" t="s">
        <v>1220</v>
      </c>
      <c r="C104" s="72">
        <f>IFERROR(VLOOKUP(A104,[1]eco_bus_institutions!B:E,2,0),"")</f>
        <v>56</v>
      </c>
      <c r="D104" s="72">
        <f>IFERROR(VLOOKUP(A104,[1]eco_bus_institutions!B:E,4,0),"")</f>
        <v>2.3947587646106618</v>
      </c>
      <c r="E104" s="73">
        <f t="shared" si="5"/>
        <v>150</v>
      </c>
      <c r="F104" s="40">
        <f>IFERROR(VLOOKUP(A104,[1]eco_institutions!B:D,2,0),"")</f>
        <v>10</v>
      </c>
      <c r="G104" s="40">
        <f>IFERROR(VLOOKUP(A104,[1]eco_institutions!B:E,4,0),"")</f>
        <v>1.410744125958034</v>
      </c>
      <c r="H104" s="14">
        <f t="shared" si="6"/>
        <v>349</v>
      </c>
      <c r="I104" s="46">
        <f>IFERROR(VLOOKUP(A104,[1]fin_institutions!B:D,2,0),"")</f>
        <v>10</v>
      </c>
      <c r="J104" s="41">
        <f>IFERROR(VLOOKUP(A104,[1]fin_institutions!B:E,4,0),"")</f>
        <v>2.3422231450500299</v>
      </c>
      <c r="K104" s="41">
        <f t="shared" si="7"/>
        <v>113</v>
      </c>
      <c r="L104" s="56">
        <f>IFERROR(VLOOKUP(A104,[1]bus_institutions!B:D,2,0),"")</f>
        <v>24</v>
      </c>
      <c r="M104" s="42">
        <f>IFERROR(VLOOKUP(A104,[1]bus_institutions!B:E,4,0),"")</f>
        <v>2.7850618320540188</v>
      </c>
      <c r="N104" s="23">
        <f t="shared" si="8"/>
        <v>139</v>
      </c>
      <c r="O104" s="61">
        <f>IFERROR(VLOOKUP(A104,[1]man_institutions!B:E,2,0),"")</f>
        <v>31</v>
      </c>
      <c r="P104" s="62">
        <f>IFERROR(VLOOKUP(A104,[1]man_institutions!B:E,4,0),"")</f>
        <v>3.4764919185731191</v>
      </c>
      <c r="Q104" s="63">
        <f t="shared" si="9"/>
        <v>128</v>
      </c>
    </row>
    <row r="105" spans="1:17" x14ac:dyDescent="0.25">
      <c r="A105" s="6" t="s">
        <v>706</v>
      </c>
      <c r="B105" s="37" t="s">
        <v>1217</v>
      </c>
      <c r="C105" s="72">
        <f>IFERROR(VLOOKUP(A105,[1]eco_bus_institutions!B:E,2,0),"")</f>
        <v>168</v>
      </c>
      <c r="D105" s="72">
        <f>IFERROR(VLOOKUP(A105,[1]eco_bus_institutions!B:E,4,0),"")</f>
        <v>2.8359270292609211</v>
      </c>
      <c r="E105" s="73">
        <f t="shared" si="5"/>
        <v>91</v>
      </c>
      <c r="F105" s="40">
        <f>IFERROR(VLOOKUP(A105,[1]eco_institutions!B:D,2,0),"")</f>
        <v>72</v>
      </c>
      <c r="G105" s="40">
        <f>IFERROR(VLOOKUP(A105,[1]eco_institutions!B:E,4,0),"")</f>
        <v>2.362216097538512</v>
      </c>
      <c r="H105" s="14">
        <f t="shared" si="6"/>
        <v>93</v>
      </c>
      <c r="I105" s="46">
        <f>IFERROR(VLOOKUP(A105,[1]fin_institutions!B:D,2,0),"")</f>
        <v>29</v>
      </c>
      <c r="J105" s="41">
        <f>IFERROR(VLOOKUP(A105,[1]fin_institutions!B:E,4,0),"")</f>
        <v>3.0933774450265261</v>
      </c>
      <c r="K105" s="41">
        <f t="shared" si="7"/>
        <v>67</v>
      </c>
      <c r="L105" s="56">
        <f>IFERROR(VLOOKUP(A105,[1]bus_institutions!B:D,2,0),"")</f>
        <v>35</v>
      </c>
      <c r="M105" s="42">
        <f>IFERROR(VLOOKUP(A105,[1]bus_institutions!B:E,4,0),"")</f>
        <v>3.487944784374776</v>
      </c>
      <c r="N105" s="23">
        <f t="shared" si="8"/>
        <v>68</v>
      </c>
      <c r="O105" s="61">
        <f>IFERROR(VLOOKUP(A105,[1]man_institutions!B:E,2,0),"")</f>
        <v>69</v>
      </c>
      <c r="P105" s="62">
        <f>IFERROR(VLOOKUP(A105,[1]man_institutions!B:E,4,0),"")</f>
        <v>4.5137520800749336</v>
      </c>
      <c r="Q105" s="63">
        <f t="shared" si="9"/>
        <v>50</v>
      </c>
    </row>
    <row r="106" spans="1:17" x14ac:dyDescent="0.25">
      <c r="A106" s="6" t="s">
        <v>699</v>
      </c>
      <c r="B106" s="37" t="s">
        <v>1225</v>
      </c>
      <c r="C106" s="72">
        <f>IFERROR(VLOOKUP(A106,[1]eco_bus_institutions!B:E,2,0),"")</f>
        <v>98</v>
      </c>
      <c r="D106" s="72">
        <f>IFERROR(VLOOKUP(A106,[1]eco_bus_institutions!B:E,4,0),"")</f>
        <v>2.3885297338092868</v>
      </c>
      <c r="E106" s="73">
        <f t="shared" si="5"/>
        <v>153</v>
      </c>
      <c r="F106" s="40">
        <f>IFERROR(VLOOKUP(A106,[1]eco_institutions!B:D,2,0),"")</f>
        <v>16</v>
      </c>
      <c r="G106" s="40">
        <f>IFERROR(VLOOKUP(A106,[1]eco_institutions!B:E,4,0),"")</f>
        <v>1.766289012620357</v>
      </c>
      <c r="H106" s="14">
        <f t="shared" si="6"/>
        <v>200</v>
      </c>
      <c r="I106" s="46">
        <f>IFERROR(VLOOKUP(A106,[1]fin_institutions!B:D,2,0),"")</f>
        <v>9</v>
      </c>
      <c r="J106" s="41">
        <f>IFERROR(VLOOKUP(A106,[1]fin_institutions!B:E,4,0),"")</f>
        <v>1.761430019589562</v>
      </c>
      <c r="K106" s="41">
        <f t="shared" si="7"/>
        <v>197</v>
      </c>
      <c r="L106" s="56">
        <f>IFERROR(VLOOKUP(A106,[1]bus_institutions!B:D,2,0),"")</f>
        <v>47</v>
      </c>
      <c r="M106" s="42">
        <f>IFERROR(VLOOKUP(A106,[1]bus_institutions!B:E,4,0),"")</f>
        <v>2.471902991116941</v>
      </c>
      <c r="N106" s="23">
        <f t="shared" si="8"/>
        <v>196</v>
      </c>
      <c r="O106" s="61">
        <f>IFERROR(VLOOKUP(A106,[1]man_institutions!B:E,2,0),"")</f>
        <v>50</v>
      </c>
      <c r="P106" s="62">
        <f>IFERROR(VLOOKUP(A106,[1]man_institutions!B:E,4,0),"")</f>
        <v>3.3690094259636161</v>
      </c>
      <c r="Q106" s="63">
        <f t="shared" si="9"/>
        <v>146</v>
      </c>
    </row>
    <row r="107" spans="1:17" x14ac:dyDescent="0.25">
      <c r="A107" s="6" t="s">
        <v>817</v>
      </c>
      <c r="B107" s="37" t="s">
        <v>1219</v>
      </c>
      <c r="C107" s="72">
        <f>IFERROR(VLOOKUP(A107,[1]eco_bus_institutions!B:E,2,0),"")</f>
        <v>65</v>
      </c>
      <c r="D107" s="72">
        <f>IFERROR(VLOOKUP(A107,[1]eco_bus_institutions!B:E,4,0),"")</f>
        <v>2.740224179687889</v>
      </c>
      <c r="E107" s="73">
        <f t="shared" si="5"/>
        <v>100</v>
      </c>
      <c r="F107" s="40">
        <f>IFERROR(VLOOKUP(A107,[1]eco_institutions!B:D,2,0),"")</f>
        <v>43</v>
      </c>
      <c r="G107" s="40">
        <f>IFERROR(VLOOKUP(A107,[1]eco_institutions!B:E,4,0),"")</f>
        <v>2.770280965432125</v>
      </c>
      <c r="H107" s="14">
        <f t="shared" si="6"/>
        <v>65</v>
      </c>
      <c r="I107" s="46">
        <f>IFERROR(VLOOKUP(A107,[1]fin_institutions!B:D,2,0),"")</f>
        <v>7</v>
      </c>
      <c r="J107" s="41">
        <f>IFERROR(VLOOKUP(A107,[1]fin_institutions!B:E,4,0),"")</f>
        <v>4.3499508181634816</v>
      </c>
      <c r="K107" s="41">
        <f t="shared" si="7"/>
        <v>24</v>
      </c>
      <c r="L107" s="56">
        <f>IFERROR(VLOOKUP(A107,[1]bus_institutions!B:D,2,0),"")</f>
        <v>14</v>
      </c>
      <c r="M107" s="42">
        <f>IFERROR(VLOOKUP(A107,[1]bus_institutions!B:E,4,0),"")</f>
        <v>2.3914259165448861</v>
      </c>
      <c r="N107" s="23">
        <f t="shared" si="8"/>
        <v>221</v>
      </c>
      <c r="O107" s="61">
        <f>IFERROR(VLOOKUP(A107,[1]man_institutions!B:E,2,0),"")</f>
        <v>13</v>
      </c>
      <c r="P107" s="62">
        <f>IFERROR(VLOOKUP(A107,[1]man_institutions!B:E,4,0),"")</f>
        <v>3.348270188675325</v>
      </c>
      <c r="Q107" s="63">
        <f t="shared" si="9"/>
        <v>152</v>
      </c>
    </row>
    <row r="108" spans="1:17" x14ac:dyDescent="0.25">
      <c r="A108" s="6" t="s">
        <v>662</v>
      </c>
      <c r="B108" s="37" t="s">
        <v>1271</v>
      </c>
      <c r="C108" s="72">
        <f>IFERROR(VLOOKUP(A108,[1]eco_bus_institutions!B:E,2,0),"")</f>
        <v>42</v>
      </c>
      <c r="D108" s="72">
        <f>IFERROR(VLOOKUP(A108,[1]eco_bus_institutions!B:E,4,0),"")</f>
        <v>2.8251260192017029</v>
      </c>
      <c r="E108" s="73">
        <f t="shared" si="5"/>
        <v>93</v>
      </c>
      <c r="F108" s="40">
        <f>IFERROR(VLOOKUP(A108,[1]eco_institutions!B:D,2,0),"")</f>
        <v>12</v>
      </c>
      <c r="G108" s="40">
        <f>IFERROR(VLOOKUP(A108,[1]eco_institutions!B:E,4,0),"")</f>
        <v>1.3370720158548111</v>
      </c>
      <c r="H108" s="14">
        <f t="shared" si="6"/>
        <v>402</v>
      </c>
      <c r="I108" s="46">
        <f>IFERROR(VLOOKUP(A108,[1]fin_institutions!B:D,2,0),"")</f>
        <v>3</v>
      </c>
      <c r="J108" s="41">
        <f>IFERROR(VLOOKUP(A108,[1]fin_institutions!B:E,4,0),"")</f>
        <v>1.4024722410436601</v>
      </c>
      <c r="K108" s="41">
        <f t="shared" si="7"/>
        <v>338</v>
      </c>
      <c r="L108" s="56">
        <f>IFERROR(VLOOKUP(A108,[1]bus_institutions!B:D,2,0),"")</f>
        <v>16</v>
      </c>
      <c r="M108" s="42">
        <f>IFERROR(VLOOKUP(A108,[1]bus_institutions!B:E,4,0),"")</f>
        <v>3.5933440923786519</v>
      </c>
      <c r="N108" s="23">
        <f t="shared" si="8"/>
        <v>59</v>
      </c>
      <c r="O108" s="61">
        <f>IFERROR(VLOOKUP(A108,[1]man_institutions!B:E,2,0),"")</f>
        <v>21</v>
      </c>
      <c r="P108" s="62">
        <f>IFERROR(VLOOKUP(A108,[1]man_institutions!B:E,4,0),"")</f>
        <v>3.9602021431372649</v>
      </c>
      <c r="Q108" s="63">
        <f t="shared" si="9"/>
        <v>79</v>
      </c>
    </row>
    <row r="109" spans="1:17" x14ac:dyDescent="0.25">
      <c r="A109" s="6" t="s">
        <v>793</v>
      </c>
      <c r="B109" s="37" t="s">
        <v>1216</v>
      </c>
      <c r="C109" s="72">
        <f>IFERROR(VLOOKUP(A109,[1]eco_bus_institutions!B:E,2,0),"")</f>
        <v>92</v>
      </c>
      <c r="D109" s="72">
        <f>IFERROR(VLOOKUP(A109,[1]eco_bus_institutions!B:E,4,0),"")</f>
        <v>3.015449187732274</v>
      </c>
      <c r="E109" s="73">
        <f t="shared" si="5"/>
        <v>74</v>
      </c>
      <c r="F109" s="40">
        <f>IFERROR(VLOOKUP(A109,[1]eco_institutions!B:D,2,0),"")</f>
        <v>58</v>
      </c>
      <c r="G109" s="40">
        <f>IFERROR(VLOOKUP(A109,[1]eco_institutions!B:E,4,0),"")</f>
        <v>3.2588065950426301</v>
      </c>
      <c r="H109" s="14">
        <f t="shared" si="6"/>
        <v>41</v>
      </c>
      <c r="I109" s="46">
        <f>IFERROR(VLOOKUP(A109,[1]fin_institutions!B:D,2,0),"")</f>
        <v>17</v>
      </c>
      <c r="J109" s="41">
        <f>IFERROR(VLOOKUP(A109,[1]fin_institutions!B:E,4,0),"")</f>
        <v>1.3474559214995649</v>
      </c>
      <c r="K109" s="41">
        <f t="shared" si="7"/>
        <v>365</v>
      </c>
      <c r="L109" s="56">
        <f>IFERROR(VLOOKUP(A109,[1]bus_institutions!B:D,2,0),"")</f>
        <v>14</v>
      </c>
      <c r="M109" s="42">
        <f>IFERROR(VLOOKUP(A109,[1]bus_institutions!B:E,4,0),"")</f>
        <v>2.123733032585422</v>
      </c>
      <c r="N109" s="23">
        <f t="shared" si="8"/>
        <v>287</v>
      </c>
      <c r="O109" s="61">
        <f>IFERROR(VLOOKUP(A109,[1]man_institutions!B:E,2,0),"")</f>
        <v>16</v>
      </c>
      <c r="P109" s="62">
        <f>IFERROR(VLOOKUP(A109,[1]man_institutions!B:E,4,0),"")</f>
        <v>2.9364238650010601</v>
      </c>
      <c r="Q109" s="63">
        <f t="shared" si="9"/>
        <v>197</v>
      </c>
    </row>
    <row r="110" spans="1:17" x14ac:dyDescent="0.25">
      <c r="A110" s="6" t="s">
        <v>885</v>
      </c>
      <c r="B110" s="37" t="s">
        <v>1271</v>
      </c>
      <c r="C110" s="72">
        <f>IFERROR(VLOOKUP(A110,[1]eco_bus_institutions!B:E,2,0),"")</f>
        <v>330</v>
      </c>
      <c r="D110" s="72">
        <f>IFERROR(VLOOKUP(A110,[1]eco_bus_institutions!B:E,4,0),"")</f>
        <v>2.9170108120932552</v>
      </c>
      <c r="E110" s="73">
        <f t="shared" si="5"/>
        <v>88</v>
      </c>
      <c r="F110" s="40">
        <f>IFERROR(VLOOKUP(A110,[1]eco_institutions!B:D,2,0),"")</f>
        <v>321</v>
      </c>
      <c r="G110" s="40">
        <f>IFERROR(VLOOKUP(A110,[1]eco_institutions!B:E,4,0),"")</f>
        <v>2.6815266623332779</v>
      </c>
      <c r="H110" s="14">
        <f t="shared" si="6"/>
        <v>70</v>
      </c>
      <c r="I110" s="46">
        <f>IFERROR(VLOOKUP(A110,[1]fin_institutions!B:D,2,0),"")</f>
        <v>20</v>
      </c>
      <c r="J110" s="41">
        <f>IFERROR(VLOOKUP(A110,[1]fin_institutions!B:E,4,0),"")</f>
        <v>2.431629964169725</v>
      </c>
      <c r="K110" s="41">
        <f t="shared" si="7"/>
        <v>106</v>
      </c>
      <c r="L110" s="56">
        <f>IFERROR(VLOOKUP(A110,[1]bus_institutions!B:D,2,0),"")</f>
        <v>11</v>
      </c>
      <c r="M110" s="42">
        <f>IFERROR(VLOOKUP(A110,[1]bus_institutions!B:E,4,0),"")</f>
        <v>1.850047402336664</v>
      </c>
      <c r="N110" s="23">
        <f t="shared" si="8"/>
        <v>367</v>
      </c>
      <c r="O110" s="61">
        <f>IFERROR(VLOOKUP(A110,[1]man_institutions!B:E,2,0),"")</f>
        <v>14</v>
      </c>
      <c r="P110" s="62">
        <f>IFERROR(VLOOKUP(A110,[1]man_institutions!B:E,4,0),"")</f>
        <v>2.9710775246979031</v>
      </c>
      <c r="Q110" s="63">
        <f t="shared" si="9"/>
        <v>193</v>
      </c>
    </row>
    <row r="111" spans="1:17" x14ac:dyDescent="0.25">
      <c r="A111" s="6" t="s">
        <v>758</v>
      </c>
      <c r="B111" s="37" t="s">
        <v>1218</v>
      </c>
      <c r="C111" s="72">
        <f>IFERROR(VLOOKUP(A111,[1]eco_bus_institutions!B:E,2,0),"")</f>
        <v>119</v>
      </c>
      <c r="D111" s="72">
        <f>IFERROR(VLOOKUP(A111,[1]eco_bus_institutions!B:E,4,0),"")</f>
        <v>2.025309461436497</v>
      </c>
      <c r="E111" s="73">
        <f t="shared" si="5"/>
        <v>253</v>
      </c>
      <c r="F111" s="40">
        <f>IFERROR(VLOOKUP(A111,[1]eco_institutions!B:D,2,0),"")</f>
        <v>48</v>
      </c>
      <c r="G111" s="40">
        <f>IFERROR(VLOOKUP(A111,[1]eco_institutions!B:E,4,0),"")</f>
        <v>1.512033736461047</v>
      </c>
      <c r="H111" s="14">
        <f t="shared" si="6"/>
        <v>297</v>
      </c>
      <c r="I111" s="46">
        <f>IFERROR(VLOOKUP(A111,[1]fin_institutions!B:D,2,0),"")</f>
        <v>39</v>
      </c>
      <c r="J111" s="41">
        <f>IFERROR(VLOOKUP(A111,[1]fin_institutions!B:E,4,0),"")</f>
        <v>1.4066165124223731</v>
      </c>
      <c r="K111" s="41">
        <f t="shared" si="7"/>
        <v>332</v>
      </c>
      <c r="L111" s="56">
        <f>IFERROR(VLOOKUP(A111,[1]bus_institutions!B:D,2,0),"")</f>
        <v>45</v>
      </c>
      <c r="M111" s="42">
        <f>IFERROR(VLOOKUP(A111,[1]bus_institutions!B:E,4,0),"")</f>
        <v>2.499701048511537</v>
      </c>
      <c r="N111" s="23">
        <f t="shared" si="8"/>
        <v>186</v>
      </c>
      <c r="O111" s="61">
        <f>IFERROR(VLOOKUP(A111,[1]man_institutions!B:E,2,0),"")</f>
        <v>35</v>
      </c>
      <c r="P111" s="62">
        <f>IFERROR(VLOOKUP(A111,[1]man_institutions!B:E,4,0),"")</f>
        <v>2.6559391177606648</v>
      </c>
      <c r="Q111" s="63">
        <f t="shared" si="9"/>
        <v>244</v>
      </c>
    </row>
    <row r="112" spans="1:17" x14ac:dyDescent="0.25">
      <c r="A112" s="6" t="s">
        <v>782</v>
      </c>
      <c r="B112" s="37" t="s">
        <v>1217</v>
      </c>
      <c r="C112" s="72">
        <f>IFERROR(VLOOKUP(A112,[1]eco_bus_institutions!B:E,2,0),"")</f>
        <v>74</v>
      </c>
      <c r="D112" s="72">
        <f>IFERROR(VLOOKUP(A112,[1]eco_bus_institutions!B:E,4,0),"")</f>
        <v>2.9375336147165569</v>
      </c>
      <c r="E112" s="73">
        <f t="shared" si="5"/>
        <v>85</v>
      </c>
      <c r="F112" s="40">
        <f>IFERROR(VLOOKUP(A112,[1]eco_institutions!B:D,2,0),"")</f>
        <v>44</v>
      </c>
      <c r="G112" s="40">
        <f>IFERROR(VLOOKUP(A112,[1]eco_institutions!B:E,4,0),"")</f>
        <v>3.2148643267761958</v>
      </c>
      <c r="H112" s="14">
        <f t="shared" si="6"/>
        <v>42</v>
      </c>
      <c r="I112" s="46">
        <f>IFERROR(VLOOKUP(A112,[1]fin_institutions!B:D,2,0),"")</f>
        <v>13</v>
      </c>
      <c r="J112" s="41">
        <f>IFERROR(VLOOKUP(A112,[1]fin_institutions!B:E,4,0),"")</f>
        <v>1.7144598201569781</v>
      </c>
      <c r="K112" s="41">
        <f t="shared" si="7"/>
        <v>214</v>
      </c>
      <c r="L112" s="56">
        <f>IFERROR(VLOOKUP(A112,[1]bus_institutions!B:D,2,0),"")</f>
        <v>16</v>
      </c>
      <c r="M112" s="42">
        <f>IFERROR(VLOOKUP(A112,[1]bus_institutions!B:E,4,0),"")</f>
        <v>3.0995208664656002</v>
      </c>
      <c r="N112" s="23">
        <f t="shared" si="8"/>
        <v>102</v>
      </c>
      <c r="O112" s="61">
        <f>IFERROR(VLOOKUP(A112,[1]man_institutions!B:E,2,0),"")</f>
        <v>14</v>
      </c>
      <c r="P112" s="62">
        <f>IFERROR(VLOOKUP(A112,[1]man_institutions!B:E,4,0),"")</f>
        <v>2.8386884727619281</v>
      </c>
      <c r="Q112" s="63">
        <f t="shared" si="9"/>
        <v>212</v>
      </c>
    </row>
    <row r="113" spans="1:17" x14ac:dyDescent="0.25">
      <c r="A113" s="6" t="s">
        <v>795</v>
      </c>
      <c r="B113" s="37" t="s">
        <v>1241</v>
      </c>
      <c r="C113" s="72">
        <f>IFERROR(VLOOKUP(A113,[1]eco_bus_institutions!B:E,2,0),"")</f>
        <v>55</v>
      </c>
      <c r="D113" s="72">
        <f>IFERROR(VLOOKUP(A113,[1]eco_bus_institutions!B:E,4,0),"")</f>
        <v>1.859746194706851</v>
      </c>
      <c r="E113" s="73">
        <f t="shared" si="5"/>
        <v>316</v>
      </c>
      <c r="F113" s="40">
        <f>IFERROR(VLOOKUP(A113,[1]eco_institutions!B:D,2,0),"")</f>
        <v>11</v>
      </c>
      <c r="G113" s="40">
        <f>IFERROR(VLOOKUP(A113,[1]eco_institutions!B:E,4,0),"")</f>
        <v>1.25104046483968</v>
      </c>
      <c r="H113" s="14">
        <f t="shared" si="6"/>
        <v>476</v>
      </c>
      <c r="I113" s="46">
        <f>IFERROR(VLOOKUP(A113,[1]fin_institutions!B:D,2,0),"")</f>
        <v>13</v>
      </c>
      <c r="J113" s="41">
        <f>IFERROR(VLOOKUP(A113,[1]fin_institutions!B:E,4,0),"")</f>
        <v>1.175505262178175</v>
      </c>
      <c r="K113" s="41">
        <f t="shared" si="7"/>
        <v>484</v>
      </c>
      <c r="L113" s="56">
        <f>IFERROR(VLOOKUP(A113,[1]bus_institutions!B:D,2,0),"")</f>
        <v>30</v>
      </c>
      <c r="M113" s="42">
        <f>IFERROR(VLOOKUP(A113,[1]bus_institutions!B:E,4,0),"")</f>
        <v>2.3996801773897798</v>
      </c>
      <c r="N113" s="23">
        <f t="shared" si="8"/>
        <v>216</v>
      </c>
      <c r="O113" s="61">
        <f>IFERROR(VLOOKUP(A113,[1]man_institutions!B:E,2,0),"")</f>
        <v>20</v>
      </c>
      <c r="P113" s="62">
        <f>IFERROR(VLOOKUP(A113,[1]man_institutions!B:E,4,0),"")</f>
        <v>2.1718390696643382</v>
      </c>
      <c r="Q113" s="63">
        <f t="shared" si="9"/>
        <v>359</v>
      </c>
    </row>
    <row r="114" spans="1:17" x14ac:dyDescent="0.25">
      <c r="A114" s="6" t="s">
        <v>734</v>
      </c>
      <c r="B114" s="37" t="s">
        <v>1220</v>
      </c>
      <c r="C114" s="72">
        <f>IFERROR(VLOOKUP(A114,[1]eco_bus_institutions!B:E,2,0),"")</f>
        <v>88</v>
      </c>
      <c r="D114" s="72">
        <f>IFERROR(VLOOKUP(A114,[1]eco_bus_institutions!B:E,4,0),"")</f>
        <v>2.582325223859542</v>
      </c>
      <c r="E114" s="73">
        <f t="shared" si="5"/>
        <v>115</v>
      </c>
      <c r="F114" s="40">
        <f>IFERROR(VLOOKUP(A114,[1]eco_institutions!B:D,2,0),"")</f>
        <v>35</v>
      </c>
      <c r="G114" s="40">
        <f>IFERROR(VLOOKUP(A114,[1]eco_institutions!B:E,4,0),"")</f>
        <v>2.1262361304715518</v>
      </c>
      <c r="H114" s="14">
        <f t="shared" si="6"/>
        <v>120</v>
      </c>
      <c r="I114" s="46">
        <f>IFERROR(VLOOKUP(A114,[1]fin_institutions!B:D,2,0),"")</f>
        <v>28</v>
      </c>
      <c r="J114" s="41">
        <f>IFERROR(VLOOKUP(A114,[1]fin_institutions!B:E,4,0),"")</f>
        <v>1.9628951763413121</v>
      </c>
      <c r="K114" s="41">
        <f t="shared" si="7"/>
        <v>163</v>
      </c>
      <c r="L114" s="56">
        <f>IFERROR(VLOOKUP(A114,[1]bus_institutions!B:D,2,0),"")</f>
        <v>23</v>
      </c>
      <c r="M114" s="42">
        <f>IFERROR(VLOOKUP(A114,[1]bus_institutions!B:E,4,0),"")</f>
        <v>2.9294940005768741</v>
      </c>
      <c r="N114" s="23">
        <f t="shared" si="8"/>
        <v>128</v>
      </c>
      <c r="O114" s="61">
        <f>IFERROR(VLOOKUP(A114,[1]man_institutions!B:E,2,0),"")</f>
        <v>28</v>
      </c>
      <c r="P114" s="62">
        <f>IFERROR(VLOOKUP(A114,[1]man_institutions!B:E,4,0),"")</f>
        <v>4.6208534998308188</v>
      </c>
      <c r="Q114" s="63">
        <f t="shared" si="9"/>
        <v>47</v>
      </c>
    </row>
    <row r="115" spans="1:17" x14ac:dyDescent="0.25">
      <c r="A115" s="6" t="s">
        <v>812</v>
      </c>
      <c r="B115" s="37" t="s">
        <v>1216</v>
      </c>
      <c r="C115" s="72">
        <f>IFERROR(VLOOKUP(A115,[1]eco_bus_institutions!B:E,2,0),"")</f>
        <v>203</v>
      </c>
      <c r="D115" s="72">
        <f>IFERROR(VLOOKUP(A115,[1]eco_bus_institutions!B:E,4,0),"")</f>
        <v>2.9377553217189298</v>
      </c>
      <c r="E115" s="73">
        <f t="shared" si="5"/>
        <v>84</v>
      </c>
      <c r="F115" s="40">
        <f>IFERROR(VLOOKUP(A115,[1]eco_institutions!B:D,2,0),"")</f>
        <v>146</v>
      </c>
      <c r="G115" s="40">
        <f>IFERROR(VLOOKUP(A115,[1]eco_institutions!B:E,4,0),"")</f>
        <v>2.7660194042133641</v>
      </c>
      <c r="H115" s="14">
        <f t="shared" si="6"/>
        <v>66</v>
      </c>
      <c r="I115" s="46">
        <f>IFERROR(VLOOKUP(A115,[1]fin_institutions!B:D,2,0),"")</f>
        <v>32</v>
      </c>
      <c r="J115" s="41">
        <f>IFERROR(VLOOKUP(A115,[1]fin_institutions!B:E,4,0),"")</f>
        <v>1.64720942832567</v>
      </c>
      <c r="K115" s="41">
        <f t="shared" si="7"/>
        <v>231</v>
      </c>
      <c r="L115" s="56">
        <f>IFERROR(VLOOKUP(A115,[1]bus_institutions!B:D,2,0),"")</f>
        <v>23</v>
      </c>
      <c r="M115" s="42">
        <f>IFERROR(VLOOKUP(A115,[1]bus_institutions!B:E,4,0),"")</f>
        <v>3.427928238680924</v>
      </c>
      <c r="N115" s="23">
        <f t="shared" si="8"/>
        <v>72</v>
      </c>
      <c r="O115" s="61">
        <f>IFERROR(VLOOKUP(A115,[1]man_institutions!B:E,2,0),"")</f>
        <v>46</v>
      </c>
      <c r="P115" s="62">
        <f>IFERROR(VLOOKUP(A115,[1]man_institutions!B:E,4,0),"")</f>
        <v>4.4490724075909807</v>
      </c>
      <c r="Q115" s="63">
        <f t="shared" si="9"/>
        <v>54</v>
      </c>
    </row>
    <row r="116" spans="1:17" x14ac:dyDescent="0.25">
      <c r="A116" s="6" t="s">
        <v>724</v>
      </c>
      <c r="B116" s="37" t="s">
        <v>1225</v>
      </c>
      <c r="C116" s="72">
        <f>IFERROR(VLOOKUP(A116,[1]eco_bus_institutions!B:E,2,0),"")</f>
        <v>75</v>
      </c>
      <c r="D116" s="72">
        <f>IFERROR(VLOOKUP(A116,[1]eco_bus_institutions!B:E,4,0),"")</f>
        <v>2.113226879077573</v>
      </c>
      <c r="E116" s="73">
        <f t="shared" si="5"/>
        <v>227</v>
      </c>
      <c r="F116" s="40">
        <f>IFERROR(VLOOKUP(A116,[1]eco_institutions!B:D,2,0),"")</f>
        <v>12</v>
      </c>
      <c r="G116" s="40">
        <f>IFERROR(VLOOKUP(A116,[1]eco_institutions!B:E,4,0),"")</f>
        <v>1.1879695801177259</v>
      </c>
      <c r="H116" s="14">
        <f t="shared" si="6"/>
        <v>522</v>
      </c>
      <c r="I116" s="46">
        <f>IFERROR(VLOOKUP(A116,[1]fin_institutions!B:D,2,0),"")</f>
        <v>10</v>
      </c>
      <c r="J116" s="41">
        <f>IFERROR(VLOOKUP(A116,[1]fin_institutions!B:E,4,0),"")</f>
        <v>1.3261709742154</v>
      </c>
      <c r="K116" s="41">
        <f t="shared" si="7"/>
        <v>380</v>
      </c>
      <c r="L116" s="56">
        <f>IFERROR(VLOOKUP(A116,[1]bus_institutions!B:D,2,0),"")</f>
        <v>42</v>
      </c>
      <c r="M116" s="42">
        <f>IFERROR(VLOOKUP(A116,[1]bus_institutions!B:E,4,0),"")</f>
        <v>2.2028753259650138</v>
      </c>
      <c r="N116" s="23">
        <f t="shared" si="8"/>
        <v>271</v>
      </c>
      <c r="O116" s="61">
        <f>IFERROR(VLOOKUP(A116,[1]man_institutions!B:E,2,0),"")</f>
        <v>29</v>
      </c>
      <c r="P116" s="62">
        <f>IFERROR(VLOOKUP(A116,[1]man_institutions!B:E,4,0),"")</f>
        <v>3.5630200529752249</v>
      </c>
      <c r="Q116" s="63">
        <f t="shared" si="9"/>
        <v>117</v>
      </c>
    </row>
    <row r="117" spans="1:17" x14ac:dyDescent="0.25">
      <c r="A117" s="6" t="s">
        <v>741</v>
      </c>
      <c r="B117" s="37" t="s">
        <v>1224</v>
      </c>
      <c r="C117" s="72">
        <f>IFERROR(VLOOKUP(A117,[1]eco_bus_institutions!B:E,2,0),"")</f>
        <v>63</v>
      </c>
      <c r="D117" s="72">
        <f>IFERROR(VLOOKUP(A117,[1]eco_bus_institutions!B:E,4,0),"")</f>
        <v>2.4114473690041711</v>
      </c>
      <c r="E117" s="73">
        <f t="shared" si="5"/>
        <v>144</v>
      </c>
      <c r="F117" s="40">
        <f>IFERROR(VLOOKUP(A117,[1]eco_institutions!B:D,2,0),"")</f>
        <v>33</v>
      </c>
      <c r="G117" s="40">
        <f>IFERROR(VLOOKUP(A117,[1]eco_institutions!B:E,4,0),"")</f>
        <v>1.6928160487570729</v>
      </c>
      <c r="H117" s="14">
        <f t="shared" si="6"/>
        <v>223</v>
      </c>
      <c r="I117" s="46">
        <f>IFERROR(VLOOKUP(A117,[1]fin_institutions!B:D,2,0),"")</f>
        <v>9</v>
      </c>
      <c r="J117" s="41">
        <f>IFERROR(VLOOKUP(A117,[1]fin_institutions!B:E,4,0),"")</f>
        <v>1.592188649227823</v>
      </c>
      <c r="K117" s="41">
        <f t="shared" si="7"/>
        <v>248</v>
      </c>
      <c r="L117" s="56">
        <f>IFERROR(VLOOKUP(A117,[1]bus_institutions!B:D,2,0),"")</f>
        <v>20</v>
      </c>
      <c r="M117" s="42">
        <f>IFERROR(VLOOKUP(A117,[1]bus_institutions!B:E,4,0),"")</f>
        <v>3.5754633100643369</v>
      </c>
      <c r="N117" s="23">
        <f t="shared" si="8"/>
        <v>60</v>
      </c>
      <c r="O117" s="61">
        <f>IFERROR(VLOOKUP(A117,[1]man_institutions!B:E,2,0),"")</f>
        <v>18</v>
      </c>
      <c r="P117" s="62">
        <f>IFERROR(VLOOKUP(A117,[1]man_institutions!B:E,4,0),"")</f>
        <v>4.3996131995802923</v>
      </c>
      <c r="Q117" s="63">
        <f t="shared" si="9"/>
        <v>59</v>
      </c>
    </row>
    <row r="118" spans="1:17" x14ac:dyDescent="0.25">
      <c r="A118" s="6" t="s">
        <v>770</v>
      </c>
      <c r="B118" s="37" t="s">
        <v>1217</v>
      </c>
      <c r="C118" s="72">
        <f>IFERROR(VLOOKUP(A118,[1]eco_bus_institutions!B:E,2,0),"")</f>
        <v>67</v>
      </c>
      <c r="D118" s="72">
        <f>IFERROR(VLOOKUP(A118,[1]eco_bus_institutions!B:E,4,0),"")</f>
        <v>2.7434762786997049</v>
      </c>
      <c r="E118" s="73">
        <f t="shared" si="5"/>
        <v>98</v>
      </c>
      <c r="F118" s="40">
        <f>IFERROR(VLOOKUP(A118,[1]eco_institutions!B:D,2,0),"")</f>
        <v>33</v>
      </c>
      <c r="G118" s="40">
        <f>IFERROR(VLOOKUP(A118,[1]eco_institutions!B:E,4,0),"")</f>
        <v>2.6140419519079341</v>
      </c>
      <c r="H118" s="14">
        <f t="shared" si="6"/>
        <v>75</v>
      </c>
      <c r="I118" s="46">
        <f>IFERROR(VLOOKUP(A118,[1]fin_institutions!B:D,2,0),"")</f>
        <v>19</v>
      </c>
      <c r="J118" s="41">
        <f>IFERROR(VLOOKUP(A118,[1]fin_institutions!B:E,4,0),"")</f>
        <v>2.8512674040374781</v>
      </c>
      <c r="K118" s="41">
        <f t="shared" si="7"/>
        <v>76</v>
      </c>
      <c r="L118" s="56">
        <f>IFERROR(VLOOKUP(A118,[1]bus_institutions!B:D,2,0),"")</f>
        <v>12</v>
      </c>
      <c r="M118" s="42">
        <f>IFERROR(VLOOKUP(A118,[1]bus_institutions!B:E,4,0),"")</f>
        <v>2.63814456501794</v>
      </c>
      <c r="N118" s="23">
        <f t="shared" si="8"/>
        <v>169</v>
      </c>
      <c r="O118" s="61">
        <f>IFERROR(VLOOKUP(A118,[1]man_institutions!B:E,2,0),"")</f>
        <v>19</v>
      </c>
      <c r="P118" s="62">
        <f>IFERROR(VLOOKUP(A118,[1]man_institutions!B:E,4,0),"")</f>
        <v>3.1103319177512909</v>
      </c>
      <c r="Q118" s="63">
        <f t="shared" si="9"/>
        <v>179</v>
      </c>
    </row>
    <row r="119" spans="1:17" x14ac:dyDescent="0.25">
      <c r="A119" s="6" t="s">
        <v>778</v>
      </c>
      <c r="B119" s="37" t="s">
        <v>1217</v>
      </c>
      <c r="C119" s="72">
        <f>IFERROR(VLOOKUP(A119,[1]eco_bus_institutions!B:E,2,0),"")</f>
        <v>72</v>
      </c>
      <c r="D119" s="72">
        <f>IFERROR(VLOOKUP(A119,[1]eco_bus_institutions!B:E,4,0),"")</f>
        <v>2.3847921851869849</v>
      </c>
      <c r="E119" s="73">
        <f t="shared" si="5"/>
        <v>155</v>
      </c>
      <c r="F119" s="40">
        <f>IFERROR(VLOOKUP(A119,[1]eco_institutions!B:D,2,0),"")</f>
        <v>37</v>
      </c>
      <c r="G119" s="40">
        <f>IFERROR(VLOOKUP(A119,[1]eco_institutions!B:E,4,0),"")</f>
        <v>2.1059320946405689</v>
      </c>
      <c r="H119" s="14">
        <f t="shared" si="6"/>
        <v>127</v>
      </c>
      <c r="I119" s="46">
        <f>IFERROR(VLOOKUP(A119,[1]fin_institutions!B:D,2,0),"")</f>
        <v>11</v>
      </c>
      <c r="J119" s="41">
        <f>IFERROR(VLOOKUP(A119,[1]fin_institutions!B:E,4,0),"")</f>
        <v>3.2469366197398291</v>
      </c>
      <c r="K119" s="41">
        <f t="shared" si="7"/>
        <v>61</v>
      </c>
      <c r="L119" s="56">
        <f>IFERROR(VLOOKUP(A119,[1]bus_institutions!B:D,2,0),"")</f>
        <v>28</v>
      </c>
      <c r="M119" s="42">
        <f>IFERROR(VLOOKUP(A119,[1]bus_institutions!B:E,4,0),"")</f>
        <v>1.1803197474889029</v>
      </c>
      <c r="N119" s="23">
        <f t="shared" si="8"/>
        <v>553</v>
      </c>
      <c r="O119" s="61">
        <f>IFERROR(VLOOKUP(A119,[1]man_institutions!B:E,2,0),"")</f>
        <v>12</v>
      </c>
      <c r="P119" s="62">
        <f>IFERROR(VLOOKUP(A119,[1]man_institutions!B:E,4,0),"")</f>
        <v>3.1764124509354361</v>
      </c>
      <c r="Q119" s="63">
        <f t="shared" si="9"/>
        <v>171</v>
      </c>
    </row>
    <row r="120" spans="1:17" x14ac:dyDescent="0.25">
      <c r="A120" s="6" t="s">
        <v>714</v>
      </c>
      <c r="B120" s="37" t="s">
        <v>1231</v>
      </c>
      <c r="C120" s="72">
        <f>IFERROR(VLOOKUP(A120,[1]eco_bus_institutions!B:E,2,0),"")</f>
        <v>59</v>
      </c>
      <c r="D120" s="72">
        <f>IFERROR(VLOOKUP(A120,[1]eco_bus_institutions!B:E,4,0),"")</f>
        <v>2.4639710060858948</v>
      </c>
      <c r="E120" s="73">
        <f t="shared" si="5"/>
        <v>136</v>
      </c>
      <c r="F120" s="40">
        <f>IFERROR(VLOOKUP(A120,[1]eco_institutions!B:D,2,0),"")</f>
        <v>19</v>
      </c>
      <c r="G120" s="40">
        <f>IFERROR(VLOOKUP(A120,[1]eco_institutions!B:E,4,0),"")</f>
        <v>1.7511631775598979</v>
      </c>
      <c r="H120" s="14">
        <f t="shared" si="6"/>
        <v>204</v>
      </c>
      <c r="I120" s="46">
        <f>IFERROR(VLOOKUP(A120,[1]fin_institutions!B:D,2,0),"")</f>
        <v>7</v>
      </c>
      <c r="J120" s="41">
        <f>IFERROR(VLOOKUP(A120,[1]fin_institutions!B:E,4,0),"")</f>
        <v>1.900467064215708</v>
      </c>
      <c r="K120" s="41">
        <f t="shared" si="7"/>
        <v>177</v>
      </c>
      <c r="L120" s="56">
        <f>IFERROR(VLOOKUP(A120,[1]bus_institutions!B:D,2,0),"")</f>
        <v>25</v>
      </c>
      <c r="M120" s="42">
        <f>IFERROR(VLOOKUP(A120,[1]bus_institutions!B:E,4,0),"")</f>
        <v>2.9700581979763161</v>
      </c>
      <c r="N120" s="23">
        <f t="shared" si="8"/>
        <v>119</v>
      </c>
      <c r="O120" s="61">
        <f>IFERROR(VLOOKUP(A120,[1]man_institutions!B:E,2,0),"")</f>
        <v>27</v>
      </c>
      <c r="P120" s="62">
        <f>IFERROR(VLOOKUP(A120,[1]man_institutions!B:E,4,0),"")</f>
        <v>3.9496582662123911</v>
      </c>
      <c r="Q120" s="63">
        <f t="shared" si="9"/>
        <v>81</v>
      </c>
    </row>
    <row r="121" spans="1:17" x14ac:dyDescent="0.25">
      <c r="A121" s="6" t="s">
        <v>730</v>
      </c>
      <c r="B121" s="37" t="s">
        <v>1217</v>
      </c>
      <c r="C121" s="72">
        <f>IFERROR(VLOOKUP(A121,[1]eco_bus_institutions!B:E,2,0),"")</f>
        <v>141</v>
      </c>
      <c r="D121" s="72">
        <f>IFERROR(VLOOKUP(A121,[1]eco_bus_institutions!B:E,4,0),"")</f>
        <v>2.5405536033329672</v>
      </c>
      <c r="E121" s="73">
        <f t="shared" si="5"/>
        <v>127</v>
      </c>
      <c r="F121" s="40">
        <f>IFERROR(VLOOKUP(A121,[1]eco_institutions!B:D,2,0),"")</f>
        <v>46</v>
      </c>
      <c r="G121" s="40">
        <f>IFERROR(VLOOKUP(A121,[1]eco_institutions!B:E,4,0),"")</f>
        <v>1.788190952120511</v>
      </c>
      <c r="H121" s="14">
        <f t="shared" si="6"/>
        <v>197</v>
      </c>
      <c r="I121" s="46">
        <f>IFERROR(VLOOKUP(A121,[1]fin_institutions!B:D,2,0),"")</f>
        <v>36</v>
      </c>
      <c r="J121" s="41">
        <f>IFERROR(VLOOKUP(A121,[1]fin_institutions!B:E,4,0),"")</f>
        <v>2.219409339239669</v>
      </c>
      <c r="K121" s="41">
        <f t="shared" si="7"/>
        <v>126</v>
      </c>
      <c r="L121" s="56">
        <f>IFERROR(VLOOKUP(A121,[1]bus_institutions!B:D,2,0),"")</f>
        <v>40</v>
      </c>
      <c r="M121" s="42">
        <f>IFERROR(VLOOKUP(A121,[1]bus_institutions!B:E,4,0),"")</f>
        <v>3.4463379169511419</v>
      </c>
      <c r="N121" s="23">
        <f t="shared" si="8"/>
        <v>70</v>
      </c>
      <c r="O121" s="61">
        <f>IFERROR(VLOOKUP(A121,[1]man_institutions!B:E,2,0),"")</f>
        <v>60</v>
      </c>
      <c r="P121" s="62">
        <f>IFERROR(VLOOKUP(A121,[1]man_institutions!B:E,4,0),"")</f>
        <v>3.806835338561537</v>
      </c>
      <c r="Q121" s="63">
        <f t="shared" si="9"/>
        <v>92</v>
      </c>
    </row>
    <row r="122" spans="1:17" x14ac:dyDescent="0.25">
      <c r="A122" s="6" t="s">
        <v>735</v>
      </c>
      <c r="B122" s="37" t="s">
        <v>1217</v>
      </c>
      <c r="C122" s="72">
        <f>IFERROR(VLOOKUP(A122,[1]eco_bus_institutions!B:E,2,0),"")</f>
        <v>66</v>
      </c>
      <c r="D122" s="72">
        <f>IFERROR(VLOOKUP(A122,[1]eco_bus_institutions!B:E,4,0),"")</f>
        <v>2.5657932508271402</v>
      </c>
      <c r="E122" s="73">
        <f t="shared" si="5"/>
        <v>119</v>
      </c>
      <c r="F122" s="40">
        <f>IFERROR(VLOOKUP(A122,[1]eco_institutions!B:D,2,0),"")</f>
        <v>28</v>
      </c>
      <c r="G122" s="40">
        <f>IFERROR(VLOOKUP(A122,[1]eco_institutions!B:E,4,0),"")</f>
        <v>1.9370695562383879</v>
      </c>
      <c r="H122" s="14">
        <f t="shared" si="6"/>
        <v>161</v>
      </c>
      <c r="I122" s="46">
        <f>IFERROR(VLOOKUP(A122,[1]fin_institutions!B:D,2,0),"")</f>
        <v>19</v>
      </c>
      <c r="J122" s="41">
        <f>IFERROR(VLOOKUP(A122,[1]fin_institutions!B:E,4,0),"")</f>
        <v>2.0496186988471208</v>
      </c>
      <c r="K122" s="41">
        <f t="shared" si="7"/>
        <v>148</v>
      </c>
      <c r="L122" s="56">
        <f>IFERROR(VLOOKUP(A122,[1]bus_institutions!B:D,2,0),"")</f>
        <v>16</v>
      </c>
      <c r="M122" s="42">
        <f>IFERROR(VLOOKUP(A122,[1]bus_institutions!B:E,4,0),"")</f>
        <v>3.8819688262011991</v>
      </c>
      <c r="N122" s="23">
        <f t="shared" si="8"/>
        <v>43</v>
      </c>
      <c r="O122" s="61">
        <f>IFERROR(VLOOKUP(A122,[1]man_institutions!B:E,2,0),"")</f>
        <v>16</v>
      </c>
      <c r="P122" s="62">
        <f>IFERROR(VLOOKUP(A122,[1]man_institutions!B:E,4,0),"")</f>
        <v>4.948677836941183</v>
      </c>
      <c r="Q122" s="63">
        <f t="shared" si="9"/>
        <v>38</v>
      </c>
    </row>
    <row r="123" spans="1:17" x14ac:dyDescent="0.25">
      <c r="A123" s="6" t="s">
        <v>806</v>
      </c>
      <c r="B123" s="37" t="s">
        <v>1226</v>
      </c>
      <c r="C123" s="72">
        <f>IFERROR(VLOOKUP(A123,[1]eco_bus_institutions!B:E,2,0),"")</f>
        <v>208</v>
      </c>
      <c r="D123" s="72">
        <f>IFERROR(VLOOKUP(A123,[1]eco_bus_institutions!B:E,4,0),"")</f>
        <v>2.3318240456508792</v>
      </c>
      <c r="E123" s="73">
        <f t="shared" si="5"/>
        <v>163</v>
      </c>
      <c r="F123" s="40">
        <f>IFERROR(VLOOKUP(A123,[1]eco_institutions!B:D,2,0),"")</f>
        <v>119</v>
      </c>
      <c r="G123" s="40">
        <f>IFERROR(VLOOKUP(A123,[1]eco_institutions!B:E,4,0),"")</f>
        <v>1.852088257718028</v>
      </c>
      <c r="H123" s="14">
        <f t="shared" si="6"/>
        <v>179</v>
      </c>
      <c r="I123" s="46">
        <f>IFERROR(VLOOKUP(A123,[1]fin_institutions!B:D,2,0),"")</f>
        <v>27</v>
      </c>
      <c r="J123" s="41">
        <f>IFERROR(VLOOKUP(A123,[1]fin_institutions!B:E,4,0),"")</f>
        <v>2.0853329561599709</v>
      </c>
      <c r="K123" s="41">
        <f t="shared" si="7"/>
        <v>141</v>
      </c>
      <c r="L123" s="56">
        <f>IFERROR(VLOOKUP(A123,[1]bus_institutions!B:D,2,0),"")</f>
        <v>48</v>
      </c>
      <c r="M123" s="42">
        <f>IFERROR(VLOOKUP(A123,[1]bus_institutions!B:E,4,0),"")</f>
        <v>3.048616693606415</v>
      </c>
      <c r="N123" s="23">
        <f t="shared" si="8"/>
        <v>109</v>
      </c>
      <c r="O123" s="61">
        <f>IFERROR(VLOOKUP(A123,[1]man_institutions!B:E,2,0),"")</f>
        <v>54</v>
      </c>
      <c r="P123" s="62">
        <f>IFERROR(VLOOKUP(A123,[1]man_institutions!B:E,4,0),"")</f>
        <v>3.5480758343406911</v>
      </c>
      <c r="Q123" s="63">
        <f t="shared" si="9"/>
        <v>118</v>
      </c>
    </row>
    <row r="124" spans="1:17" x14ac:dyDescent="0.25">
      <c r="A124" s="6" t="s">
        <v>776</v>
      </c>
      <c r="B124" s="37" t="s">
        <v>1217</v>
      </c>
      <c r="C124" s="72">
        <f>IFERROR(VLOOKUP(A124,[1]eco_bus_institutions!B:E,2,0),"")</f>
        <v>38</v>
      </c>
      <c r="D124" s="72">
        <f>IFERROR(VLOOKUP(A124,[1]eco_bus_institutions!B:E,4,0),"")</f>
        <v>2.5551240153082149</v>
      </c>
      <c r="E124" s="73">
        <f t="shared" si="5"/>
        <v>124</v>
      </c>
      <c r="F124" s="40">
        <f>IFERROR(VLOOKUP(A124,[1]eco_institutions!B:D,2,0),"")</f>
        <v>20</v>
      </c>
      <c r="G124" s="40">
        <f>IFERROR(VLOOKUP(A124,[1]eco_institutions!B:E,4,0),"")</f>
        <v>1.9820570884341451</v>
      </c>
      <c r="H124" s="14">
        <f t="shared" si="6"/>
        <v>153</v>
      </c>
      <c r="I124" s="46">
        <f>IFERROR(VLOOKUP(A124,[1]fin_institutions!B:D,2,0),"")</f>
        <v>11</v>
      </c>
      <c r="J124" s="41">
        <f>IFERROR(VLOOKUP(A124,[1]fin_institutions!B:E,4,0),"")</f>
        <v>2.1836496834798562</v>
      </c>
      <c r="K124" s="41">
        <f t="shared" si="7"/>
        <v>130</v>
      </c>
      <c r="L124" s="56">
        <f>IFERROR(VLOOKUP(A124,[1]bus_institutions!B:D,2,0),"")</f>
        <v>8</v>
      </c>
      <c r="M124" s="42">
        <f>IFERROR(VLOOKUP(A124,[1]bus_institutions!B:E,4,0),"")</f>
        <v>3.3499607070427651</v>
      </c>
      <c r="N124" s="23">
        <f t="shared" si="8"/>
        <v>78</v>
      </c>
      <c r="O124" s="61">
        <f>IFERROR(VLOOKUP(A124,[1]man_institutions!B:E,2,0),"")</f>
        <v>7</v>
      </c>
      <c r="P124" s="62">
        <f>IFERROR(VLOOKUP(A124,[1]man_institutions!B:E,4,0),"")</f>
        <v>7.9602003645460657</v>
      </c>
      <c r="Q124" s="63">
        <f t="shared" si="9"/>
        <v>2</v>
      </c>
    </row>
    <row r="125" spans="1:17" x14ac:dyDescent="0.25">
      <c r="A125" s="6" t="s">
        <v>740</v>
      </c>
      <c r="B125" s="37" t="s">
        <v>1234</v>
      </c>
      <c r="C125" s="72">
        <f>IFERROR(VLOOKUP(A125,[1]eco_bus_institutions!B:E,2,0),"")</f>
        <v>47</v>
      </c>
      <c r="D125" s="72">
        <f>IFERROR(VLOOKUP(A125,[1]eco_bus_institutions!B:E,4,0),"")</f>
        <v>2.0558983140793869</v>
      </c>
      <c r="E125" s="73">
        <f t="shared" si="5"/>
        <v>248</v>
      </c>
      <c r="F125" s="40">
        <f>IFERROR(VLOOKUP(A125,[1]eco_institutions!B:D,2,0),"")</f>
        <v>16</v>
      </c>
      <c r="G125" s="40">
        <f>IFERROR(VLOOKUP(A125,[1]eco_institutions!B:E,4,0),"")</f>
        <v>1.1427413703453231</v>
      </c>
      <c r="H125" s="14">
        <f t="shared" si="6"/>
        <v>549</v>
      </c>
      <c r="I125" s="46">
        <f>IFERROR(VLOOKUP(A125,[1]fin_institutions!B:D,2,0),"")</f>
        <v>13</v>
      </c>
      <c r="J125" s="41">
        <f>IFERROR(VLOOKUP(A125,[1]fin_institutions!B:E,4,0),"")</f>
        <v>1.431500663260749</v>
      </c>
      <c r="K125" s="41">
        <f t="shared" si="7"/>
        <v>319</v>
      </c>
      <c r="L125" s="56">
        <f>IFERROR(VLOOKUP(A125,[1]bus_institutions!B:D,2,0),"")</f>
        <v>18</v>
      </c>
      <c r="M125" s="42">
        <f>IFERROR(VLOOKUP(A125,[1]bus_institutions!B:E,4,0),"")</f>
        <v>2.520566037918464</v>
      </c>
      <c r="N125" s="23">
        <f t="shared" si="8"/>
        <v>181</v>
      </c>
      <c r="O125" s="61">
        <f>IFERROR(VLOOKUP(A125,[1]man_institutions!B:E,2,0),"")</f>
        <v>14</v>
      </c>
      <c r="P125" s="62">
        <f>IFERROR(VLOOKUP(A125,[1]man_institutions!B:E,4,0),"")</f>
        <v>3.4220475782116568</v>
      </c>
      <c r="Q125" s="63">
        <f t="shared" si="9"/>
        <v>137</v>
      </c>
    </row>
    <row r="126" spans="1:17" x14ac:dyDescent="0.25">
      <c r="A126" s="6" t="s">
        <v>894</v>
      </c>
      <c r="B126" s="37" t="s">
        <v>1221</v>
      </c>
      <c r="C126" s="72">
        <f>IFERROR(VLOOKUP(A126,[1]eco_bus_institutions!B:E,2,0),"")</f>
        <v>40</v>
      </c>
      <c r="D126" s="72">
        <f>IFERROR(VLOOKUP(A126,[1]eco_bus_institutions!B:E,4,0),"")</f>
        <v>2.884563198549051</v>
      </c>
      <c r="E126" s="73">
        <f t="shared" si="5"/>
        <v>89</v>
      </c>
      <c r="F126" s="40">
        <f>IFERROR(VLOOKUP(A126,[1]eco_institutions!B:D,2,0),"")</f>
        <v>26</v>
      </c>
      <c r="G126" s="40">
        <f>IFERROR(VLOOKUP(A126,[1]eco_institutions!B:E,4,0),"")</f>
        <v>3.4072367747514392</v>
      </c>
      <c r="H126" s="14">
        <f t="shared" si="6"/>
        <v>35</v>
      </c>
      <c r="I126" s="46" t="str">
        <f>IFERROR(VLOOKUP(A126,[1]fin_institutions!B:D,2,0),"")</f>
        <v/>
      </c>
      <c r="J126" s="41" t="str">
        <f>IFERROR(VLOOKUP(A126,[1]fin_institutions!B:E,4,0),"")</f>
        <v/>
      </c>
      <c r="K126" s="41" t="str">
        <f t="shared" si="7"/>
        <v/>
      </c>
      <c r="L126" s="56" t="str">
        <f>IFERROR(VLOOKUP(A126,[1]bus_institutions!B:D,2,0),"")</f>
        <v/>
      </c>
      <c r="M126" s="42" t="str">
        <f>IFERROR(VLOOKUP(A126,[1]bus_institutions!B:E,4,0),"")</f>
        <v/>
      </c>
      <c r="N126" s="23" t="str">
        <f t="shared" si="8"/>
        <v/>
      </c>
      <c r="O126" s="61">
        <f>IFERROR(VLOOKUP(A126,[1]man_institutions!B:E,2,0),"")</f>
        <v>16</v>
      </c>
      <c r="P126" s="62">
        <f>IFERROR(VLOOKUP(A126,[1]man_institutions!B:E,4,0),"")</f>
        <v>1.6906781757155671</v>
      </c>
      <c r="Q126" s="63">
        <f t="shared" si="9"/>
        <v>498</v>
      </c>
    </row>
    <row r="127" spans="1:17" x14ac:dyDescent="0.25">
      <c r="A127" s="6" t="s">
        <v>834</v>
      </c>
      <c r="B127" s="37" t="s">
        <v>1240</v>
      </c>
      <c r="C127" s="72">
        <f>IFERROR(VLOOKUP(A127,[1]eco_bus_institutions!B:E,2,0),"")</f>
        <v>62</v>
      </c>
      <c r="D127" s="72">
        <f>IFERROR(VLOOKUP(A127,[1]eco_bus_institutions!B:E,4,0),"")</f>
        <v>2.3515702491114392</v>
      </c>
      <c r="E127" s="73">
        <f t="shared" si="5"/>
        <v>159</v>
      </c>
      <c r="F127" s="40">
        <f>IFERROR(VLOOKUP(A127,[1]eco_institutions!B:D,2,0),"")</f>
        <v>33</v>
      </c>
      <c r="G127" s="40">
        <f>IFERROR(VLOOKUP(A127,[1]eco_institutions!B:E,4,0),"")</f>
        <v>2.3558772299710942</v>
      </c>
      <c r="H127" s="14">
        <f t="shared" si="6"/>
        <v>95</v>
      </c>
      <c r="I127" s="46">
        <f>IFERROR(VLOOKUP(A127,[1]fin_institutions!B:D,2,0),"")</f>
        <v>11</v>
      </c>
      <c r="J127" s="41">
        <f>IFERROR(VLOOKUP(A127,[1]fin_institutions!B:E,4,0),"")</f>
        <v>1.7867828129505361</v>
      </c>
      <c r="K127" s="41">
        <f t="shared" si="7"/>
        <v>195</v>
      </c>
      <c r="L127" s="56">
        <f>IFERROR(VLOOKUP(A127,[1]bus_institutions!B:D,2,0),"")</f>
        <v>14</v>
      </c>
      <c r="M127" s="42">
        <f>IFERROR(VLOOKUP(A127,[1]bus_institutions!B:E,4,0),"")</f>
        <v>2.3939529613322388</v>
      </c>
      <c r="N127" s="23">
        <f t="shared" si="8"/>
        <v>219</v>
      </c>
      <c r="O127" s="61">
        <f>IFERROR(VLOOKUP(A127,[1]man_institutions!B:E,2,0),"")</f>
        <v>20</v>
      </c>
      <c r="P127" s="62">
        <f>IFERROR(VLOOKUP(A127,[1]man_institutions!B:E,4,0),"")</f>
        <v>2.0349308935034012</v>
      </c>
      <c r="Q127" s="63">
        <f t="shared" si="9"/>
        <v>400</v>
      </c>
    </row>
    <row r="128" spans="1:17" x14ac:dyDescent="0.25">
      <c r="A128" s="6" t="s">
        <v>694</v>
      </c>
      <c r="B128" s="37" t="s">
        <v>1222</v>
      </c>
      <c r="C128" s="72">
        <f>IFERROR(VLOOKUP(A128,[1]eco_bus_institutions!B:E,2,0),"")</f>
        <v>97</v>
      </c>
      <c r="D128" s="72">
        <f>IFERROR(VLOOKUP(A128,[1]eco_bus_institutions!B:E,4,0),"")</f>
        <v>2.2385188290496241</v>
      </c>
      <c r="E128" s="73">
        <f t="shared" si="5"/>
        <v>186</v>
      </c>
      <c r="F128" s="40">
        <f>IFERROR(VLOOKUP(A128,[1]eco_institutions!B:D,2,0),"")</f>
        <v>20</v>
      </c>
      <c r="G128" s="40">
        <f>IFERROR(VLOOKUP(A128,[1]eco_institutions!B:E,4,0),"")</f>
        <v>1.1582628040253971</v>
      </c>
      <c r="H128" s="14">
        <f t="shared" si="6"/>
        <v>539</v>
      </c>
      <c r="I128" s="46" t="str">
        <f>IFERROR(VLOOKUP(A128,[1]fin_institutions!B:D,2,0),"")</f>
        <v/>
      </c>
      <c r="J128" s="41" t="str">
        <f>IFERROR(VLOOKUP(A128,[1]fin_institutions!B:E,4,0),"")</f>
        <v/>
      </c>
      <c r="K128" s="41" t="str">
        <f t="shared" si="7"/>
        <v/>
      </c>
      <c r="L128" s="56">
        <f>IFERROR(VLOOKUP(A128,[1]bus_institutions!B:D,2,0),"")</f>
        <v>41</v>
      </c>
      <c r="M128" s="42">
        <f>IFERROR(VLOOKUP(A128,[1]bus_institutions!B:E,4,0),"")</f>
        <v>2.7647392182303401</v>
      </c>
      <c r="N128" s="23">
        <f t="shared" si="8"/>
        <v>144</v>
      </c>
      <c r="O128" s="61">
        <f>IFERROR(VLOOKUP(A128,[1]man_institutions!B:E,2,0),"")</f>
        <v>66</v>
      </c>
      <c r="P128" s="62">
        <f>IFERROR(VLOOKUP(A128,[1]man_institutions!B:E,4,0),"")</f>
        <v>2.9764030008424829</v>
      </c>
      <c r="Q128" s="63">
        <f t="shared" si="9"/>
        <v>191</v>
      </c>
    </row>
    <row r="129" spans="1:17" x14ac:dyDescent="0.25">
      <c r="A129" s="6" t="s">
        <v>717</v>
      </c>
      <c r="B129" s="37" t="s">
        <v>1225</v>
      </c>
      <c r="C129" s="72">
        <f>IFERROR(VLOOKUP(A129,[1]eco_bus_institutions!B:E,2,0),"")</f>
        <v>55</v>
      </c>
      <c r="D129" s="72">
        <f>IFERROR(VLOOKUP(A129,[1]eco_bus_institutions!B:E,4,0),"")</f>
        <v>2.237559039841956</v>
      </c>
      <c r="E129" s="73">
        <f t="shared" si="5"/>
        <v>187</v>
      </c>
      <c r="F129" s="40">
        <f>IFERROR(VLOOKUP(A129,[1]eco_institutions!B:D,2,0),"")</f>
        <v>8</v>
      </c>
      <c r="G129" s="40">
        <f>IFERROR(VLOOKUP(A129,[1]eco_institutions!B:E,4,0),"")</f>
        <v>1.4274155631844641</v>
      </c>
      <c r="H129" s="14">
        <f t="shared" si="6"/>
        <v>340</v>
      </c>
      <c r="I129" s="46">
        <f>IFERROR(VLOOKUP(A129,[1]fin_institutions!B:D,2,0),"")</f>
        <v>7</v>
      </c>
      <c r="J129" s="41">
        <f>IFERROR(VLOOKUP(A129,[1]fin_institutions!B:E,4,0),"")</f>
        <v>1.587250806655145</v>
      </c>
      <c r="K129" s="41">
        <f t="shared" si="7"/>
        <v>251</v>
      </c>
      <c r="L129" s="56">
        <f>IFERROR(VLOOKUP(A129,[1]bus_institutions!B:D,2,0),"")</f>
        <v>28</v>
      </c>
      <c r="M129" s="42">
        <f>IFERROR(VLOOKUP(A129,[1]bus_institutions!B:E,4,0),"")</f>
        <v>3.221930821540854</v>
      </c>
      <c r="N129" s="23">
        <f t="shared" si="8"/>
        <v>92</v>
      </c>
      <c r="O129" s="61">
        <f>IFERROR(VLOOKUP(A129,[1]man_institutions!B:E,2,0),"")</f>
        <v>26</v>
      </c>
      <c r="P129" s="62">
        <f>IFERROR(VLOOKUP(A129,[1]man_institutions!B:E,4,0),"")</f>
        <v>2.1829450376402759</v>
      </c>
      <c r="Q129" s="63">
        <f t="shared" si="9"/>
        <v>355</v>
      </c>
    </row>
    <row r="130" spans="1:17" x14ac:dyDescent="0.25">
      <c r="A130" s="6" t="s">
        <v>700</v>
      </c>
      <c r="B130" s="37" t="s">
        <v>1220</v>
      </c>
      <c r="C130" s="72">
        <f>IFERROR(VLOOKUP(A130,[1]eco_bus_institutions!B:E,2,0),"")</f>
        <v>76</v>
      </c>
      <c r="D130" s="72">
        <f>IFERROR(VLOOKUP(A130,[1]eco_bus_institutions!B:E,4,0),"")</f>
        <v>2.390335691092742</v>
      </c>
      <c r="E130" s="73">
        <f t="shared" si="5"/>
        <v>152</v>
      </c>
      <c r="F130" s="40">
        <f>IFERROR(VLOOKUP(A130,[1]eco_institutions!B:D,2,0),"")</f>
        <v>12</v>
      </c>
      <c r="G130" s="40">
        <f>IFERROR(VLOOKUP(A130,[1]eco_institutions!B:E,4,0),"")</f>
        <v>1.5490260158866671</v>
      </c>
      <c r="H130" s="14">
        <f t="shared" si="6"/>
        <v>280</v>
      </c>
      <c r="I130" s="46">
        <f>IFERROR(VLOOKUP(A130,[1]fin_institutions!B:D,2,0),"")</f>
        <v>13</v>
      </c>
      <c r="J130" s="41">
        <f>IFERROR(VLOOKUP(A130,[1]fin_institutions!B:E,4,0),"")</f>
        <v>1.6316126323720579</v>
      </c>
      <c r="K130" s="41">
        <f t="shared" si="7"/>
        <v>233</v>
      </c>
      <c r="L130" s="56">
        <f>IFERROR(VLOOKUP(A130,[1]bus_institutions!B:D,2,0),"")</f>
        <v>47</v>
      </c>
      <c r="M130" s="42">
        <f>IFERROR(VLOOKUP(A130,[1]bus_institutions!B:E,4,0),"")</f>
        <v>2.7612196240930569</v>
      </c>
      <c r="N130" s="23">
        <f t="shared" si="8"/>
        <v>145</v>
      </c>
      <c r="O130" s="61">
        <f>IFERROR(VLOOKUP(A130,[1]man_institutions!B:E,2,0),"")</f>
        <v>38</v>
      </c>
      <c r="P130" s="62">
        <f>IFERROR(VLOOKUP(A130,[1]man_institutions!B:E,4,0),"")</f>
        <v>3.2244185796042149</v>
      </c>
      <c r="Q130" s="63">
        <f t="shared" si="9"/>
        <v>166</v>
      </c>
    </row>
    <row r="131" spans="1:17" x14ac:dyDescent="0.25">
      <c r="A131" s="6" t="s">
        <v>842</v>
      </c>
      <c r="B131" s="37" t="s">
        <v>1227</v>
      </c>
      <c r="C131" s="72">
        <f>IFERROR(VLOOKUP(A131,[1]eco_bus_institutions!B:E,2,0),"")</f>
        <v>163</v>
      </c>
      <c r="D131" s="72">
        <f>IFERROR(VLOOKUP(A131,[1]eco_bus_institutions!B:E,4,0),"")</f>
        <v>2.785584495322436</v>
      </c>
      <c r="E131" s="73">
        <f t="shared" ref="E131:E194" si="10">_xlfn.RANK.EQ(D131,D:D)</f>
        <v>96</v>
      </c>
      <c r="F131" s="40">
        <f>IFERROR(VLOOKUP(A131,[1]eco_institutions!B:D,2,0),"")</f>
        <v>90</v>
      </c>
      <c r="G131" s="40">
        <f>IFERROR(VLOOKUP(A131,[1]eco_institutions!B:E,4,0),"")</f>
        <v>3.0386816929454401</v>
      </c>
      <c r="H131" s="14">
        <f t="shared" ref="H131:H194" si="11">IFERROR(_xlfn.RANK.EQ(G131,G:G),"")</f>
        <v>48</v>
      </c>
      <c r="I131" s="46">
        <f>IFERROR(VLOOKUP(A131,[1]fin_institutions!B:D,2,0),"")</f>
        <v>20</v>
      </c>
      <c r="J131" s="41">
        <f>IFERROR(VLOOKUP(A131,[1]fin_institutions!B:E,4,0),"")</f>
        <v>1.972424456456406</v>
      </c>
      <c r="K131" s="41">
        <f t="shared" ref="K131:K194" si="12">IFERROR(_xlfn.RANK.EQ(J131,J:J),"")</f>
        <v>157</v>
      </c>
      <c r="L131" s="56">
        <f>IFERROR(VLOOKUP(A131,[1]bus_institutions!B:D,2,0),"")</f>
        <v>42</v>
      </c>
      <c r="M131" s="42">
        <f>IFERROR(VLOOKUP(A131,[1]bus_institutions!B:E,4,0),"")</f>
        <v>2.1427064331956061</v>
      </c>
      <c r="N131" s="23">
        <f t="shared" ref="N131:N194" si="13">IFERROR(_xlfn.RANK.EQ(M131,M:M),"")</f>
        <v>282</v>
      </c>
      <c r="O131" s="61">
        <f>IFERROR(VLOOKUP(A131,[1]man_institutions!B:E,2,0),"")</f>
        <v>58</v>
      </c>
      <c r="P131" s="62">
        <f>IFERROR(VLOOKUP(A131,[1]man_institutions!B:E,4,0),"")</f>
        <v>2.1711043446220519</v>
      </c>
      <c r="Q131" s="63">
        <f t="shared" ref="Q131:Q194" si="14">IFERROR(_xlfn.RANK.EQ(P131,P:P),"")</f>
        <v>360</v>
      </c>
    </row>
    <row r="132" spans="1:17" x14ac:dyDescent="0.25">
      <c r="A132" s="6" t="s">
        <v>721</v>
      </c>
      <c r="B132" s="37" t="s">
        <v>1218</v>
      </c>
      <c r="C132" s="72">
        <f>IFERROR(VLOOKUP(A132,[1]eco_bus_institutions!B:E,2,0),"")</f>
        <v>42</v>
      </c>
      <c r="D132" s="72">
        <f>IFERROR(VLOOKUP(A132,[1]eco_bus_institutions!B:E,4,0),"")</f>
        <v>2.2106398974341261</v>
      </c>
      <c r="E132" s="73">
        <f t="shared" si="10"/>
        <v>199</v>
      </c>
      <c r="F132" s="40">
        <f>IFERROR(VLOOKUP(A132,[1]eco_institutions!B:D,2,0),"")</f>
        <v>7</v>
      </c>
      <c r="G132" s="40">
        <f>IFERROR(VLOOKUP(A132,[1]eco_institutions!B:E,4,0),"")</f>
        <v>1.549341157324724</v>
      </c>
      <c r="H132" s="14">
        <f t="shared" si="11"/>
        <v>279</v>
      </c>
      <c r="I132" s="46" t="str">
        <f>IFERROR(VLOOKUP(A132,[1]fin_institutions!B:D,2,0),"")</f>
        <v/>
      </c>
      <c r="J132" s="41" t="str">
        <f>IFERROR(VLOOKUP(A132,[1]fin_institutions!B:E,4,0),"")</f>
        <v/>
      </c>
      <c r="K132" s="41" t="str">
        <f t="shared" si="12"/>
        <v/>
      </c>
      <c r="L132" s="56">
        <f>IFERROR(VLOOKUP(A132,[1]bus_institutions!B:D,2,0),"")</f>
        <v>29</v>
      </c>
      <c r="M132" s="42">
        <f>IFERROR(VLOOKUP(A132,[1]bus_institutions!B:E,4,0),"")</f>
        <v>1.9998454377537289</v>
      </c>
      <c r="N132" s="23">
        <f t="shared" si="13"/>
        <v>319</v>
      </c>
      <c r="O132" s="61">
        <f>IFERROR(VLOOKUP(A132,[1]man_institutions!B:E,2,0),"")</f>
        <v>16</v>
      </c>
      <c r="P132" s="62">
        <f>IFERROR(VLOOKUP(A132,[1]man_institutions!B:E,4,0),"")</f>
        <v>3.167623478956628</v>
      </c>
      <c r="Q132" s="63">
        <f t="shared" si="14"/>
        <v>173</v>
      </c>
    </row>
    <row r="133" spans="1:17" x14ac:dyDescent="0.25">
      <c r="A133" s="6" t="s">
        <v>728</v>
      </c>
      <c r="B133" s="37" t="s">
        <v>1217</v>
      </c>
      <c r="C133" s="72">
        <f>IFERROR(VLOOKUP(A133,[1]eco_bus_institutions!B:E,2,0),"")</f>
        <v>81</v>
      </c>
      <c r="D133" s="72">
        <f>IFERROR(VLOOKUP(A133,[1]eco_bus_institutions!B:E,4,0),"")</f>
        <v>2.5587190197599101</v>
      </c>
      <c r="E133" s="73">
        <f t="shared" si="10"/>
        <v>122</v>
      </c>
      <c r="F133" s="40">
        <f>IFERROR(VLOOKUP(A133,[1]eco_institutions!B:D,2,0),"")</f>
        <v>39</v>
      </c>
      <c r="G133" s="40">
        <f>IFERROR(VLOOKUP(A133,[1]eco_institutions!B:E,4,0),"")</f>
        <v>1.5691572506916751</v>
      </c>
      <c r="H133" s="14">
        <f t="shared" si="11"/>
        <v>270</v>
      </c>
      <c r="I133" s="46">
        <f>IFERROR(VLOOKUP(A133,[1]fin_institutions!B:D,2,0),"")</f>
        <v>14</v>
      </c>
      <c r="J133" s="41">
        <f>IFERROR(VLOOKUP(A133,[1]fin_institutions!B:E,4,0),"")</f>
        <v>2.1290261229383911</v>
      </c>
      <c r="K133" s="41">
        <f t="shared" si="12"/>
        <v>134</v>
      </c>
      <c r="L133" s="56">
        <f>IFERROR(VLOOKUP(A133,[1]bus_institutions!B:D,2,0),"")</f>
        <v>22</v>
      </c>
      <c r="M133" s="42">
        <f>IFERROR(VLOOKUP(A133,[1]bus_institutions!B:E,4,0),"")</f>
        <v>3.496021951864158</v>
      </c>
      <c r="N133" s="23">
        <f t="shared" si="13"/>
        <v>67</v>
      </c>
      <c r="O133" s="61">
        <f>IFERROR(VLOOKUP(A133,[1]man_institutions!B:E,2,0),"")</f>
        <v>33</v>
      </c>
      <c r="P133" s="62">
        <f>IFERROR(VLOOKUP(A133,[1]man_institutions!B:E,4,0),"")</f>
        <v>3.6127609391939322</v>
      </c>
      <c r="Q133" s="63">
        <f t="shared" si="14"/>
        <v>111</v>
      </c>
    </row>
    <row r="134" spans="1:17" x14ac:dyDescent="0.25">
      <c r="A134" s="6" t="s">
        <v>689</v>
      </c>
      <c r="B134" s="37" t="s">
        <v>1217</v>
      </c>
      <c r="C134" s="72">
        <f>IFERROR(VLOOKUP(A134,[1]eco_bus_institutions!B:E,2,0),"")</f>
        <v>97</v>
      </c>
      <c r="D134" s="72">
        <f>IFERROR(VLOOKUP(A134,[1]eco_bus_institutions!B:E,4,0),"")</f>
        <v>2.6284919514777609</v>
      </c>
      <c r="E134" s="73">
        <f t="shared" si="10"/>
        <v>109</v>
      </c>
      <c r="F134" s="40">
        <f>IFERROR(VLOOKUP(A134,[1]eco_institutions!B:D,2,0),"")</f>
        <v>33</v>
      </c>
      <c r="G134" s="40">
        <f>IFERROR(VLOOKUP(A134,[1]eco_institutions!B:E,4,0),"")</f>
        <v>1.5513119212822599</v>
      </c>
      <c r="H134" s="14">
        <f t="shared" si="11"/>
        <v>278</v>
      </c>
      <c r="I134" s="46">
        <f>IFERROR(VLOOKUP(A134,[1]fin_institutions!B:D,2,0),"")</f>
        <v>9</v>
      </c>
      <c r="J134" s="41">
        <f>IFERROR(VLOOKUP(A134,[1]fin_institutions!B:E,4,0),"")</f>
        <v>4.1528936697467627</v>
      </c>
      <c r="K134" s="41">
        <f t="shared" si="12"/>
        <v>29</v>
      </c>
      <c r="L134" s="56">
        <f>IFERROR(VLOOKUP(A134,[1]bus_institutions!B:D,2,0),"")</f>
        <v>38</v>
      </c>
      <c r="M134" s="42">
        <f>IFERROR(VLOOKUP(A134,[1]bus_institutions!B:E,4,0),"")</f>
        <v>3.167559587168348</v>
      </c>
      <c r="N134" s="23">
        <f t="shared" si="13"/>
        <v>97</v>
      </c>
      <c r="O134" s="61">
        <f>IFERROR(VLOOKUP(A134,[1]man_institutions!B:E,2,0),"")</f>
        <v>41</v>
      </c>
      <c r="P134" s="62">
        <f>IFERROR(VLOOKUP(A134,[1]man_institutions!B:E,4,0),"")</f>
        <v>3.937208313459363</v>
      </c>
      <c r="Q134" s="63">
        <f t="shared" si="14"/>
        <v>82</v>
      </c>
    </row>
    <row r="135" spans="1:17" x14ac:dyDescent="0.25">
      <c r="A135" s="6" t="s">
        <v>882</v>
      </c>
      <c r="B135" s="37" t="s">
        <v>1224</v>
      </c>
      <c r="C135" s="72">
        <f>IFERROR(VLOOKUP(A135,[1]eco_bus_institutions!B:E,2,0),"")</f>
        <v>50</v>
      </c>
      <c r="D135" s="72">
        <f>IFERROR(VLOOKUP(A135,[1]eco_bus_institutions!B:E,4,0),"")</f>
        <v>2.7470824522026001</v>
      </c>
      <c r="E135" s="73">
        <f t="shared" si="10"/>
        <v>97</v>
      </c>
      <c r="F135" s="40">
        <f>IFERROR(VLOOKUP(A135,[1]eco_institutions!B:D,2,0),"")</f>
        <v>40</v>
      </c>
      <c r="G135" s="40">
        <f>IFERROR(VLOOKUP(A135,[1]eco_institutions!B:E,4,0),"")</f>
        <v>2.713772369641259</v>
      </c>
      <c r="H135" s="14">
        <f t="shared" si="11"/>
        <v>69</v>
      </c>
      <c r="I135" s="46">
        <f>IFERROR(VLOOKUP(A135,[1]fin_institutions!B:D,2,0),"")</f>
        <v>21</v>
      </c>
      <c r="J135" s="41">
        <f>IFERROR(VLOOKUP(A135,[1]fin_institutions!B:E,4,0),"")</f>
        <v>1.599984866659133</v>
      </c>
      <c r="K135" s="41">
        <f t="shared" si="12"/>
        <v>245</v>
      </c>
      <c r="L135" s="56" t="str">
        <f>IFERROR(VLOOKUP(A135,[1]bus_institutions!B:D,2,0),"")</f>
        <v/>
      </c>
      <c r="M135" s="42" t="str">
        <f>IFERROR(VLOOKUP(A135,[1]bus_institutions!B:E,4,0),"")</f>
        <v/>
      </c>
      <c r="N135" s="23" t="str">
        <f t="shared" si="13"/>
        <v/>
      </c>
      <c r="O135" s="61" t="str">
        <f>IFERROR(VLOOKUP(A135,[1]man_institutions!B:E,2,0),"")</f>
        <v/>
      </c>
      <c r="P135" s="62" t="str">
        <f>IFERROR(VLOOKUP(A135,[1]man_institutions!B:E,4,0),"")</f>
        <v/>
      </c>
      <c r="Q135" s="63" t="str">
        <f t="shared" si="14"/>
        <v/>
      </c>
    </row>
    <row r="136" spans="1:17" x14ac:dyDescent="0.25">
      <c r="A136" s="6" t="s">
        <v>692</v>
      </c>
      <c r="B136" s="37" t="s">
        <v>1217</v>
      </c>
      <c r="C136" s="72">
        <f>IFERROR(VLOOKUP(A136,[1]eco_bus_institutions!B:E,2,0),"")</f>
        <v>52</v>
      </c>
      <c r="D136" s="72">
        <f>IFERROR(VLOOKUP(A136,[1]eco_bus_institutions!B:E,4,0),"")</f>
        <v>2.463074621059314</v>
      </c>
      <c r="E136" s="73">
        <f t="shared" si="10"/>
        <v>137</v>
      </c>
      <c r="F136" s="40">
        <f>IFERROR(VLOOKUP(A136,[1]eco_institutions!B:D,2,0),"")</f>
        <v>23</v>
      </c>
      <c r="G136" s="40">
        <f>IFERROR(VLOOKUP(A136,[1]eco_institutions!B:E,4,0),"")</f>
        <v>1.448567387610131</v>
      </c>
      <c r="H136" s="14">
        <f t="shared" si="11"/>
        <v>330</v>
      </c>
      <c r="I136" s="46">
        <f>IFERROR(VLOOKUP(A136,[1]fin_institutions!B:D,2,0),"")</f>
        <v>14</v>
      </c>
      <c r="J136" s="41">
        <f>IFERROR(VLOOKUP(A136,[1]fin_institutions!B:E,4,0),"")</f>
        <v>1.876789662781092</v>
      </c>
      <c r="K136" s="41">
        <f t="shared" si="12"/>
        <v>180</v>
      </c>
      <c r="L136" s="56">
        <f>IFERROR(VLOOKUP(A136,[1]bus_institutions!B:D,2,0),"")</f>
        <v>14</v>
      </c>
      <c r="M136" s="42">
        <f>IFERROR(VLOOKUP(A136,[1]bus_institutions!B:E,4,0),"")</f>
        <v>4.1855210812401946</v>
      </c>
      <c r="N136" s="23">
        <f t="shared" si="13"/>
        <v>32</v>
      </c>
      <c r="O136" s="61">
        <f>IFERROR(VLOOKUP(A136,[1]man_institutions!B:E,2,0),"")</f>
        <v>17</v>
      </c>
      <c r="P136" s="62">
        <f>IFERROR(VLOOKUP(A136,[1]man_institutions!B:E,4,0),"")</f>
        <v>5.4347728282185628</v>
      </c>
      <c r="Q136" s="63">
        <f t="shared" si="14"/>
        <v>30</v>
      </c>
    </row>
    <row r="137" spans="1:17" x14ac:dyDescent="0.25">
      <c r="A137" s="6" t="s">
        <v>822</v>
      </c>
      <c r="B137" s="37" t="s">
        <v>1217</v>
      </c>
      <c r="C137" s="72">
        <f>IFERROR(VLOOKUP(A137,[1]eco_bus_institutions!B:E,2,0),"")</f>
        <v>129</v>
      </c>
      <c r="D137" s="72">
        <f>IFERROR(VLOOKUP(A137,[1]eco_bus_institutions!B:E,4,0),"")</f>
        <v>2.2690673078360679</v>
      </c>
      <c r="E137" s="73">
        <f t="shared" si="10"/>
        <v>176</v>
      </c>
      <c r="F137" s="40">
        <f>IFERROR(VLOOKUP(A137,[1]eco_institutions!B:D,2,0),"")</f>
        <v>59</v>
      </c>
      <c r="G137" s="40">
        <f>IFERROR(VLOOKUP(A137,[1]eco_institutions!B:E,4,0),"")</f>
        <v>2.0016882459218701</v>
      </c>
      <c r="H137" s="14">
        <f t="shared" si="11"/>
        <v>151</v>
      </c>
      <c r="I137" s="46">
        <f>IFERROR(VLOOKUP(A137,[1]fin_institutions!B:D,2,0),"")</f>
        <v>20</v>
      </c>
      <c r="J137" s="41">
        <f>IFERROR(VLOOKUP(A137,[1]fin_institutions!B:E,4,0),"")</f>
        <v>1.6917599445725799</v>
      </c>
      <c r="K137" s="41">
        <f t="shared" si="12"/>
        <v>224</v>
      </c>
      <c r="L137" s="56">
        <f>IFERROR(VLOOKUP(A137,[1]bus_institutions!B:D,2,0),"")</f>
        <v>40</v>
      </c>
      <c r="M137" s="42">
        <f>IFERROR(VLOOKUP(A137,[1]bus_institutions!B:E,4,0),"")</f>
        <v>2.6420508261191631</v>
      </c>
      <c r="N137" s="23">
        <f t="shared" si="13"/>
        <v>167</v>
      </c>
      <c r="O137" s="61">
        <f>IFERROR(VLOOKUP(A137,[1]man_institutions!B:E,2,0),"")</f>
        <v>28</v>
      </c>
      <c r="P137" s="62">
        <f>IFERROR(VLOOKUP(A137,[1]man_institutions!B:E,4,0),"")</f>
        <v>3.645532216975337</v>
      </c>
      <c r="Q137" s="63">
        <f t="shared" si="14"/>
        <v>107</v>
      </c>
    </row>
    <row r="138" spans="1:17" x14ac:dyDescent="0.25">
      <c r="A138" s="6" t="s">
        <v>745</v>
      </c>
      <c r="B138" s="37" t="s">
        <v>1217</v>
      </c>
      <c r="C138" s="72">
        <f>IFERROR(VLOOKUP(A138,[1]eco_bus_institutions!B:E,2,0),"")</f>
        <v>57</v>
      </c>
      <c r="D138" s="72">
        <f>IFERROR(VLOOKUP(A138,[1]eco_bus_institutions!B:E,4,0),"")</f>
        <v>2.2397989523540969</v>
      </c>
      <c r="E138" s="73">
        <f t="shared" si="10"/>
        <v>184</v>
      </c>
      <c r="F138" s="40">
        <f>IFERROR(VLOOKUP(A138,[1]eco_institutions!B:D,2,0),"")</f>
        <v>17</v>
      </c>
      <c r="G138" s="40">
        <f>IFERROR(VLOOKUP(A138,[1]eco_institutions!B:E,4,0),"")</f>
        <v>1.8017137679859361</v>
      </c>
      <c r="H138" s="14">
        <f t="shared" si="11"/>
        <v>195</v>
      </c>
      <c r="I138" s="46">
        <f>IFERROR(VLOOKUP(A138,[1]fin_institutions!B:D,2,0),"")</f>
        <v>13</v>
      </c>
      <c r="J138" s="41">
        <f>IFERROR(VLOOKUP(A138,[1]fin_institutions!B:E,4,0),"")</f>
        <v>1.957230096187383</v>
      </c>
      <c r="K138" s="41">
        <f t="shared" si="12"/>
        <v>167</v>
      </c>
      <c r="L138" s="56">
        <f>IFERROR(VLOOKUP(A138,[1]bus_institutions!B:D,2,0),"")</f>
        <v>27</v>
      </c>
      <c r="M138" s="42">
        <f>IFERROR(VLOOKUP(A138,[1]bus_institutions!B:E,4,0),"")</f>
        <v>2.4464550707244528</v>
      </c>
      <c r="N138" s="23">
        <f t="shared" si="13"/>
        <v>203</v>
      </c>
      <c r="O138" s="61">
        <f>IFERROR(VLOOKUP(A138,[1]man_institutions!B:E,2,0),"")</f>
        <v>18</v>
      </c>
      <c r="P138" s="62">
        <f>IFERROR(VLOOKUP(A138,[1]man_institutions!B:E,4,0),"")</f>
        <v>2.8594388962310089</v>
      </c>
      <c r="Q138" s="63">
        <f t="shared" si="14"/>
        <v>207</v>
      </c>
    </row>
    <row r="139" spans="1:17" x14ac:dyDescent="0.25">
      <c r="A139" s="6" t="s">
        <v>754</v>
      </c>
      <c r="B139" s="37" t="s">
        <v>1222</v>
      </c>
      <c r="C139" s="72">
        <f>IFERROR(VLOOKUP(A139,[1]eco_bus_institutions!B:E,2,0),"")</f>
        <v>57</v>
      </c>
      <c r="D139" s="72">
        <f>IFERROR(VLOOKUP(A139,[1]eco_bus_institutions!B:E,4,0),"")</f>
        <v>2.2397989523540969</v>
      </c>
      <c r="E139" s="73">
        <f t="shared" si="10"/>
        <v>184</v>
      </c>
      <c r="F139" s="40">
        <f>IFERROR(VLOOKUP(A139,[1]eco_institutions!B:D,2,0),"")</f>
        <v>17</v>
      </c>
      <c r="G139" s="40">
        <f>IFERROR(VLOOKUP(A139,[1]eco_institutions!B:E,4,0),"")</f>
        <v>1.8017137679859361</v>
      </c>
      <c r="H139" s="14">
        <f t="shared" si="11"/>
        <v>195</v>
      </c>
      <c r="I139" s="46">
        <f>IFERROR(VLOOKUP(A139,[1]fin_institutions!B:D,2,0),"")</f>
        <v>13</v>
      </c>
      <c r="J139" s="41">
        <f>IFERROR(VLOOKUP(A139,[1]fin_institutions!B:E,4,0),"")</f>
        <v>1.957230096187383</v>
      </c>
      <c r="K139" s="41">
        <f t="shared" si="12"/>
        <v>167</v>
      </c>
      <c r="L139" s="56">
        <f>IFERROR(VLOOKUP(A139,[1]bus_institutions!B:D,2,0),"")</f>
        <v>27</v>
      </c>
      <c r="M139" s="42">
        <f>IFERROR(VLOOKUP(A139,[1]bus_institutions!B:E,4,0),"")</f>
        <v>2.4464550707244528</v>
      </c>
      <c r="N139" s="23">
        <f t="shared" si="13"/>
        <v>203</v>
      </c>
      <c r="O139" s="61">
        <f>IFERROR(VLOOKUP(A139,[1]man_institutions!B:E,2,0),"")</f>
        <v>18</v>
      </c>
      <c r="P139" s="62">
        <f>IFERROR(VLOOKUP(A139,[1]man_institutions!B:E,4,0),"")</f>
        <v>2.8594388962310089</v>
      </c>
      <c r="Q139" s="63">
        <f t="shared" si="14"/>
        <v>207</v>
      </c>
    </row>
    <row r="140" spans="1:17" x14ac:dyDescent="0.25">
      <c r="A140" s="6" t="s">
        <v>809</v>
      </c>
      <c r="B140" s="37" t="s">
        <v>1217</v>
      </c>
      <c r="C140" s="72">
        <f>IFERROR(VLOOKUP(A140,[1]eco_bus_institutions!B:E,2,0),"")</f>
        <v>46</v>
      </c>
      <c r="D140" s="72">
        <f>IFERROR(VLOOKUP(A140,[1]eco_bus_institutions!B:E,4,0),"")</f>
        <v>2.6229754304788551</v>
      </c>
      <c r="E140" s="73">
        <f t="shared" si="10"/>
        <v>110</v>
      </c>
      <c r="F140" s="40">
        <f>IFERROR(VLOOKUP(A140,[1]eco_institutions!B:D,2,0),"")</f>
        <v>23</v>
      </c>
      <c r="G140" s="40">
        <f>IFERROR(VLOOKUP(A140,[1]eco_institutions!B:E,4,0),"")</f>
        <v>2.1005644114249908</v>
      </c>
      <c r="H140" s="14">
        <f t="shared" si="11"/>
        <v>128</v>
      </c>
      <c r="I140" s="46">
        <f>IFERROR(VLOOKUP(A140,[1]fin_institutions!B:D,2,0),"")</f>
        <v>10</v>
      </c>
      <c r="J140" s="41">
        <f>IFERROR(VLOOKUP(A140,[1]fin_institutions!B:E,4,0),"")</f>
        <v>4.4736248851526828</v>
      </c>
      <c r="K140" s="41">
        <f t="shared" si="12"/>
        <v>22</v>
      </c>
      <c r="L140" s="56">
        <f>IFERROR(VLOOKUP(A140,[1]bus_institutions!B:D,2,0),"")</f>
        <v>11</v>
      </c>
      <c r="M140" s="42">
        <f>IFERROR(VLOOKUP(A140,[1]bus_institutions!B:E,4,0),"")</f>
        <v>2.2829112675616718</v>
      </c>
      <c r="N140" s="23">
        <f t="shared" si="13"/>
        <v>245</v>
      </c>
      <c r="O140" s="61">
        <f>IFERROR(VLOOKUP(A140,[1]man_institutions!B:E,2,0),"")</f>
        <v>10</v>
      </c>
      <c r="P140" s="62">
        <f>IFERROR(VLOOKUP(A140,[1]man_institutions!B:E,4,0),"")</f>
        <v>4.445510565266467</v>
      </c>
      <c r="Q140" s="63">
        <f t="shared" si="14"/>
        <v>55</v>
      </c>
    </row>
    <row r="141" spans="1:17" x14ac:dyDescent="0.25">
      <c r="A141" s="6" t="s">
        <v>773</v>
      </c>
      <c r="B141" s="37" t="s">
        <v>1229</v>
      </c>
      <c r="C141" s="72">
        <f>IFERROR(VLOOKUP(A141,[1]eco_bus_institutions!B:E,2,0),"")</f>
        <v>141</v>
      </c>
      <c r="D141" s="72">
        <f>IFERROR(VLOOKUP(A141,[1]eco_bus_institutions!B:E,4,0),"")</f>
        <v>2.711637332666974</v>
      </c>
      <c r="E141" s="73">
        <f t="shared" si="10"/>
        <v>103</v>
      </c>
      <c r="F141" s="40">
        <f>IFERROR(VLOOKUP(A141,[1]eco_institutions!B:D,2,0),"")</f>
        <v>77</v>
      </c>
      <c r="G141" s="40">
        <f>IFERROR(VLOOKUP(A141,[1]eco_institutions!B:E,4,0),"")</f>
        <v>2.7377709151644982</v>
      </c>
      <c r="H141" s="14">
        <f t="shared" si="11"/>
        <v>68</v>
      </c>
      <c r="I141" s="46">
        <f>IFERROR(VLOOKUP(A141,[1]fin_institutions!B:D,2,0),"")</f>
        <v>18</v>
      </c>
      <c r="J141" s="41">
        <f>IFERROR(VLOOKUP(A141,[1]fin_institutions!B:E,4,0),"")</f>
        <v>2.0093584274248668</v>
      </c>
      <c r="K141" s="41">
        <f t="shared" si="12"/>
        <v>154</v>
      </c>
      <c r="L141" s="56">
        <f>IFERROR(VLOOKUP(A141,[1]bus_institutions!B:D,2,0),"")</f>
        <v>29</v>
      </c>
      <c r="M141" s="42">
        <f>IFERROR(VLOOKUP(A141,[1]bus_institutions!B:E,4,0),"")</f>
        <v>2.7596807663419809</v>
      </c>
      <c r="N141" s="23">
        <f t="shared" si="13"/>
        <v>146</v>
      </c>
      <c r="O141" s="61">
        <f>IFERROR(VLOOKUP(A141,[1]man_institutions!B:E,2,0),"")</f>
        <v>58</v>
      </c>
      <c r="P141" s="62">
        <f>IFERROR(VLOOKUP(A141,[1]man_institutions!B:E,4,0),"")</f>
        <v>3.3337747488151321</v>
      </c>
      <c r="Q141" s="63">
        <f t="shared" si="14"/>
        <v>155</v>
      </c>
    </row>
    <row r="142" spans="1:17" x14ac:dyDescent="0.25">
      <c r="A142" s="6" t="s">
        <v>739</v>
      </c>
      <c r="B142" s="37" t="s">
        <v>1224</v>
      </c>
      <c r="C142" s="72">
        <f>IFERROR(VLOOKUP(A142,[1]eco_bus_institutions!B:E,2,0),"")</f>
        <v>58</v>
      </c>
      <c r="D142" s="72">
        <f>IFERROR(VLOOKUP(A142,[1]eco_bus_institutions!B:E,4,0),"")</f>
        <v>2.5688025381386601</v>
      </c>
      <c r="E142" s="73">
        <f t="shared" si="10"/>
        <v>118</v>
      </c>
      <c r="F142" s="40">
        <f>IFERROR(VLOOKUP(A142,[1]eco_institutions!B:D,2,0),"")</f>
        <v>29</v>
      </c>
      <c r="G142" s="40">
        <f>IFERROR(VLOOKUP(A142,[1]eco_institutions!B:E,4,0),"")</f>
        <v>1.693878209126203</v>
      </c>
      <c r="H142" s="14">
        <f t="shared" si="11"/>
        <v>222</v>
      </c>
      <c r="I142" s="46">
        <f>IFERROR(VLOOKUP(A142,[1]fin_institutions!B:D,2,0),"")</f>
        <v>12</v>
      </c>
      <c r="J142" s="41">
        <f>IFERROR(VLOOKUP(A142,[1]fin_institutions!B:E,4,0),"")</f>
        <v>2.0838796922034168</v>
      </c>
      <c r="K142" s="41">
        <f t="shared" si="12"/>
        <v>142</v>
      </c>
      <c r="L142" s="56">
        <f>IFERROR(VLOOKUP(A142,[1]bus_institutions!B:D,2,0),"")</f>
        <v>18</v>
      </c>
      <c r="M142" s="42">
        <f>IFERROR(VLOOKUP(A142,[1]bus_institutions!B:E,4,0),"")</f>
        <v>3.6725233422925641</v>
      </c>
      <c r="N142" s="23">
        <f t="shared" si="13"/>
        <v>52</v>
      </c>
      <c r="O142" s="61">
        <f>IFERROR(VLOOKUP(A142,[1]man_institutions!B:E,2,0),"")</f>
        <v>12</v>
      </c>
      <c r="P142" s="62">
        <f>IFERROR(VLOOKUP(A142,[1]man_institutions!B:E,4,0),"")</f>
        <v>3.902465517677999</v>
      </c>
      <c r="Q142" s="63">
        <f t="shared" si="14"/>
        <v>84</v>
      </c>
    </row>
    <row r="143" spans="1:17" x14ac:dyDescent="0.25">
      <c r="A143" s="6" t="s">
        <v>762</v>
      </c>
      <c r="B143" s="37" t="s">
        <v>1217</v>
      </c>
      <c r="C143" s="72">
        <f>IFERROR(VLOOKUP(A143,[1]eco_bus_institutions!B:E,2,0),"")</f>
        <v>139</v>
      </c>
      <c r="D143" s="72">
        <f>IFERROR(VLOOKUP(A143,[1]eco_bus_institutions!B:E,4,0),"")</f>
        <v>2.443710644083537</v>
      </c>
      <c r="E143" s="73">
        <f t="shared" si="10"/>
        <v>138</v>
      </c>
      <c r="F143" s="40">
        <f>IFERROR(VLOOKUP(A143,[1]eco_institutions!B:D,2,0),"")</f>
        <v>68</v>
      </c>
      <c r="G143" s="40">
        <f>IFERROR(VLOOKUP(A143,[1]eco_institutions!B:E,4,0),"")</f>
        <v>1.6899353997644559</v>
      </c>
      <c r="H143" s="14">
        <f t="shared" si="11"/>
        <v>226</v>
      </c>
      <c r="I143" s="46">
        <f>IFERROR(VLOOKUP(A143,[1]fin_institutions!B:D,2,0),"")</f>
        <v>28</v>
      </c>
      <c r="J143" s="41">
        <f>IFERROR(VLOOKUP(A143,[1]fin_institutions!B:E,4,0),"")</f>
        <v>3.6434417685997418</v>
      </c>
      <c r="K143" s="41">
        <f t="shared" si="12"/>
        <v>44</v>
      </c>
      <c r="L143" s="56">
        <f>IFERROR(VLOOKUP(A143,[1]bus_institutions!B:D,2,0),"")</f>
        <v>31</v>
      </c>
      <c r="M143" s="42">
        <f>IFERROR(VLOOKUP(A143,[1]bus_institutions!B:E,4,0),"")</f>
        <v>3.3889476018114579</v>
      </c>
      <c r="N143" s="23">
        <f t="shared" si="13"/>
        <v>76</v>
      </c>
      <c r="O143" s="61">
        <f>IFERROR(VLOOKUP(A143,[1]man_institutions!B:E,2,0),"")</f>
        <v>42</v>
      </c>
      <c r="P143" s="62">
        <f>IFERROR(VLOOKUP(A143,[1]man_institutions!B:E,4,0),"")</f>
        <v>3.770012971880945</v>
      </c>
      <c r="Q143" s="63">
        <f t="shared" si="14"/>
        <v>98</v>
      </c>
    </row>
    <row r="144" spans="1:17" x14ac:dyDescent="0.25">
      <c r="A144" s="6" t="s">
        <v>775</v>
      </c>
      <c r="B144" s="37" t="s">
        <v>1217</v>
      </c>
      <c r="C144" s="72">
        <f>IFERROR(VLOOKUP(A144,[1]eco_bus_institutions!B:E,2,0),"")</f>
        <v>196</v>
      </c>
      <c r="D144" s="72">
        <f>IFERROR(VLOOKUP(A144,[1]eco_bus_institutions!B:E,4,0),"")</f>
        <v>2.4805706541176229</v>
      </c>
      <c r="E144" s="73">
        <f t="shared" si="10"/>
        <v>133</v>
      </c>
      <c r="F144" s="40">
        <f>IFERROR(VLOOKUP(A144,[1]eco_institutions!B:D,2,0),"")</f>
        <v>84</v>
      </c>
      <c r="G144" s="40">
        <f>IFERROR(VLOOKUP(A144,[1]eco_institutions!B:E,4,0),"")</f>
        <v>2.0109438134653419</v>
      </c>
      <c r="H144" s="14">
        <f t="shared" si="11"/>
        <v>148</v>
      </c>
      <c r="I144" s="46">
        <f>IFERROR(VLOOKUP(A144,[1]fin_institutions!B:D,2,0),"")</f>
        <v>39</v>
      </c>
      <c r="J144" s="41">
        <f>IFERROR(VLOOKUP(A144,[1]fin_institutions!B:E,4,0),"")</f>
        <v>1.746010653213814</v>
      </c>
      <c r="K144" s="41">
        <f t="shared" si="12"/>
        <v>202</v>
      </c>
      <c r="L144" s="56">
        <f>IFERROR(VLOOKUP(A144,[1]bus_institutions!B:D,2,0),"")</f>
        <v>49</v>
      </c>
      <c r="M144" s="42">
        <f>IFERROR(VLOOKUP(A144,[1]bus_institutions!B:E,4,0),"")</f>
        <v>3.0392438842850948</v>
      </c>
      <c r="N144" s="23">
        <f t="shared" si="13"/>
        <v>112</v>
      </c>
      <c r="O144" s="61">
        <f>IFERROR(VLOOKUP(A144,[1]man_institutions!B:E,2,0),"")</f>
        <v>75</v>
      </c>
      <c r="P144" s="62">
        <f>IFERROR(VLOOKUP(A144,[1]man_institutions!B:E,4,0),"")</f>
        <v>3.8010834935446711</v>
      </c>
      <c r="Q144" s="63">
        <f t="shared" si="14"/>
        <v>94</v>
      </c>
    </row>
    <row r="145" spans="1:17" x14ac:dyDescent="0.25">
      <c r="A145" s="6" t="s">
        <v>727</v>
      </c>
      <c r="B145" s="37" t="s">
        <v>1230</v>
      </c>
      <c r="C145" s="72">
        <f>IFERROR(VLOOKUP(A145,[1]eco_bus_institutions!B:E,2,0),"")</f>
        <v>40</v>
      </c>
      <c r="D145" s="72">
        <f>IFERROR(VLOOKUP(A145,[1]eco_bus_institutions!B:E,4,0),"")</f>
        <v>2.3072440203417099</v>
      </c>
      <c r="E145" s="73">
        <f t="shared" si="10"/>
        <v>170</v>
      </c>
      <c r="F145" s="40">
        <f>IFERROR(VLOOKUP(A145,[1]eco_institutions!B:D,2,0),"")</f>
        <v>6</v>
      </c>
      <c r="G145" s="40">
        <f>IFERROR(VLOOKUP(A145,[1]eco_institutions!B:E,4,0),"")</f>
        <v>1.7485091136213129</v>
      </c>
      <c r="H145" s="14">
        <f t="shared" si="11"/>
        <v>206</v>
      </c>
      <c r="I145" s="46">
        <f>IFERROR(VLOOKUP(A145,[1]fin_institutions!B:D,2,0),"")</f>
        <v>4</v>
      </c>
      <c r="J145" s="41">
        <f>IFERROR(VLOOKUP(A145,[1]fin_institutions!B:E,4,0),"")</f>
        <v>1.819175740664827</v>
      </c>
      <c r="K145" s="41">
        <f t="shared" si="12"/>
        <v>189</v>
      </c>
      <c r="L145" s="56">
        <f>IFERROR(VLOOKUP(A145,[1]bus_institutions!B:D,2,0),"")</f>
        <v>19</v>
      </c>
      <c r="M145" s="42">
        <f>IFERROR(VLOOKUP(A145,[1]bus_institutions!B:E,4,0),"")</f>
        <v>2.6869385768157641</v>
      </c>
      <c r="N145" s="23">
        <f t="shared" si="13"/>
        <v>154</v>
      </c>
      <c r="O145" s="61">
        <f>IFERROR(VLOOKUP(A145,[1]man_institutions!B:E,2,0),"")</f>
        <v>24</v>
      </c>
      <c r="P145" s="62">
        <f>IFERROR(VLOOKUP(A145,[1]man_institutions!B:E,4,0),"")</f>
        <v>3.3571046583237441</v>
      </c>
      <c r="Q145" s="63">
        <f t="shared" si="14"/>
        <v>149</v>
      </c>
    </row>
    <row r="146" spans="1:17" x14ac:dyDescent="0.25">
      <c r="A146" s="6" t="s">
        <v>787</v>
      </c>
      <c r="B146" s="37" t="s">
        <v>1238</v>
      </c>
      <c r="C146" s="72">
        <f>IFERROR(VLOOKUP(A146,[1]eco_bus_institutions!B:E,2,0),"")</f>
        <v>44</v>
      </c>
      <c r="D146" s="72">
        <f>IFERROR(VLOOKUP(A146,[1]eco_bus_institutions!B:E,4,0),"")</f>
        <v>2.1857221193789971</v>
      </c>
      <c r="E146" s="73">
        <f t="shared" si="10"/>
        <v>204</v>
      </c>
      <c r="F146" s="40">
        <f>IFERROR(VLOOKUP(A146,[1]eco_institutions!B:D,2,0),"")</f>
        <v>22</v>
      </c>
      <c r="G146" s="40">
        <f>IFERROR(VLOOKUP(A146,[1]eco_institutions!B:E,4,0),"")</f>
        <v>1.814628036745477</v>
      </c>
      <c r="H146" s="14">
        <f t="shared" si="11"/>
        <v>190</v>
      </c>
      <c r="I146" s="46">
        <f>IFERROR(VLOOKUP(A146,[1]fin_institutions!B:D,2,0),"")</f>
        <v>12</v>
      </c>
      <c r="J146" s="41">
        <f>IFERROR(VLOOKUP(A146,[1]fin_institutions!B:E,4,0),"")</f>
        <v>1.600264259559568</v>
      </c>
      <c r="K146" s="41">
        <f t="shared" si="12"/>
        <v>244</v>
      </c>
      <c r="L146" s="56">
        <f>IFERROR(VLOOKUP(A146,[1]bus_institutions!B:D,2,0),"")</f>
        <v>9</v>
      </c>
      <c r="M146" s="42">
        <f>IFERROR(VLOOKUP(A146,[1]bus_institutions!B:E,4,0),"")</f>
        <v>1.951044643710464</v>
      </c>
      <c r="N146" s="23">
        <f t="shared" si="13"/>
        <v>335</v>
      </c>
      <c r="O146" s="61">
        <f>IFERROR(VLOOKUP(A146,[1]man_institutions!B:E,2,0),"")</f>
        <v>11</v>
      </c>
      <c r="P146" s="62">
        <f>IFERROR(VLOOKUP(A146,[1]man_institutions!B:E,4,0),"")</f>
        <v>3.5854794173089668</v>
      </c>
      <c r="Q146" s="63">
        <f t="shared" si="14"/>
        <v>114</v>
      </c>
    </row>
    <row r="147" spans="1:17" x14ac:dyDescent="0.25">
      <c r="A147" s="6" t="s">
        <v>845</v>
      </c>
      <c r="B147" s="37" t="s">
        <v>1229</v>
      </c>
      <c r="C147" s="72">
        <f>IFERROR(VLOOKUP(A147,[1]eco_bus_institutions!B:E,2,0),"")</f>
        <v>99</v>
      </c>
      <c r="D147" s="72">
        <f>IFERROR(VLOOKUP(A147,[1]eco_bus_institutions!B:E,4,0),"")</f>
        <v>2.612726161611318</v>
      </c>
      <c r="E147" s="73">
        <f t="shared" si="10"/>
        <v>112</v>
      </c>
      <c r="F147" s="40">
        <f>IFERROR(VLOOKUP(A147,[1]eco_institutions!B:D,2,0),"")</f>
        <v>51</v>
      </c>
      <c r="G147" s="40">
        <f>IFERROR(VLOOKUP(A147,[1]eco_institutions!B:E,4,0),"")</f>
        <v>3.046813849895984</v>
      </c>
      <c r="H147" s="14">
        <f t="shared" si="11"/>
        <v>47</v>
      </c>
      <c r="I147" s="46">
        <f>IFERROR(VLOOKUP(A147,[1]fin_institutions!B:D,2,0),"")</f>
        <v>11</v>
      </c>
      <c r="J147" s="41">
        <f>IFERROR(VLOOKUP(A147,[1]fin_institutions!B:E,4,0),"")</f>
        <v>1.5582090736587371</v>
      </c>
      <c r="K147" s="41">
        <f t="shared" si="12"/>
        <v>264</v>
      </c>
      <c r="L147" s="56">
        <f>IFERROR(VLOOKUP(A147,[1]bus_institutions!B:D,2,0),"")</f>
        <v>19</v>
      </c>
      <c r="M147" s="42">
        <f>IFERROR(VLOOKUP(A147,[1]bus_institutions!B:E,4,0),"")</f>
        <v>2.140378786071754</v>
      </c>
      <c r="N147" s="23">
        <f t="shared" si="13"/>
        <v>283</v>
      </c>
      <c r="O147" s="61">
        <f>IFERROR(VLOOKUP(A147,[1]man_institutions!B:E,2,0),"")</f>
        <v>33</v>
      </c>
      <c r="P147" s="62">
        <f>IFERROR(VLOOKUP(A147,[1]man_institutions!B:E,4,0),"")</f>
        <v>2.3065172516360208</v>
      </c>
      <c r="Q147" s="63">
        <f t="shared" si="14"/>
        <v>321</v>
      </c>
    </row>
    <row r="148" spans="1:17" x14ac:dyDescent="0.25">
      <c r="A148" s="6" t="s">
        <v>771</v>
      </c>
      <c r="B148" s="37" t="s">
        <v>1217</v>
      </c>
      <c r="C148" s="72">
        <f>IFERROR(VLOOKUP(A148,[1]eco_bus_institutions!B:E,2,0),"")</f>
        <v>52</v>
      </c>
      <c r="D148" s="72">
        <f>IFERROR(VLOOKUP(A148,[1]eco_bus_institutions!B:E,4,0),"")</f>
        <v>2.507233645583868</v>
      </c>
      <c r="E148" s="73">
        <f t="shared" si="10"/>
        <v>131</v>
      </c>
      <c r="F148" s="40">
        <f>IFERROR(VLOOKUP(A148,[1]eco_institutions!B:D,2,0),"")</f>
        <v>19</v>
      </c>
      <c r="G148" s="40">
        <f>IFERROR(VLOOKUP(A148,[1]eco_institutions!B:E,4,0),"")</f>
        <v>2.4802190080967268</v>
      </c>
      <c r="H148" s="14">
        <f t="shared" si="11"/>
        <v>84</v>
      </c>
      <c r="I148" s="46">
        <f>IFERROR(VLOOKUP(A148,[1]fin_institutions!B:D,2,0),"")</f>
        <v>11</v>
      </c>
      <c r="J148" s="41">
        <f>IFERROR(VLOOKUP(A148,[1]fin_institutions!B:E,4,0),"")</f>
        <v>1.985076163248098</v>
      </c>
      <c r="K148" s="41">
        <f t="shared" si="12"/>
        <v>156</v>
      </c>
      <c r="L148" s="56">
        <f>IFERROR(VLOOKUP(A148,[1]bus_institutions!B:D,2,0),"")</f>
        <v>16</v>
      </c>
      <c r="M148" s="42">
        <f>IFERROR(VLOOKUP(A148,[1]bus_institutions!B:E,4,0),"")</f>
        <v>2.5936612664219258</v>
      </c>
      <c r="N148" s="23">
        <f t="shared" si="13"/>
        <v>172</v>
      </c>
      <c r="O148" s="61">
        <f>IFERROR(VLOOKUP(A148,[1]man_institutions!B:E,2,0),"")</f>
        <v>19</v>
      </c>
      <c r="P148" s="62">
        <f>IFERROR(VLOOKUP(A148,[1]man_institutions!B:E,4,0),"")</f>
        <v>2.864390050271056</v>
      </c>
      <c r="Q148" s="63">
        <f t="shared" si="14"/>
        <v>205</v>
      </c>
    </row>
    <row r="149" spans="1:17" x14ac:dyDescent="0.25">
      <c r="A149" s="6" t="s">
        <v>813</v>
      </c>
      <c r="B149" s="37" t="s">
        <v>1217</v>
      </c>
      <c r="C149" s="72">
        <f>IFERROR(VLOOKUP(A149,[1]eco_bus_institutions!B:E,2,0),"")</f>
        <v>83</v>
      </c>
      <c r="D149" s="72">
        <f>IFERROR(VLOOKUP(A149,[1]eco_bus_institutions!B:E,4,0),"")</f>
        <v>2.6148852126142468</v>
      </c>
      <c r="E149" s="73">
        <f t="shared" si="10"/>
        <v>111</v>
      </c>
      <c r="F149" s="40">
        <f>IFERROR(VLOOKUP(A149,[1]eco_institutions!B:D,2,0),"")</f>
        <v>52</v>
      </c>
      <c r="G149" s="40">
        <f>IFERROR(VLOOKUP(A149,[1]eco_institutions!B:E,4,0),"")</f>
        <v>2.002347537415246</v>
      </c>
      <c r="H149" s="14">
        <f t="shared" si="11"/>
        <v>150</v>
      </c>
      <c r="I149" s="46">
        <f>IFERROR(VLOOKUP(A149,[1]fin_institutions!B:D,2,0),"")</f>
        <v>15</v>
      </c>
      <c r="J149" s="41">
        <f>IFERROR(VLOOKUP(A149,[1]fin_institutions!B:E,4,0),"")</f>
        <v>3.1434514857921019</v>
      </c>
      <c r="K149" s="41">
        <f t="shared" si="12"/>
        <v>66</v>
      </c>
      <c r="L149" s="56">
        <f>IFERROR(VLOOKUP(A149,[1]bus_institutions!B:D,2,0),"")</f>
        <v>19</v>
      </c>
      <c r="M149" s="42">
        <f>IFERROR(VLOOKUP(A149,[1]bus_institutions!B:E,4,0),"")</f>
        <v>3.6272746412449748</v>
      </c>
      <c r="N149" s="23">
        <f t="shared" si="13"/>
        <v>57</v>
      </c>
      <c r="O149" s="61">
        <f>IFERROR(VLOOKUP(A149,[1]man_institutions!B:E,2,0),"")</f>
        <v>14</v>
      </c>
      <c r="P149" s="62">
        <f>IFERROR(VLOOKUP(A149,[1]man_institutions!B:E,4,0),"")</f>
        <v>3.547458058843505</v>
      </c>
      <c r="Q149" s="63">
        <f t="shared" si="14"/>
        <v>119</v>
      </c>
    </row>
    <row r="150" spans="1:17" x14ac:dyDescent="0.25">
      <c r="A150" s="6" t="s">
        <v>825</v>
      </c>
      <c r="B150" s="37" t="s">
        <v>1217</v>
      </c>
      <c r="C150" s="72">
        <f>IFERROR(VLOOKUP(A150,[1]eco_bus_institutions!B:E,2,0),"")</f>
        <v>187</v>
      </c>
      <c r="D150" s="72">
        <f>IFERROR(VLOOKUP(A150,[1]eco_bus_institutions!B:E,4,0),"")</f>
        <v>2.5355215693986719</v>
      </c>
      <c r="E150" s="73">
        <f t="shared" si="10"/>
        <v>128</v>
      </c>
      <c r="F150" s="40">
        <f>IFERROR(VLOOKUP(A150,[1]eco_institutions!B:D,2,0),"")</f>
        <v>97</v>
      </c>
      <c r="G150" s="40">
        <f>IFERROR(VLOOKUP(A150,[1]eco_institutions!B:E,4,0),"")</f>
        <v>2.3573751984996139</v>
      </c>
      <c r="H150" s="14">
        <f t="shared" si="11"/>
        <v>94</v>
      </c>
      <c r="I150" s="46">
        <f>IFERROR(VLOOKUP(A150,[1]fin_institutions!B:D,2,0),"")</f>
        <v>23</v>
      </c>
      <c r="J150" s="41">
        <f>IFERROR(VLOOKUP(A150,[1]fin_institutions!B:E,4,0),"")</f>
        <v>4.020311241656624</v>
      </c>
      <c r="K150" s="41">
        <f t="shared" si="12"/>
        <v>32</v>
      </c>
      <c r="L150" s="56">
        <f>IFERROR(VLOOKUP(A150,[1]bus_institutions!B:D,2,0),"")</f>
        <v>39</v>
      </c>
      <c r="M150" s="42">
        <f>IFERROR(VLOOKUP(A150,[1]bus_institutions!B:E,4,0),"")</f>
        <v>2.2488765350736291</v>
      </c>
      <c r="N150" s="23">
        <f t="shared" si="13"/>
        <v>258</v>
      </c>
      <c r="O150" s="61">
        <f>IFERROR(VLOOKUP(A150,[1]man_institutions!B:E,2,0),"")</f>
        <v>60</v>
      </c>
      <c r="P150" s="62">
        <f>IFERROR(VLOOKUP(A150,[1]man_institutions!B:E,4,0),"")</f>
        <v>2.9023496357957739</v>
      </c>
      <c r="Q150" s="63">
        <f t="shared" si="14"/>
        <v>202</v>
      </c>
    </row>
    <row r="151" spans="1:17" x14ac:dyDescent="0.25">
      <c r="A151" s="6" t="s">
        <v>810</v>
      </c>
      <c r="B151" s="37" t="s">
        <v>1235</v>
      </c>
      <c r="C151" s="72">
        <f>IFERROR(VLOOKUP(A151,[1]eco_bus_institutions!B:E,2,0),"")</f>
        <v>44</v>
      </c>
      <c r="D151" s="72">
        <f>IFERROR(VLOOKUP(A151,[1]eco_bus_institutions!B:E,4,0),"")</f>
        <v>2.163464443272058</v>
      </c>
      <c r="E151" s="73">
        <f t="shared" si="10"/>
        <v>208</v>
      </c>
      <c r="F151" s="40">
        <f>IFERROR(VLOOKUP(A151,[1]eco_institutions!B:D,2,0),"")</f>
        <v>17</v>
      </c>
      <c r="G151" s="40">
        <f>IFERROR(VLOOKUP(A151,[1]eco_institutions!B:E,4,0),"")</f>
        <v>1.080595686548026</v>
      </c>
      <c r="H151" s="14">
        <f t="shared" si="11"/>
        <v>580</v>
      </c>
      <c r="I151" s="46" t="str">
        <f>IFERROR(VLOOKUP(A151,[1]fin_institutions!B:D,2,0),"")</f>
        <v/>
      </c>
      <c r="J151" s="41" t="str">
        <f>IFERROR(VLOOKUP(A151,[1]fin_institutions!B:E,4,0),"")</f>
        <v/>
      </c>
      <c r="K151" s="41" t="str">
        <f t="shared" si="12"/>
        <v/>
      </c>
      <c r="L151" s="56">
        <f>IFERROR(VLOOKUP(A151,[1]bus_institutions!B:D,2,0),"")</f>
        <v>26</v>
      </c>
      <c r="M151" s="42">
        <f>IFERROR(VLOOKUP(A151,[1]bus_institutions!B:E,4,0),"")</f>
        <v>2.829642504450558</v>
      </c>
      <c r="N151" s="23">
        <f t="shared" si="13"/>
        <v>135</v>
      </c>
      <c r="O151" s="61">
        <f>IFERROR(VLOOKUP(A151,[1]man_institutions!B:E,2,0),"")</f>
        <v>22</v>
      </c>
      <c r="P151" s="62">
        <f>IFERROR(VLOOKUP(A151,[1]man_institutions!B:E,4,0),"")</f>
        <v>3.2492331291871541</v>
      </c>
      <c r="Q151" s="63">
        <f t="shared" si="14"/>
        <v>163</v>
      </c>
    </row>
    <row r="152" spans="1:17" x14ac:dyDescent="0.25">
      <c r="A152" s="6" t="s">
        <v>772</v>
      </c>
      <c r="B152" s="37" t="s">
        <v>1218</v>
      </c>
      <c r="C152" s="72">
        <f>IFERROR(VLOOKUP(A152,[1]eco_bus_institutions!B:E,2,0),"")</f>
        <v>80</v>
      </c>
      <c r="D152" s="72">
        <f>IFERROR(VLOOKUP(A152,[1]eco_bus_institutions!B:E,4,0),"")</f>
        <v>2.310334413416915</v>
      </c>
      <c r="E152" s="73">
        <f t="shared" si="10"/>
        <v>167</v>
      </c>
      <c r="F152" s="40">
        <f>IFERROR(VLOOKUP(A152,[1]eco_institutions!B:D,2,0),"")</f>
        <v>33</v>
      </c>
      <c r="G152" s="40">
        <f>IFERROR(VLOOKUP(A152,[1]eco_institutions!B:E,4,0),"")</f>
        <v>1.6686271506454811</v>
      </c>
      <c r="H152" s="14">
        <f t="shared" si="11"/>
        <v>233</v>
      </c>
      <c r="I152" s="46">
        <f>IFERROR(VLOOKUP(A152,[1]fin_institutions!B:D,2,0),"")</f>
        <v>11</v>
      </c>
      <c r="J152" s="41">
        <f>IFERROR(VLOOKUP(A152,[1]fin_institutions!B:E,4,0),"")</f>
        <v>1.1724315148184361</v>
      </c>
      <c r="K152" s="41">
        <f t="shared" si="12"/>
        <v>485</v>
      </c>
      <c r="L152" s="56">
        <f>IFERROR(VLOOKUP(A152,[1]bus_institutions!B:D,2,0),"")</f>
        <v>32</v>
      </c>
      <c r="M152" s="42">
        <f>IFERROR(VLOOKUP(A152,[1]bus_institutions!B:E,4,0),"")</f>
        <v>3.070539788323742</v>
      </c>
      <c r="N152" s="23">
        <f t="shared" si="13"/>
        <v>107</v>
      </c>
      <c r="O152" s="61">
        <f>IFERROR(VLOOKUP(A152,[1]man_institutions!B:E,2,0),"")</f>
        <v>25</v>
      </c>
      <c r="P152" s="62">
        <f>IFERROR(VLOOKUP(A152,[1]man_institutions!B:E,4,0),"")</f>
        <v>2.5322023469470678</v>
      </c>
      <c r="Q152" s="63">
        <f t="shared" si="14"/>
        <v>266</v>
      </c>
    </row>
    <row r="153" spans="1:17" x14ac:dyDescent="0.25">
      <c r="A153" s="6" t="s">
        <v>715</v>
      </c>
      <c r="B153" s="37" t="s">
        <v>1217</v>
      </c>
      <c r="C153" s="72">
        <f>IFERROR(VLOOKUP(A153,[1]eco_bus_institutions!B:E,2,0),"")</f>
        <v>65</v>
      </c>
      <c r="D153" s="72">
        <f>IFERROR(VLOOKUP(A153,[1]eco_bus_institutions!B:E,4,0),"")</f>
        <v>2.7382001584601898</v>
      </c>
      <c r="E153" s="73">
        <f t="shared" si="10"/>
        <v>101</v>
      </c>
      <c r="F153" s="40">
        <f>IFERROR(VLOOKUP(A153,[1]eco_institutions!B:D,2,0),"")</f>
        <v>28</v>
      </c>
      <c r="G153" s="40">
        <f>IFERROR(VLOOKUP(A153,[1]eco_institutions!B:E,4,0),"")</f>
        <v>1.692147556433705</v>
      </c>
      <c r="H153" s="14">
        <f t="shared" si="11"/>
        <v>224</v>
      </c>
      <c r="I153" s="46">
        <f>IFERROR(VLOOKUP(A153,[1]fin_institutions!B:D,2,0),"")</f>
        <v>15</v>
      </c>
      <c r="J153" s="41">
        <f>IFERROR(VLOOKUP(A153,[1]fin_institutions!B:E,4,0),"")</f>
        <v>3.3597079176782341</v>
      </c>
      <c r="K153" s="41">
        <f t="shared" si="12"/>
        <v>57</v>
      </c>
      <c r="L153" s="56">
        <f>IFERROR(VLOOKUP(A153,[1]bus_institutions!B:D,2,0),"")</f>
        <v>15</v>
      </c>
      <c r="M153" s="42">
        <f>IFERROR(VLOOKUP(A153,[1]bus_institutions!B:E,4,0),"")</f>
        <v>3.200124954460867</v>
      </c>
      <c r="N153" s="23">
        <f t="shared" si="13"/>
        <v>94</v>
      </c>
      <c r="O153" s="61">
        <f>IFERROR(VLOOKUP(A153,[1]man_institutions!B:E,2,0),"")</f>
        <v>26</v>
      </c>
      <c r="P153" s="62">
        <f>IFERROR(VLOOKUP(A153,[1]man_institutions!B:E,4,0),"")</f>
        <v>4.0112061291935488</v>
      </c>
      <c r="Q153" s="63">
        <f t="shared" si="14"/>
        <v>75</v>
      </c>
    </row>
    <row r="154" spans="1:17" x14ac:dyDescent="0.25">
      <c r="A154" s="6" t="s">
        <v>752</v>
      </c>
      <c r="B154" s="37" t="s">
        <v>1233</v>
      </c>
      <c r="C154" s="72">
        <f>IFERROR(VLOOKUP(A154,[1]eco_bus_institutions!B:E,2,0),"")</f>
        <v>209</v>
      </c>
      <c r="D154" s="72">
        <f>IFERROR(VLOOKUP(A154,[1]eco_bus_institutions!B:E,4,0),"")</f>
        <v>2.4764722132942789</v>
      </c>
      <c r="E154" s="73">
        <f t="shared" si="10"/>
        <v>134</v>
      </c>
      <c r="F154" s="40">
        <f>IFERROR(VLOOKUP(A154,[1]eco_institutions!B:D,2,0),"")</f>
        <v>114</v>
      </c>
      <c r="G154" s="40">
        <f>IFERROR(VLOOKUP(A154,[1]eco_institutions!B:E,4,0),"")</f>
        <v>1.9390374518326501</v>
      </c>
      <c r="H154" s="14">
        <f t="shared" si="11"/>
        <v>160</v>
      </c>
      <c r="I154" s="46">
        <f>IFERROR(VLOOKUP(A154,[1]fin_institutions!B:D,2,0),"")</f>
        <v>43</v>
      </c>
      <c r="J154" s="41">
        <f>IFERROR(VLOOKUP(A154,[1]fin_institutions!B:E,4,0),"")</f>
        <v>2.2782316455276401</v>
      </c>
      <c r="K154" s="41">
        <f t="shared" si="12"/>
        <v>123</v>
      </c>
      <c r="L154" s="56">
        <f>IFERROR(VLOOKUP(A154,[1]bus_institutions!B:D,2,0),"")</f>
        <v>55</v>
      </c>
      <c r="M154" s="42">
        <f>IFERROR(VLOOKUP(A154,[1]bus_institutions!B:E,4,0),"")</f>
        <v>3.0906715414389332</v>
      </c>
      <c r="N154" s="23">
        <f t="shared" si="13"/>
        <v>105</v>
      </c>
      <c r="O154" s="61">
        <f>IFERROR(VLOOKUP(A154,[1]man_institutions!B:E,2,0),"")</f>
        <v>52</v>
      </c>
      <c r="P154" s="62">
        <f>IFERROR(VLOOKUP(A154,[1]man_institutions!B:E,4,0),"")</f>
        <v>3.470066790946321</v>
      </c>
      <c r="Q154" s="63">
        <f t="shared" si="14"/>
        <v>130</v>
      </c>
    </row>
    <row r="155" spans="1:17" x14ac:dyDescent="0.25">
      <c r="A155" s="6" t="s">
        <v>912</v>
      </c>
      <c r="B155" s="37" t="s">
        <v>1218</v>
      </c>
      <c r="C155" s="72">
        <f>IFERROR(VLOOKUP(A155,[1]eco_bus_institutions!B:E,2,0),"")</f>
        <v>85</v>
      </c>
      <c r="D155" s="72">
        <f>IFERROR(VLOOKUP(A155,[1]eco_bus_institutions!B:E,4,0),"")</f>
        <v>2.8470518230495809</v>
      </c>
      <c r="E155" s="73">
        <f t="shared" si="10"/>
        <v>90</v>
      </c>
      <c r="F155" s="40">
        <f>IFERROR(VLOOKUP(A155,[1]eco_institutions!B:D,2,0),"")</f>
        <v>76</v>
      </c>
      <c r="G155" s="40">
        <f>IFERROR(VLOOKUP(A155,[1]eco_institutions!B:E,4,0),"")</f>
        <v>2.6507586375946981</v>
      </c>
      <c r="H155" s="14">
        <f t="shared" si="11"/>
        <v>73</v>
      </c>
      <c r="I155" s="46">
        <f>IFERROR(VLOOKUP(A155,[1]fin_institutions!B:D,2,0),"")</f>
        <v>10</v>
      </c>
      <c r="J155" s="41">
        <f>IFERROR(VLOOKUP(A155,[1]fin_institutions!B:E,4,0),"")</f>
        <v>2.4314635593224558</v>
      </c>
      <c r="K155" s="41">
        <f t="shared" si="12"/>
        <v>107</v>
      </c>
      <c r="L155" s="56">
        <f>IFERROR(VLOOKUP(A155,[1]bus_institutions!B:D,2,0),"")</f>
        <v>6</v>
      </c>
      <c r="M155" s="42">
        <f>IFERROR(VLOOKUP(A155,[1]bus_institutions!B:E,4,0),"")</f>
        <v>2.8475717764806112</v>
      </c>
      <c r="N155" s="23">
        <f t="shared" si="13"/>
        <v>133</v>
      </c>
      <c r="O155" s="61">
        <f>IFERROR(VLOOKUP(A155,[1]man_institutions!B:E,2,0),"")</f>
        <v>6</v>
      </c>
      <c r="P155" s="62">
        <f>IFERROR(VLOOKUP(A155,[1]man_institutions!B:E,4,0),"")</f>
        <v>2.5025610975222978</v>
      </c>
      <c r="Q155" s="63">
        <f t="shared" si="14"/>
        <v>272</v>
      </c>
    </row>
    <row r="156" spans="1:17" x14ac:dyDescent="0.25">
      <c r="A156" s="6" t="s">
        <v>784</v>
      </c>
      <c r="B156" s="37" t="s">
        <v>1217</v>
      </c>
      <c r="C156" s="72">
        <f>IFERROR(VLOOKUP(A156,[1]eco_bus_institutions!B:E,2,0),"")</f>
        <v>46</v>
      </c>
      <c r="D156" s="72">
        <f>IFERROR(VLOOKUP(A156,[1]eco_bus_institutions!B:E,4,0),"")</f>
        <v>2.4023472989389689</v>
      </c>
      <c r="E156" s="73">
        <f t="shared" si="10"/>
        <v>147</v>
      </c>
      <c r="F156" s="40">
        <f>IFERROR(VLOOKUP(A156,[1]eco_institutions!B:D,2,0),"")</f>
        <v>33</v>
      </c>
      <c r="G156" s="40">
        <f>IFERROR(VLOOKUP(A156,[1]eco_institutions!B:E,4,0),"")</f>
        <v>1.894431182682772</v>
      </c>
      <c r="H156" s="14">
        <f t="shared" si="11"/>
        <v>169</v>
      </c>
      <c r="I156" s="46">
        <f>IFERROR(VLOOKUP(A156,[1]fin_institutions!B:D,2,0),"")</f>
        <v>11</v>
      </c>
      <c r="J156" s="41">
        <f>IFERROR(VLOOKUP(A156,[1]fin_institutions!B:E,4,0),"")</f>
        <v>1.288502007500161</v>
      </c>
      <c r="K156" s="41">
        <f t="shared" si="12"/>
        <v>400</v>
      </c>
      <c r="L156" s="56">
        <f>IFERROR(VLOOKUP(A156,[1]bus_institutions!B:D,2,0),"")</f>
        <v>8</v>
      </c>
      <c r="M156" s="42">
        <f>IFERROR(VLOOKUP(A156,[1]bus_institutions!B:E,4,0),"")</f>
        <v>5.5945473475705461</v>
      </c>
      <c r="N156" s="23">
        <f t="shared" si="13"/>
        <v>6</v>
      </c>
      <c r="O156" s="61">
        <f>IFERROR(VLOOKUP(A156,[1]man_institutions!B:E,2,0),"")</f>
        <v>8</v>
      </c>
      <c r="P156" s="62">
        <f>IFERROR(VLOOKUP(A156,[1]man_institutions!B:E,4,0),"")</f>
        <v>2.608053220297093</v>
      </c>
      <c r="Q156" s="63">
        <f t="shared" si="14"/>
        <v>252</v>
      </c>
    </row>
    <row r="157" spans="1:17" x14ac:dyDescent="0.25">
      <c r="A157" s="6" t="s">
        <v>904</v>
      </c>
      <c r="B157" s="37" t="s">
        <v>1271</v>
      </c>
      <c r="C157" s="72">
        <f>IFERROR(VLOOKUP(A157,[1]eco_bus_institutions!B:E,2,0),"")</f>
        <v>58</v>
      </c>
      <c r="D157" s="72">
        <f>IFERROR(VLOOKUP(A157,[1]eco_bus_institutions!B:E,4,0),"")</f>
        <v>2.1496496750512799</v>
      </c>
      <c r="E157" s="73">
        <f t="shared" si="10"/>
        <v>214</v>
      </c>
      <c r="F157" s="40">
        <f>IFERROR(VLOOKUP(A157,[1]eco_institutions!B:D,2,0),"")</f>
        <v>45</v>
      </c>
      <c r="G157" s="40">
        <f>IFERROR(VLOOKUP(A157,[1]eco_institutions!B:E,4,0),"")</f>
        <v>1.8380602082263651</v>
      </c>
      <c r="H157" s="14">
        <f t="shared" si="11"/>
        <v>181</v>
      </c>
      <c r="I157" s="46">
        <f>IFERROR(VLOOKUP(A157,[1]fin_institutions!B:D,2,0),"")</f>
        <v>12</v>
      </c>
      <c r="J157" s="41">
        <f>IFERROR(VLOOKUP(A157,[1]fin_institutions!B:E,4,0),"")</f>
        <v>3.5846024937392391</v>
      </c>
      <c r="K157" s="41">
        <f t="shared" si="12"/>
        <v>46</v>
      </c>
      <c r="L157" s="56">
        <f>IFERROR(VLOOKUP(A157,[1]bus_institutions!B:D,2,0),"")</f>
        <v>3</v>
      </c>
      <c r="M157" s="42">
        <f>IFERROR(VLOOKUP(A157,[1]bus_institutions!B:E,4,0),"")</f>
        <v>1.277251657508673</v>
      </c>
      <c r="N157" s="23">
        <f t="shared" si="13"/>
        <v>535</v>
      </c>
      <c r="O157" s="61">
        <f>IFERROR(VLOOKUP(A157,[1]man_institutions!B:E,2,0),"")</f>
        <v>8</v>
      </c>
      <c r="P157" s="62">
        <f>IFERROR(VLOOKUP(A157,[1]man_institutions!B:E,4,0),"")</f>
        <v>2.3689393314179772</v>
      </c>
      <c r="Q157" s="63">
        <f t="shared" si="14"/>
        <v>304</v>
      </c>
    </row>
    <row r="158" spans="1:17" x14ac:dyDescent="0.25">
      <c r="A158" s="6" t="s">
        <v>835</v>
      </c>
      <c r="B158" s="37" t="s">
        <v>1217</v>
      </c>
      <c r="C158" s="72">
        <f>IFERROR(VLOOKUP(A158,[1]eco_bus_institutions!B:E,2,0),"")</f>
        <v>79</v>
      </c>
      <c r="D158" s="72">
        <f>IFERROR(VLOOKUP(A158,[1]eco_bus_institutions!B:E,4,0),"")</f>
        <v>2.4101038425747618</v>
      </c>
      <c r="E158" s="73">
        <f t="shared" si="10"/>
        <v>145</v>
      </c>
      <c r="F158" s="40">
        <f>IFERROR(VLOOKUP(A158,[1]eco_institutions!B:D,2,0),"")</f>
        <v>43</v>
      </c>
      <c r="G158" s="40">
        <f>IFERROR(VLOOKUP(A158,[1]eco_institutions!B:E,4,0),"")</f>
        <v>2.1511104783067729</v>
      </c>
      <c r="H158" s="14">
        <f t="shared" si="11"/>
        <v>117</v>
      </c>
      <c r="I158" s="46">
        <f>IFERROR(VLOOKUP(A158,[1]fin_institutions!B:D,2,0),"")</f>
        <v>12</v>
      </c>
      <c r="J158" s="41">
        <f>IFERROR(VLOOKUP(A158,[1]fin_institutions!B:E,4,0),"")</f>
        <v>3.221924367736491</v>
      </c>
      <c r="K158" s="41">
        <f t="shared" si="12"/>
        <v>62</v>
      </c>
      <c r="L158" s="56">
        <f>IFERROR(VLOOKUP(A158,[1]bus_institutions!B:D,2,0),"")</f>
        <v>19</v>
      </c>
      <c r="M158" s="42">
        <f>IFERROR(VLOOKUP(A158,[1]bus_institutions!B:E,4,0),"")</f>
        <v>2.244876035258609</v>
      </c>
      <c r="N158" s="23">
        <f t="shared" si="13"/>
        <v>259</v>
      </c>
      <c r="O158" s="61">
        <f>IFERROR(VLOOKUP(A158,[1]man_institutions!B:E,2,0),"")</f>
        <v>16</v>
      </c>
      <c r="P158" s="62">
        <f>IFERROR(VLOOKUP(A158,[1]man_institutions!B:E,4,0),"")</f>
        <v>2.8482270135705048</v>
      </c>
      <c r="Q158" s="63">
        <f t="shared" si="14"/>
        <v>209</v>
      </c>
    </row>
    <row r="159" spans="1:17" x14ac:dyDescent="0.25">
      <c r="A159" s="6" t="s">
        <v>738</v>
      </c>
      <c r="B159" s="37" t="s">
        <v>1217</v>
      </c>
      <c r="C159" s="72">
        <f>IFERROR(VLOOKUP(A159,[1]eco_bus_institutions!B:E,2,0),"")</f>
        <v>90</v>
      </c>
      <c r="D159" s="72">
        <f>IFERROR(VLOOKUP(A159,[1]eco_bus_institutions!B:E,4,0),"")</f>
        <v>2.1256247035397871</v>
      </c>
      <c r="E159" s="73">
        <f t="shared" si="10"/>
        <v>221</v>
      </c>
      <c r="F159" s="40">
        <f>IFERROR(VLOOKUP(A159,[1]eco_institutions!B:D,2,0),"")</f>
        <v>27</v>
      </c>
      <c r="G159" s="40">
        <f>IFERROR(VLOOKUP(A159,[1]eco_institutions!B:E,4,0),"")</f>
        <v>1.2579605716426649</v>
      </c>
      <c r="H159" s="14">
        <f t="shared" si="11"/>
        <v>471</v>
      </c>
      <c r="I159" s="46">
        <f>IFERROR(VLOOKUP(A159,[1]fin_institutions!B:D,2,0),"")</f>
        <v>31</v>
      </c>
      <c r="J159" s="41">
        <f>IFERROR(VLOOKUP(A159,[1]fin_institutions!B:E,4,0),"")</f>
        <v>1.5091931964036771</v>
      </c>
      <c r="K159" s="41">
        <f t="shared" si="12"/>
        <v>282</v>
      </c>
      <c r="L159" s="56">
        <f>IFERROR(VLOOKUP(A159,[1]bus_institutions!B:D,2,0),"")</f>
        <v>33</v>
      </c>
      <c r="M159" s="42">
        <f>IFERROR(VLOOKUP(A159,[1]bus_institutions!B:E,4,0),"")</f>
        <v>2.6398359943140881</v>
      </c>
      <c r="N159" s="23">
        <f t="shared" si="13"/>
        <v>168</v>
      </c>
      <c r="O159" s="61">
        <f>IFERROR(VLOOKUP(A159,[1]man_institutions!B:E,2,0),"")</f>
        <v>35</v>
      </c>
      <c r="P159" s="62">
        <f>IFERROR(VLOOKUP(A159,[1]man_institutions!B:E,4,0),"")</f>
        <v>2.491925920280806</v>
      </c>
      <c r="Q159" s="63">
        <f t="shared" si="14"/>
        <v>277</v>
      </c>
    </row>
    <row r="160" spans="1:17" x14ac:dyDescent="0.25">
      <c r="A160" s="6" t="s">
        <v>710</v>
      </c>
      <c r="B160" s="37" t="s">
        <v>1232</v>
      </c>
      <c r="C160" s="72">
        <f>IFERROR(VLOOKUP(A160,[1]eco_bus_institutions!B:E,2,0),"")</f>
        <v>66</v>
      </c>
      <c r="D160" s="72">
        <f>IFERROR(VLOOKUP(A160,[1]eco_bus_institutions!B:E,4,0),"")</f>
        <v>2.0910267795095052</v>
      </c>
      <c r="E160" s="73">
        <f t="shared" si="10"/>
        <v>237</v>
      </c>
      <c r="F160" s="40">
        <f>IFERROR(VLOOKUP(A160,[1]eco_institutions!B:D,2,0),"")</f>
        <v>22</v>
      </c>
      <c r="G160" s="40">
        <f>IFERROR(VLOOKUP(A160,[1]eco_institutions!B:E,4,0),"")</f>
        <v>1.4703888689135649</v>
      </c>
      <c r="H160" s="14">
        <f t="shared" si="11"/>
        <v>317</v>
      </c>
      <c r="I160" s="46">
        <f>IFERROR(VLOOKUP(A160,[1]fin_institutions!B:D,2,0),"")</f>
        <v>28</v>
      </c>
      <c r="J160" s="41">
        <f>IFERROR(VLOOKUP(A160,[1]fin_institutions!B:E,4,0),"")</f>
        <v>1.747686620032862</v>
      </c>
      <c r="K160" s="41">
        <f t="shared" si="12"/>
        <v>200</v>
      </c>
      <c r="L160" s="56">
        <f>IFERROR(VLOOKUP(A160,[1]bus_institutions!B:D,2,0),"")</f>
        <v>16</v>
      </c>
      <c r="M160" s="42">
        <f>IFERROR(VLOOKUP(A160,[1]bus_institutions!B:E,4,0),"")</f>
        <v>1.9448687337020609</v>
      </c>
      <c r="N160" s="23">
        <f t="shared" si="13"/>
        <v>337</v>
      </c>
      <c r="O160" s="61">
        <f>IFERROR(VLOOKUP(A160,[1]man_institutions!B:E,2,0),"")</f>
        <v>16</v>
      </c>
      <c r="P160" s="62">
        <f>IFERROR(VLOOKUP(A160,[1]man_institutions!B:E,4,0),"")</f>
        <v>3.7100447073085219</v>
      </c>
      <c r="Q160" s="63">
        <f t="shared" si="14"/>
        <v>99</v>
      </c>
    </row>
    <row r="161" spans="1:17" x14ac:dyDescent="0.25">
      <c r="A161" s="6" t="s">
        <v>690</v>
      </c>
      <c r="B161" s="37" t="s">
        <v>1271</v>
      </c>
      <c r="C161" s="72">
        <f>IFERROR(VLOOKUP(A161,[1]eco_bus_institutions!B:E,2,0),"")</f>
        <v>76</v>
      </c>
      <c r="D161" s="72">
        <f>IFERROR(VLOOKUP(A161,[1]eco_bus_institutions!B:E,4,0),"")</f>
        <v>2.3964371149962069</v>
      </c>
      <c r="E161" s="73">
        <f t="shared" si="10"/>
        <v>149</v>
      </c>
      <c r="F161" s="40">
        <f>IFERROR(VLOOKUP(A161,[1]eco_institutions!B:D,2,0),"")</f>
        <v>18</v>
      </c>
      <c r="G161" s="40">
        <f>IFERROR(VLOOKUP(A161,[1]eco_institutions!B:E,4,0),"")</f>
        <v>1.2562725097554981</v>
      </c>
      <c r="H161" s="14">
        <f t="shared" si="11"/>
        <v>472</v>
      </c>
      <c r="I161" s="46">
        <f>IFERROR(VLOOKUP(A161,[1]fin_institutions!B:D,2,0),"")</f>
        <v>13</v>
      </c>
      <c r="J161" s="41">
        <f>IFERROR(VLOOKUP(A161,[1]fin_institutions!B:E,4,0),"")</f>
        <v>1.9966852055813711</v>
      </c>
      <c r="K161" s="41">
        <f t="shared" si="12"/>
        <v>155</v>
      </c>
      <c r="L161" s="56">
        <f>IFERROR(VLOOKUP(A161,[1]bus_institutions!B:D,2,0),"")</f>
        <v>37</v>
      </c>
      <c r="M161" s="42">
        <f>IFERROR(VLOOKUP(A161,[1]bus_institutions!B:E,4,0),"")</f>
        <v>2.4747438239482569</v>
      </c>
      <c r="N161" s="23">
        <f t="shared" si="13"/>
        <v>195</v>
      </c>
      <c r="O161" s="61">
        <f>IFERROR(VLOOKUP(A161,[1]man_institutions!B:E,2,0),"")</f>
        <v>38</v>
      </c>
      <c r="P161" s="62">
        <f>IFERROR(VLOOKUP(A161,[1]man_institutions!B:E,4,0),"")</f>
        <v>3.8186475245038669</v>
      </c>
      <c r="Q161" s="63">
        <f t="shared" si="14"/>
        <v>90</v>
      </c>
    </row>
    <row r="162" spans="1:17" x14ac:dyDescent="0.25">
      <c r="A162" s="6" t="s">
        <v>851</v>
      </c>
      <c r="B162" s="37" t="s">
        <v>1271</v>
      </c>
      <c r="C162" s="72">
        <f>IFERROR(VLOOKUP(A162,[1]eco_bus_institutions!B:E,2,0),"")</f>
        <v>85</v>
      </c>
      <c r="D162" s="72">
        <f>IFERROR(VLOOKUP(A162,[1]eco_bus_institutions!B:E,4,0),"")</f>
        <v>2.4329601012556692</v>
      </c>
      <c r="E162" s="73">
        <f t="shared" si="10"/>
        <v>140</v>
      </c>
      <c r="F162" s="40">
        <f>IFERROR(VLOOKUP(A162,[1]eco_institutions!B:D,2,0),"")</f>
        <v>59</v>
      </c>
      <c r="G162" s="40">
        <f>IFERROR(VLOOKUP(A162,[1]eco_institutions!B:E,4,0),"")</f>
        <v>2.0610208993245971</v>
      </c>
      <c r="H162" s="14">
        <f t="shared" si="11"/>
        <v>135</v>
      </c>
      <c r="I162" s="46">
        <f>IFERROR(VLOOKUP(A162,[1]fin_institutions!B:D,2,0),"")</f>
        <v>10</v>
      </c>
      <c r="J162" s="41">
        <f>IFERROR(VLOOKUP(A162,[1]fin_institutions!B:E,4,0),"")</f>
        <v>2.554432661341496</v>
      </c>
      <c r="K162" s="41">
        <f t="shared" si="12"/>
        <v>98</v>
      </c>
      <c r="L162" s="56">
        <f>IFERROR(VLOOKUP(A162,[1]bus_institutions!B:D,2,0),"")</f>
        <v>21</v>
      </c>
      <c r="M162" s="42">
        <f>IFERROR(VLOOKUP(A162,[1]bus_institutions!B:E,4,0),"")</f>
        <v>3.0324102596678801</v>
      </c>
      <c r="N162" s="23">
        <f t="shared" si="13"/>
        <v>113</v>
      </c>
      <c r="O162" s="61">
        <f>IFERROR(VLOOKUP(A162,[1]man_institutions!B:E,2,0),"")</f>
        <v>13</v>
      </c>
      <c r="P162" s="62">
        <f>IFERROR(VLOOKUP(A162,[1]man_institutions!B:E,4,0),"")</f>
        <v>3.0300576101525079</v>
      </c>
      <c r="Q162" s="63">
        <f t="shared" si="14"/>
        <v>188</v>
      </c>
    </row>
    <row r="163" spans="1:17" x14ac:dyDescent="0.25">
      <c r="A163" s="6" t="s">
        <v>736</v>
      </c>
      <c r="B163" s="37" t="s">
        <v>1224</v>
      </c>
      <c r="C163" s="72">
        <f>IFERROR(VLOOKUP(A163,[1]eco_bus_institutions!B:E,2,0),"")</f>
        <v>42</v>
      </c>
      <c r="D163" s="72">
        <f>IFERROR(VLOOKUP(A163,[1]eco_bus_institutions!B:E,4,0),"")</f>
        <v>2.54097276000424</v>
      </c>
      <c r="E163" s="73">
        <f t="shared" si="10"/>
        <v>126</v>
      </c>
      <c r="F163" s="40">
        <f>IFERROR(VLOOKUP(A163,[1]eco_institutions!B:D,2,0),"")</f>
        <v>13</v>
      </c>
      <c r="G163" s="40">
        <f>IFERROR(VLOOKUP(A163,[1]eco_institutions!B:E,4,0),"")</f>
        <v>1.8573187107916169</v>
      </c>
      <c r="H163" s="14">
        <f t="shared" si="11"/>
        <v>178</v>
      </c>
      <c r="I163" s="46" t="str">
        <f>IFERROR(VLOOKUP(A163,[1]fin_institutions!B:D,2,0),"")</f>
        <v/>
      </c>
      <c r="J163" s="41" t="str">
        <f>IFERROR(VLOOKUP(A163,[1]fin_institutions!B:E,4,0),"")</f>
        <v/>
      </c>
      <c r="K163" s="41" t="str">
        <f t="shared" si="12"/>
        <v/>
      </c>
      <c r="L163" s="56">
        <f>IFERROR(VLOOKUP(A163,[1]bus_institutions!B:D,2,0),"")</f>
        <v>15</v>
      </c>
      <c r="M163" s="42">
        <f>IFERROR(VLOOKUP(A163,[1]bus_institutions!B:E,4,0),"")</f>
        <v>3.261288974501392</v>
      </c>
      <c r="N163" s="23">
        <f t="shared" si="13"/>
        <v>90</v>
      </c>
      <c r="O163" s="61">
        <f>IFERROR(VLOOKUP(A163,[1]man_institutions!B:E,2,0),"")</f>
        <v>17</v>
      </c>
      <c r="P163" s="62">
        <f>IFERROR(VLOOKUP(A163,[1]man_institutions!B:E,4,0),"")</f>
        <v>3.6832050935193319</v>
      </c>
      <c r="Q163" s="63">
        <f t="shared" si="14"/>
        <v>103</v>
      </c>
    </row>
    <row r="164" spans="1:17" x14ac:dyDescent="0.25">
      <c r="A164" s="6" t="s">
        <v>792</v>
      </c>
      <c r="B164" s="37" t="s">
        <v>1239</v>
      </c>
      <c r="C164" s="72">
        <f>IFERROR(VLOOKUP(A164,[1]eco_bus_institutions!B:E,2,0),"")</f>
        <v>50</v>
      </c>
      <c r="D164" s="72">
        <f>IFERROR(VLOOKUP(A164,[1]eco_bus_institutions!B:E,4,0),"")</f>
        <v>2.5137447765712162</v>
      </c>
      <c r="E164" s="73">
        <f t="shared" si="10"/>
        <v>130</v>
      </c>
      <c r="F164" s="40">
        <f>IFERROR(VLOOKUP(A164,[1]eco_institutions!B:D,2,0),"")</f>
        <v>35</v>
      </c>
      <c r="G164" s="40">
        <f>IFERROR(VLOOKUP(A164,[1]eco_institutions!B:E,4,0),"")</f>
        <v>2.3860941333866181</v>
      </c>
      <c r="H164" s="14">
        <f t="shared" si="11"/>
        <v>90</v>
      </c>
      <c r="I164" s="46">
        <f>IFERROR(VLOOKUP(A164,[1]fin_institutions!B:D,2,0),"")</f>
        <v>6</v>
      </c>
      <c r="J164" s="41">
        <f>IFERROR(VLOOKUP(A164,[1]fin_institutions!B:E,4,0),"")</f>
        <v>1.2053210943444701</v>
      </c>
      <c r="K164" s="41">
        <f t="shared" si="12"/>
        <v>462</v>
      </c>
      <c r="L164" s="56">
        <f>IFERROR(VLOOKUP(A164,[1]bus_institutions!B:D,2,0),"")</f>
        <v>11</v>
      </c>
      <c r="M164" s="42">
        <f>IFERROR(VLOOKUP(A164,[1]bus_institutions!B:E,4,0),"")</f>
        <v>3.1634062033746488</v>
      </c>
      <c r="N164" s="23">
        <f t="shared" si="13"/>
        <v>98</v>
      </c>
      <c r="O164" s="61">
        <f>IFERROR(VLOOKUP(A164,[1]man_institutions!B:E,2,0),"")</f>
        <v>13</v>
      </c>
      <c r="P164" s="62">
        <f>IFERROR(VLOOKUP(A164,[1]man_institutions!B:E,4,0),"")</f>
        <v>3.1075666600875609</v>
      </c>
      <c r="Q164" s="63">
        <f t="shared" si="14"/>
        <v>180</v>
      </c>
    </row>
    <row r="165" spans="1:17" x14ac:dyDescent="0.25">
      <c r="A165" s="6" t="s">
        <v>821</v>
      </c>
      <c r="B165" s="37" t="s">
        <v>1223</v>
      </c>
      <c r="C165" s="72">
        <f>IFERROR(VLOOKUP(A165,[1]eco_bus_institutions!B:E,2,0),"")</f>
        <v>133</v>
      </c>
      <c r="D165" s="72">
        <f>IFERROR(VLOOKUP(A165,[1]eco_bus_institutions!B:E,4,0),"")</f>
        <v>2.1682508453708</v>
      </c>
      <c r="E165" s="73">
        <f t="shared" si="10"/>
        <v>206</v>
      </c>
      <c r="F165" s="40">
        <f>IFERROR(VLOOKUP(A165,[1]eco_institutions!B:D,2,0),"")</f>
        <v>43</v>
      </c>
      <c r="G165" s="40">
        <f>IFERROR(VLOOKUP(A165,[1]eco_institutions!B:E,4,0),"")</f>
        <v>1.8806202067443469</v>
      </c>
      <c r="H165" s="14">
        <f t="shared" si="11"/>
        <v>175</v>
      </c>
      <c r="I165" s="46">
        <f>IFERROR(VLOOKUP(A165,[1]fin_institutions!B:D,2,0),"")</f>
        <v>37</v>
      </c>
      <c r="J165" s="41">
        <f>IFERROR(VLOOKUP(A165,[1]fin_institutions!B:E,4,0),"")</f>
        <v>2.7637498495851589</v>
      </c>
      <c r="K165" s="41">
        <f t="shared" si="12"/>
        <v>80</v>
      </c>
      <c r="L165" s="56">
        <f>IFERROR(VLOOKUP(A165,[1]bus_institutions!B:D,2,0),"")</f>
        <v>47</v>
      </c>
      <c r="M165" s="42">
        <f>IFERROR(VLOOKUP(A165,[1]bus_institutions!B:E,4,0),"")</f>
        <v>2.031448697113571</v>
      </c>
      <c r="N165" s="23">
        <f t="shared" si="13"/>
        <v>313</v>
      </c>
      <c r="O165" s="61">
        <f>IFERROR(VLOOKUP(A165,[1]man_institutions!B:E,2,0),"")</f>
        <v>38</v>
      </c>
      <c r="P165" s="62">
        <f>IFERROR(VLOOKUP(A165,[1]man_institutions!B:E,4,0),"")</f>
        <v>2.4399313862512941</v>
      </c>
      <c r="Q165" s="63">
        <f t="shared" si="14"/>
        <v>290</v>
      </c>
    </row>
    <row r="166" spans="1:17" x14ac:dyDescent="0.25">
      <c r="A166" s="6" t="s">
        <v>797</v>
      </c>
      <c r="B166" s="37" t="s">
        <v>1216</v>
      </c>
      <c r="C166" s="72">
        <f>IFERROR(VLOOKUP(A166,[1]eco_bus_institutions!B:E,2,0),"")</f>
        <v>226</v>
      </c>
      <c r="D166" s="72">
        <f>IFERROR(VLOOKUP(A166,[1]eco_bus_institutions!B:E,4,0),"")</f>
        <v>2.520873751712613</v>
      </c>
      <c r="E166" s="73">
        <f t="shared" si="10"/>
        <v>129</v>
      </c>
      <c r="F166" s="40">
        <f>IFERROR(VLOOKUP(A166,[1]eco_institutions!B:D,2,0),"")</f>
        <v>153</v>
      </c>
      <c r="G166" s="40">
        <f>IFERROR(VLOOKUP(A166,[1]eco_institutions!B:E,4,0),"")</f>
        <v>2.0047956610639739</v>
      </c>
      <c r="H166" s="14">
        <f t="shared" si="11"/>
        <v>149</v>
      </c>
      <c r="I166" s="46">
        <f>IFERROR(VLOOKUP(A166,[1]fin_institutions!B:D,2,0),"")</f>
        <v>54</v>
      </c>
      <c r="J166" s="41">
        <f>IFERROR(VLOOKUP(A166,[1]fin_institutions!B:E,4,0),"")</f>
        <v>1.5758778913714571</v>
      </c>
      <c r="K166" s="41">
        <f t="shared" si="12"/>
        <v>258</v>
      </c>
      <c r="L166" s="56">
        <f>IFERROR(VLOOKUP(A166,[1]bus_institutions!B:D,2,0),"")</f>
        <v>27</v>
      </c>
      <c r="M166" s="42">
        <f>IFERROR(VLOOKUP(A166,[1]bus_institutions!B:E,4,0),"")</f>
        <v>4.7368347469570047</v>
      </c>
      <c r="N166" s="23">
        <f t="shared" si="13"/>
        <v>19</v>
      </c>
      <c r="O166" s="61">
        <f>IFERROR(VLOOKUP(A166,[1]man_institutions!B:E,2,0),"")</f>
        <v>29</v>
      </c>
      <c r="P166" s="62">
        <f>IFERROR(VLOOKUP(A166,[1]man_institutions!B:E,4,0),"")</f>
        <v>8</v>
      </c>
      <c r="Q166" s="63">
        <f t="shared" si="14"/>
        <v>1</v>
      </c>
    </row>
    <row r="167" spans="1:17" x14ac:dyDescent="0.25">
      <c r="A167" s="6" t="s">
        <v>744</v>
      </c>
      <c r="B167" s="37" t="s">
        <v>1218</v>
      </c>
      <c r="C167" s="72">
        <f>IFERROR(VLOOKUP(A167,[1]eco_bus_institutions!B:E,2,0),"")</f>
        <v>76</v>
      </c>
      <c r="D167" s="72">
        <f>IFERROR(VLOOKUP(A167,[1]eco_bus_institutions!B:E,4,0),"")</f>
        <v>2.0727626040441112</v>
      </c>
      <c r="E167" s="73">
        <f t="shared" si="10"/>
        <v>242</v>
      </c>
      <c r="F167" s="40">
        <f>IFERROR(VLOOKUP(A167,[1]eco_institutions!B:D,2,0),"")</f>
        <v>22</v>
      </c>
      <c r="G167" s="40">
        <f>IFERROR(VLOOKUP(A167,[1]eco_institutions!B:E,4,0),"")</f>
        <v>1.1662258274687101</v>
      </c>
      <c r="H167" s="14">
        <f t="shared" si="11"/>
        <v>535</v>
      </c>
      <c r="I167" s="46">
        <f>IFERROR(VLOOKUP(A167,[1]fin_institutions!B:D,2,0),"")</f>
        <v>20</v>
      </c>
      <c r="J167" s="41">
        <f>IFERROR(VLOOKUP(A167,[1]fin_institutions!B:E,4,0),"")</f>
        <v>1.4036893035579201</v>
      </c>
      <c r="K167" s="41">
        <f t="shared" si="12"/>
        <v>337</v>
      </c>
      <c r="L167" s="56">
        <f>IFERROR(VLOOKUP(A167,[1]bus_institutions!B:D,2,0),"")</f>
        <v>33</v>
      </c>
      <c r="M167" s="42">
        <f>IFERROR(VLOOKUP(A167,[1]bus_institutions!B:E,4,0),"")</f>
        <v>2.7704802858973561</v>
      </c>
      <c r="N167" s="23">
        <f t="shared" si="13"/>
        <v>142</v>
      </c>
      <c r="O167" s="61">
        <f>IFERROR(VLOOKUP(A167,[1]man_institutions!B:E,2,0),"")</f>
        <v>28</v>
      </c>
      <c r="P167" s="62">
        <f>IFERROR(VLOOKUP(A167,[1]man_institutions!B:E,4,0),"")</f>
        <v>2.4595959811003691</v>
      </c>
      <c r="Q167" s="63">
        <f t="shared" si="14"/>
        <v>285</v>
      </c>
    </row>
    <row r="168" spans="1:17" x14ac:dyDescent="0.25">
      <c r="A168" s="78" t="s">
        <v>2111</v>
      </c>
      <c r="B168" s="37" t="s">
        <v>1218</v>
      </c>
      <c r="C168" s="72">
        <f>IFERROR(VLOOKUP(A168,[1]eco_bus_institutions!B:E,2,0),"")</f>
        <v>76</v>
      </c>
      <c r="D168" s="72">
        <f>IFERROR(VLOOKUP(A168,[1]eco_bus_institutions!B:E,4,0),"")</f>
        <v>1.266332901159392</v>
      </c>
      <c r="E168" s="73">
        <f t="shared" si="10"/>
        <v>566</v>
      </c>
      <c r="F168" s="40">
        <f>IFERROR(VLOOKUP(A168,[1]eco_institutions!B:D,2,0),"")</f>
        <v>23</v>
      </c>
      <c r="G168" s="40">
        <f>IFERROR(VLOOKUP(A168,[1]eco_institutions!B:E,4,0),"")</f>
        <v>1.2789417057032131</v>
      </c>
      <c r="H168" s="14">
        <f t="shared" si="11"/>
        <v>451</v>
      </c>
      <c r="I168" s="46" t="str">
        <f>IFERROR(VLOOKUP(A168,[1]fin_institutions!B:D,2,0),"")</f>
        <v/>
      </c>
      <c r="J168" s="41" t="str">
        <f>IFERROR(VLOOKUP(A168,[1]fin_institutions!B:E,4,0),"")</f>
        <v/>
      </c>
      <c r="K168" s="41" t="str">
        <f t="shared" si="12"/>
        <v/>
      </c>
      <c r="L168" s="56">
        <f>IFERROR(VLOOKUP(A168,[1]bus_institutions!B:D,2,0),"")</f>
        <v>7</v>
      </c>
      <c r="M168" s="42">
        <f>IFERROR(VLOOKUP(A168,[1]bus_institutions!B:E,4,0),"")</f>
        <v>1.92190112420128</v>
      </c>
      <c r="N168" s="23">
        <f t="shared" si="13"/>
        <v>345</v>
      </c>
      <c r="O168" s="61">
        <f>IFERROR(VLOOKUP(A168,[1]man_institutions!B:E,2,0),"")</f>
        <v>8</v>
      </c>
      <c r="P168" s="62">
        <f>IFERROR(VLOOKUP(A168,[1]man_institutions!B:E,4,0),"")</f>
        <v>3.5762349742734481</v>
      </c>
      <c r="Q168" s="63">
        <f t="shared" si="14"/>
        <v>115</v>
      </c>
    </row>
    <row r="169" spans="1:17" x14ac:dyDescent="0.25">
      <c r="A169" s="6" t="s">
        <v>816</v>
      </c>
      <c r="B169" s="37" t="s">
        <v>1216</v>
      </c>
      <c r="C169" s="72">
        <f>IFERROR(VLOOKUP(A169,[1]eco_bus_institutions!B:E,2,0),"")</f>
        <v>89</v>
      </c>
      <c r="D169" s="72">
        <f>IFERROR(VLOOKUP(A169,[1]eco_bus_institutions!B:E,4,0),"")</f>
        <v>1.9844397521545301</v>
      </c>
      <c r="E169" s="73">
        <f t="shared" si="10"/>
        <v>271</v>
      </c>
      <c r="F169" s="40">
        <f>IFERROR(VLOOKUP(A169,[1]eco_institutions!B:D,2,0),"")</f>
        <v>27</v>
      </c>
      <c r="G169" s="40">
        <f>IFERROR(VLOOKUP(A169,[1]eco_institutions!B:E,4,0),"")</f>
        <v>1.6493219871837701</v>
      </c>
      <c r="H169" s="14">
        <f t="shared" si="11"/>
        <v>242</v>
      </c>
      <c r="I169" s="46">
        <f>IFERROR(VLOOKUP(A169,[1]fin_institutions!B:D,2,0),"")</f>
        <v>16</v>
      </c>
      <c r="J169" s="41">
        <f>IFERROR(VLOOKUP(A169,[1]fin_institutions!B:E,4,0),"")</f>
        <v>1.278565352366039</v>
      </c>
      <c r="K169" s="41">
        <f t="shared" si="12"/>
        <v>407</v>
      </c>
      <c r="L169" s="56">
        <f>IFERROR(VLOOKUP(A169,[1]bus_institutions!B:D,2,0),"")</f>
        <v>39</v>
      </c>
      <c r="M169" s="42">
        <f>IFERROR(VLOOKUP(A169,[1]bus_institutions!B:E,4,0),"")</f>
        <v>2.2819712459100052</v>
      </c>
      <c r="N169" s="23">
        <f t="shared" si="13"/>
        <v>247</v>
      </c>
      <c r="O169" s="61">
        <f>IFERROR(VLOOKUP(A169,[1]man_institutions!B:E,2,0),"")</f>
        <v>28</v>
      </c>
      <c r="P169" s="62">
        <f>IFERROR(VLOOKUP(A169,[1]man_institutions!B:E,4,0),"")</f>
        <v>2.824721578554398</v>
      </c>
      <c r="Q169" s="63">
        <f t="shared" si="14"/>
        <v>215</v>
      </c>
    </row>
    <row r="170" spans="1:17" x14ac:dyDescent="0.25">
      <c r="A170" s="6" t="s">
        <v>760</v>
      </c>
      <c r="B170" s="37" t="s">
        <v>1236</v>
      </c>
      <c r="C170" s="72">
        <f>IFERROR(VLOOKUP(A170,[1]eco_bus_institutions!B:E,2,0),"")</f>
        <v>140</v>
      </c>
      <c r="D170" s="72">
        <f>IFERROR(VLOOKUP(A170,[1]eco_bus_institutions!B:E,4,0),"")</f>
        <v>2.1365444534931868</v>
      </c>
      <c r="E170" s="73">
        <f t="shared" si="10"/>
        <v>218</v>
      </c>
      <c r="F170" s="40">
        <f>IFERROR(VLOOKUP(A170,[1]eco_institutions!B:D,2,0),"")</f>
        <v>30</v>
      </c>
      <c r="G170" s="40">
        <f>IFERROR(VLOOKUP(A170,[1]eco_institutions!B:E,4,0),"")</f>
        <v>1.4972351432807121</v>
      </c>
      <c r="H170" s="14">
        <f t="shared" si="11"/>
        <v>305</v>
      </c>
      <c r="I170" s="46">
        <f>IFERROR(VLOOKUP(A170,[1]fin_institutions!B:D,2,0),"")</f>
        <v>22</v>
      </c>
      <c r="J170" s="41">
        <f>IFERROR(VLOOKUP(A170,[1]fin_institutions!B:E,4,0),"")</f>
        <v>1.4251201377426199</v>
      </c>
      <c r="K170" s="41">
        <f t="shared" si="12"/>
        <v>325</v>
      </c>
      <c r="L170" s="56">
        <f>IFERROR(VLOOKUP(A170,[1]bus_institutions!B:D,2,0),"")</f>
        <v>70</v>
      </c>
      <c r="M170" s="42">
        <f>IFERROR(VLOOKUP(A170,[1]bus_institutions!B:E,4,0),"")</f>
        <v>2.390935768630007</v>
      </c>
      <c r="N170" s="23">
        <f t="shared" si="13"/>
        <v>222</v>
      </c>
      <c r="O170" s="61">
        <f>IFERROR(VLOOKUP(A170,[1]man_institutions!B:E,2,0),"")</f>
        <v>42</v>
      </c>
      <c r="P170" s="62">
        <f>IFERROR(VLOOKUP(A170,[1]man_institutions!B:E,4,0),"")</f>
        <v>3.4167818206350331</v>
      </c>
      <c r="Q170" s="63">
        <f t="shared" si="14"/>
        <v>138</v>
      </c>
    </row>
    <row r="171" spans="1:17" x14ac:dyDescent="0.25">
      <c r="A171" s="6" t="s">
        <v>750</v>
      </c>
      <c r="B171" s="37" t="s">
        <v>1216</v>
      </c>
      <c r="C171" s="72">
        <f>IFERROR(VLOOKUP(A171,[1]eco_bus_institutions!B:E,2,0),"")</f>
        <v>160</v>
      </c>
      <c r="D171" s="72">
        <f>IFERROR(VLOOKUP(A171,[1]eco_bus_institutions!B:E,4,0),"")</f>
        <v>2.2694552487700541</v>
      </c>
      <c r="E171" s="73">
        <f t="shared" si="10"/>
        <v>175</v>
      </c>
      <c r="F171" s="40">
        <f>IFERROR(VLOOKUP(A171,[1]eco_institutions!B:D,2,0),"")</f>
        <v>61</v>
      </c>
      <c r="G171" s="40">
        <f>IFERROR(VLOOKUP(A171,[1]eco_institutions!B:E,4,0),"")</f>
        <v>1.8023645775377439</v>
      </c>
      <c r="H171" s="14">
        <f t="shared" si="11"/>
        <v>194</v>
      </c>
      <c r="I171" s="46">
        <f>IFERROR(VLOOKUP(A171,[1]fin_institutions!B:D,2,0),"")</f>
        <v>27</v>
      </c>
      <c r="J171" s="41">
        <f>IFERROR(VLOOKUP(A171,[1]fin_institutions!B:E,4,0),"")</f>
        <v>1.96071881425532</v>
      </c>
      <c r="K171" s="41">
        <f t="shared" si="12"/>
        <v>164</v>
      </c>
      <c r="L171" s="56">
        <f>IFERROR(VLOOKUP(A171,[1]bus_institutions!B:D,2,0),"")</f>
        <v>59</v>
      </c>
      <c r="M171" s="42">
        <f>IFERROR(VLOOKUP(A171,[1]bus_institutions!B:E,4,0),"")</f>
        <v>2.6849911283513892</v>
      </c>
      <c r="N171" s="23">
        <f t="shared" si="13"/>
        <v>155</v>
      </c>
      <c r="O171" s="61">
        <f>IFERROR(VLOOKUP(A171,[1]man_institutions!B:E,2,0),"")</f>
        <v>61</v>
      </c>
      <c r="P171" s="62">
        <f>IFERROR(VLOOKUP(A171,[1]man_institutions!B:E,4,0),"")</f>
        <v>2.6200326548441319</v>
      </c>
      <c r="Q171" s="63">
        <f t="shared" si="14"/>
        <v>249</v>
      </c>
    </row>
    <row r="172" spans="1:17" x14ac:dyDescent="0.25">
      <c r="A172" s="6" t="s">
        <v>802</v>
      </c>
      <c r="B172" s="37" t="s">
        <v>1234</v>
      </c>
      <c r="C172" s="72">
        <f>IFERROR(VLOOKUP(A172,[1]eco_bus_institutions!B:E,2,0),"")</f>
        <v>69</v>
      </c>
      <c r="D172" s="72">
        <f>IFERROR(VLOOKUP(A172,[1]eco_bus_institutions!B:E,4,0),"")</f>
        <v>2.036599160766595</v>
      </c>
      <c r="E172" s="73">
        <f t="shared" si="10"/>
        <v>251</v>
      </c>
      <c r="F172" s="40">
        <f>IFERROR(VLOOKUP(A172,[1]eco_institutions!B:D,2,0),"")</f>
        <v>24</v>
      </c>
      <c r="G172" s="40">
        <f>IFERROR(VLOOKUP(A172,[1]eco_institutions!B:E,4,0),"")</f>
        <v>1.6246497679298859</v>
      </c>
      <c r="H172" s="14">
        <f t="shared" si="11"/>
        <v>253</v>
      </c>
      <c r="I172" s="46">
        <f>IFERROR(VLOOKUP(A172,[1]fin_institutions!B:D,2,0),"")</f>
        <v>14</v>
      </c>
      <c r="J172" s="41">
        <f>IFERROR(VLOOKUP(A172,[1]fin_institutions!B:E,4,0),"")</f>
        <v>1.575015567502339</v>
      </c>
      <c r="K172" s="41">
        <f t="shared" si="12"/>
        <v>259</v>
      </c>
      <c r="L172" s="56">
        <f>IFERROR(VLOOKUP(A172,[1]bus_institutions!B:D,2,0),"")</f>
        <v>24</v>
      </c>
      <c r="M172" s="42">
        <f>IFERROR(VLOOKUP(A172,[1]bus_institutions!B:E,4,0),"")</f>
        <v>2.2584335663346589</v>
      </c>
      <c r="N172" s="23">
        <f t="shared" si="13"/>
        <v>254</v>
      </c>
      <c r="O172" s="61">
        <f>IFERROR(VLOOKUP(A172,[1]man_institutions!B:E,2,0),"")</f>
        <v>19</v>
      </c>
      <c r="P172" s="62">
        <f>IFERROR(VLOOKUP(A172,[1]man_institutions!B:E,4,0),"")</f>
        <v>2.531159943327506</v>
      </c>
      <c r="Q172" s="63">
        <f t="shared" si="14"/>
        <v>267</v>
      </c>
    </row>
    <row r="173" spans="1:17" x14ac:dyDescent="0.25">
      <c r="A173" s="6" t="s">
        <v>843</v>
      </c>
      <c r="B173" s="37" t="s">
        <v>1218</v>
      </c>
      <c r="C173" s="72">
        <f>IFERROR(VLOOKUP(A173,[1]eco_bus_institutions!B:E,2,0),"")</f>
        <v>78</v>
      </c>
      <c r="D173" s="72">
        <f>IFERROR(VLOOKUP(A173,[1]eco_bus_institutions!B:E,4,0),"")</f>
        <v>1.85652950035361</v>
      </c>
      <c r="E173" s="73">
        <f t="shared" si="10"/>
        <v>319</v>
      </c>
      <c r="F173" s="40">
        <f>IFERROR(VLOOKUP(A173,[1]eco_institutions!B:D,2,0),"")</f>
        <v>10</v>
      </c>
      <c r="G173" s="40">
        <f>IFERROR(VLOOKUP(A173,[1]eco_institutions!B:E,4,0),"")</f>
        <v>1.2869307499475491</v>
      </c>
      <c r="H173" s="14">
        <f t="shared" si="11"/>
        <v>447</v>
      </c>
      <c r="I173" s="46">
        <f>IFERROR(VLOOKUP(A173,[1]fin_institutions!B:D,2,0),"")</f>
        <v>4</v>
      </c>
      <c r="J173" s="41">
        <f>IFERROR(VLOOKUP(A173,[1]fin_institutions!B:E,4,0),"")</f>
        <v>1.091116753476298</v>
      </c>
      <c r="K173" s="41">
        <f t="shared" si="12"/>
        <v>531</v>
      </c>
      <c r="L173" s="56">
        <f>IFERROR(VLOOKUP(A173,[1]bus_institutions!B:D,2,0),"")</f>
        <v>50</v>
      </c>
      <c r="M173" s="42">
        <f>IFERROR(VLOOKUP(A173,[1]bus_institutions!B:E,4,0),"")</f>
        <v>2.0463716304633812</v>
      </c>
      <c r="N173" s="23">
        <f t="shared" si="13"/>
        <v>312</v>
      </c>
      <c r="O173" s="61">
        <f>IFERROR(VLOOKUP(A173,[1]man_institutions!B:E,2,0),"")</f>
        <v>34</v>
      </c>
      <c r="P173" s="62">
        <f>IFERROR(VLOOKUP(A173,[1]man_institutions!B:E,4,0),"")</f>
        <v>2.3490042655965002</v>
      </c>
      <c r="Q173" s="63">
        <f t="shared" si="14"/>
        <v>311</v>
      </c>
    </row>
    <row r="174" spans="1:17" x14ac:dyDescent="0.25">
      <c r="A174" s="6" t="s">
        <v>780</v>
      </c>
      <c r="B174" s="37" t="s">
        <v>1216</v>
      </c>
      <c r="C174" s="72">
        <f>IFERROR(VLOOKUP(A174,[1]eco_bus_institutions!B:E,2,0),"")</f>
        <v>128</v>
      </c>
      <c r="D174" s="72">
        <f>IFERROR(VLOOKUP(A174,[1]eco_bus_institutions!B:E,4,0),"")</f>
        <v>1.959686289131356</v>
      </c>
      <c r="E174" s="73">
        <f t="shared" si="10"/>
        <v>283</v>
      </c>
      <c r="F174" s="40">
        <f>IFERROR(VLOOKUP(A174,[1]eco_institutions!B:D,2,0),"")</f>
        <v>45</v>
      </c>
      <c r="G174" s="40">
        <f>IFERROR(VLOOKUP(A174,[1]eco_institutions!B:E,4,0),"")</f>
        <v>1.518167430919062</v>
      </c>
      <c r="H174" s="14">
        <f t="shared" si="11"/>
        <v>292</v>
      </c>
      <c r="I174" s="46">
        <f>IFERROR(VLOOKUP(A174,[1]fin_institutions!B:D,2,0),"")</f>
        <v>46</v>
      </c>
      <c r="J174" s="41">
        <f>IFERROR(VLOOKUP(A174,[1]fin_institutions!B:E,4,0),"")</f>
        <v>1.6928517696473571</v>
      </c>
      <c r="K174" s="41">
        <f t="shared" si="12"/>
        <v>223</v>
      </c>
      <c r="L174" s="56">
        <f>IFERROR(VLOOKUP(A174,[1]bus_institutions!B:D,2,0),"")</f>
        <v>36</v>
      </c>
      <c r="M174" s="42">
        <f>IFERROR(VLOOKUP(A174,[1]bus_institutions!B:E,4,0),"")</f>
        <v>2.154808409798104</v>
      </c>
      <c r="N174" s="23">
        <f t="shared" si="13"/>
        <v>281</v>
      </c>
      <c r="O174" s="61">
        <f>IFERROR(VLOOKUP(A174,[1]man_institutions!B:E,2,0),"")</f>
        <v>37</v>
      </c>
      <c r="P174" s="62">
        <f>IFERROR(VLOOKUP(A174,[1]man_institutions!B:E,4,0),"")</f>
        <v>2.612864881749045</v>
      </c>
      <c r="Q174" s="63">
        <f t="shared" si="14"/>
        <v>251</v>
      </c>
    </row>
    <row r="175" spans="1:17" x14ac:dyDescent="0.25">
      <c r="A175" s="6" t="s">
        <v>829</v>
      </c>
      <c r="B175" s="37" t="s">
        <v>1217</v>
      </c>
      <c r="C175" s="72">
        <f>IFERROR(VLOOKUP(A175,[1]eco_bus_institutions!B:E,2,0),"")</f>
        <v>69</v>
      </c>
      <c r="D175" s="72">
        <f>IFERROR(VLOOKUP(A175,[1]eco_bus_institutions!B:E,4,0),"")</f>
        <v>2.1931929194568718</v>
      </c>
      <c r="E175" s="73">
        <f t="shared" si="10"/>
        <v>201</v>
      </c>
      <c r="F175" s="40">
        <f>IFERROR(VLOOKUP(A175,[1]eco_institutions!B:D,2,0),"")</f>
        <v>37</v>
      </c>
      <c r="G175" s="40">
        <f>IFERROR(VLOOKUP(A175,[1]eco_institutions!B:E,4,0),"")</f>
        <v>1.4866010148353881</v>
      </c>
      <c r="H175" s="14">
        <f t="shared" si="11"/>
        <v>310</v>
      </c>
      <c r="I175" s="46">
        <f>IFERROR(VLOOKUP(A175,[1]fin_institutions!B:D,2,0),"")</f>
        <v>14</v>
      </c>
      <c r="J175" s="41">
        <f>IFERROR(VLOOKUP(A175,[1]fin_institutions!B:E,4,0),"")</f>
        <v>1.432259425988375</v>
      </c>
      <c r="K175" s="41">
        <f t="shared" si="12"/>
        <v>317</v>
      </c>
      <c r="L175" s="56">
        <f>IFERROR(VLOOKUP(A175,[1]bus_institutions!B:D,2,0),"")</f>
        <v>21</v>
      </c>
      <c r="M175" s="42">
        <f>IFERROR(VLOOKUP(A175,[1]bus_institutions!B:E,4,0),"")</f>
        <v>3.418749734431445</v>
      </c>
      <c r="N175" s="23">
        <f t="shared" si="13"/>
        <v>74</v>
      </c>
      <c r="O175" s="61">
        <f>IFERROR(VLOOKUP(A175,[1]man_institutions!B:E,2,0),"")</f>
        <v>21</v>
      </c>
      <c r="P175" s="62">
        <f>IFERROR(VLOOKUP(A175,[1]man_institutions!B:E,4,0),"")</f>
        <v>4.1146022414534507</v>
      </c>
      <c r="Q175" s="63">
        <f t="shared" si="14"/>
        <v>71</v>
      </c>
    </row>
    <row r="176" spans="1:17" x14ac:dyDescent="0.25">
      <c r="A176" s="6" t="s">
        <v>732</v>
      </c>
      <c r="B176" s="37" t="s">
        <v>1216</v>
      </c>
      <c r="C176" s="72">
        <f>IFERROR(VLOOKUP(A176,[1]eco_bus_institutions!B:E,2,0),"")</f>
        <v>131</v>
      </c>
      <c r="D176" s="72">
        <f>IFERROR(VLOOKUP(A176,[1]eco_bus_institutions!B:E,4,0),"")</f>
        <v>2.254782141381412</v>
      </c>
      <c r="E176" s="73">
        <f t="shared" si="10"/>
        <v>181</v>
      </c>
      <c r="F176" s="40">
        <f>IFERROR(VLOOKUP(A176,[1]eco_institutions!B:D,2,0),"")</f>
        <v>40</v>
      </c>
      <c r="G176" s="40">
        <f>IFERROR(VLOOKUP(A176,[1]eco_institutions!B:E,4,0),"")</f>
        <v>1.3760697762986469</v>
      </c>
      <c r="H176" s="14">
        <f t="shared" si="11"/>
        <v>383</v>
      </c>
      <c r="I176" s="46">
        <f>IFERROR(VLOOKUP(A176,[1]fin_institutions!B:D,2,0),"")</f>
        <v>29</v>
      </c>
      <c r="J176" s="41">
        <f>IFERROR(VLOOKUP(A176,[1]fin_institutions!B:E,4,0),"")</f>
        <v>1.4219550192899311</v>
      </c>
      <c r="K176" s="41">
        <f t="shared" si="12"/>
        <v>327</v>
      </c>
      <c r="L176" s="56">
        <f>IFERROR(VLOOKUP(A176,[1]bus_institutions!B:D,2,0),"")</f>
        <v>55</v>
      </c>
      <c r="M176" s="42">
        <f>IFERROR(VLOOKUP(A176,[1]bus_institutions!B:E,4,0),"")</f>
        <v>2.7507932815933112</v>
      </c>
      <c r="N176" s="23">
        <f t="shared" si="13"/>
        <v>147</v>
      </c>
      <c r="O176" s="61">
        <f>IFERROR(VLOOKUP(A176,[1]man_institutions!B:E,2,0),"")</f>
        <v>60</v>
      </c>
      <c r="P176" s="62">
        <f>IFERROR(VLOOKUP(A176,[1]man_institutions!B:E,4,0),"")</f>
        <v>3.493228506010523</v>
      </c>
      <c r="Q176" s="63">
        <f t="shared" si="14"/>
        <v>125</v>
      </c>
    </row>
    <row r="177" spans="1:17" x14ac:dyDescent="0.25">
      <c r="A177" s="6" t="s">
        <v>755</v>
      </c>
      <c r="B177" s="37" t="s">
        <v>1216</v>
      </c>
      <c r="C177" s="72">
        <f>IFERROR(VLOOKUP(A177,[1]eco_bus_institutions!B:E,2,0),"")</f>
        <v>140</v>
      </c>
      <c r="D177" s="72">
        <f>IFERROR(VLOOKUP(A177,[1]eco_bus_institutions!B:E,4,0),"")</f>
        <v>2.0418864349131032</v>
      </c>
      <c r="E177" s="73">
        <f t="shared" si="10"/>
        <v>250</v>
      </c>
      <c r="F177" s="40">
        <f>IFERROR(VLOOKUP(A177,[1]eco_institutions!B:D,2,0),"")</f>
        <v>47</v>
      </c>
      <c r="G177" s="40">
        <f>IFERROR(VLOOKUP(A177,[1]eco_institutions!B:E,4,0),"")</f>
        <v>1.440898744687318</v>
      </c>
      <c r="H177" s="14">
        <f t="shared" si="11"/>
        <v>334</v>
      </c>
      <c r="I177" s="46">
        <f>IFERROR(VLOOKUP(A177,[1]fin_institutions!B:D,2,0),"")</f>
        <v>25</v>
      </c>
      <c r="J177" s="41">
        <f>IFERROR(VLOOKUP(A177,[1]fin_institutions!B:E,4,0),"")</f>
        <v>1.297790759107776</v>
      </c>
      <c r="K177" s="41">
        <f t="shared" si="12"/>
        <v>395</v>
      </c>
      <c r="L177" s="56">
        <f>IFERROR(VLOOKUP(A177,[1]bus_institutions!B:D,2,0),"")</f>
        <v>53</v>
      </c>
      <c r="M177" s="42">
        <f>IFERROR(VLOOKUP(A177,[1]bus_institutions!B:E,4,0),"")</f>
        <v>2.4875865184682748</v>
      </c>
      <c r="N177" s="23">
        <f t="shared" si="13"/>
        <v>189</v>
      </c>
      <c r="O177" s="61">
        <f>IFERROR(VLOOKUP(A177,[1]man_institutions!B:E,2,0),"")</f>
        <v>63</v>
      </c>
      <c r="P177" s="62">
        <f>IFERROR(VLOOKUP(A177,[1]man_institutions!B:E,4,0),"")</f>
        <v>3.0647285657029402</v>
      </c>
      <c r="Q177" s="63">
        <f t="shared" si="14"/>
        <v>185</v>
      </c>
    </row>
    <row r="178" spans="1:17" x14ac:dyDescent="0.25">
      <c r="A178" s="6" t="s">
        <v>743</v>
      </c>
      <c r="B178" s="37" t="s">
        <v>1218</v>
      </c>
      <c r="C178" s="72">
        <f>IFERROR(VLOOKUP(A178,[1]eco_bus_institutions!B:E,2,0),"")</f>
        <v>49</v>
      </c>
      <c r="D178" s="72">
        <f>IFERROR(VLOOKUP(A178,[1]eco_bus_institutions!B:E,4,0),"")</f>
        <v>2.2292927599935499</v>
      </c>
      <c r="E178" s="73">
        <f t="shared" si="10"/>
        <v>190</v>
      </c>
      <c r="F178" s="40">
        <f>IFERROR(VLOOKUP(A178,[1]eco_institutions!B:D,2,0),"")</f>
        <v>10</v>
      </c>
      <c r="G178" s="40">
        <f>IFERROR(VLOOKUP(A178,[1]eco_institutions!B:E,4,0),"")</f>
        <v>1.517989318292484</v>
      </c>
      <c r="H178" s="14">
        <f t="shared" si="11"/>
        <v>293</v>
      </c>
      <c r="I178" s="46">
        <f>IFERROR(VLOOKUP(A178,[1]fin_institutions!B:D,2,0),"")</f>
        <v>5</v>
      </c>
      <c r="J178" s="41">
        <f>IFERROR(VLOOKUP(A178,[1]fin_institutions!B:E,4,0),"")</f>
        <v>1.3600550705502019</v>
      </c>
      <c r="K178" s="41">
        <f t="shared" si="12"/>
        <v>357</v>
      </c>
      <c r="L178" s="56">
        <f>IFERROR(VLOOKUP(A178,[1]bus_institutions!B:D,2,0),"")</f>
        <v>29</v>
      </c>
      <c r="M178" s="42">
        <f>IFERROR(VLOOKUP(A178,[1]bus_institutions!B:E,4,0),"")</f>
        <v>2.440232323767844</v>
      </c>
      <c r="N178" s="23">
        <f t="shared" si="13"/>
        <v>206</v>
      </c>
      <c r="O178" s="61">
        <f>IFERROR(VLOOKUP(A178,[1]man_institutions!B:E,2,0),"")</f>
        <v>26</v>
      </c>
      <c r="P178" s="62">
        <f>IFERROR(VLOOKUP(A178,[1]man_institutions!B:E,4,0),"")</f>
        <v>3.3782544409158879</v>
      </c>
      <c r="Q178" s="63">
        <f t="shared" si="14"/>
        <v>143</v>
      </c>
    </row>
    <row r="179" spans="1:17" x14ac:dyDescent="0.25">
      <c r="A179" s="6" t="s">
        <v>849</v>
      </c>
      <c r="B179" s="37" t="s">
        <v>1217</v>
      </c>
      <c r="C179" s="72">
        <f>IFERROR(VLOOKUP(A179,[1]eco_bus_institutions!B:E,2,0),"")</f>
        <v>89</v>
      </c>
      <c r="D179" s="72">
        <f>IFERROR(VLOOKUP(A179,[1]eco_bus_institutions!B:E,4,0),"")</f>
        <v>2.421319810328832</v>
      </c>
      <c r="E179" s="73">
        <f t="shared" si="10"/>
        <v>143</v>
      </c>
      <c r="F179" s="40">
        <f>IFERROR(VLOOKUP(A179,[1]eco_institutions!B:D,2,0),"")</f>
        <v>56</v>
      </c>
      <c r="G179" s="40">
        <f>IFERROR(VLOOKUP(A179,[1]eco_institutions!B:E,4,0),"")</f>
        <v>2.0322798335602008</v>
      </c>
      <c r="H179" s="14">
        <f t="shared" si="11"/>
        <v>141</v>
      </c>
      <c r="I179" s="46">
        <f>IFERROR(VLOOKUP(A179,[1]fin_institutions!B:D,2,0),"")</f>
        <v>26</v>
      </c>
      <c r="J179" s="41">
        <f>IFERROR(VLOOKUP(A179,[1]fin_institutions!B:E,4,0),"")</f>
        <v>2.4891745712453499</v>
      </c>
      <c r="K179" s="41">
        <f t="shared" si="12"/>
        <v>103</v>
      </c>
      <c r="L179" s="56">
        <f>IFERROR(VLOOKUP(A179,[1]bus_institutions!B:D,2,0),"")</f>
        <v>16</v>
      </c>
      <c r="M179" s="42">
        <f>IFERROR(VLOOKUP(A179,[1]bus_institutions!B:E,4,0),"")</f>
        <v>3.2922238582669299</v>
      </c>
      <c r="N179" s="23">
        <f t="shared" si="13"/>
        <v>86</v>
      </c>
      <c r="O179" s="61">
        <f>IFERROR(VLOOKUP(A179,[1]man_institutions!B:E,2,0),"")</f>
        <v>19</v>
      </c>
      <c r="P179" s="62">
        <f>IFERROR(VLOOKUP(A179,[1]man_institutions!B:E,4,0),"")</f>
        <v>3.7755286252412148</v>
      </c>
      <c r="Q179" s="63">
        <f t="shared" si="14"/>
        <v>96</v>
      </c>
    </row>
    <row r="180" spans="1:17" x14ac:dyDescent="0.25">
      <c r="A180" s="6" t="s">
        <v>767</v>
      </c>
      <c r="B180" s="37" t="s">
        <v>1216</v>
      </c>
      <c r="C180" s="72">
        <f>IFERROR(VLOOKUP(A180,[1]eco_bus_institutions!B:E,2,0),"")</f>
        <v>77</v>
      </c>
      <c r="D180" s="72">
        <f>IFERROR(VLOOKUP(A180,[1]eco_bus_institutions!B:E,4,0),"")</f>
        <v>2.0200029696771651</v>
      </c>
      <c r="E180" s="73">
        <f t="shared" si="10"/>
        <v>254</v>
      </c>
      <c r="F180" s="40">
        <f>IFERROR(VLOOKUP(A180,[1]eco_institutions!B:D,2,0),"")</f>
        <v>17</v>
      </c>
      <c r="G180" s="40">
        <f>IFERROR(VLOOKUP(A180,[1]eco_institutions!B:E,4,0),"")</f>
        <v>1.221373720908032</v>
      </c>
      <c r="H180" s="14">
        <f t="shared" si="11"/>
        <v>495</v>
      </c>
      <c r="I180" s="46">
        <f>IFERROR(VLOOKUP(A180,[1]fin_institutions!B:D,2,0),"")</f>
        <v>10</v>
      </c>
      <c r="J180" s="41">
        <f>IFERROR(VLOOKUP(A180,[1]fin_institutions!B:E,4,0),"")</f>
        <v>1.240972781414067</v>
      </c>
      <c r="K180" s="41">
        <f t="shared" si="12"/>
        <v>435</v>
      </c>
      <c r="L180" s="56">
        <f>IFERROR(VLOOKUP(A180,[1]bus_institutions!B:D,2,0),"")</f>
        <v>33</v>
      </c>
      <c r="M180" s="42">
        <f>IFERROR(VLOOKUP(A180,[1]bus_institutions!B:E,4,0),"")</f>
        <v>2.545308124066342</v>
      </c>
      <c r="N180" s="23">
        <f t="shared" si="13"/>
        <v>176</v>
      </c>
      <c r="O180" s="61">
        <f>IFERROR(VLOOKUP(A180,[1]man_institutions!B:E,2,0),"")</f>
        <v>44</v>
      </c>
      <c r="P180" s="62">
        <f>IFERROR(VLOOKUP(A180,[1]man_institutions!B:E,4,0),"")</f>
        <v>2.6714778323590811</v>
      </c>
      <c r="Q180" s="63">
        <f t="shared" si="14"/>
        <v>240</v>
      </c>
    </row>
    <row r="181" spans="1:17" x14ac:dyDescent="0.25">
      <c r="A181" s="6" t="s">
        <v>844</v>
      </c>
      <c r="B181" s="37" t="s">
        <v>1230</v>
      </c>
      <c r="C181" s="72">
        <f>IFERROR(VLOOKUP(A181,[1]eco_bus_institutions!B:E,2,0),"")</f>
        <v>170</v>
      </c>
      <c r="D181" s="72">
        <f>IFERROR(VLOOKUP(A181,[1]eco_bus_institutions!B:E,4,0),"")</f>
        <v>2.0604355028202299</v>
      </c>
      <c r="E181" s="73">
        <f t="shared" si="10"/>
        <v>245</v>
      </c>
      <c r="F181" s="40">
        <f>IFERROR(VLOOKUP(A181,[1]eco_institutions!B:D,2,0),"")</f>
        <v>106</v>
      </c>
      <c r="G181" s="40">
        <f>IFERROR(VLOOKUP(A181,[1]eco_institutions!B:E,4,0),"")</f>
        <v>1.59006116632359</v>
      </c>
      <c r="H181" s="14">
        <f t="shared" si="11"/>
        <v>264</v>
      </c>
      <c r="I181" s="46">
        <f>IFERROR(VLOOKUP(A181,[1]fin_institutions!B:D,2,0),"")</f>
        <v>43</v>
      </c>
      <c r="J181" s="41">
        <f>IFERROR(VLOOKUP(A181,[1]fin_institutions!B:E,4,0),"")</f>
        <v>2.1393674597870409</v>
      </c>
      <c r="K181" s="41">
        <f t="shared" si="12"/>
        <v>132</v>
      </c>
      <c r="L181" s="56">
        <f>IFERROR(VLOOKUP(A181,[1]bus_institutions!B:D,2,0),"")</f>
        <v>30</v>
      </c>
      <c r="M181" s="42">
        <f>IFERROR(VLOOKUP(A181,[1]bus_institutions!B:E,4,0),"")</f>
        <v>1.9299610643620431</v>
      </c>
      <c r="N181" s="23">
        <f t="shared" si="13"/>
        <v>343</v>
      </c>
      <c r="O181" s="61">
        <f>IFERROR(VLOOKUP(A181,[1]man_institutions!B:E,2,0),"")</f>
        <v>31</v>
      </c>
      <c r="P181" s="62">
        <f>IFERROR(VLOOKUP(A181,[1]man_institutions!B:E,4,0),"")</f>
        <v>4.5297979703343074</v>
      </c>
      <c r="Q181" s="63">
        <f t="shared" si="14"/>
        <v>49</v>
      </c>
    </row>
    <row r="182" spans="1:17" x14ac:dyDescent="0.25">
      <c r="A182" s="6" t="s">
        <v>748</v>
      </c>
      <c r="B182" s="37" t="s">
        <v>1223</v>
      </c>
      <c r="C182" s="72">
        <f>IFERROR(VLOOKUP(A182,[1]eco_bus_institutions!B:E,2,0),"")</f>
        <v>67</v>
      </c>
      <c r="D182" s="72">
        <f>IFERROR(VLOOKUP(A182,[1]eco_bus_institutions!B:E,4,0),"")</f>
        <v>2.2229277893186992</v>
      </c>
      <c r="E182" s="73">
        <f t="shared" si="10"/>
        <v>194</v>
      </c>
      <c r="F182" s="40">
        <f>IFERROR(VLOOKUP(A182,[1]eco_institutions!B:D,2,0),"")</f>
        <v>23</v>
      </c>
      <c r="G182" s="40">
        <f>IFERROR(VLOOKUP(A182,[1]eco_institutions!B:E,4,0),"")</f>
        <v>2.0496161758363791</v>
      </c>
      <c r="H182" s="14">
        <f t="shared" si="11"/>
        <v>138</v>
      </c>
      <c r="I182" s="46">
        <f>IFERROR(VLOOKUP(A182,[1]fin_institutions!B:D,2,0),"")</f>
        <v>26</v>
      </c>
      <c r="J182" s="41">
        <f>IFERROR(VLOOKUP(A182,[1]fin_institutions!B:E,4,0),"")</f>
        <v>1.893928121833498</v>
      </c>
      <c r="K182" s="41">
        <f t="shared" si="12"/>
        <v>178</v>
      </c>
      <c r="L182" s="56">
        <f>IFERROR(VLOOKUP(A182,[1]bus_institutions!B:D,2,0),"")</f>
        <v>14</v>
      </c>
      <c r="M182" s="42">
        <f>IFERROR(VLOOKUP(A182,[1]bus_institutions!B:E,4,0),"")</f>
        <v>1.8657807777351441</v>
      </c>
      <c r="N182" s="23">
        <f t="shared" si="13"/>
        <v>361</v>
      </c>
      <c r="O182" s="61">
        <f>IFERROR(VLOOKUP(A182,[1]man_institutions!B:E,2,0),"")</f>
        <v>23</v>
      </c>
      <c r="P182" s="62">
        <f>IFERROR(VLOOKUP(A182,[1]man_institutions!B:E,4,0),"")</f>
        <v>2.49434294820152</v>
      </c>
      <c r="Q182" s="63">
        <f t="shared" si="14"/>
        <v>275</v>
      </c>
    </row>
    <row r="183" spans="1:17" x14ac:dyDescent="0.25">
      <c r="A183" s="6" t="s">
        <v>763</v>
      </c>
      <c r="B183" s="37" t="s">
        <v>1217</v>
      </c>
      <c r="C183" s="72">
        <f>IFERROR(VLOOKUP(A183,[1]eco_bus_institutions!B:E,2,0),"")</f>
        <v>135</v>
      </c>
      <c r="D183" s="72">
        <f>IFERROR(VLOOKUP(A183,[1]eco_bus_institutions!B:E,4,0),"")</f>
        <v>2.4900009761352808</v>
      </c>
      <c r="E183" s="73">
        <f t="shared" si="10"/>
        <v>132</v>
      </c>
      <c r="F183" s="40">
        <f>IFERROR(VLOOKUP(A183,[1]eco_institutions!B:D,2,0),"")</f>
        <v>66</v>
      </c>
      <c r="G183" s="40">
        <f>IFERROR(VLOOKUP(A183,[1]eco_institutions!B:E,4,0),"")</f>
        <v>1.73579899027855</v>
      </c>
      <c r="H183" s="14">
        <f t="shared" si="11"/>
        <v>208</v>
      </c>
      <c r="I183" s="46">
        <f>IFERROR(VLOOKUP(A183,[1]fin_institutions!B:D,2,0),"")</f>
        <v>29</v>
      </c>
      <c r="J183" s="41">
        <f>IFERROR(VLOOKUP(A183,[1]fin_institutions!B:E,4,0),"")</f>
        <v>3.0501459392536909</v>
      </c>
      <c r="K183" s="41">
        <f t="shared" si="12"/>
        <v>71</v>
      </c>
      <c r="L183" s="56">
        <f>IFERROR(VLOOKUP(A183,[1]bus_institutions!B:D,2,0),"")</f>
        <v>46</v>
      </c>
      <c r="M183" s="42">
        <f>IFERROR(VLOOKUP(A183,[1]bus_institutions!B:E,4,0),"")</f>
        <v>2.538833426375716</v>
      </c>
      <c r="N183" s="23">
        <f t="shared" si="13"/>
        <v>178</v>
      </c>
      <c r="O183" s="61">
        <f>IFERROR(VLOOKUP(A183,[1]man_institutions!B:E,2,0),"")</f>
        <v>27</v>
      </c>
      <c r="P183" s="62">
        <f>IFERROR(VLOOKUP(A183,[1]man_institutions!B:E,4,0),"")</f>
        <v>5.9281932621782687</v>
      </c>
      <c r="Q183" s="63">
        <f t="shared" si="14"/>
        <v>18</v>
      </c>
    </row>
    <row r="184" spans="1:17" x14ac:dyDescent="0.25">
      <c r="A184" s="6" t="s">
        <v>789</v>
      </c>
      <c r="B184" s="37" t="s">
        <v>1224</v>
      </c>
      <c r="C184" s="72">
        <f>IFERROR(VLOOKUP(A184,[1]eco_bus_institutions!B:E,2,0),"")</f>
        <v>66</v>
      </c>
      <c r="D184" s="72">
        <f>IFERROR(VLOOKUP(A184,[1]eco_bus_institutions!B:E,4,0),"")</f>
        <v>2.4374442577948159</v>
      </c>
      <c r="E184" s="73">
        <f t="shared" si="10"/>
        <v>139</v>
      </c>
      <c r="F184" s="40">
        <f>IFERROR(VLOOKUP(A184,[1]eco_institutions!B:D,2,0),"")</f>
        <v>31</v>
      </c>
      <c r="G184" s="40">
        <f>IFERROR(VLOOKUP(A184,[1]eco_institutions!B:E,4,0),"")</f>
        <v>1.532208716006825</v>
      </c>
      <c r="H184" s="14">
        <f t="shared" si="11"/>
        <v>286</v>
      </c>
      <c r="I184" s="46">
        <f>IFERROR(VLOOKUP(A184,[1]fin_institutions!B:D,2,0),"")</f>
        <v>10</v>
      </c>
      <c r="J184" s="41">
        <f>IFERROR(VLOOKUP(A184,[1]fin_institutions!B:E,4,0),"")</f>
        <v>1.45057454618299</v>
      </c>
      <c r="K184" s="41">
        <f t="shared" si="12"/>
        <v>311</v>
      </c>
      <c r="L184" s="56">
        <f>IFERROR(VLOOKUP(A184,[1]bus_institutions!B:D,2,0),"")</f>
        <v>25</v>
      </c>
      <c r="M184" s="42">
        <f>IFERROR(VLOOKUP(A184,[1]bus_institutions!B:E,4,0),"")</f>
        <v>3.6972189646194451</v>
      </c>
      <c r="N184" s="23">
        <f t="shared" si="13"/>
        <v>51</v>
      </c>
      <c r="O184" s="61">
        <f>IFERROR(VLOOKUP(A184,[1]man_institutions!B:E,2,0),"")</f>
        <v>23</v>
      </c>
      <c r="P184" s="62">
        <f>IFERROR(VLOOKUP(A184,[1]man_institutions!B:E,4,0),"")</f>
        <v>5.0949164386700554</v>
      </c>
      <c r="Q184" s="63">
        <f t="shared" si="14"/>
        <v>37</v>
      </c>
    </row>
    <row r="185" spans="1:17" x14ac:dyDescent="0.25">
      <c r="A185" s="6" t="s">
        <v>837</v>
      </c>
      <c r="B185" s="37" t="s">
        <v>1271</v>
      </c>
      <c r="C185" s="72">
        <f>IFERROR(VLOOKUP(A185,[1]eco_bus_institutions!B:E,2,0),"")</f>
        <v>108</v>
      </c>
      <c r="D185" s="72">
        <f>IFERROR(VLOOKUP(A185,[1]eco_bus_institutions!B:E,4,0),"")</f>
        <v>2.5413849158729018</v>
      </c>
      <c r="E185" s="73">
        <f t="shared" si="10"/>
        <v>125</v>
      </c>
      <c r="F185" s="40">
        <f>IFERROR(VLOOKUP(A185,[1]eco_institutions!B:D,2,0),"")</f>
        <v>73</v>
      </c>
      <c r="G185" s="40">
        <f>IFERROR(VLOOKUP(A185,[1]eco_institutions!B:E,4,0),"")</f>
        <v>2.135678995395101</v>
      </c>
      <c r="H185" s="14">
        <f t="shared" si="11"/>
        <v>118</v>
      </c>
      <c r="I185" s="46">
        <f>IFERROR(VLOOKUP(A185,[1]fin_institutions!B:D,2,0),"")</f>
        <v>19</v>
      </c>
      <c r="J185" s="41">
        <f>IFERROR(VLOOKUP(A185,[1]fin_institutions!B:E,4,0),"")</f>
        <v>1.3919310774363569</v>
      </c>
      <c r="K185" s="41">
        <f t="shared" si="12"/>
        <v>342</v>
      </c>
      <c r="L185" s="56">
        <f>IFERROR(VLOOKUP(A185,[1]bus_institutions!B:D,2,0),"")</f>
        <v>17</v>
      </c>
      <c r="M185" s="42">
        <f>IFERROR(VLOOKUP(A185,[1]bus_institutions!B:E,4,0),"")</f>
        <v>3.979600798797601</v>
      </c>
      <c r="N185" s="23">
        <f t="shared" si="13"/>
        <v>36</v>
      </c>
      <c r="O185" s="61">
        <f>IFERROR(VLOOKUP(A185,[1]man_institutions!B:E,2,0),"")</f>
        <v>24</v>
      </c>
      <c r="P185" s="62">
        <f>IFERROR(VLOOKUP(A185,[1]man_institutions!B:E,4,0),"")</f>
        <v>5.7132507080965063</v>
      </c>
      <c r="Q185" s="63">
        <f t="shared" si="14"/>
        <v>20</v>
      </c>
    </row>
    <row r="186" spans="1:17" x14ac:dyDescent="0.25">
      <c r="A186" s="6" t="s">
        <v>832</v>
      </c>
      <c r="B186" s="37" t="s">
        <v>1230</v>
      </c>
      <c r="C186" s="72">
        <f>IFERROR(VLOOKUP(A186,[1]eco_bus_institutions!B:E,2,0),"")</f>
        <v>95</v>
      </c>
      <c r="D186" s="72">
        <f>IFERROR(VLOOKUP(A186,[1]eco_bus_institutions!B:E,4,0),"")</f>
        <v>1.9470760441325861</v>
      </c>
      <c r="E186" s="73">
        <f t="shared" si="10"/>
        <v>286</v>
      </c>
      <c r="F186" s="40">
        <f>IFERROR(VLOOKUP(A186,[1]eco_institutions!B:D,2,0),"")</f>
        <v>18</v>
      </c>
      <c r="G186" s="40">
        <f>IFERROR(VLOOKUP(A186,[1]eco_institutions!B:E,4,0),"")</f>
        <v>1.511634540459093</v>
      </c>
      <c r="H186" s="14">
        <f t="shared" si="11"/>
        <v>299</v>
      </c>
      <c r="I186" s="46" t="str">
        <f>IFERROR(VLOOKUP(A186,[1]fin_institutions!B:D,2,0),"")</f>
        <v/>
      </c>
      <c r="J186" s="41" t="str">
        <f>IFERROR(VLOOKUP(A186,[1]fin_institutions!B:E,4,0),"")</f>
        <v/>
      </c>
      <c r="K186" s="41" t="str">
        <f t="shared" si="12"/>
        <v/>
      </c>
      <c r="L186" s="56">
        <f>IFERROR(VLOOKUP(A186,[1]bus_institutions!B:D,2,0),"")</f>
        <v>46</v>
      </c>
      <c r="M186" s="42">
        <f>IFERROR(VLOOKUP(A186,[1]bus_institutions!B:E,4,0),"")</f>
        <v>1.773938468838044</v>
      </c>
      <c r="N186" s="23">
        <f t="shared" si="13"/>
        <v>392</v>
      </c>
      <c r="O186" s="61">
        <f>IFERROR(VLOOKUP(A186,[1]man_institutions!B:E,2,0),"")</f>
        <v>59</v>
      </c>
      <c r="P186" s="62">
        <f>IFERROR(VLOOKUP(A186,[1]man_institutions!B:E,4,0),"")</f>
        <v>2.2601157331890702</v>
      </c>
      <c r="Q186" s="63">
        <f t="shared" si="14"/>
        <v>333</v>
      </c>
    </row>
    <row r="187" spans="1:17" x14ac:dyDescent="0.25">
      <c r="A187" s="6" t="s">
        <v>751</v>
      </c>
      <c r="B187" s="37" t="s">
        <v>1217</v>
      </c>
      <c r="C187" s="72">
        <f>IFERROR(VLOOKUP(A187,[1]eco_bus_institutions!B:E,2,0),"")</f>
        <v>87</v>
      </c>
      <c r="D187" s="72">
        <f>IFERROR(VLOOKUP(A187,[1]eco_bus_institutions!B:E,4,0),"")</f>
        <v>2.2720554781791118</v>
      </c>
      <c r="E187" s="73">
        <f t="shared" si="10"/>
        <v>174</v>
      </c>
      <c r="F187" s="40">
        <f>IFERROR(VLOOKUP(A187,[1]eco_institutions!B:D,2,0),"")</f>
        <v>30</v>
      </c>
      <c r="G187" s="40">
        <f>IFERROR(VLOOKUP(A187,[1]eco_institutions!B:E,4,0),"")</f>
        <v>1.6827784569323361</v>
      </c>
      <c r="H187" s="14">
        <f t="shared" si="11"/>
        <v>229</v>
      </c>
      <c r="I187" s="46">
        <f>IFERROR(VLOOKUP(A187,[1]fin_institutions!B:D,2,0),"")</f>
        <v>25</v>
      </c>
      <c r="J187" s="41">
        <f>IFERROR(VLOOKUP(A187,[1]fin_institutions!B:E,4,0),"")</f>
        <v>2.2794524297480092</v>
      </c>
      <c r="K187" s="41">
        <f t="shared" si="12"/>
        <v>122</v>
      </c>
      <c r="L187" s="56">
        <f>IFERROR(VLOOKUP(A187,[1]bus_institutions!B:D,2,0),"")</f>
        <v>34</v>
      </c>
      <c r="M187" s="42">
        <f>IFERROR(VLOOKUP(A187,[1]bus_institutions!B:E,4,0),"")</f>
        <v>2.5876003070822708</v>
      </c>
      <c r="N187" s="23">
        <f t="shared" si="13"/>
        <v>173</v>
      </c>
      <c r="O187" s="61">
        <f>IFERROR(VLOOKUP(A187,[1]man_institutions!B:E,2,0),"")</f>
        <v>35</v>
      </c>
      <c r="P187" s="62">
        <f>IFERROR(VLOOKUP(A187,[1]man_institutions!B:E,4,0),"")</f>
        <v>2.7832844879179479</v>
      </c>
      <c r="Q187" s="63">
        <f t="shared" si="14"/>
        <v>224</v>
      </c>
    </row>
    <row r="188" spans="1:17" x14ac:dyDescent="0.25">
      <c r="A188" s="6" t="s">
        <v>853</v>
      </c>
      <c r="B188" s="37" t="s">
        <v>1230</v>
      </c>
      <c r="C188" s="72">
        <f>IFERROR(VLOOKUP(A188,[1]eco_bus_institutions!B:E,2,0),"")</f>
        <v>148</v>
      </c>
      <c r="D188" s="72">
        <f>IFERROR(VLOOKUP(A188,[1]eco_bus_institutions!B:E,4,0),"")</f>
        <v>2.092564064952565</v>
      </c>
      <c r="E188" s="73">
        <f t="shared" si="10"/>
        <v>235</v>
      </c>
      <c r="F188" s="40">
        <f>IFERROR(VLOOKUP(A188,[1]eco_institutions!B:D,2,0),"")</f>
        <v>89</v>
      </c>
      <c r="G188" s="40">
        <f>IFERROR(VLOOKUP(A188,[1]eco_institutions!B:E,4,0),"")</f>
        <v>1.8574456306552971</v>
      </c>
      <c r="H188" s="14">
        <f t="shared" si="11"/>
        <v>177</v>
      </c>
      <c r="I188" s="46">
        <f>IFERROR(VLOOKUP(A188,[1]fin_institutions!B:D,2,0),"")</f>
        <v>41</v>
      </c>
      <c r="J188" s="41">
        <f>IFERROR(VLOOKUP(A188,[1]fin_institutions!B:E,4,0),"")</f>
        <v>1.7447955564946529</v>
      </c>
      <c r="K188" s="41">
        <f t="shared" si="12"/>
        <v>203</v>
      </c>
      <c r="L188" s="56">
        <f>IFERROR(VLOOKUP(A188,[1]bus_institutions!B:D,2,0),"")</f>
        <v>25</v>
      </c>
      <c r="M188" s="42">
        <f>IFERROR(VLOOKUP(A188,[1]bus_institutions!B:E,4,0),"")</f>
        <v>2.3857465412146048</v>
      </c>
      <c r="N188" s="23">
        <f t="shared" si="13"/>
        <v>225</v>
      </c>
      <c r="O188" s="61">
        <f>IFERROR(VLOOKUP(A188,[1]man_institutions!B:E,2,0),"")</f>
        <v>21</v>
      </c>
      <c r="P188" s="62">
        <f>IFERROR(VLOOKUP(A188,[1]man_institutions!B:E,4,0),"")</f>
        <v>2.4465859124159488</v>
      </c>
      <c r="Q188" s="63">
        <f t="shared" si="14"/>
        <v>288</v>
      </c>
    </row>
    <row r="189" spans="1:17" x14ac:dyDescent="0.25">
      <c r="A189" s="6" t="s">
        <v>785</v>
      </c>
      <c r="B189" s="37" t="s">
        <v>1233</v>
      </c>
      <c r="C189" s="72">
        <f>IFERROR(VLOOKUP(A189,[1]eco_bus_institutions!B:E,2,0),"")</f>
        <v>291</v>
      </c>
      <c r="D189" s="72">
        <f>IFERROR(VLOOKUP(A189,[1]eco_bus_institutions!B:E,4,0),"")</f>
        <v>2.3042142859433059</v>
      </c>
      <c r="E189" s="73">
        <f t="shared" si="10"/>
        <v>171</v>
      </c>
      <c r="F189" s="40">
        <f>IFERROR(VLOOKUP(A189,[1]eco_institutions!B:D,2,0),"")</f>
        <v>143</v>
      </c>
      <c r="G189" s="40">
        <f>IFERROR(VLOOKUP(A189,[1]eco_institutions!B:E,4,0),"")</f>
        <v>1.653387535749119</v>
      </c>
      <c r="H189" s="14">
        <f t="shared" si="11"/>
        <v>240</v>
      </c>
      <c r="I189" s="46">
        <f>IFERROR(VLOOKUP(A189,[1]fin_institutions!B:D,2,0),"")</f>
        <v>37</v>
      </c>
      <c r="J189" s="41">
        <f>IFERROR(VLOOKUP(A189,[1]fin_institutions!B:E,4,0),"")</f>
        <v>2.0941805675650511</v>
      </c>
      <c r="K189" s="41">
        <f t="shared" si="12"/>
        <v>140</v>
      </c>
      <c r="L189" s="56">
        <f>IFERROR(VLOOKUP(A189,[1]bus_institutions!B:D,2,0),"")</f>
        <v>73</v>
      </c>
      <c r="M189" s="42">
        <f>IFERROR(VLOOKUP(A189,[1]bus_institutions!B:E,4,0),"")</f>
        <v>3.1386912837500698</v>
      </c>
      <c r="N189" s="23">
        <f t="shared" si="13"/>
        <v>100</v>
      </c>
      <c r="O189" s="61">
        <f>IFERROR(VLOOKUP(A189,[1]man_institutions!B:E,2,0),"")</f>
        <v>108</v>
      </c>
      <c r="P189" s="62">
        <f>IFERROR(VLOOKUP(A189,[1]man_institutions!B:E,4,0),"")</f>
        <v>3.3667393320409049</v>
      </c>
      <c r="Q189" s="63">
        <f t="shared" si="14"/>
        <v>147</v>
      </c>
    </row>
    <row r="190" spans="1:17" x14ac:dyDescent="0.25">
      <c r="A190" s="6" t="s">
        <v>856</v>
      </c>
      <c r="B190" s="37" t="s">
        <v>1245</v>
      </c>
      <c r="C190" s="72">
        <f>IFERROR(VLOOKUP(A190,[1]eco_bus_institutions!B:E,2,0),"")</f>
        <v>49</v>
      </c>
      <c r="D190" s="72">
        <f>IFERROR(VLOOKUP(A190,[1]eco_bus_institutions!B:E,4,0),"")</f>
        <v>1.718882111790438</v>
      </c>
      <c r="E190" s="73">
        <f t="shared" si="10"/>
        <v>374</v>
      </c>
      <c r="F190" s="40">
        <f>IFERROR(VLOOKUP(A190,[1]eco_institutions!B:D,2,0),"")</f>
        <v>27</v>
      </c>
      <c r="G190" s="40">
        <f>IFERROR(VLOOKUP(A190,[1]eco_institutions!B:E,4,0),"")</f>
        <v>1.714182377681527</v>
      </c>
      <c r="H190" s="14">
        <f t="shared" si="11"/>
        <v>215</v>
      </c>
      <c r="I190" s="46">
        <f>IFERROR(VLOOKUP(A190,[1]fin_institutions!B:D,2,0),"")</f>
        <v>27</v>
      </c>
      <c r="J190" s="41">
        <f>IFERROR(VLOOKUP(A190,[1]fin_institutions!B:E,4,0),"")</f>
        <v>1.297696135852535</v>
      </c>
      <c r="K190" s="41">
        <f t="shared" si="12"/>
        <v>396</v>
      </c>
      <c r="L190" s="56" t="str">
        <f>IFERROR(VLOOKUP(A190,[1]bus_institutions!B:D,2,0),"")</f>
        <v/>
      </c>
      <c r="M190" s="42" t="str">
        <f>IFERROR(VLOOKUP(A190,[1]bus_institutions!B:E,4,0),"")</f>
        <v/>
      </c>
      <c r="N190" s="23" t="str">
        <f t="shared" si="13"/>
        <v/>
      </c>
      <c r="O190" s="61" t="str">
        <f>IFERROR(VLOOKUP(A190,[1]man_institutions!B:E,2,0),"")</f>
        <v/>
      </c>
      <c r="P190" s="62" t="str">
        <f>IFERROR(VLOOKUP(A190,[1]man_institutions!B:E,4,0),"")</f>
        <v/>
      </c>
      <c r="Q190" s="63" t="str">
        <f t="shared" si="14"/>
        <v/>
      </c>
    </row>
    <row r="191" spans="1:17" x14ac:dyDescent="0.25">
      <c r="A191" s="6" t="s">
        <v>722</v>
      </c>
      <c r="B191" s="37" t="s">
        <v>1216</v>
      </c>
      <c r="C191" s="72">
        <f>IFERROR(VLOOKUP(A191,[1]eco_bus_institutions!B:E,2,0),"")</f>
        <v>138</v>
      </c>
      <c r="D191" s="72">
        <f>IFERROR(VLOOKUP(A191,[1]eco_bus_institutions!B:E,4,0),"")</f>
        <v>2.344969938970709</v>
      </c>
      <c r="E191" s="73">
        <f t="shared" si="10"/>
        <v>160</v>
      </c>
      <c r="F191" s="40">
        <f>IFERROR(VLOOKUP(A191,[1]eco_institutions!B:D,2,0),"")</f>
        <v>50</v>
      </c>
      <c r="G191" s="40">
        <f>IFERROR(VLOOKUP(A191,[1]eco_institutions!B:E,4,0),"")</f>
        <v>1.4629467857657641</v>
      </c>
      <c r="H191" s="14">
        <f t="shared" si="11"/>
        <v>321</v>
      </c>
      <c r="I191" s="46">
        <f>IFERROR(VLOOKUP(A191,[1]fin_institutions!B:D,2,0),"")</f>
        <v>24</v>
      </c>
      <c r="J191" s="41">
        <f>IFERROR(VLOOKUP(A191,[1]fin_institutions!B:E,4,0),"")</f>
        <v>1.706864207927284</v>
      </c>
      <c r="K191" s="41">
        <f t="shared" si="12"/>
        <v>220</v>
      </c>
      <c r="L191" s="56">
        <f>IFERROR(VLOOKUP(A191,[1]bus_institutions!B:D,2,0),"")</f>
        <v>46</v>
      </c>
      <c r="M191" s="42">
        <f>IFERROR(VLOOKUP(A191,[1]bus_institutions!B:E,4,0),"")</f>
        <v>2.9509595090717622</v>
      </c>
      <c r="N191" s="23">
        <f t="shared" si="13"/>
        <v>123</v>
      </c>
      <c r="O191" s="61">
        <f>IFERROR(VLOOKUP(A191,[1]man_institutions!B:E,2,0),"")</f>
        <v>51</v>
      </c>
      <c r="P191" s="62">
        <f>IFERROR(VLOOKUP(A191,[1]man_institutions!B:E,4,0),"")</f>
        <v>3.7892738110711779</v>
      </c>
      <c r="Q191" s="63">
        <f t="shared" si="14"/>
        <v>95</v>
      </c>
    </row>
    <row r="192" spans="1:17" x14ac:dyDescent="0.25">
      <c r="A192" s="6" t="s">
        <v>686</v>
      </c>
      <c r="B192" s="37" t="s">
        <v>1229</v>
      </c>
      <c r="C192" s="72">
        <f>IFERROR(VLOOKUP(A192,[1]eco_bus_institutions!B:E,2,0),"")</f>
        <v>54</v>
      </c>
      <c r="D192" s="72">
        <f>IFERROR(VLOOKUP(A192,[1]eco_bus_institutions!B:E,4,0),"")</f>
        <v>2.2214683156287118</v>
      </c>
      <c r="E192" s="73">
        <f t="shared" si="10"/>
        <v>195</v>
      </c>
      <c r="F192" s="40">
        <f>IFERROR(VLOOKUP(A192,[1]eco_institutions!B:D,2,0),"")</f>
        <v>16</v>
      </c>
      <c r="G192" s="40">
        <f>IFERROR(VLOOKUP(A192,[1]eco_institutions!B:E,4,0),"")</f>
        <v>1.1457454959061319</v>
      </c>
      <c r="H192" s="14">
        <f t="shared" si="11"/>
        <v>546</v>
      </c>
      <c r="I192" s="46">
        <f>IFERROR(VLOOKUP(A192,[1]fin_institutions!B:D,2,0),"")</f>
        <v>5</v>
      </c>
      <c r="J192" s="41">
        <f>IFERROR(VLOOKUP(A192,[1]fin_institutions!B:E,4,0),"")</f>
        <v>1.1573117783501949</v>
      </c>
      <c r="K192" s="41">
        <f t="shared" si="12"/>
        <v>497</v>
      </c>
      <c r="L192" s="56">
        <f>IFERROR(VLOOKUP(A192,[1]bus_institutions!B:D,2,0),"")</f>
        <v>29</v>
      </c>
      <c r="M192" s="42">
        <f>IFERROR(VLOOKUP(A192,[1]bus_institutions!B:E,4,0),"")</f>
        <v>2.9948768760240858</v>
      </c>
      <c r="N192" s="23">
        <f t="shared" si="13"/>
        <v>114</v>
      </c>
      <c r="O192" s="61">
        <f>IFERROR(VLOOKUP(A192,[1]man_institutions!B:E,2,0),"")</f>
        <v>33</v>
      </c>
      <c r="P192" s="62">
        <f>IFERROR(VLOOKUP(A192,[1]man_institutions!B:E,4,0),"")</f>
        <v>2.8038409426777271</v>
      </c>
      <c r="Q192" s="63">
        <f t="shared" si="14"/>
        <v>217</v>
      </c>
    </row>
    <row r="193" spans="1:17" x14ac:dyDescent="0.25">
      <c r="A193" s="6" t="s">
        <v>761</v>
      </c>
      <c r="B193" s="37" t="s">
        <v>1216</v>
      </c>
      <c r="C193" s="72">
        <f>IFERROR(VLOOKUP(A193,[1]eco_bus_institutions!B:E,2,0),"")</f>
        <v>149</v>
      </c>
      <c r="D193" s="72">
        <f>IFERROR(VLOOKUP(A193,[1]eco_bus_institutions!B:E,4,0),"")</f>
        <v>2.158084349887214</v>
      </c>
      <c r="E193" s="73">
        <f t="shared" si="10"/>
        <v>212</v>
      </c>
      <c r="F193" s="40">
        <f>IFERROR(VLOOKUP(A193,[1]eco_institutions!B:D,2,0),"")</f>
        <v>56</v>
      </c>
      <c r="G193" s="40">
        <f>IFERROR(VLOOKUP(A193,[1]eco_institutions!B:E,4,0),"")</f>
        <v>1.4602989837783531</v>
      </c>
      <c r="H193" s="14">
        <f t="shared" si="11"/>
        <v>325</v>
      </c>
      <c r="I193" s="46">
        <f>IFERROR(VLOOKUP(A193,[1]fin_institutions!B:D,2,0),"")</f>
        <v>37</v>
      </c>
      <c r="J193" s="41">
        <f>IFERROR(VLOOKUP(A193,[1]fin_institutions!B:E,4,0),"")</f>
        <v>1.527121632989594</v>
      </c>
      <c r="K193" s="41">
        <f t="shared" si="12"/>
        <v>274</v>
      </c>
      <c r="L193" s="56">
        <f>IFERROR(VLOOKUP(A193,[1]bus_institutions!B:D,2,0),"")</f>
        <v>49</v>
      </c>
      <c r="M193" s="42">
        <f>IFERROR(VLOOKUP(A193,[1]bus_institutions!B:E,4,0),"")</f>
        <v>2.3716865103283178</v>
      </c>
      <c r="N193" s="23">
        <f t="shared" si="13"/>
        <v>228</v>
      </c>
      <c r="O193" s="61">
        <f>IFERROR(VLOOKUP(A193,[1]man_institutions!B:E,2,0),"")</f>
        <v>41</v>
      </c>
      <c r="P193" s="62">
        <f>IFERROR(VLOOKUP(A193,[1]man_institutions!B:E,4,0),"")</f>
        <v>3.3568410221336702</v>
      </c>
      <c r="Q193" s="63">
        <f t="shared" si="14"/>
        <v>150</v>
      </c>
    </row>
    <row r="194" spans="1:17" x14ac:dyDescent="0.25">
      <c r="A194" s="6" t="s">
        <v>788</v>
      </c>
      <c r="B194" s="37" t="s">
        <v>1217</v>
      </c>
      <c r="C194" s="72">
        <f>IFERROR(VLOOKUP(A194,[1]eco_bus_institutions!B:E,2,0),"")</f>
        <v>101</v>
      </c>
      <c r="D194" s="72">
        <f>IFERROR(VLOOKUP(A194,[1]eco_bus_institutions!B:E,4,0),"")</f>
        <v>2.3394497541576631</v>
      </c>
      <c r="E194" s="73">
        <f t="shared" si="10"/>
        <v>161</v>
      </c>
      <c r="F194" s="40">
        <f>IFERROR(VLOOKUP(A194,[1]eco_institutions!B:D,2,0),"")</f>
        <v>40</v>
      </c>
      <c r="G194" s="40">
        <f>IFERROR(VLOOKUP(A194,[1]eco_institutions!B:E,4,0),"")</f>
        <v>1.7708078566420959</v>
      </c>
      <c r="H194" s="14">
        <f t="shared" si="11"/>
        <v>199</v>
      </c>
      <c r="I194" s="46">
        <f>IFERROR(VLOOKUP(A194,[1]fin_institutions!B:D,2,0),"")</f>
        <v>19</v>
      </c>
      <c r="J194" s="41">
        <f>IFERROR(VLOOKUP(A194,[1]fin_institutions!B:E,4,0),"")</f>
        <v>2.3033802209935712</v>
      </c>
      <c r="K194" s="41">
        <f t="shared" si="12"/>
        <v>120</v>
      </c>
      <c r="L194" s="56">
        <f>IFERROR(VLOOKUP(A194,[1]bus_institutions!B:D,2,0),"")</f>
        <v>30</v>
      </c>
      <c r="M194" s="42">
        <f>IFERROR(VLOOKUP(A194,[1]bus_institutions!B:E,4,0),"")</f>
        <v>2.830914980999609</v>
      </c>
      <c r="N194" s="23">
        <f t="shared" si="13"/>
        <v>134</v>
      </c>
      <c r="O194" s="61">
        <f>IFERROR(VLOOKUP(A194,[1]man_institutions!B:E,2,0),"")</f>
        <v>38</v>
      </c>
      <c r="P194" s="62">
        <f>IFERROR(VLOOKUP(A194,[1]man_institutions!B:E,4,0),"")</f>
        <v>3.6422500792833858</v>
      </c>
      <c r="Q194" s="63">
        <f t="shared" si="14"/>
        <v>109</v>
      </c>
    </row>
    <row r="195" spans="1:17" x14ac:dyDescent="0.25">
      <c r="A195" s="6" t="s">
        <v>847</v>
      </c>
      <c r="B195" s="37" t="s">
        <v>1233</v>
      </c>
      <c r="C195" s="72">
        <f>IFERROR(VLOOKUP(A195,[1]eco_bus_institutions!B:E,2,0),"")</f>
        <v>192</v>
      </c>
      <c r="D195" s="72">
        <f>IFERROR(VLOOKUP(A195,[1]eco_bus_institutions!B:E,4,0),"")</f>
        <v>2.2566239265488051</v>
      </c>
      <c r="E195" s="73">
        <f t="shared" ref="E195:E258" si="15">_xlfn.RANK.EQ(D195,D:D)</f>
        <v>180</v>
      </c>
      <c r="F195" s="40">
        <f>IFERROR(VLOOKUP(A195,[1]eco_institutions!B:D,2,0),"")</f>
        <v>101</v>
      </c>
      <c r="G195" s="40">
        <f>IFERROR(VLOOKUP(A195,[1]eco_institutions!B:E,4,0),"")</f>
        <v>1.9277817476119901</v>
      </c>
      <c r="H195" s="14">
        <f t="shared" ref="H195:H258" si="16">IFERROR(_xlfn.RANK.EQ(G195,G:G),"")</f>
        <v>165</v>
      </c>
      <c r="I195" s="46">
        <f>IFERROR(VLOOKUP(A195,[1]fin_institutions!B:D,2,0),"")</f>
        <v>27</v>
      </c>
      <c r="J195" s="41">
        <f>IFERROR(VLOOKUP(A195,[1]fin_institutions!B:E,4,0),"")</f>
        <v>2.6663796018252119</v>
      </c>
      <c r="K195" s="41">
        <f t="shared" ref="K195:K258" si="17">IFERROR(_xlfn.RANK.EQ(J195,J:J),"")</f>
        <v>90</v>
      </c>
      <c r="L195" s="56">
        <f>IFERROR(VLOOKUP(A195,[1]bus_institutions!B:D,2,0),"")</f>
        <v>56</v>
      </c>
      <c r="M195" s="42">
        <f>IFERROR(VLOOKUP(A195,[1]bus_institutions!B:E,4,0),"")</f>
        <v>2.659487714128685</v>
      </c>
      <c r="N195" s="23">
        <f t="shared" ref="N195:N258" si="18">IFERROR(_xlfn.RANK.EQ(M195,M:M),"")</f>
        <v>160</v>
      </c>
      <c r="O195" s="61">
        <f>IFERROR(VLOOKUP(A195,[1]man_institutions!B:E,2,0),"")</f>
        <v>56</v>
      </c>
      <c r="P195" s="62">
        <f>IFERROR(VLOOKUP(A195,[1]man_institutions!B:E,4,0),"")</f>
        <v>2.695166602596144</v>
      </c>
      <c r="Q195" s="63">
        <f t="shared" ref="Q195:Q258" si="19">IFERROR(_xlfn.RANK.EQ(P195,P:P),"")</f>
        <v>237</v>
      </c>
    </row>
    <row r="196" spans="1:17" x14ac:dyDescent="0.25">
      <c r="A196" s="6" t="s">
        <v>766</v>
      </c>
      <c r="B196" s="37" t="s">
        <v>1224</v>
      </c>
      <c r="C196" s="72">
        <f>IFERROR(VLOOKUP(A196,[1]eco_bus_institutions!B:E,2,0),"")</f>
        <v>79</v>
      </c>
      <c r="D196" s="72">
        <f>IFERROR(VLOOKUP(A196,[1]eco_bus_institutions!B:E,4,0),"")</f>
        <v>2.3645010983133581</v>
      </c>
      <c r="E196" s="73">
        <f t="shared" si="15"/>
        <v>157</v>
      </c>
      <c r="F196" s="40">
        <f>IFERROR(VLOOKUP(A196,[1]eco_institutions!B:D,2,0),"")</f>
        <v>36</v>
      </c>
      <c r="G196" s="40">
        <f>IFERROR(VLOOKUP(A196,[1]eco_institutions!B:E,4,0),"")</f>
        <v>2.119221834944192</v>
      </c>
      <c r="H196" s="14">
        <f t="shared" si="16"/>
        <v>123</v>
      </c>
      <c r="I196" s="46">
        <f>IFERROR(VLOOKUP(A196,[1]fin_institutions!B:D,2,0),"")</f>
        <v>13</v>
      </c>
      <c r="J196" s="41">
        <f>IFERROR(VLOOKUP(A196,[1]fin_institutions!B:E,4,0),"")</f>
        <v>1.430908432395132</v>
      </c>
      <c r="K196" s="41">
        <f t="shared" si="17"/>
        <v>320</v>
      </c>
      <c r="L196" s="56">
        <f>IFERROR(VLOOKUP(A196,[1]bus_institutions!B:D,2,0),"")</f>
        <v>31</v>
      </c>
      <c r="M196" s="42">
        <f>IFERROR(VLOOKUP(A196,[1]bus_institutions!B:E,4,0),"")</f>
        <v>2.6980875380925151</v>
      </c>
      <c r="N196" s="23">
        <f t="shared" si="18"/>
        <v>152</v>
      </c>
      <c r="O196" s="61">
        <f>IFERROR(VLOOKUP(A196,[1]man_institutions!B:E,2,0),"")</f>
        <v>27</v>
      </c>
      <c r="P196" s="62">
        <f>IFERROR(VLOOKUP(A196,[1]man_institutions!B:E,4,0),"")</f>
        <v>3.3568241521167912</v>
      </c>
      <c r="Q196" s="63">
        <f t="shared" si="19"/>
        <v>151</v>
      </c>
    </row>
    <row r="197" spans="1:17" x14ac:dyDescent="0.25">
      <c r="A197" s="6" t="s">
        <v>733</v>
      </c>
      <c r="B197" s="37" t="s">
        <v>1217</v>
      </c>
      <c r="C197" s="72">
        <f>IFERROR(VLOOKUP(A197,[1]eco_bus_institutions!B:E,2,0),"")</f>
        <v>43</v>
      </c>
      <c r="D197" s="72">
        <f>IFERROR(VLOOKUP(A197,[1]eco_bus_institutions!B:E,4,0),"")</f>
        <v>2.0777776547578459</v>
      </c>
      <c r="E197" s="73">
        <f t="shared" si="15"/>
        <v>239</v>
      </c>
      <c r="F197" s="40">
        <f>IFERROR(VLOOKUP(A197,[1]eco_institutions!B:D,2,0),"")</f>
        <v>6</v>
      </c>
      <c r="G197" s="40">
        <f>IFERROR(VLOOKUP(A197,[1]eco_institutions!B:E,4,0),"")</f>
        <v>1.029619812901615</v>
      </c>
      <c r="H197" s="14">
        <f t="shared" si="16"/>
        <v>594</v>
      </c>
      <c r="I197" s="46">
        <f>IFERROR(VLOOKUP(A197,[1]fin_institutions!B:D,2,0),"")</f>
        <v>12</v>
      </c>
      <c r="J197" s="41">
        <f>IFERROR(VLOOKUP(A197,[1]fin_institutions!B:E,4,0),"")</f>
        <v>2.038635837371999</v>
      </c>
      <c r="K197" s="41">
        <f t="shared" si="17"/>
        <v>150</v>
      </c>
      <c r="L197" s="56">
        <f>IFERROR(VLOOKUP(A197,[1]bus_institutions!B:D,2,0),"")</f>
        <v>18</v>
      </c>
      <c r="M197" s="42">
        <f>IFERROR(VLOOKUP(A197,[1]bus_institutions!B:E,4,0),"")</f>
        <v>2.1908525201343521</v>
      </c>
      <c r="N197" s="23">
        <f t="shared" si="18"/>
        <v>274</v>
      </c>
      <c r="O197" s="61">
        <f>IFERROR(VLOOKUP(A197,[1]man_institutions!B:E,2,0),"")</f>
        <v>14</v>
      </c>
      <c r="P197" s="62">
        <f>IFERROR(VLOOKUP(A197,[1]man_institutions!B:E,4,0),"")</f>
        <v>2.403165470621389</v>
      </c>
      <c r="Q197" s="63">
        <f t="shared" si="19"/>
        <v>299</v>
      </c>
    </row>
    <row r="198" spans="1:17" x14ac:dyDescent="0.25">
      <c r="A198" s="6" t="s">
        <v>960</v>
      </c>
      <c r="B198" s="37" t="s">
        <v>1217</v>
      </c>
      <c r="C198" s="72">
        <f>IFERROR(VLOOKUP(A198,[1]eco_bus_institutions!B:E,2,0),"")</f>
        <v>40</v>
      </c>
      <c r="D198" s="72">
        <f>IFERROR(VLOOKUP(A198,[1]eco_bus_institutions!B:E,4,0),"")</f>
        <v>2.2879391613052542</v>
      </c>
      <c r="E198" s="73">
        <f t="shared" si="15"/>
        <v>173</v>
      </c>
      <c r="F198" s="40">
        <f>IFERROR(VLOOKUP(A198,[1]eco_institutions!B:D,2,0),"")</f>
        <v>30</v>
      </c>
      <c r="G198" s="40">
        <f>IFERROR(VLOOKUP(A198,[1]eco_institutions!B:E,4,0),"")</f>
        <v>2.0212626819247692</v>
      </c>
      <c r="H198" s="14">
        <f t="shared" si="16"/>
        <v>144</v>
      </c>
      <c r="I198" s="46">
        <f>IFERROR(VLOOKUP(A198,[1]fin_institutions!B:D,2,0),"")</f>
        <v>5</v>
      </c>
      <c r="J198" s="41">
        <f>IFERROR(VLOOKUP(A198,[1]fin_institutions!B:E,4,0),"")</f>
        <v>1.533078385107385</v>
      </c>
      <c r="K198" s="41">
        <f t="shared" si="17"/>
        <v>270</v>
      </c>
      <c r="L198" s="56">
        <f>IFERROR(VLOOKUP(A198,[1]bus_institutions!B:D,2,0),"")</f>
        <v>5</v>
      </c>
      <c r="M198" s="42">
        <f>IFERROR(VLOOKUP(A198,[1]bus_institutions!B:E,4,0),"")</f>
        <v>2.89471152549363</v>
      </c>
      <c r="N198" s="23">
        <f t="shared" si="18"/>
        <v>131</v>
      </c>
      <c r="O198" s="61">
        <f>IFERROR(VLOOKUP(A198,[1]man_institutions!B:E,2,0),"")</f>
        <v>4</v>
      </c>
      <c r="P198" s="62">
        <f>IFERROR(VLOOKUP(A198,[1]man_institutions!B:E,4,0),"")</f>
        <v>2.5868216995850992</v>
      </c>
      <c r="Q198" s="63">
        <f t="shared" si="19"/>
        <v>257</v>
      </c>
    </row>
    <row r="199" spans="1:17" x14ac:dyDescent="0.25">
      <c r="A199" s="6" t="s">
        <v>838</v>
      </c>
      <c r="B199" s="37" t="s">
        <v>1217</v>
      </c>
      <c r="C199" s="72">
        <f>IFERROR(VLOOKUP(A199,[1]eco_bus_institutions!B:E,2,0),"")</f>
        <v>46</v>
      </c>
      <c r="D199" s="72">
        <f>IFERROR(VLOOKUP(A199,[1]eco_bus_institutions!B:E,4,0),"")</f>
        <v>1.896223448672268</v>
      </c>
      <c r="E199" s="73">
        <f t="shared" si="15"/>
        <v>303</v>
      </c>
      <c r="F199" s="40">
        <f>IFERROR(VLOOKUP(A199,[1]eco_institutions!B:D,2,0),"")</f>
        <v>13</v>
      </c>
      <c r="G199" s="40">
        <f>IFERROR(VLOOKUP(A199,[1]eco_institutions!B:E,4,0),"")</f>
        <v>1.3280780211603129</v>
      </c>
      <c r="H199" s="14">
        <f t="shared" si="16"/>
        <v>412</v>
      </c>
      <c r="I199" s="46">
        <f>IFERROR(VLOOKUP(A199,[1]fin_institutions!B:D,2,0),"")</f>
        <v>13</v>
      </c>
      <c r="J199" s="41">
        <f>IFERROR(VLOOKUP(A199,[1]fin_institutions!B:E,4,0),"")</f>
        <v>1.738546367027695</v>
      </c>
      <c r="K199" s="41">
        <f t="shared" si="17"/>
        <v>205</v>
      </c>
      <c r="L199" s="56">
        <f>IFERROR(VLOOKUP(A199,[1]bus_institutions!B:D,2,0),"")</f>
        <v>24</v>
      </c>
      <c r="M199" s="42">
        <f>IFERROR(VLOOKUP(A199,[1]bus_institutions!B:E,4,0),"")</f>
        <v>1.9711733371590441</v>
      </c>
      <c r="N199" s="23">
        <f t="shared" si="18"/>
        <v>328</v>
      </c>
      <c r="O199" s="61">
        <f>IFERROR(VLOOKUP(A199,[1]man_institutions!B:E,2,0),"")</f>
        <v>10</v>
      </c>
      <c r="P199" s="62">
        <f>IFERROR(VLOOKUP(A199,[1]man_institutions!B:E,4,0),"")</f>
        <v>2.4798474710586489</v>
      </c>
      <c r="Q199" s="63">
        <f t="shared" si="19"/>
        <v>278</v>
      </c>
    </row>
    <row r="200" spans="1:17" x14ac:dyDescent="0.25">
      <c r="A200" s="6" t="s">
        <v>708</v>
      </c>
      <c r="B200" s="37" t="s">
        <v>1216</v>
      </c>
      <c r="C200" s="72">
        <f>IFERROR(VLOOKUP(A200,[1]eco_bus_institutions!B:E,2,0),"")</f>
        <v>125</v>
      </c>
      <c r="D200" s="72">
        <f>IFERROR(VLOOKUP(A200,[1]eco_bus_institutions!B:E,4,0),"")</f>
        <v>2.4742917082224092</v>
      </c>
      <c r="E200" s="73">
        <f t="shared" si="15"/>
        <v>135</v>
      </c>
      <c r="F200" s="40">
        <f>IFERROR(VLOOKUP(A200,[1]eco_institutions!B:D,2,0),"")</f>
        <v>55</v>
      </c>
      <c r="G200" s="40">
        <f>IFERROR(VLOOKUP(A200,[1]eco_institutions!B:E,4,0),"")</f>
        <v>1.3927274062251149</v>
      </c>
      <c r="H200" s="14">
        <f t="shared" si="16"/>
        <v>370</v>
      </c>
      <c r="I200" s="46">
        <f>IFERROR(VLOOKUP(A200,[1]fin_institutions!B:D,2,0),"")</f>
        <v>29</v>
      </c>
      <c r="J200" s="41">
        <f>IFERROR(VLOOKUP(A200,[1]fin_institutions!B:E,4,0),"")</f>
        <v>1.603195228068903</v>
      </c>
      <c r="K200" s="41">
        <f t="shared" si="17"/>
        <v>241</v>
      </c>
      <c r="L200" s="56">
        <f>IFERROR(VLOOKUP(A200,[1]bus_institutions!B:D,2,0),"")</f>
        <v>36</v>
      </c>
      <c r="M200" s="42">
        <f>IFERROR(VLOOKUP(A200,[1]bus_institutions!B:E,4,0),"")</f>
        <v>3.5660246663275572</v>
      </c>
      <c r="N200" s="23">
        <f t="shared" si="18"/>
        <v>61</v>
      </c>
      <c r="O200" s="61">
        <f>IFERROR(VLOOKUP(A200,[1]man_institutions!B:E,2,0),"")</f>
        <v>44</v>
      </c>
      <c r="P200" s="62">
        <f>IFERROR(VLOOKUP(A200,[1]man_institutions!B:E,4,0),"")</f>
        <v>4.8958379166132087</v>
      </c>
      <c r="Q200" s="63">
        <f t="shared" si="19"/>
        <v>39</v>
      </c>
    </row>
    <row r="201" spans="1:17" x14ac:dyDescent="0.25">
      <c r="A201" s="6" t="s">
        <v>757</v>
      </c>
      <c r="B201" s="37" t="s">
        <v>1222</v>
      </c>
      <c r="C201" s="72">
        <f>IFERROR(VLOOKUP(A201,[1]eco_bus_institutions!B:E,2,0),"")</f>
        <v>82</v>
      </c>
      <c r="D201" s="72">
        <f>IFERROR(VLOOKUP(A201,[1]eco_bus_institutions!B:E,4,0),"")</f>
        <v>2.32162226805618</v>
      </c>
      <c r="E201" s="73">
        <f t="shared" si="15"/>
        <v>165</v>
      </c>
      <c r="F201" s="40">
        <f>IFERROR(VLOOKUP(A201,[1]eco_institutions!B:D,2,0),"")</f>
        <v>45</v>
      </c>
      <c r="G201" s="40">
        <f>IFERROR(VLOOKUP(A201,[1]eco_institutions!B:E,4,0),"")</f>
        <v>1.7078175028040441</v>
      </c>
      <c r="H201" s="14">
        <f t="shared" si="16"/>
        <v>218</v>
      </c>
      <c r="I201" s="46">
        <f>IFERROR(VLOOKUP(A201,[1]fin_institutions!B:D,2,0),"")</f>
        <v>12</v>
      </c>
      <c r="J201" s="41">
        <f>IFERROR(VLOOKUP(A201,[1]fin_institutions!B:E,4,0),"")</f>
        <v>1.231067181417689</v>
      </c>
      <c r="K201" s="41">
        <f t="shared" si="17"/>
        <v>444</v>
      </c>
      <c r="L201" s="56">
        <f>IFERROR(VLOOKUP(A201,[1]bus_institutions!B:D,2,0),"")</f>
        <v>32</v>
      </c>
      <c r="M201" s="42">
        <f>IFERROR(VLOOKUP(A201,[1]bus_institutions!B:E,4,0),"")</f>
        <v>2.962227788781338</v>
      </c>
      <c r="N201" s="23">
        <f t="shared" si="18"/>
        <v>121</v>
      </c>
      <c r="O201" s="61">
        <f>IFERROR(VLOOKUP(A201,[1]man_institutions!B:E,2,0),"")</f>
        <v>26</v>
      </c>
      <c r="P201" s="62">
        <f>IFERROR(VLOOKUP(A201,[1]man_institutions!B:E,4,0),"")</f>
        <v>4.7289612538406214</v>
      </c>
      <c r="Q201" s="63">
        <f t="shared" si="19"/>
        <v>45</v>
      </c>
    </row>
    <row r="202" spans="1:17" x14ac:dyDescent="0.25">
      <c r="A202" s="6" t="s">
        <v>814</v>
      </c>
      <c r="B202" s="37" t="s">
        <v>1271</v>
      </c>
      <c r="C202" s="72">
        <f>IFERROR(VLOOKUP(A202,[1]eco_bus_institutions!B:E,2,0),"")</f>
        <v>52</v>
      </c>
      <c r="D202" s="72">
        <f>IFERROR(VLOOKUP(A202,[1]eco_bus_institutions!B:E,4,0),"")</f>
        <v>1.89251478932199</v>
      </c>
      <c r="E202" s="73">
        <f t="shared" si="15"/>
        <v>304</v>
      </c>
      <c r="F202" s="40">
        <f>IFERROR(VLOOKUP(A202,[1]eco_institutions!B:D,2,0),"")</f>
        <v>18</v>
      </c>
      <c r="G202" s="40">
        <f>IFERROR(VLOOKUP(A202,[1]eco_institutions!B:E,4,0),"")</f>
        <v>1.406413077489195</v>
      </c>
      <c r="H202" s="14">
        <f t="shared" si="16"/>
        <v>356</v>
      </c>
      <c r="I202" s="46" t="str">
        <f>IFERROR(VLOOKUP(A202,[1]fin_institutions!B:D,2,0),"")</f>
        <v/>
      </c>
      <c r="J202" s="41" t="str">
        <f>IFERROR(VLOOKUP(A202,[1]fin_institutions!B:E,4,0),"")</f>
        <v/>
      </c>
      <c r="K202" s="41" t="str">
        <f t="shared" si="17"/>
        <v/>
      </c>
      <c r="L202" s="56">
        <f>IFERROR(VLOOKUP(A202,[1]bus_institutions!B:D,2,0),"")</f>
        <v>25</v>
      </c>
      <c r="M202" s="42">
        <f>IFERROR(VLOOKUP(A202,[1]bus_institutions!B:E,4,0),"")</f>
        <v>2.3642096412799209</v>
      </c>
      <c r="N202" s="23">
        <f t="shared" si="18"/>
        <v>230</v>
      </c>
      <c r="O202" s="61">
        <f>IFERROR(VLOOKUP(A202,[1]man_institutions!B:E,2,0),"")</f>
        <v>25</v>
      </c>
      <c r="P202" s="62">
        <f>IFERROR(VLOOKUP(A202,[1]man_institutions!B:E,4,0),"")</f>
        <v>2.2791147656293962</v>
      </c>
      <c r="Q202" s="63">
        <f t="shared" si="19"/>
        <v>325</v>
      </c>
    </row>
    <row r="203" spans="1:17" x14ac:dyDescent="0.25">
      <c r="A203" s="6" t="s">
        <v>863</v>
      </c>
      <c r="B203" s="37" t="s">
        <v>1224</v>
      </c>
      <c r="C203" s="72">
        <f>IFERROR(VLOOKUP(A203,[1]eco_bus_institutions!B:E,2,0),"")</f>
        <v>55</v>
      </c>
      <c r="D203" s="72">
        <f>IFERROR(VLOOKUP(A203,[1]eco_bus_institutions!B:E,4,0),"")</f>
        <v>1.9378333925119891</v>
      </c>
      <c r="E203" s="73">
        <f t="shared" si="15"/>
        <v>292</v>
      </c>
      <c r="F203" s="40">
        <f>IFERROR(VLOOKUP(A203,[1]eco_institutions!B:D,2,0),"")</f>
        <v>20</v>
      </c>
      <c r="G203" s="40">
        <f>IFERROR(VLOOKUP(A203,[1]eco_institutions!B:E,4,0),"")</f>
        <v>1.6635706372643231</v>
      </c>
      <c r="H203" s="14">
        <f t="shared" si="16"/>
        <v>234</v>
      </c>
      <c r="I203" s="46">
        <f>IFERROR(VLOOKUP(A203,[1]fin_institutions!B:D,2,0),"")</f>
        <v>17</v>
      </c>
      <c r="J203" s="41">
        <f>IFERROR(VLOOKUP(A203,[1]fin_institutions!B:E,4,0),"")</f>
        <v>1.58181108653069</v>
      </c>
      <c r="K203" s="41">
        <f t="shared" si="17"/>
        <v>254</v>
      </c>
      <c r="L203" s="56">
        <f>IFERROR(VLOOKUP(A203,[1]bus_institutions!B:D,2,0),"")</f>
        <v>17</v>
      </c>
      <c r="M203" s="42">
        <f>IFERROR(VLOOKUP(A203,[1]bus_institutions!B:E,4,0),"")</f>
        <v>2.326779968421536</v>
      </c>
      <c r="N203" s="23">
        <f t="shared" si="18"/>
        <v>239</v>
      </c>
      <c r="O203" s="61">
        <f>IFERROR(VLOOKUP(A203,[1]man_institutions!B:E,2,0),"")</f>
        <v>14</v>
      </c>
      <c r="P203" s="62">
        <f>IFERROR(VLOOKUP(A203,[1]man_institutions!B:E,4,0),"")</f>
        <v>2.3667890762900661</v>
      </c>
      <c r="Q203" s="63">
        <f t="shared" si="19"/>
        <v>306</v>
      </c>
    </row>
    <row r="204" spans="1:17" x14ac:dyDescent="0.25">
      <c r="A204" s="6" t="s">
        <v>697</v>
      </c>
      <c r="B204" s="37" t="s">
        <v>1217</v>
      </c>
      <c r="C204" s="72">
        <f>IFERROR(VLOOKUP(A204,[1]eco_bus_institutions!B:E,2,0),"")</f>
        <v>42</v>
      </c>
      <c r="D204" s="72">
        <f>IFERROR(VLOOKUP(A204,[1]eco_bus_institutions!B:E,4,0),"")</f>
        <v>2.6400646158041989</v>
      </c>
      <c r="E204" s="73">
        <f t="shared" si="15"/>
        <v>108</v>
      </c>
      <c r="F204" s="40">
        <f>IFERROR(VLOOKUP(A204,[1]eco_institutions!B:D,2,0),"")</f>
        <v>11</v>
      </c>
      <c r="G204" s="40">
        <f>IFERROR(VLOOKUP(A204,[1]eco_institutions!B:E,4,0),"")</f>
        <v>1.7525492643738061</v>
      </c>
      <c r="H204" s="14">
        <f t="shared" si="16"/>
        <v>203</v>
      </c>
      <c r="I204" s="46">
        <f>IFERROR(VLOOKUP(A204,[1]fin_institutions!B:D,2,0),"")</f>
        <v>9</v>
      </c>
      <c r="J204" s="41">
        <f>IFERROR(VLOOKUP(A204,[1]fin_institutions!B:E,4,0),"")</f>
        <v>1.352637756804328</v>
      </c>
      <c r="K204" s="41">
        <f t="shared" si="17"/>
        <v>361</v>
      </c>
      <c r="L204" s="56">
        <f>IFERROR(VLOOKUP(A204,[1]bus_institutions!B:D,2,0),"")</f>
        <v>20</v>
      </c>
      <c r="M204" s="42">
        <f>IFERROR(VLOOKUP(A204,[1]bus_institutions!B:E,4,0),"")</f>
        <v>2.6706524678658869</v>
      </c>
      <c r="N204" s="23">
        <f t="shared" si="18"/>
        <v>157</v>
      </c>
      <c r="O204" s="61">
        <f>IFERROR(VLOOKUP(A204,[1]man_institutions!B:E,2,0),"")</f>
        <v>10</v>
      </c>
      <c r="P204" s="62">
        <f>IFERROR(VLOOKUP(A204,[1]man_institutions!B:E,4,0),"")</f>
        <v>6.0482329898014724</v>
      </c>
      <c r="Q204" s="63">
        <f t="shared" si="19"/>
        <v>15</v>
      </c>
    </row>
    <row r="205" spans="1:17" x14ac:dyDescent="0.25">
      <c r="A205" s="6" t="s">
        <v>808</v>
      </c>
      <c r="B205" s="37" t="s">
        <v>1218</v>
      </c>
      <c r="C205" s="72">
        <f>IFERROR(VLOOKUP(A205,[1]eco_bus_institutions!B:E,2,0),"")</f>
        <v>47</v>
      </c>
      <c r="D205" s="72">
        <f>IFERROR(VLOOKUP(A205,[1]eco_bus_institutions!B:E,4,0),"")</f>
        <v>2.125122548297067</v>
      </c>
      <c r="E205" s="73">
        <f t="shared" si="15"/>
        <v>222</v>
      </c>
      <c r="F205" s="40">
        <f>IFERROR(VLOOKUP(A205,[1]eco_institutions!B:D,2,0),"")</f>
        <v>16</v>
      </c>
      <c r="G205" s="40">
        <f>IFERROR(VLOOKUP(A205,[1]eco_institutions!B:E,4,0),"")</f>
        <v>1.502075162594958</v>
      </c>
      <c r="H205" s="14">
        <f t="shared" si="16"/>
        <v>304</v>
      </c>
      <c r="I205" s="46">
        <f>IFERROR(VLOOKUP(A205,[1]fin_institutions!B:D,2,0),"")</f>
        <v>6</v>
      </c>
      <c r="J205" s="41">
        <f>IFERROR(VLOOKUP(A205,[1]fin_institutions!B:E,4,0),"")</f>
        <v>1.4718391410174141</v>
      </c>
      <c r="K205" s="41">
        <f t="shared" si="17"/>
        <v>302</v>
      </c>
      <c r="L205" s="56">
        <f>IFERROR(VLOOKUP(A205,[1]bus_institutions!B:D,2,0),"")</f>
        <v>28</v>
      </c>
      <c r="M205" s="42">
        <f>IFERROR(VLOOKUP(A205,[1]bus_institutions!B:E,4,0),"")</f>
        <v>2.0150576584760911</v>
      </c>
      <c r="N205" s="23">
        <f t="shared" si="18"/>
        <v>316</v>
      </c>
      <c r="O205" s="61">
        <f>IFERROR(VLOOKUP(A205,[1]man_institutions!B:E,2,0),"")</f>
        <v>19</v>
      </c>
      <c r="P205" s="62">
        <f>IFERROR(VLOOKUP(A205,[1]man_institutions!B:E,4,0),"")</f>
        <v>2.769819957657822</v>
      </c>
      <c r="Q205" s="63">
        <f t="shared" si="19"/>
        <v>225</v>
      </c>
    </row>
    <row r="206" spans="1:17" x14ac:dyDescent="0.25">
      <c r="A206" s="6" t="s">
        <v>768</v>
      </c>
      <c r="B206" s="37" t="s">
        <v>1217</v>
      </c>
      <c r="C206" s="72">
        <f>IFERROR(VLOOKUP(A206,[1]eco_bus_institutions!B:E,2,0),"")</f>
        <v>92</v>
      </c>
      <c r="D206" s="72">
        <f>IFERROR(VLOOKUP(A206,[1]eco_bus_institutions!B:E,4,0),"")</f>
        <v>2.1214416619937508</v>
      </c>
      <c r="E206" s="73">
        <f t="shared" si="15"/>
        <v>224</v>
      </c>
      <c r="F206" s="40">
        <f>IFERROR(VLOOKUP(A206,[1]eco_institutions!B:D,2,0),"")</f>
        <v>28</v>
      </c>
      <c r="G206" s="40">
        <f>IFERROR(VLOOKUP(A206,[1]eco_institutions!B:E,4,0),"")</f>
        <v>1.3274919156863221</v>
      </c>
      <c r="H206" s="14">
        <f t="shared" si="16"/>
        <v>413</v>
      </c>
      <c r="I206" s="46">
        <f>IFERROR(VLOOKUP(A206,[1]fin_institutions!B:D,2,0),"")</f>
        <v>12</v>
      </c>
      <c r="J206" s="41">
        <f>IFERROR(VLOOKUP(A206,[1]fin_institutions!B:E,4,0),"")</f>
        <v>1.8254392757766751</v>
      </c>
      <c r="K206" s="41">
        <f t="shared" si="17"/>
        <v>188</v>
      </c>
      <c r="L206" s="56">
        <f>IFERROR(VLOOKUP(A206,[1]bus_institutions!B:D,2,0),"")</f>
        <v>42</v>
      </c>
      <c r="M206" s="42">
        <f>IFERROR(VLOOKUP(A206,[1]bus_institutions!B:E,4,0),"")</f>
        <v>2.4562683378928689</v>
      </c>
      <c r="N206" s="23">
        <f t="shared" si="18"/>
        <v>199</v>
      </c>
      <c r="O206" s="61">
        <f>IFERROR(VLOOKUP(A206,[1]man_institutions!B:E,2,0),"")</f>
        <v>40</v>
      </c>
      <c r="P206" s="62">
        <f>IFERROR(VLOOKUP(A206,[1]man_institutions!B:E,4,0),"")</f>
        <v>3.651907782257771</v>
      </c>
      <c r="Q206" s="63">
        <f t="shared" si="19"/>
        <v>106</v>
      </c>
    </row>
    <row r="207" spans="1:17" x14ac:dyDescent="0.25">
      <c r="A207" s="6" t="s">
        <v>827</v>
      </c>
      <c r="B207" s="37" t="s">
        <v>1217</v>
      </c>
      <c r="C207" s="72">
        <f>IFERROR(VLOOKUP(A207,[1]eco_bus_institutions!B:E,2,0),"")</f>
        <v>45</v>
      </c>
      <c r="D207" s="72">
        <f>IFERROR(VLOOKUP(A207,[1]eco_bus_institutions!B:E,4,0),"")</f>
        <v>2.2916478381390251</v>
      </c>
      <c r="E207" s="73">
        <f t="shared" si="15"/>
        <v>172</v>
      </c>
      <c r="F207" s="40">
        <f>IFERROR(VLOOKUP(A207,[1]eco_institutions!B:D,2,0),"")</f>
        <v>22</v>
      </c>
      <c r="G207" s="40">
        <f>IFERROR(VLOOKUP(A207,[1]eco_institutions!B:E,4,0),"")</f>
        <v>2.433150400719752</v>
      </c>
      <c r="H207" s="14">
        <f t="shared" si="16"/>
        <v>86</v>
      </c>
      <c r="I207" s="46">
        <f>IFERROR(VLOOKUP(A207,[1]fin_institutions!B:D,2,0),"")</f>
        <v>7</v>
      </c>
      <c r="J207" s="41">
        <f>IFERROR(VLOOKUP(A207,[1]fin_institutions!B:E,4,0),"")</f>
        <v>2.515910979475386</v>
      </c>
      <c r="K207" s="41">
        <f t="shared" si="17"/>
        <v>101</v>
      </c>
      <c r="L207" s="56">
        <f>IFERROR(VLOOKUP(A207,[1]bus_institutions!B:D,2,0),"")</f>
        <v>12</v>
      </c>
      <c r="M207" s="42">
        <f>IFERROR(VLOOKUP(A207,[1]bus_institutions!B:E,4,0),"")</f>
        <v>2.228758341532076</v>
      </c>
      <c r="N207" s="23">
        <f t="shared" si="18"/>
        <v>265</v>
      </c>
      <c r="O207" s="61">
        <f>IFERROR(VLOOKUP(A207,[1]man_institutions!B:E,2,0),"")</f>
        <v>12</v>
      </c>
      <c r="P207" s="62">
        <f>IFERROR(VLOOKUP(A207,[1]man_institutions!B:E,4,0),"")</f>
        <v>2.1751806606276691</v>
      </c>
      <c r="Q207" s="63">
        <f t="shared" si="19"/>
        <v>358</v>
      </c>
    </row>
    <row r="208" spans="1:17" x14ac:dyDescent="0.25">
      <c r="A208" s="6" t="s">
        <v>888</v>
      </c>
      <c r="B208" s="37" t="s">
        <v>1216</v>
      </c>
      <c r="C208" s="72">
        <f>IFERROR(VLOOKUP(A208,[1]eco_bus_institutions!B:E,2,0),"")</f>
        <v>64</v>
      </c>
      <c r="D208" s="72">
        <f>IFERROR(VLOOKUP(A208,[1]eco_bus_institutions!B:E,4,0),"")</f>
        <v>1.815303802937952</v>
      </c>
      <c r="E208" s="73">
        <f t="shared" si="15"/>
        <v>338</v>
      </c>
      <c r="F208" s="40">
        <f>IFERROR(VLOOKUP(A208,[1]eco_institutions!B:D,2,0),"")</f>
        <v>11</v>
      </c>
      <c r="G208" s="40">
        <f>IFERROR(VLOOKUP(A208,[1]eco_institutions!B:E,4,0),"")</f>
        <v>1.2581631835216069</v>
      </c>
      <c r="H208" s="14">
        <f t="shared" si="16"/>
        <v>470</v>
      </c>
      <c r="I208" s="46">
        <f>IFERROR(VLOOKUP(A208,[1]fin_institutions!B:D,2,0),"")</f>
        <v>9</v>
      </c>
      <c r="J208" s="41">
        <f>IFERROR(VLOOKUP(A208,[1]fin_institutions!B:E,4,0),"")</f>
        <v>1.245103609169993</v>
      </c>
      <c r="K208" s="41">
        <f t="shared" si="17"/>
        <v>433</v>
      </c>
      <c r="L208" s="56">
        <f>IFERROR(VLOOKUP(A208,[1]bus_institutions!B:D,2,0),"")</f>
        <v>38</v>
      </c>
      <c r="M208" s="42">
        <f>IFERROR(VLOOKUP(A208,[1]bus_institutions!B:E,4,0),"")</f>
        <v>2.0947895386962889</v>
      </c>
      <c r="N208" s="23">
        <f t="shared" si="18"/>
        <v>298</v>
      </c>
      <c r="O208" s="61">
        <f>IFERROR(VLOOKUP(A208,[1]man_institutions!B:E,2,0),"")</f>
        <v>18</v>
      </c>
      <c r="P208" s="62">
        <f>IFERROR(VLOOKUP(A208,[1]man_institutions!B:E,4,0),"")</f>
        <v>2.4340121564315451</v>
      </c>
      <c r="Q208" s="63">
        <f t="shared" si="19"/>
        <v>293</v>
      </c>
    </row>
    <row r="209" spans="1:17" x14ac:dyDescent="0.25">
      <c r="A209" s="6" t="s">
        <v>926</v>
      </c>
      <c r="B209" s="37" t="s">
        <v>1228</v>
      </c>
      <c r="C209" s="72">
        <f>IFERROR(VLOOKUP(A209,[1]eco_bus_institutions!B:E,2,0),"")</f>
        <v>98</v>
      </c>
      <c r="D209" s="72">
        <f>IFERROR(VLOOKUP(A209,[1]eco_bus_institutions!B:E,4,0),"")</f>
        <v>2.6719252025727052</v>
      </c>
      <c r="E209" s="73">
        <f t="shared" si="15"/>
        <v>104</v>
      </c>
      <c r="F209" s="40">
        <f>IFERROR(VLOOKUP(A209,[1]eco_institutions!B:D,2,0),"")</f>
        <v>80</v>
      </c>
      <c r="G209" s="40">
        <f>IFERROR(VLOOKUP(A209,[1]eco_institutions!B:E,4,0),"")</f>
        <v>2.656685695585836</v>
      </c>
      <c r="H209" s="14">
        <f t="shared" si="16"/>
        <v>72</v>
      </c>
      <c r="I209" s="46">
        <f>IFERROR(VLOOKUP(A209,[1]fin_institutions!B:D,2,0),"")</f>
        <v>8</v>
      </c>
      <c r="J209" s="41">
        <f>IFERROR(VLOOKUP(A209,[1]fin_institutions!B:E,4,0),"")</f>
        <v>2.304745188862344</v>
      </c>
      <c r="K209" s="41">
        <f t="shared" si="17"/>
        <v>119</v>
      </c>
      <c r="L209" s="56">
        <f>IFERROR(VLOOKUP(A209,[1]bus_institutions!B:D,2,0),"")</f>
        <v>9</v>
      </c>
      <c r="M209" s="42">
        <f>IFERROR(VLOOKUP(A209,[1]bus_institutions!B:E,4,0),"")</f>
        <v>2.357438864995415</v>
      </c>
      <c r="N209" s="23">
        <f t="shared" si="18"/>
        <v>233</v>
      </c>
      <c r="O209" s="61">
        <f>IFERROR(VLOOKUP(A209,[1]man_institutions!B:E,2,0),"")</f>
        <v>16</v>
      </c>
      <c r="P209" s="62">
        <f>IFERROR(VLOOKUP(A209,[1]man_institutions!B:E,4,0),"")</f>
        <v>2.5474975696957118</v>
      </c>
      <c r="Q209" s="63">
        <f t="shared" si="19"/>
        <v>263</v>
      </c>
    </row>
    <row r="210" spans="1:17" x14ac:dyDescent="0.25">
      <c r="A210" s="6" t="s">
        <v>779</v>
      </c>
      <c r="B210" s="37" t="s">
        <v>1237</v>
      </c>
      <c r="C210" s="72">
        <f>IFERROR(VLOOKUP(A210,[1]eco_bus_institutions!B:E,2,0),"")</f>
        <v>261</v>
      </c>
      <c r="D210" s="72">
        <f>IFERROR(VLOOKUP(A210,[1]eco_bus_institutions!B:E,4,0),"")</f>
        <v>2.3799981385401221</v>
      </c>
      <c r="E210" s="73">
        <f t="shared" si="15"/>
        <v>156</v>
      </c>
      <c r="F210" s="40">
        <f>IFERROR(VLOOKUP(A210,[1]eco_institutions!B:D,2,0),"")</f>
        <v>136</v>
      </c>
      <c r="G210" s="40">
        <f>IFERROR(VLOOKUP(A210,[1]eco_institutions!B:E,4,0),"")</f>
        <v>1.6047591926593561</v>
      </c>
      <c r="H210" s="14">
        <f t="shared" si="16"/>
        <v>260</v>
      </c>
      <c r="I210" s="46">
        <f>IFERROR(VLOOKUP(A210,[1]fin_institutions!B:D,2,0),"")</f>
        <v>40</v>
      </c>
      <c r="J210" s="41">
        <f>IFERROR(VLOOKUP(A210,[1]fin_institutions!B:E,4,0),"")</f>
        <v>2.103359499502679</v>
      </c>
      <c r="K210" s="41">
        <f t="shared" si="17"/>
        <v>138</v>
      </c>
      <c r="L210" s="56">
        <f>IFERROR(VLOOKUP(A210,[1]bus_institutions!B:D,2,0),"")</f>
        <v>57</v>
      </c>
      <c r="M210" s="42">
        <f>IFERROR(VLOOKUP(A210,[1]bus_institutions!B:E,4,0),"")</f>
        <v>4.0142329797604299</v>
      </c>
      <c r="N210" s="23">
        <f t="shared" si="18"/>
        <v>35</v>
      </c>
      <c r="O210" s="61">
        <f>IFERROR(VLOOKUP(A210,[1]man_institutions!B:E,2,0),"")</f>
        <v>73</v>
      </c>
      <c r="P210" s="62">
        <f>IFERROR(VLOOKUP(A210,[1]man_institutions!B:E,4,0),"")</f>
        <v>4.1477604101657182</v>
      </c>
      <c r="Q210" s="63">
        <f t="shared" si="19"/>
        <v>69</v>
      </c>
    </row>
    <row r="211" spans="1:17" x14ac:dyDescent="0.25">
      <c r="A211" s="6" t="s">
        <v>943</v>
      </c>
      <c r="B211" s="37" t="s">
        <v>1218</v>
      </c>
      <c r="C211" s="72">
        <f>IFERROR(VLOOKUP(A211,[1]eco_bus_institutions!B:E,2,0),"")</f>
        <v>77</v>
      </c>
      <c r="D211" s="72">
        <f>IFERROR(VLOOKUP(A211,[1]eco_bus_institutions!B:E,4,0),"")</f>
        <v>2.6681994734205978</v>
      </c>
      <c r="E211" s="73">
        <f t="shared" si="15"/>
        <v>105</v>
      </c>
      <c r="F211" s="40">
        <f>IFERROR(VLOOKUP(A211,[1]eco_institutions!B:D,2,0),"")</f>
        <v>76</v>
      </c>
      <c r="G211" s="40">
        <f>IFERROR(VLOOKUP(A211,[1]eco_institutions!B:E,4,0),"")</f>
        <v>2.6098588002607519</v>
      </c>
      <c r="H211" s="14">
        <f t="shared" si="16"/>
        <v>76</v>
      </c>
      <c r="I211" s="46">
        <f>IFERROR(VLOOKUP(A211,[1]fin_institutions!B:D,2,0),"")</f>
        <v>7</v>
      </c>
      <c r="J211" s="41">
        <f>IFERROR(VLOOKUP(A211,[1]fin_institutions!B:E,4,0),"")</f>
        <v>1.3674021238784619</v>
      </c>
      <c r="K211" s="41">
        <f t="shared" si="17"/>
        <v>352</v>
      </c>
      <c r="L211" s="56" t="str">
        <f>IFERROR(VLOOKUP(A211,[1]bus_institutions!B:D,2,0),"")</f>
        <v/>
      </c>
      <c r="M211" s="42" t="str">
        <f>IFERROR(VLOOKUP(A211,[1]bus_institutions!B:E,4,0),"")</f>
        <v/>
      </c>
      <c r="N211" s="23" t="str">
        <f t="shared" si="18"/>
        <v/>
      </c>
      <c r="O211" s="61" t="str">
        <f>IFERROR(VLOOKUP(A211,[1]man_institutions!B:E,2,0),"")</f>
        <v/>
      </c>
      <c r="P211" s="62" t="str">
        <f>IFERROR(VLOOKUP(A211,[1]man_institutions!B:E,4,0),"")</f>
        <v/>
      </c>
      <c r="Q211" s="63" t="str">
        <f t="shared" si="19"/>
        <v/>
      </c>
    </row>
    <row r="212" spans="1:17" x14ac:dyDescent="0.25">
      <c r="A212" s="6" t="s">
        <v>790</v>
      </c>
      <c r="B212" s="37" t="s">
        <v>1217</v>
      </c>
      <c r="C212" s="72">
        <f>IFERROR(VLOOKUP(A212,[1]eco_bus_institutions!B:E,2,0),"")</f>
        <v>67</v>
      </c>
      <c r="D212" s="72">
        <f>IFERROR(VLOOKUP(A212,[1]eco_bus_institutions!B:E,4,0),"")</f>
        <v>2.0726324235496389</v>
      </c>
      <c r="E212" s="73">
        <f t="shared" si="15"/>
        <v>243</v>
      </c>
      <c r="F212" s="40">
        <f>IFERROR(VLOOKUP(A212,[1]eco_institutions!B:D,2,0),"")</f>
        <v>31</v>
      </c>
      <c r="G212" s="40">
        <f>IFERROR(VLOOKUP(A212,[1]eco_institutions!B:E,4,0),"")</f>
        <v>1.2693860701795661</v>
      </c>
      <c r="H212" s="14">
        <f t="shared" si="16"/>
        <v>460</v>
      </c>
      <c r="I212" s="46">
        <f>IFERROR(VLOOKUP(A212,[1]fin_institutions!B:D,2,0),"")</f>
        <v>16</v>
      </c>
      <c r="J212" s="41">
        <f>IFERROR(VLOOKUP(A212,[1]fin_institutions!B:E,4,0),"")</f>
        <v>1.3287701007665571</v>
      </c>
      <c r="K212" s="41">
        <f t="shared" si="17"/>
        <v>377</v>
      </c>
      <c r="L212" s="56">
        <f>IFERROR(VLOOKUP(A212,[1]bus_institutions!B:D,2,0),"")</f>
        <v>21</v>
      </c>
      <c r="M212" s="42">
        <f>IFERROR(VLOOKUP(A212,[1]bus_institutions!B:E,4,0),"")</f>
        <v>3.32781973887319</v>
      </c>
      <c r="N212" s="23">
        <f t="shared" si="18"/>
        <v>82</v>
      </c>
      <c r="O212" s="61">
        <f>IFERROR(VLOOKUP(A212,[1]man_institutions!B:E,2,0),"")</f>
        <v>14</v>
      </c>
      <c r="P212" s="62">
        <f>IFERROR(VLOOKUP(A212,[1]man_institutions!B:E,4,0),"")</f>
        <v>5.6107517461352181</v>
      </c>
      <c r="Q212" s="63">
        <f t="shared" si="19"/>
        <v>23</v>
      </c>
    </row>
    <row r="213" spans="1:17" x14ac:dyDescent="0.25">
      <c r="A213" s="6" t="s">
        <v>897</v>
      </c>
      <c r="B213" s="37" t="s">
        <v>1216</v>
      </c>
      <c r="C213" s="72">
        <f>IFERROR(VLOOKUP(A213,[1]eco_bus_institutions!B:E,2,0),"")</f>
        <v>161</v>
      </c>
      <c r="D213" s="72">
        <f>IFERROR(VLOOKUP(A213,[1]eco_bus_institutions!B:E,4,0),"")</f>
        <v>2.1209247719952868</v>
      </c>
      <c r="E213" s="73">
        <f t="shared" si="15"/>
        <v>225</v>
      </c>
      <c r="F213" s="40">
        <f>IFERROR(VLOOKUP(A213,[1]eco_institutions!B:D,2,0),"")</f>
        <v>82</v>
      </c>
      <c r="G213" s="40">
        <f>IFERROR(VLOOKUP(A213,[1]eco_institutions!B:E,4,0),"")</f>
        <v>2.2140616760435998</v>
      </c>
      <c r="H213" s="14">
        <f t="shared" si="16"/>
        <v>109</v>
      </c>
      <c r="I213" s="46">
        <f>IFERROR(VLOOKUP(A213,[1]fin_institutions!B:D,2,0),"")</f>
        <v>35</v>
      </c>
      <c r="J213" s="41">
        <f>IFERROR(VLOOKUP(A213,[1]fin_institutions!B:E,4,0),"")</f>
        <v>1.514569724821154</v>
      </c>
      <c r="K213" s="41">
        <f t="shared" si="17"/>
        <v>281</v>
      </c>
      <c r="L213" s="56">
        <f>IFERROR(VLOOKUP(A213,[1]bus_institutions!B:D,2,0),"")</f>
        <v>30</v>
      </c>
      <c r="M213" s="42">
        <f>IFERROR(VLOOKUP(A213,[1]bus_institutions!B:E,4,0),"")</f>
        <v>1.7687603556386851</v>
      </c>
      <c r="N213" s="23">
        <f t="shared" si="18"/>
        <v>394</v>
      </c>
      <c r="O213" s="61">
        <f>IFERROR(VLOOKUP(A213,[1]man_institutions!B:E,2,0),"")</f>
        <v>43</v>
      </c>
      <c r="P213" s="62">
        <f>IFERROR(VLOOKUP(A213,[1]man_institutions!B:E,4,0),"")</f>
        <v>2.231318013271113</v>
      </c>
      <c r="Q213" s="63">
        <f t="shared" si="19"/>
        <v>342</v>
      </c>
    </row>
    <row r="214" spans="1:17" x14ac:dyDescent="0.25">
      <c r="A214" s="6" t="s">
        <v>826</v>
      </c>
      <c r="B214" s="37" t="s">
        <v>1217</v>
      </c>
      <c r="C214" s="72">
        <f>IFERROR(VLOOKUP(A214,[1]eco_bus_institutions!B:E,2,0),"")</f>
        <v>49</v>
      </c>
      <c r="D214" s="72">
        <f>IFERROR(VLOOKUP(A214,[1]eco_bus_institutions!B:E,4,0),"")</f>
        <v>2.3082859862319678</v>
      </c>
      <c r="E214" s="73">
        <f t="shared" si="15"/>
        <v>168</v>
      </c>
      <c r="F214" s="40">
        <f>IFERROR(VLOOKUP(A214,[1]eco_institutions!B:D,2,0),"")</f>
        <v>25</v>
      </c>
      <c r="G214" s="40">
        <f>IFERROR(VLOOKUP(A214,[1]eco_institutions!B:E,4,0),"")</f>
        <v>1.818876560961552</v>
      </c>
      <c r="H214" s="14">
        <f t="shared" si="16"/>
        <v>188</v>
      </c>
      <c r="I214" s="46">
        <f>IFERROR(VLOOKUP(A214,[1]fin_institutions!B:D,2,0),"")</f>
        <v>12</v>
      </c>
      <c r="J214" s="41">
        <f>IFERROR(VLOOKUP(A214,[1]fin_institutions!B:E,4,0),"")</f>
        <v>2.705721454823387</v>
      </c>
      <c r="K214" s="41">
        <f t="shared" si="17"/>
        <v>85</v>
      </c>
      <c r="L214" s="56">
        <f>IFERROR(VLOOKUP(A214,[1]bus_institutions!B:D,2,0),"")</f>
        <v>12</v>
      </c>
      <c r="M214" s="42">
        <f>IFERROR(VLOOKUP(A214,[1]bus_institutions!B:E,4,0),"")</f>
        <v>2.947965255783342</v>
      </c>
      <c r="N214" s="23">
        <f t="shared" si="18"/>
        <v>124</v>
      </c>
      <c r="O214" s="61">
        <f>IFERROR(VLOOKUP(A214,[1]man_institutions!B:E,2,0),"")</f>
        <v>11</v>
      </c>
      <c r="P214" s="62">
        <f>IFERROR(VLOOKUP(A214,[1]man_institutions!B:E,4,0),"")</f>
        <v>2.9169624377765291</v>
      </c>
      <c r="Q214" s="63">
        <f t="shared" si="19"/>
        <v>200</v>
      </c>
    </row>
    <row r="215" spans="1:17" x14ac:dyDescent="0.25">
      <c r="A215" s="6" t="s">
        <v>830</v>
      </c>
      <c r="B215" s="37" t="s">
        <v>1225</v>
      </c>
      <c r="C215" s="72">
        <f>IFERROR(VLOOKUP(A215,[1]eco_bus_institutions!B:E,2,0),"")</f>
        <v>49</v>
      </c>
      <c r="D215" s="72">
        <f>IFERROR(VLOOKUP(A215,[1]eco_bus_institutions!B:E,4,0),"")</f>
        <v>2.3082859862319678</v>
      </c>
      <c r="E215" s="73">
        <f t="shared" si="15"/>
        <v>168</v>
      </c>
      <c r="F215" s="40">
        <f>IFERROR(VLOOKUP(A215,[1]eco_institutions!B:D,2,0),"")</f>
        <v>25</v>
      </c>
      <c r="G215" s="40">
        <f>IFERROR(VLOOKUP(A215,[1]eco_institutions!B:E,4,0),"")</f>
        <v>1.818876560961552</v>
      </c>
      <c r="H215" s="14">
        <f t="shared" si="16"/>
        <v>188</v>
      </c>
      <c r="I215" s="46">
        <f>IFERROR(VLOOKUP(A215,[1]fin_institutions!B:D,2,0),"")</f>
        <v>12</v>
      </c>
      <c r="J215" s="41">
        <f>IFERROR(VLOOKUP(A215,[1]fin_institutions!B:E,4,0),"")</f>
        <v>2.705721454823387</v>
      </c>
      <c r="K215" s="41">
        <f t="shared" si="17"/>
        <v>85</v>
      </c>
      <c r="L215" s="56">
        <f>IFERROR(VLOOKUP(A215,[1]bus_institutions!B:D,2,0),"")</f>
        <v>12</v>
      </c>
      <c r="M215" s="42">
        <f>IFERROR(VLOOKUP(A215,[1]bus_institutions!B:E,4,0),"")</f>
        <v>2.947965255783342</v>
      </c>
      <c r="N215" s="23">
        <f t="shared" si="18"/>
        <v>124</v>
      </c>
      <c r="O215" s="61">
        <f>IFERROR(VLOOKUP(A215,[1]man_institutions!B:E,2,0),"")</f>
        <v>11</v>
      </c>
      <c r="P215" s="62">
        <f>IFERROR(VLOOKUP(A215,[1]man_institutions!B:E,4,0),"")</f>
        <v>2.9169624377765291</v>
      </c>
      <c r="Q215" s="63">
        <f t="shared" si="19"/>
        <v>200</v>
      </c>
    </row>
    <row r="216" spans="1:17" x14ac:dyDescent="0.25">
      <c r="A216" s="6" t="s">
        <v>759</v>
      </c>
      <c r="B216" s="37" t="s">
        <v>1217</v>
      </c>
      <c r="C216" s="72">
        <f>IFERROR(VLOOKUP(A216,[1]eco_bus_institutions!B:E,2,0),"")</f>
        <v>99</v>
      </c>
      <c r="D216" s="72">
        <f>IFERROR(VLOOKUP(A216,[1]eco_bus_institutions!B:E,4,0),"")</f>
        <v>2.3867249031233069</v>
      </c>
      <c r="E216" s="73">
        <f t="shared" si="15"/>
        <v>154</v>
      </c>
      <c r="F216" s="40">
        <f>IFERROR(VLOOKUP(A216,[1]eco_institutions!B:D,2,0),"")</f>
        <v>40</v>
      </c>
      <c r="G216" s="40">
        <f>IFERROR(VLOOKUP(A216,[1]eco_institutions!B:E,4,0),"")</f>
        <v>2.0658963222562532</v>
      </c>
      <c r="H216" s="14">
        <f t="shared" si="16"/>
        <v>133</v>
      </c>
      <c r="I216" s="46">
        <f>IFERROR(VLOOKUP(A216,[1]fin_institutions!B:D,2,0),"")</f>
        <v>13</v>
      </c>
      <c r="J216" s="41">
        <f>IFERROR(VLOOKUP(A216,[1]fin_institutions!B:E,4,0),"")</f>
        <v>1.959973825151778</v>
      </c>
      <c r="K216" s="41">
        <f t="shared" si="17"/>
        <v>165</v>
      </c>
      <c r="L216" s="56">
        <f>IFERROR(VLOOKUP(A216,[1]bus_institutions!B:D,2,0),"")</f>
        <v>27</v>
      </c>
      <c r="M216" s="42">
        <f>IFERROR(VLOOKUP(A216,[1]bus_institutions!B:E,4,0),"")</f>
        <v>2.4911639308877489</v>
      </c>
      <c r="N216" s="23">
        <f t="shared" si="18"/>
        <v>188</v>
      </c>
      <c r="O216" s="61">
        <f>IFERROR(VLOOKUP(A216,[1]man_institutions!B:E,2,0),"")</f>
        <v>47</v>
      </c>
      <c r="P216" s="62">
        <f>IFERROR(VLOOKUP(A216,[1]man_institutions!B:E,4,0),"")</f>
        <v>3.575763125315047</v>
      </c>
      <c r="Q216" s="63">
        <f t="shared" si="19"/>
        <v>116</v>
      </c>
    </row>
    <row r="217" spans="1:17" x14ac:dyDescent="0.25">
      <c r="A217" s="6" t="s">
        <v>818</v>
      </c>
      <c r="B217" s="37" t="s">
        <v>1216</v>
      </c>
      <c r="C217" s="72">
        <f>IFERROR(VLOOKUP(A217,[1]eco_bus_institutions!B:E,2,0),"")</f>
        <v>230</v>
      </c>
      <c r="D217" s="72">
        <f>IFERROR(VLOOKUP(A217,[1]eco_bus_institutions!B:E,4,0),"")</f>
        <v>2.1296886529796302</v>
      </c>
      <c r="E217" s="73">
        <f t="shared" si="15"/>
        <v>219</v>
      </c>
      <c r="F217" s="40">
        <f>IFERROR(VLOOKUP(A217,[1]eco_institutions!B:D,2,0),"")</f>
        <v>87</v>
      </c>
      <c r="G217" s="40">
        <f>IFERROR(VLOOKUP(A217,[1]eco_institutions!B:E,4,0),"")</f>
        <v>1.687671775178478</v>
      </c>
      <c r="H217" s="14">
        <f t="shared" si="16"/>
        <v>227</v>
      </c>
      <c r="I217" s="46">
        <f>IFERROR(VLOOKUP(A217,[1]fin_institutions!B:D,2,0),"")</f>
        <v>43</v>
      </c>
      <c r="J217" s="41">
        <f>IFERROR(VLOOKUP(A217,[1]fin_institutions!B:E,4,0),"")</f>
        <v>1.66421353520452</v>
      </c>
      <c r="K217" s="41">
        <f t="shared" si="17"/>
        <v>228</v>
      </c>
      <c r="L217" s="56">
        <f>IFERROR(VLOOKUP(A217,[1]bus_institutions!B:D,2,0),"")</f>
        <v>77</v>
      </c>
      <c r="M217" s="42">
        <f>IFERROR(VLOOKUP(A217,[1]bus_institutions!B:E,4,0),"")</f>
        <v>2.6262887045300478</v>
      </c>
      <c r="N217" s="23">
        <f t="shared" si="18"/>
        <v>171</v>
      </c>
      <c r="O217" s="61">
        <f>IFERROR(VLOOKUP(A217,[1]man_institutions!B:E,2,0),"")</f>
        <v>73</v>
      </c>
      <c r="P217" s="62">
        <f>IFERROR(VLOOKUP(A217,[1]man_institutions!B:E,4,0),"")</f>
        <v>2.7265174430162959</v>
      </c>
      <c r="Q217" s="63">
        <f t="shared" si="19"/>
        <v>230</v>
      </c>
    </row>
    <row r="218" spans="1:17" x14ac:dyDescent="0.25">
      <c r="A218" s="6" t="s">
        <v>866</v>
      </c>
      <c r="B218" s="37" t="s">
        <v>1218</v>
      </c>
      <c r="C218" s="72">
        <f>IFERROR(VLOOKUP(A218,[1]eco_bus_institutions!B:E,2,0),"")</f>
        <v>56</v>
      </c>
      <c r="D218" s="72">
        <f>IFERROR(VLOOKUP(A218,[1]eco_bus_institutions!B:E,4,0),"")</f>
        <v>2.2475238386802752</v>
      </c>
      <c r="E218" s="73">
        <f t="shared" si="15"/>
        <v>183</v>
      </c>
      <c r="F218" s="40">
        <f>IFERROR(VLOOKUP(A218,[1]eco_institutions!B:D,2,0),"")</f>
        <v>19</v>
      </c>
      <c r="G218" s="40">
        <f>IFERROR(VLOOKUP(A218,[1]eco_institutions!B:E,4,0),"")</f>
        <v>2.738498607268228</v>
      </c>
      <c r="H218" s="14">
        <f t="shared" si="16"/>
        <v>67</v>
      </c>
      <c r="I218" s="46">
        <f>IFERROR(VLOOKUP(A218,[1]fin_institutions!B:D,2,0),"")</f>
        <v>16</v>
      </c>
      <c r="J218" s="41">
        <f>IFERROR(VLOOKUP(A218,[1]fin_institutions!B:E,4,0),"")</f>
        <v>1.406351111657133</v>
      </c>
      <c r="K218" s="41">
        <f t="shared" si="17"/>
        <v>335</v>
      </c>
      <c r="L218" s="56">
        <f>IFERROR(VLOOKUP(A218,[1]bus_institutions!B:D,2,0),"")</f>
        <v>14</v>
      </c>
      <c r="M218" s="42">
        <f>IFERROR(VLOOKUP(A218,[1]bus_institutions!B:E,4,0),"")</f>
        <v>2.412105248360469</v>
      </c>
      <c r="N218" s="23">
        <f t="shared" si="18"/>
        <v>214</v>
      </c>
      <c r="O218" s="61">
        <f>IFERROR(VLOOKUP(A218,[1]man_institutions!B:E,2,0),"")</f>
        <v>20</v>
      </c>
      <c r="P218" s="62">
        <f>IFERROR(VLOOKUP(A218,[1]man_institutions!B:E,4,0),"")</f>
        <v>2.23544215452727</v>
      </c>
      <c r="Q218" s="63">
        <f t="shared" si="19"/>
        <v>341</v>
      </c>
    </row>
    <row r="219" spans="1:17" x14ac:dyDescent="0.25">
      <c r="A219" s="6" t="s">
        <v>941</v>
      </c>
      <c r="B219" s="37" t="s">
        <v>1217</v>
      </c>
      <c r="C219" s="72">
        <f>IFERROR(VLOOKUP(A219,[1]eco_bus_institutions!B:E,2,0),"")</f>
        <v>159</v>
      </c>
      <c r="D219" s="72">
        <f>IFERROR(VLOOKUP(A219,[1]eco_bus_institutions!B:E,4,0),"")</f>
        <v>2.355553865330906</v>
      </c>
      <c r="E219" s="73">
        <f t="shared" si="15"/>
        <v>158</v>
      </c>
      <c r="F219" s="40">
        <f>IFERROR(VLOOKUP(A219,[1]eco_institutions!B:D,2,0),"")</f>
        <v>135</v>
      </c>
      <c r="G219" s="40">
        <f>IFERROR(VLOOKUP(A219,[1]eco_institutions!B:E,4,0),"")</f>
        <v>2.2577465305961208</v>
      </c>
      <c r="H219" s="14">
        <f t="shared" si="16"/>
        <v>105</v>
      </c>
      <c r="I219" s="46">
        <f>IFERROR(VLOOKUP(A219,[1]fin_institutions!B:D,2,0),"")</f>
        <v>62</v>
      </c>
      <c r="J219" s="41">
        <f>IFERROR(VLOOKUP(A219,[1]fin_institutions!B:E,4,0),"")</f>
        <v>1.735041515303871</v>
      </c>
      <c r="K219" s="41">
        <f t="shared" si="17"/>
        <v>207</v>
      </c>
      <c r="L219" s="56" t="str">
        <f>IFERROR(VLOOKUP(A219,[1]bus_institutions!B:D,2,0),"")</f>
        <v/>
      </c>
      <c r="M219" s="42" t="str">
        <f>IFERROR(VLOOKUP(A219,[1]bus_institutions!B:E,4,0),"")</f>
        <v/>
      </c>
      <c r="N219" s="23" t="str">
        <f t="shared" si="18"/>
        <v/>
      </c>
      <c r="O219" s="61" t="str">
        <f>IFERROR(VLOOKUP(A219,[1]man_institutions!B:E,2,0),"")</f>
        <v/>
      </c>
      <c r="P219" s="62" t="str">
        <f>IFERROR(VLOOKUP(A219,[1]man_institutions!B:E,4,0),"")</f>
        <v/>
      </c>
      <c r="Q219" s="63" t="str">
        <f t="shared" si="19"/>
        <v/>
      </c>
    </row>
    <row r="220" spans="1:17" x14ac:dyDescent="0.25">
      <c r="A220" s="6" t="s">
        <v>756</v>
      </c>
      <c r="B220" s="37" t="s">
        <v>1227</v>
      </c>
      <c r="C220" s="72">
        <f>IFERROR(VLOOKUP(A220,[1]eco_bus_institutions!B:E,2,0),"")</f>
        <v>124</v>
      </c>
      <c r="D220" s="72">
        <f>IFERROR(VLOOKUP(A220,[1]eco_bus_institutions!B:E,4,0),"")</f>
        <v>2.2247893556081109</v>
      </c>
      <c r="E220" s="73">
        <f t="shared" si="15"/>
        <v>191</v>
      </c>
      <c r="F220" s="40">
        <f>IFERROR(VLOOKUP(A220,[1]eco_institutions!B:D,2,0),"")</f>
        <v>58</v>
      </c>
      <c r="G220" s="40">
        <f>IFERROR(VLOOKUP(A220,[1]eco_institutions!B:E,4,0),"")</f>
        <v>1.725885340773252</v>
      </c>
      <c r="H220" s="14">
        <f t="shared" si="16"/>
        <v>213</v>
      </c>
      <c r="I220" s="46">
        <f>IFERROR(VLOOKUP(A220,[1]fin_institutions!B:D,2,0),"")</f>
        <v>16</v>
      </c>
      <c r="J220" s="41">
        <f>IFERROR(VLOOKUP(A220,[1]fin_institutions!B:E,4,0),"")</f>
        <v>2.6892506814564028</v>
      </c>
      <c r="K220" s="41">
        <f t="shared" si="17"/>
        <v>88</v>
      </c>
      <c r="L220" s="56">
        <f>IFERROR(VLOOKUP(A220,[1]bus_institutions!B:D,2,0),"")</f>
        <v>43</v>
      </c>
      <c r="M220" s="42">
        <f>IFERROR(VLOOKUP(A220,[1]bus_institutions!B:E,4,0),"")</f>
        <v>2.9871330935450509</v>
      </c>
      <c r="N220" s="23">
        <f t="shared" si="18"/>
        <v>117</v>
      </c>
      <c r="O220" s="61">
        <f>IFERROR(VLOOKUP(A220,[1]man_institutions!B:E,2,0),"")</f>
        <v>42</v>
      </c>
      <c r="P220" s="62">
        <f>IFERROR(VLOOKUP(A220,[1]man_institutions!B:E,4,0),"")</f>
        <v>2.237208352397785</v>
      </c>
      <c r="Q220" s="63">
        <f t="shared" si="19"/>
        <v>340</v>
      </c>
    </row>
    <row r="221" spans="1:17" x14ac:dyDescent="0.25">
      <c r="A221" s="6" t="s">
        <v>861</v>
      </c>
      <c r="B221" s="37" t="s">
        <v>1216</v>
      </c>
      <c r="C221" s="72">
        <f>IFERROR(VLOOKUP(A221,[1]eco_bus_institutions!B:E,2,0),"")</f>
        <v>271</v>
      </c>
      <c r="D221" s="72">
        <f>IFERROR(VLOOKUP(A221,[1]eco_bus_institutions!B:E,4,0),"")</f>
        <v>2.5771088000279851</v>
      </c>
      <c r="E221" s="73">
        <f t="shared" si="15"/>
        <v>117</v>
      </c>
      <c r="F221" s="40">
        <f>IFERROR(VLOOKUP(A221,[1]eco_institutions!B:D,2,0),"")</f>
        <v>201</v>
      </c>
      <c r="G221" s="40">
        <f>IFERROR(VLOOKUP(A221,[1]eco_institutions!B:E,4,0),"")</f>
        <v>2.392531844425156</v>
      </c>
      <c r="H221" s="14">
        <f t="shared" si="16"/>
        <v>89</v>
      </c>
      <c r="I221" s="46">
        <f>IFERROR(VLOOKUP(A221,[1]fin_institutions!B:D,2,0),"")</f>
        <v>38</v>
      </c>
      <c r="J221" s="41">
        <f>IFERROR(VLOOKUP(A221,[1]fin_institutions!B:E,4,0),"")</f>
        <v>2.127641245347784</v>
      </c>
      <c r="K221" s="41">
        <f t="shared" si="17"/>
        <v>135</v>
      </c>
      <c r="L221" s="56">
        <f>IFERROR(VLOOKUP(A221,[1]bus_institutions!B:D,2,0),"")</f>
        <v>48</v>
      </c>
      <c r="M221" s="42">
        <f>IFERROR(VLOOKUP(A221,[1]bus_institutions!B:E,4,0),"")</f>
        <v>2.4485034641067331</v>
      </c>
      <c r="N221" s="23">
        <f t="shared" si="18"/>
        <v>202</v>
      </c>
      <c r="O221" s="61">
        <f>IFERROR(VLOOKUP(A221,[1]man_institutions!B:E,2,0),"")</f>
        <v>52</v>
      </c>
      <c r="P221" s="62">
        <f>IFERROR(VLOOKUP(A221,[1]man_institutions!B:E,4,0),"")</f>
        <v>4.0244847246587989</v>
      </c>
      <c r="Q221" s="63">
        <f t="shared" si="19"/>
        <v>74</v>
      </c>
    </row>
    <row r="222" spans="1:17" x14ac:dyDescent="0.25">
      <c r="A222" s="6" t="s">
        <v>765</v>
      </c>
      <c r="B222" s="37" t="s">
        <v>1217</v>
      </c>
      <c r="C222" s="72">
        <f>IFERROR(VLOOKUP(A222,[1]eco_bus_institutions!B:E,2,0),"")</f>
        <v>55</v>
      </c>
      <c r="D222" s="72">
        <f>IFERROR(VLOOKUP(A222,[1]eco_bus_institutions!B:E,4,0),"")</f>
        <v>2.1495590692161071</v>
      </c>
      <c r="E222" s="73">
        <f t="shared" si="15"/>
        <v>215</v>
      </c>
      <c r="F222" s="40">
        <f>IFERROR(VLOOKUP(A222,[1]eco_institutions!B:D,2,0),"")</f>
        <v>13</v>
      </c>
      <c r="G222" s="40">
        <f>IFERROR(VLOOKUP(A222,[1]eco_institutions!B:E,4,0),"")</f>
        <v>1.833621937194637</v>
      </c>
      <c r="H222" s="14">
        <f t="shared" si="16"/>
        <v>183</v>
      </c>
      <c r="I222" s="46">
        <f>IFERROR(VLOOKUP(A222,[1]fin_institutions!B:D,2,0),"")</f>
        <v>7</v>
      </c>
      <c r="J222" s="41">
        <f>IFERROR(VLOOKUP(A222,[1]fin_institutions!B:E,4,0),"")</f>
        <v>1.519944213948198</v>
      </c>
      <c r="K222" s="41">
        <f t="shared" si="17"/>
        <v>276</v>
      </c>
      <c r="L222" s="56">
        <f>IFERROR(VLOOKUP(A222,[1]bus_institutions!B:D,2,0),"")</f>
        <v>30</v>
      </c>
      <c r="M222" s="42">
        <f>IFERROR(VLOOKUP(A222,[1]bus_institutions!B:E,4,0),"")</f>
        <v>2.3264506434218828</v>
      </c>
      <c r="N222" s="23">
        <f t="shared" si="18"/>
        <v>240</v>
      </c>
      <c r="O222" s="61">
        <f>IFERROR(VLOOKUP(A222,[1]man_institutions!B:E,2,0),"")</f>
        <v>29</v>
      </c>
      <c r="P222" s="62">
        <f>IFERROR(VLOOKUP(A222,[1]man_institutions!B:E,4,0),"")</f>
        <v>2.6814741105604738</v>
      </c>
      <c r="Q222" s="63">
        <f t="shared" si="19"/>
        <v>238</v>
      </c>
    </row>
    <row r="223" spans="1:17" x14ac:dyDescent="0.25">
      <c r="A223" s="6" t="s">
        <v>905</v>
      </c>
      <c r="B223" s="37" t="s">
        <v>1237</v>
      </c>
      <c r="C223" s="72">
        <f>IFERROR(VLOOKUP(A223,[1]eco_bus_institutions!B:E,2,0),"")</f>
        <v>371</v>
      </c>
      <c r="D223" s="72">
        <f>IFERROR(VLOOKUP(A223,[1]eco_bus_institutions!B:E,4,0),"")</f>
        <v>2.1134259443395429</v>
      </c>
      <c r="E223" s="73">
        <f t="shared" si="15"/>
        <v>226</v>
      </c>
      <c r="F223" s="40">
        <f>IFERROR(VLOOKUP(A223,[1]eco_institutions!B:D,2,0),"")</f>
        <v>169</v>
      </c>
      <c r="G223" s="40">
        <f>IFERROR(VLOOKUP(A223,[1]eco_institutions!B:E,4,0),"")</f>
        <v>2.2783630951276721</v>
      </c>
      <c r="H223" s="14">
        <f t="shared" si="16"/>
        <v>101</v>
      </c>
      <c r="I223" s="46">
        <f>IFERROR(VLOOKUP(A223,[1]fin_institutions!B:D,2,0),"")</f>
        <v>97</v>
      </c>
      <c r="J223" s="41">
        <f>IFERROR(VLOOKUP(A223,[1]fin_institutions!B:E,4,0),"")</f>
        <v>1.812761603620324</v>
      </c>
      <c r="K223" s="41">
        <f t="shared" si="17"/>
        <v>192</v>
      </c>
      <c r="L223" s="56">
        <f>IFERROR(VLOOKUP(A223,[1]bus_institutions!B:D,2,0),"")</f>
        <v>89</v>
      </c>
      <c r="M223" s="42">
        <f>IFERROR(VLOOKUP(A223,[1]bus_institutions!B:E,4,0),"")</f>
        <v>1.960049614110325</v>
      </c>
      <c r="N223" s="23">
        <f t="shared" si="18"/>
        <v>333</v>
      </c>
      <c r="O223" s="61">
        <f>IFERROR(VLOOKUP(A223,[1]man_institutions!B:E,2,0),"")</f>
        <v>74</v>
      </c>
      <c r="P223" s="62">
        <f>IFERROR(VLOOKUP(A223,[1]man_institutions!B:E,4,0),"")</f>
        <v>2.4177874527107139</v>
      </c>
      <c r="Q223" s="63">
        <f t="shared" si="19"/>
        <v>297</v>
      </c>
    </row>
    <row r="224" spans="1:17" x14ac:dyDescent="0.25">
      <c r="A224" s="6" t="s">
        <v>857</v>
      </c>
      <c r="B224" s="37" t="s">
        <v>1224</v>
      </c>
      <c r="C224" s="72">
        <f>IFERROR(VLOOKUP(A224,[1]eco_bus_institutions!B:E,2,0),"")</f>
        <v>170</v>
      </c>
      <c r="D224" s="72">
        <f>IFERROR(VLOOKUP(A224,[1]eco_bus_institutions!B:E,4,0),"")</f>
        <v>2.3297329681499921</v>
      </c>
      <c r="E224" s="73">
        <f t="shared" si="15"/>
        <v>164</v>
      </c>
      <c r="F224" s="40">
        <f>IFERROR(VLOOKUP(A224,[1]eco_institutions!B:D,2,0),"")</f>
        <v>74</v>
      </c>
      <c r="G224" s="40">
        <f>IFERROR(VLOOKUP(A224,[1]eco_institutions!B:E,4,0),"")</f>
        <v>2.2055878637720858</v>
      </c>
      <c r="H224" s="14">
        <f t="shared" si="16"/>
        <v>110</v>
      </c>
      <c r="I224" s="46">
        <f>IFERROR(VLOOKUP(A224,[1]fin_institutions!B:D,2,0),"")</f>
        <v>27</v>
      </c>
      <c r="J224" s="41">
        <f>IFERROR(VLOOKUP(A224,[1]fin_institutions!B:E,4,0),"")</f>
        <v>1.5879115631302669</v>
      </c>
      <c r="K224" s="41">
        <f t="shared" si="17"/>
        <v>250</v>
      </c>
      <c r="L224" s="56">
        <f>IFERROR(VLOOKUP(A224,[1]bus_institutions!B:D,2,0),"")</f>
        <v>49</v>
      </c>
      <c r="M224" s="42">
        <f>IFERROR(VLOOKUP(A224,[1]bus_institutions!B:E,4,0),"")</f>
        <v>1.0890779419689041</v>
      </c>
      <c r="N224" s="23">
        <f t="shared" si="18"/>
        <v>561</v>
      </c>
      <c r="O224" s="61">
        <f>IFERROR(VLOOKUP(A224,[1]man_institutions!B:E,2,0),"")</f>
        <v>60</v>
      </c>
      <c r="P224" s="62">
        <f>IFERROR(VLOOKUP(A224,[1]man_institutions!B:E,4,0),"")</f>
        <v>2.8609893334411458</v>
      </c>
      <c r="Q224" s="63">
        <f t="shared" si="19"/>
        <v>206</v>
      </c>
    </row>
    <row r="225" spans="1:17" x14ac:dyDescent="0.25">
      <c r="A225" s="6" t="s">
        <v>824</v>
      </c>
      <c r="B225" s="37" t="s">
        <v>1233</v>
      </c>
      <c r="C225" s="72">
        <f>IFERROR(VLOOKUP(A225,[1]eco_bus_institutions!B:E,2,0),"")</f>
        <v>139</v>
      </c>
      <c r="D225" s="72">
        <f>IFERROR(VLOOKUP(A225,[1]eco_bus_institutions!B:E,4,0),"")</f>
        <v>2.103793151684576</v>
      </c>
      <c r="E225" s="73">
        <f t="shared" si="15"/>
        <v>232</v>
      </c>
      <c r="F225" s="40">
        <f>IFERROR(VLOOKUP(A225,[1]eco_institutions!B:D,2,0),"")</f>
        <v>86</v>
      </c>
      <c r="G225" s="40">
        <f>IFERROR(VLOOKUP(A225,[1]eco_institutions!B:E,4,0),"")</f>
        <v>1.5398916289910409</v>
      </c>
      <c r="H225" s="14">
        <f t="shared" si="16"/>
        <v>284</v>
      </c>
      <c r="I225" s="46">
        <f>IFERROR(VLOOKUP(A225,[1]fin_institutions!B:D,2,0),"")</f>
        <v>12</v>
      </c>
      <c r="J225" s="41">
        <f>IFERROR(VLOOKUP(A225,[1]fin_institutions!B:E,4,0),"")</f>
        <v>1.852118660057795</v>
      </c>
      <c r="K225" s="41">
        <f t="shared" si="17"/>
        <v>186</v>
      </c>
      <c r="L225" s="56">
        <f>IFERROR(VLOOKUP(A225,[1]bus_institutions!B:D,2,0),"")</f>
        <v>34</v>
      </c>
      <c r="M225" s="42">
        <f>IFERROR(VLOOKUP(A225,[1]bus_institutions!B:E,4,0),"")</f>
        <v>3.4316810993891891</v>
      </c>
      <c r="N225" s="23">
        <f t="shared" si="18"/>
        <v>71</v>
      </c>
      <c r="O225" s="61">
        <f>IFERROR(VLOOKUP(A225,[1]man_institutions!B:E,2,0),"")</f>
        <v>48</v>
      </c>
      <c r="P225" s="62">
        <f>IFERROR(VLOOKUP(A225,[1]man_institutions!B:E,4,0),"")</f>
        <v>2.478777089945599</v>
      </c>
      <c r="Q225" s="63">
        <f t="shared" si="19"/>
        <v>280</v>
      </c>
    </row>
    <row r="226" spans="1:17" x14ac:dyDescent="0.25">
      <c r="A226" s="6" t="s">
        <v>801</v>
      </c>
      <c r="B226" s="37" t="s">
        <v>1216</v>
      </c>
      <c r="C226" s="72">
        <f>IFERROR(VLOOKUP(A226,[1]eco_bus_institutions!B:E,2,0),"")</f>
        <v>144</v>
      </c>
      <c r="D226" s="72">
        <f>IFERROR(VLOOKUP(A226,[1]eco_bus_institutions!B:E,4,0),"")</f>
        <v>1.954267770527053</v>
      </c>
      <c r="E226" s="73">
        <f t="shared" si="15"/>
        <v>285</v>
      </c>
      <c r="F226" s="40">
        <f>IFERROR(VLOOKUP(A226,[1]eco_institutions!B:D,2,0),"")</f>
        <v>54</v>
      </c>
      <c r="G226" s="40">
        <f>IFERROR(VLOOKUP(A226,[1]eco_institutions!B:E,4,0),"")</f>
        <v>1.4331220212928439</v>
      </c>
      <c r="H226" s="14">
        <f t="shared" si="16"/>
        <v>337</v>
      </c>
      <c r="I226" s="46">
        <f>IFERROR(VLOOKUP(A226,[1]fin_institutions!B:D,2,0),"")</f>
        <v>24</v>
      </c>
      <c r="J226" s="41">
        <f>IFERROR(VLOOKUP(A226,[1]fin_institutions!B:E,4,0),"")</f>
        <v>1.5169112772420821</v>
      </c>
      <c r="K226" s="41">
        <f t="shared" si="17"/>
        <v>278</v>
      </c>
      <c r="L226" s="56">
        <f>IFERROR(VLOOKUP(A226,[1]bus_institutions!B:D,2,0),"")</f>
        <v>51</v>
      </c>
      <c r="M226" s="42">
        <f>IFERROR(VLOOKUP(A226,[1]bus_institutions!B:E,4,0),"")</f>
        <v>2.3575211894986352</v>
      </c>
      <c r="N226" s="23">
        <f t="shared" si="18"/>
        <v>232</v>
      </c>
      <c r="O226" s="61">
        <f>IFERROR(VLOOKUP(A226,[1]man_institutions!B:E,2,0),"")</f>
        <v>50</v>
      </c>
      <c r="P226" s="62">
        <f>IFERROR(VLOOKUP(A226,[1]man_institutions!B:E,4,0),"")</f>
        <v>3.138250129576531</v>
      </c>
      <c r="Q226" s="63">
        <f t="shared" si="19"/>
        <v>177</v>
      </c>
    </row>
    <row r="227" spans="1:17" x14ac:dyDescent="0.25">
      <c r="A227" s="6" t="s">
        <v>867</v>
      </c>
      <c r="B227" s="37" t="s">
        <v>1271</v>
      </c>
      <c r="C227" s="72">
        <f>IFERROR(VLOOKUP(A227,[1]eco_bus_institutions!B:E,2,0),"")</f>
        <v>60</v>
      </c>
      <c r="D227" s="72">
        <f>IFERROR(VLOOKUP(A227,[1]eco_bus_institutions!B:E,4,0),"")</f>
        <v>2.092050460763208</v>
      </c>
      <c r="E227" s="73">
        <f t="shared" si="15"/>
        <v>236</v>
      </c>
      <c r="F227" s="40">
        <f>IFERROR(VLOOKUP(A227,[1]eco_institutions!B:D,2,0),"")</f>
        <v>34</v>
      </c>
      <c r="G227" s="40">
        <f>IFERROR(VLOOKUP(A227,[1]eco_institutions!B:E,4,0),"")</f>
        <v>1.68079125052255</v>
      </c>
      <c r="H227" s="14">
        <f t="shared" si="16"/>
        <v>230</v>
      </c>
      <c r="I227" s="46" t="str">
        <f>IFERROR(VLOOKUP(A227,[1]fin_institutions!B:D,2,0),"")</f>
        <v/>
      </c>
      <c r="J227" s="41" t="str">
        <f>IFERROR(VLOOKUP(A227,[1]fin_institutions!B:E,4,0),"")</f>
        <v/>
      </c>
      <c r="K227" s="41" t="str">
        <f t="shared" si="17"/>
        <v/>
      </c>
      <c r="L227" s="56">
        <f>IFERROR(VLOOKUP(A227,[1]bus_institutions!B:D,2,0),"")</f>
        <v>19</v>
      </c>
      <c r="M227" s="42">
        <f>IFERROR(VLOOKUP(A227,[1]bus_institutions!B:E,4,0),"")</f>
        <v>3.0481806833294032</v>
      </c>
      <c r="N227" s="23">
        <f t="shared" si="18"/>
        <v>110</v>
      </c>
      <c r="O227" s="61">
        <f>IFERROR(VLOOKUP(A227,[1]man_institutions!B:E,2,0),"")</f>
        <v>18</v>
      </c>
      <c r="P227" s="62">
        <f>IFERROR(VLOOKUP(A227,[1]man_institutions!B:E,4,0),"")</f>
        <v>2.965609161282468</v>
      </c>
      <c r="Q227" s="63">
        <f t="shared" si="19"/>
        <v>195</v>
      </c>
    </row>
    <row r="228" spans="1:17" x14ac:dyDescent="0.25">
      <c r="A228" s="6" t="s">
        <v>805</v>
      </c>
      <c r="B228" s="37" t="s">
        <v>1229</v>
      </c>
      <c r="C228" s="72">
        <f>IFERROR(VLOOKUP(A228,[1]eco_bus_institutions!B:E,2,0),"")</f>
        <v>69</v>
      </c>
      <c r="D228" s="72">
        <f>IFERROR(VLOOKUP(A228,[1]eco_bus_institutions!B:E,4,0),"")</f>
        <v>1.883325276558161</v>
      </c>
      <c r="E228" s="73">
        <f t="shared" si="15"/>
        <v>306</v>
      </c>
      <c r="F228" s="40">
        <f>IFERROR(VLOOKUP(A228,[1]eco_institutions!B:D,2,0),"")</f>
        <v>30</v>
      </c>
      <c r="G228" s="40">
        <f>IFERROR(VLOOKUP(A228,[1]eco_institutions!B:E,4,0),"")</f>
        <v>1.314856965503902</v>
      </c>
      <c r="H228" s="14">
        <f t="shared" si="16"/>
        <v>422</v>
      </c>
      <c r="I228" s="46">
        <f>IFERROR(VLOOKUP(A228,[1]fin_institutions!B:D,2,0),"")</f>
        <v>8</v>
      </c>
      <c r="J228" s="41">
        <f>IFERROR(VLOOKUP(A228,[1]fin_institutions!B:E,4,0),"")</f>
        <v>1.218963015281153</v>
      </c>
      <c r="K228" s="41">
        <f t="shared" si="17"/>
        <v>450</v>
      </c>
      <c r="L228" s="56">
        <f>IFERROR(VLOOKUP(A228,[1]bus_institutions!B:D,2,0),"")</f>
        <v>27</v>
      </c>
      <c r="M228" s="42">
        <f>IFERROR(VLOOKUP(A228,[1]bus_institutions!B:E,4,0),"")</f>
        <v>2.3967504772747339</v>
      </c>
      <c r="N228" s="23">
        <f t="shared" si="18"/>
        <v>217</v>
      </c>
      <c r="O228" s="61">
        <f>IFERROR(VLOOKUP(A228,[1]man_institutions!B:E,2,0),"")</f>
        <v>33</v>
      </c>
      <c r="P228" s="62">
        <f>IFERROR(VLOOKUP(A228,[1]man_institutions!B:E,4,0),"")</f>
        <v>2.589719270807747</v>
      </c>
      <c r="Q228" s="63">
        <f t="shared" si="19"/>
        <v>256</v>
      </c>
    </row>
    <row r="229" spans="1:17" x14ac:dyDescent="0.25">
      <c r="A229" s="6" t="s">
        <v>910</v>
      </c>
      <c r="B229" s="37" t="s">
        <v>1230</v>
      </c>
      <c r="C229" s="72">
        <f>IFERROR(VLOOKUP(A229,[1]eco_bus_institutions!B:E,2,0),"")</f>
        <v>212</v>
      </c>
      <c r="D229" s="72">
        <f>IFERROR(VLOOKUP(A229,[1]eco_bus_institutions!B:E,4,0),"")</f>
        <v>2.0185886014040002</v>
      </c>
      <c r="E229" s="73">
        <f t="shared" si="15"/>
        <v>256</v>
      </c>
      <c r="F229" s="40">
        <f>IFERROR(VLOOKUP(A229,[1]eco_institutions!B:D,2,0),"")</f>
        <v>107</v>
      </c>
      <c r="G229" s="40">
        <f>IFERROR(VLOOKUP(A229,[1]eco_institutions!B:E,4,0),"")</f>
        <v>1.923263322267512</v>
      </c>
      <c r="H229" s="14">
        <f t="shared" si="16"/>
        <v>166</v>
      </c>
      <c r="I229" s="46">
        <f>IFERROR(VLOOKUP(A229,[1]fin_institutions!B:D,2,0),"")</f>
        <v>43</v>
      </c>
      <c r="J229" s="41">
        <f>IFERROR(VLOOKUP(A229,[1]fin_institutions!B:E,4,0),"")</f>
        <v>1.21195740798463</v>
      </c>
      <c r="K229" s="41">
        <f t="shared" si="17"/>
        <v>456</v>
      </c>
      <c r="L229" s="56">
        <f>IFERROR(VLOOKUP(A229,[1]bus_institutions!B:D,2,0),"")</f>
        <v>42</v>
      </c>
      <c r="M229" s="42">
        <f>IFERROR(VLOOKUP(A229,[1]bus_institutions!B:E,4,0),"")</f>
        <v>1.8047808962656231</v>
      </c>
      <c r="N229" s="23">
        <f t="shared" si="18"/>
        <v>383</v>
      </c>
      <c r="O229" s="61">
        <f>IFERROR(VLOOKUP(A229,[1]man_institutions!B:E,2,0),"")</f>
        <v>65</v>
      </c>
      <c r="P229" s="62">
        <f>IFERROR(VLOOKUP(A229,[1]man_institutions!B:E,4,0),"")</f>
        <v>2.129429590231076</v>
      </c>
      <c r="Q229" s="63">
        <f t="shared" si="19"/>
        <v>370</v>
      </c>
    </row>
    <row r="230" spans="1:17" x14ac:dyDescent="0.25">
      <c r="A230" s="6" t="s">
        <v>901</v>
      </c>
      <c r="B230" s="37" t="s">
        <v>1217</v>
      </c>
      <c r="C230" s="72">
        <f>IFERROR(VLOOKUP(A230,[1]eco_bus_institutions!B:E,2,0),"")</f>
        <v>63</v>
      </c>
      <c r="D230" s="72">
        <f>IFERROR(VLOOKUP(A230,[1]eco_bus_institutions!B:E,4,0),"")</f>
        <v>2.1038586731058242</v>
      </c>
      <c r="E230" s="73">
        <f t="shared" si="15"/>
        <v>231</v>
      </c>
      <c r="F230" s="40">
        <f>IFERROR(VLOOKUP(A230,[1]eco_institutions!B:D,2,0),"")</f>
        <v>27</v>
      </c>
      <c r="G230" s="40">
        <f>IFERROR(VLOOKUP(A230,[1]eco_institutions!B:E,4,0),"")</f>
        <v>1.9279441419140499</v>
      </c>
      <c r="H230" s="14">
        <f t="shared" si="16"/>
        <v>164</v>
      </c>
      <c r="I230" s="46">
        <f>IFERROR(VLOOKUP(A230,[1]fin_institutions!B:D,2,0),"")</f>
        <v>12</v>
      </c>
      <c r="J230" s="41">
        <f>IFERROR(VLOOKUP(A230,[1]fin_institutions!B:E,4,0),"")</f>
        <v>2.322132026273438</v>
      </c>
      <c r="K230" s="41">
        <f t="shared" si="17"/>
        <v>115</v>
      </c>
      <c r="L230" s="56">
        <f>IFERROR(VLOOKUP(A230,[1]bus_institutions!B:D,2,0),"")</f>
        <v>22</v>
      </c>
      <c r="M230" s="42">
        <f>IFERROR(VLOOKUP(A230,[1]bus_institutions!B:E,4,0),"")</f>
        <v>2.092488161166564</v>
      </c>
      <c r="N230" s="23">
        <f t="shared" si="18"/>
        <v>299</v>
      </c>
      <c r="O230" s="61">
        <f>IFERROR(VLOOKUP(A230,[1]man_institutions!B:E,2,0),"")</f>
        <v>16</v>
      </c>
      <c r="P230" s="62">
        <f>IFERROR(VLOOKUP(A230,[1]man_institutions!B:E,4,0),"")</f>
        <v>2.249331961124637</v>
      </c>
      <c r="Q230" s="63">
        <f t="shared" si="19"/>
        <v>337</v>
      </c>
    </row>
    <row r="231" spans="1:17" x14ac:dyDescent="0.25">
      <c r="A231" s="6" t="s">
        <v>781</v>
      </c>
      <c r="B231" s="37" t="s">
        <v>1216</v>
      </c>
      <c r="C231" s="72">
        <f>IFERROR(VLOOKUP(A231,[1]eco_bus_institutions!B:E,2,0),"")</f>
        <v>128</v>
      </c>
      <c r="D231" s="72">
        <f>IFERROR(VLOOKUP(A231,[1]eco_bus_institutions!B:E,4,0),"")</f>
        <v>2.2137998586413752</v>
      </c>
      <c r="E231" s="73">
        <f t="shared" si="15"/>
        <v>198</v>
      </c>
      <c r="F231" s="40">
        <f>IFERROR(VLOOKUP(A231,[1]eco_institutions!B:D,2,0),"")</f>
        <v>49</v>
      </c>
      <c r="G231" s="40">
        <f>IFERROR(VLOOKUP(A231,[1]eco_institutions!B:E,4,0),"")</f>
        <v>2.057625753283681</v>
      </c>
      <c r="H231" s="14">
        <f t="shared" si="16"/>
        <v>137</v>
      </c>
      <c r="I231" s="46">
        <f>IFERROR(VLOOKUP(A231,[1]fin_institutions!B:D,2,0),"")</f>
        <v>19</v>
      </c>
      <c r="J231" s="41">
        <f>IFERROR(VLOOKUP(A231,[1]fin_institutions!B:E,4,0),"")</f>
        <v>1.276273945193811</v>
      </c>
      <c r="K231" s="41">
        <f t="shared" si="17"/>
        <v>408</v>
      </c>
      <c r="L231" s="56">
        <f>IFERROR(VLOOKUP(A231,[1]bus_institutions!B:D,2,0),"")</f>
        <v>43</v>
      </c>
      <c r="M231" s="42">
        <f>IFERROR(VLOOKUP(A231,[1]bus_institutions!B:E,4,0),"")</f>
        <v>2.206300835772641</v>
      </c>
      <c r="N231" s="23">
        <f t="shared" si="18"/>
        <v>269</v>
      </c>
      <c r="O231" s="61">
        <f>IFERROR(VLOOKUP(A231,[1]man_institutions!B:E,2,0),"")</f>
        <v>44</v>
      </c>
      <c r="P231" s="62">
        <f>IFERROR(VLOOKUP(A231,[1]man_institutions!B:E,4,0),"")</f>
        <v>3.4498456675444742</v>
      </c>
      <c r="Q231" s="63">
        <f t="shared" si="19"/>
        <v>134</v>
      </c>
    </row>
    <row r="232" spans="1:17" x14ac:dyDescent="0.25">
      <c r="A232" s="6" t="s">
        <v>786</v>
      </c>
      <c r="B232" s="37" t="s">
        <v>1217</v>
      </c>
      <c r="C232" s="72">
        <f>IFERROR(VLOOKUP(A232,[1]eco_bus_institutions!B:E,2,0),"")</f>
        <v>108</v>
      </c>
      <c r="D232" s="72">
        <f>IFERROR(VLOOKUP(A232,[1]eco_bus_institutions!B:E,4,0),"")</f>
        <v>2.2214263801564602</v>
      </c>
      <c r="E232" s="73">
        <f t="shared" si="15"/>
        <v>196</v>
      </c>
      <c r="F232" s="40">
        <f>IFERROR(VLOOKUP(A232,[1]eco_institutions!B:D,2,0),"")</f>
        <v>43</v>
      </c>
      <c r="G232" s="40">
        <f>IFERROR(VLOOKUP(A232,[1]eco_institutions!B:E,4,0),"")</f>
        <v>1.655063574108097</v>
      </c>
      <c r="H232" s="14">
        <f t="shared" si="16"/>
        <v>235</v>
      </c>
      <c r="I232" s="46">
        <f>IFERROR(VLOOKUP(A232,[1]fin_institutions!B:D,2,0),"")</f>
        <v>19</v>
      </c>
      <c r="J232" s="41">
        <f>IFERROR(VLOOKUP(A232,[1]fin_institutions!B:E,4,0),"")</f>
        <v>2.267065587608093</v>
      </c>
      <c r="K232" s="41">
        <f t="shared" si="17"/>
        <v>124</v>
      </c>
      <c r="L232" s="56">
        <f>IFERROR(VLOOKUP(A232,[1]bus_institutions!B:D,2,0),"")</f>
        <v>35</v>
      </c>
      <c r="M232" s="42">
        <f>IFERROR(VLOOKUP(A232,[1]bus_institutions!B:E,4,0),"")</f>
        <v>2.9915747623609361</v>
      </c>
      <c r="N232" s="23">
        <f t="shared" si="18"/>
        <v>116</v>
      </c>
      <c r="O232" s="61">
        <f>IFERROR(VLOOKUP(A232,[1]man_institutions!B:E,2,0),"")</f>
        <v>38</v>
      </c>
      <c r="P232" s="62">
        <f>IFERROR(VLOOKUP(A232,[1]man_institutions!B:E,4,0),"")</f>
        <v>3.4656643071256381</v>
      </c>
      <c r="Q232" s="63">
        <f t="shared" si="19"/>
        <v>131</v>
      </c>
    </row>
    <row r="233" spans="1:17" x14ac:dyDescent="0.25">
      <c r="A233" s="6" t="s">
        <v>798</v>
      </c>
      <c r="B233" s="37" t="s">
        <v>1216</v>
      </c>
      <c r="C233" s="72">
        <f>IFERROR(VLOOKUP(A233,[1]eco_bus_institutions!B:E,2,0),"")</f>
        <v>152</v>
      </c>
      <c r="D233" s="72">
        <f>IFERROR(VLOOKUP(A233,[1]eco_bus_institutions!B:E,4,0),"")</f>
        <v>1.99779350861252</v>
      </c>
      <c r="E233" s="73">
        <f t="shared" si="15"/>
        <v>265</v>
      </c>
      <c r="F233" s="40">
        <f>IFERROR(VLOOKUP(A233,[1]eco_institutions!B:D,2,0),"")</f>
        <v>42</v>
      </c>
      <c r="G233" s="40">
        <f>IFERROR(VLOOKUP(A233,[1]eco_institutions!B:E,4,0),"")</f>
        <v>1.4423332271225919</v>
      </c>
      <c r="H233" s="14">
        <f t="shared" si="16"/>
        <v>332</v>
      </c>
      <c r="I233" s="46">
        <f>IFERROR(VLOOKUP(A233,[1]fin_institutions!B:D,2,0),"")</f>
        <v>15</v>
      </c>
      <c r="J233" s="41">
        <f>IFERROR(VLOOKUP(A233,[1]fin_institutions!B:E,4,0),"")</f>
        <v>1.568568588434226</v>
      </c>
      <c r="K233" s="41">
        <f t="shared" si="17"/>
        <v>262</v>
      </c>
      <c r="L233" s="56">
        <f>IFERROR(VLOOKUP(A233,[1]bus_institutions!B:D,2,0),"")</f>
        <v>74</v>
      </c>
      <c r="M233" s="42">
        <f>IFERROR(VLOOKUP(A233,[1]bus_institutions!B:E,4,0),"")</f>
        <v>2.2036980932843648</v>
      </c>
      <c r="N233" s="23">
        <f t="shared" si="18"/>
        <v>270</v>
      </c>
      <c r="O233" s="61">
        <f>IFERROR(VLOOKUP(A233,[1]man_institutions!B:E,2,0),"")</f>
        <v>57</v>
      </c>
      <c r="P233" s="62">
        <f>IFERROR(VLOOKUP(A233,[1]man_institutions!B:E,4,0),"")</f>
        <v>3.1158670090089289</v>
      </c>
      <c r="Q233" s="63">
        <f t="shared" si="19"/>
        <v>178</v>
      </c>
    </row>
    <row r="234" spans="1:17" x14ac:dyDescent="0.25">
      <c r="A234" s="6" t="s">
        <v>841</v>
      </c>
      <c r="B234" s="37" t="s">
        <v>1217</v>
      </c>
      <c r="C234" s="72">
        <f>IFERROR(VLOOKUP(A234,[1]eco_bus_institutions!B:E,2,0),"")</f>
        <v>67</v>
      </c>
      <c r="D234" s="72">
        <f>IFERROR(VLOOKUP(A234,[1]eco_bus_institutions!B:E,4,0),"")</f>
        <v>1.9654451066163769</v>
      </c>
      <c r="E234" s="73">
        <f t="shared" si="15"/>
        <v>278</v>
      </c>
      <c r="F234" s="40">
        <f>IFERROR(VLOOKUP(A234,[1]eco_institutions!B:D,2,0),"")</f>
        <v>22</v>
      </c>
      <c r="G234" s="40">
        <f>IFERROR(VLOOKUP(A234,[1]eco_institutions!B:E,4,0),"")</f>
        <v>1.3077510510561989</v>
      </c>
      <c r="H234" s="14">
        <f t="shared" si="16"/>
        <v>426</v>
      </c>
      <c r="I234" s="46">
        <f>IFERROR(VLOOKUP(A234,[1]fin_institutions!B:D,2,0),"")</f>
        <v>25</v>
      </c>
      <c r="J234" s="41">
        <f>IFERROR(VLOOKUP(A234,[1]fin_institutions!B:E,4,0),"")</f>
        <v>1.708715517327162</v>
      </c>
      <c r="K234" s="41">
        <f t="shared" si="17"/>
        <v>219</v>
      </c>
      <c r="L234" s="56">
        <f>IFERROR(VLOOKUP(A234,[1]bus_institutions!B:D,2,0),"")</f>
        <v>17</v>
      </c>
      <c r="M234" s="42">
        <f>IFERROR(VLOOKUP(A234,[1]bus_institutions!B:E,4,0),"")</f>
        <v>2.5550593937450721</v>
      </c>
      <c r="N234" s="23">
        <f t="shared" si="18"/>
        <v>174</v>
      </c>
      <c r="O234" s="61">
        <f>IFERROR(VLOOKUP(A234,[1]man_institutions!B:E,2,0),"")</f>
        <v>16</v>
      </c>
      <c r="P234" s="62">
        <f>IFERROR(VLOOKUP(A234,[1]man_institutions!B:E,4,0),"")</f>
        <v>2.209401058532217</v>
      </c>
      <c r="Q234" s="63">
        <f t="shared" si="19"/>
        <v>349</v>
      </c>
    </row>
    <row r="235" spans="1:17" x14ac:dyDescent="0.25">
      <c r="A235" s="6" t="s">
        <v>833</v>
      </c>
      <c r="B235" s="37" t="s">
        <v>1232</v>
      </c>
      <c r="C235" s="72">
        <f>IFERROR(VLOOKUP(A235,[1]eco_bus_institutions!B:E,2,0),"")</f>
        <v>89</v>
      </c>
      <c r="D235" s="72">
        <f>IFERROR(VLOOKUP(A235,[1]eco_bus_institutions!B:E,4,0),"")</f>
        <v>2.0949848842960539</v>
      </c>
      <c r="E235" s="73">
        <f t="shared" si="15"/>
        <v>234</v>
      </c>
      <c r="F235" s="40">
        <f>IFERROR(VLOOKUP(A235,[1]eco_institutions!B:D,2,0),"")</f>
        <v>45</v>
      </c>
      <c r="G235" s="40">
        <f>IFERROR(VLOOKUP(A235,[1]eco_institutions!B:E,4,0),"")</f>
        <v>1.710255178471781</v>
      </c>
      <c r="H235" s="14">
        <f t="shared" si="16"/>
        <v>217</v>
      </c>
      <c r="I235" s="46">
        <f>IFERROR(VLOOKUP(A235,[1]fin_institutions!B:D,2,0),"")</f>
        <v>18</v>
      </c>
      <c r="J235" s="41">
        <f>IFERROR(VLOOKUP(A235,[1]fin_institutions!B:E,4,0),"")</f>
        <v>2.198036352998594</v>
      </c>
      <c r="K235" s="41">
        <f t="shared" si="17"/>
        <v>128</v>
      </c>
      <c r="L235" s="56">
        <f>IFERROR(VLOOKUP(A235,[1]bus_institutions!B:D,2,0),"")</f>
        <v>18</v>
      </c>
      <c r="M235" s="42">
        <f>IFERROR(VLOOKUP(A235,[1]bus_institutions!B:E,4,0),"")</f>
        <v>2.2508250643237031</v>
      </c>
      <c r="N235" s="23">
        <f t="shared" si="18"/>
        <v>256</v>
      </c>
      <c r="O235" s="61">
        <f>IFERROR(VLOOKUP(A235,[1]man_institutions!B:E,2,0),"")</f>
        <v>26</v>
      </c>
      <c r="P235" s="62">
        <f>IFERROR(VLOOKUP(A235,[1]man_institutions!B:E,4,0),"")</f>
        <v>2.8808288356232632</v>
      </c>
      <c r="Q235" s="63">
        <f t="shared" si="19"/>
        <v>204</v>
      </c>
    </row>
    <row r="236" spans="1:17" x14ac:dyDescent="0.25">
      <c r="A236" s="6" t="s">
        <v>804</v>
      </c>
      <c r="B236" s="37" t="s">
        <v>1216</v>
      </c>
      <c r="C236" s="72">
        <f>IFERROR(VLOOKUP(A236,[1]eco_bus_institutions!B:E,2,0),"")</f>
        <v>141</v>
      </c>
      <c r="D236" s="72">
        <f>IFERROR(VLOOKUP(A236,[1]eco_bus_institutions!B:E,4,0),"")</f>
        <v>2.1489336791853209</v>
      </c>
      <c r="E236" s="73">
        <f t="shared" si="15"/>
        <v>216</v>
      </c>
      <c r="F236" s="40">
        <f>IFERROR(VLOOKUP(A236,[1]eco_institutions!B:D,2,0),"")</f>
        <v>63</v>
      </c>
      <c r="G236" s="40">
        <f>IFERROR(VLOOKUP(A236,[1]eco_institutions!B:E,4,0),"")</f>
        <v>1.459241745905663</v>
      </c>
      <c r="H236" s="14">
        <f t="shared" si="16"/>
        <v>326</v>
      </c>
      <c r="I236" s="46">
        <f>IFERROR(VLOOKUP(A236,[1]fin_institutions!B:D,2,0),"")</f>
        <v>17</v>
      </c>
      <c r="J236" s="41">
        <f>IFERROR(VLOOKUP(A236,[1]fin_institutions!B:E,4,0),"")</f>
        <v>1.952571195394369</v>
      </c>
      <c r="K236" s="41">
        <f t="shared" si="17"/>
        <v>169</v>
      </c>
      <c r="L236" s="56">
        <f>IFERROR(VLOOKUP(A236,[1]bus_institutions!B:D,2,0),"")</f>
        <v>55</v>
      </c>
      <c r="M236" s="42">
        <f>IFERROR(VLOOKUP(A236,[1]bus_institutions!B:E,4,0),"")</f>
        <v>2.6732378470363738</v>
      </c>
      <c r="N236" s="23">
        <f t="shared" si="18"/>
        <v>156</v>
      </c>
      <c r="O236" s="61">
        <f>IFERROR(VLOOKUP(A236,[1]man_institutions!B:E,2,0),"")</f>
        <v>39</v>
      </c>
      <c r="P236" s="62">
        <f>IFERROR(VLOOKUP(A236,[1]man_institutions!B:E,4,0),"")</f>
        <v>3.2662075083178639</v>
      </c>
      <c r="Q236" s="63">
        <f t="shared" si="19"/>
        <v>162</v>
      </c>
    </row>
    <row r="237" spans="1:17" x14ac:dyDescent="0.25">
      <c r="A237" s="6" t="s">
        <v>1051</v>
      </c>
      <c r="B237" s="37" t="s">
        <v>1257</v>
      </c>
      <c r="C237" s="72">
        <f>IFERROR(VLOOKUP(A237,[1]eco_bus_institutions!B:E,2,0),"")</f>
        <v>39</v>
      </c>
      <c r="D237" s="72">
        <f>IFERROR(VLOOKUP(A237,[1]eco_bus_institutions!B:E,4,0),"")</f>
        <v>1.565349406292768</v>
      </c>
      <c r="E237" s="73">
        <f t="shared" si="15"/>
        <v>443</v>
      </c>
      <c r="F237" s="40">
        <f>IFERROR(VLOOKUP(A237,[1]eco_institutions!B:D,2,0),"")</f>
        <v>13</v>
      </c>
      <c r="G237" s="40">
        <f>IFERROR(VLOOKUP(A237,[1]eco_institutions!B:E,4,0),"")</f>
        <v>1.1265210389592419</v>
      </c>
      <c r="H237" s="14">
        <f t="shared" si="16"/>
        <v>559</v>
      </c>
      <c r="I237" s="46">
        <f>IFERROR(VLOOKUP(A237,[1]fin_institutions!B:D,2,0),"")</f>
        <v>8</v>
      </c>
      <c r="J237" s="41">
        <f>IFERROR(VLOOKUP(A237,[1]fin_institutions!B:E,4,0),"")</f>
        <v>1.3491361422520349</v>
      </c>
      <c r="K237" s="41">
        <f t="shared" si="17"/>
        <v>364</v>
      </c>
      <c r="L237" s="56">
        <f>IFERROR(VLOOKUP(A237,[1]bus_institutions!B:D,2,0),"")</f>
        <v>15</v>
      </c>
      <c r="M237" s="42">
        <f>IFERROR(VLOOKUP(A237,[1]bus_institutions!B:E,4,0),"")</f>
        <v>1.8839720337712671</v>
      </c>
      <c r="N237" s="23">
        <f t="shared" si="18"/>
        <v>355</v>
      </c>
      <c r="O237" s="61">
        <f>IFERROR(VLOOKUP(A237,[1]man_institutions!B:E,2,0),"")</f>
        <v>16</v>
      </c>
      <c r="P237" s="62">
        <f>IFERROR(VLOOKUP(A237,[1]man_institutions!B:E,4,0),"")</f>
        <v>1.8700785798439159</v>
      </c>
      <c r="Q237" s="63">
        <f t="shared" si="19"/>
        <v>439</v>
      </c>
    </row>
    <row r="238" spans="1:17" x14ac:dyDescent="0.25">
      <c r="A238" s="6" t="s">
        <v>918</v>
      </c>
      <c r="B238" s="37" t="s">
        <v>1230</v>
      </c>
      <c r="C238" s="72">
        <f>IFERROR(VLOOKUP(A238,[1]eco_bus_institutions!B:E,2,0),"")</f>
        <v>67</v>
      </c>
      <c r="D238" s="72">
        <f>IFERROR(VLOOKUP(A238,[1]eco_bus_institutions!B:E,4,0),"")</f>
        <v>1.702029962555442</v>
      </c>
      <c r="E238" s="73">
        <f t="shared" si="15"/>
        <v>381</v>
      </c>
      <c r="F238" s="40">
        <f>IFERROR(VLOOKUP(A238,[1]eco_institutions!B:D,2,0),"")</f>
        <v>30</v>
      </c>
      <c r="G238" s="40">
        <f>IFERROR(VLOOKUP(A238,[1]eco_institutions!B:E,4,0),"")</f>
        <v>1.5515428851621389</v>
      </c>
      <c r="H238" s="14">
        <f t="shared" si="16"/>
        <v>277</v>
      </c>
      <c r="I238" s="46">
        <f>IFERROR(VLOOKUP(A238,[1]fin_institutions!B:D,2,0),"")</f>
        <v>14</v>
      </c>
      <c r="J238" s="41">
        <f>IFERROR(VLOOKUP(A238,[1]fin_institutions!B:E,4,0),"")</f>
        <v>1.2461416797985501</v>
      </c>
      <c r="K238" s="41">
        <f t="shared" si="17"/>
        <v>432</v>
      </c>
      <c r="L238" s="56">
        <f>IFERROR(VLOOKUP(A238,[1]bus_institutions!B:D,2,0),"")</f>
        <v>19</v>
      </c>
      <c r="M238" s="42">
        <f>IFERROR(VLOOKUP(A238,[1]bus_institutions!B:E,4,0),"")</f>
        <v>1.932066202987083</v>
      </c>
      <c r="N238" s="23">
        <f t="shared" si="18"/>
        <v>342</v>
      </c>
      <c r="O238" s="61">
        <f>IFERROR(VLOOKUP(A238,[1]man_institutions!B:E,2,0),"")</f>
        <v>22</v>
      </c>
      <c r="P238" s="62">
        <f>IFERROR(VLOOKUP(A238,[1]man_institutions!B:E,4,0),"")</f>
        <v>2.1091596744635961</v>
      </c>
      <c r="Q238" s="63">
        <f t="shared" si="19"/>
        <v>376</v>
      </c>
    </row>
    <row r="239" spans="1:17" x14ac:dyDescent="0.25">
      <c r="A239" s="6" t="s">
        <v>848</v>
      </c>
      <c r="B239" s="37" t="s">
        <v>1216</v>
      </c>
      <c r="C239" s="72">
        <f>IFERROR(VLOOKUP(A239,[1]eco_bus_institutions!B:E,2,0),"")</f>
        <v>102</v>
      </c>
      <c r="D239" s="72">
        <f>IFERROR(VLOOKUP(A239,[1]eco_bus_institutions!B:E,4,0),"")</f>
        <v>2.1927873532870761</v>
      </c>
      <c r="E239" s="73">
        <f t="shared" si="15"/>
        <v>202</v>
      </c>
      <c r="F239" s="40">
        <f>IFERROR(VLOOKUP(A239,[1]eco_institutions!B:D,2,0),"")</f>
        <v>48</v>
      </c>
      <c r="G239" s="40">
        <f>IFERROR(VLOOKUP(A239,[1]eco_institutions!B:E,4,0),"")</f>
        <v>1.948244615647738</v>
      </c>
      <c r="H239" s="14">
        <f t="shared" si="16"/>
        <v>159</v>
      </c>
      <c r="I239" s="46">
        <f>IFERROR(VLOOKUP(A239,[1]fin_institutions!B:D,2,0),"")</f>
        <v>23</v>
      </c>
      <c r="J239" s="41">
        <f>IFERROR(VLOOKUP(A239,[1]fin_institutions!B:E,4,0),"")</f>
        <v>1.32706318970142</v>
      </c>
      <c r="K239" s="41">
        <f t="shared" si="17"/>
        <v>379</v>
      </c>
      <c r="L239" s="56">
        <f>IFERROR(VLOOKUP(A239,[1]bus_institutions!B:D,2,0),"")</f>
        <v>20</v>
      </c>
      <c r="M239" s="42">
        <f>IFERROR(VLOOKUP(A239,[1]bus_institutions!B:E,4,0),"")</f>
        <v>2.7825974120046459</v>
      </c>
      <c r="N239" s="23">
        <f t="shared" si="18"/>
        <v>140</v>
      </c>
      <c r="O239" s="61">
        <f>IFERROR(VLOOKUP(A239,[1]man_institutions!B:E,2,0),"")</f>
        <v>23</v>
      </c>
      <c r="P239" s="62">
        <f>IFERROR(VLOOKUP(A239,[1]man_institutions!B:E,4,0),"")</f>
        <v>2.969349911378508</v>
      </c>
      <c r="Q239" s="63">
        <f t="shared" si="19"/>
        <v>194</v>
      </c>
    </row>
    <row r="240" spans="1:17" x14ac:dyDescent="0.25">
      <c r="A240" s="6" t="s">
        <v>783</v>
      </c>
      <c r="B240" s="37" t="s">
        <v>1233</v>
      </c>
      <c r="C240" s="72">
        <f>IFERROR(VLOOKUP(A240,[1]eco_bus_institutions!B:E,2,0),"")</f>
        <v>181</v>
      </c>
      <c r="D240" s="72">
        <f>IFERROR(VLOOKUP(A240,[1]eco_bus_institutions!B:E,4,0),"")</f>
        <v>2.2614231831280351</v>
      </c>
      <c r="E240" s="73">
        <f t="shared" si="15"/>
        <v>179</v>
      </c>
      <c r="F240" s="40">
        <f>IFERROR(VLOOKUP(A240,[1]eco_institutions!B:D,2,0),"")</f>
        <v>90</v>
      </c>
      <c r="G240" s="40">
        <f>IFERROR(VLOOKUP(A240,[1]eco_institutions!B:E,4,0),"")</f>
        <v>1.59223065133716</v>
      </c>
      <c r="H240" s="14">
        <f t="shared" si="16"/>
        <v>263</v>
      </c>
      <c r="I240" s="46">
        <f>IFERROR(VLOOKUP(A240,[1]fin_institutions!B:D,2,0),"")</f>
        <v>24</v>
      </c>
      <c r="J240" s="41">
        <f>IFERROR(VLOOKUP(A240,[1]fin_institutions!B:E,4,0),"")</f>
        <v>1.6195586161280151</v>
      </c>
      <c r="K240" s="41">
        <f t="shared" si="17"/>
        <v>237</v>
      </c>
      <c r="L240" s="56">
        <f>IFERROR(VLOOKUP(A240,[1]bus_institutions!B:D,2,0),"")</f>
        <v>48</v>
      </c>
      <c r="M240" s="42">
        <f>IFERROR(VLOOKUP(A240,[1]bus_institutions!B:E,4,0),"")</f>
        <v>3.3042904242444102</v>
      </c>
      <c r="N240" s="23">
        <f t="shared" si="18"/>
        <v>84</v>
      </c>
      <c r="O240" s="61">
        <f>IFERROR(VLOOKUP(A240,[1]man_institutions!B:E,2,0),"")</f>
        <v>63</v>
      </c>
      <c r="P240" s="62">
        <f>IFERROR(VLOOKUP(A240,[1]man_institutions!B:E,4,0),"")</f>
        <v>3.9982924776804611</v>
      </c>
      <c r="Q240" s="63">
        <f t="shared" si="19"/>
        <v>77</v>
      </c>
    </row>
    <row r="241" spans="1:17" x14ac:dyDescent="0.25">
      <c r="A241" s="6" t="s">
        <v>831</v>
      </c>
      <c r="B241" s="37" t="s">
        <v>1271</v>
      </c>
      <c r="C241" s="72">
        <f>IFERROR(VLOOKUP(A241,[1]eco_bus_institutions!B:E,2,0),"")</f>
        <v>38</v>
      </c>
      <c r="D241" s="72">
        <f>IFERROR(VLOOKUP(A241,[1]eco_bus_institutions!B:E,4,0),"")</f>
        <v>2.0191629759558389</v>
      </c>
      <c r="E241" s="73">
        <f t="shared" si="15"/>
        <v>255</v>
      </c>
      <c r="F241" s="40">
        <f>IFERROR(VLOOKUP(A241,[1]eco_institutions!B:D,2,0),"")</f>
        <v>16</v>
      </c>
      <c r="G241" s="40">
        <f>IFERROR(VLOOKUP(A241,[1]eco_institutions!B:E,4,0),"")</f>
        <v>1.6037505449069069</v>
      </c>
      <c r="H241" s="14">
        <f t="shared" si="16"/>
        <v>261</v>
      </c>
      <c r="I241" s="46">
        <f>IFERROR(VLOOKUP(A241,[1]fin_institutions!B:D,2,0),"")</f>
        <v>5</v>
      </c>
      <c r="J241" s="41">
        <f>IFERROR(VLOOKUP(A241,[1]fin_institutions!B:E,4,0),"")</f>
        <v>1.1674604141296001</v>
      </c>
      <c r="K241" s="41">
        <f t="shared" si="17"/>
        <v>488</v>
      </c>
      <c r="L241" s="56">
        <f>IFERROR(VLOOKUP(A241,[1]bus_institutions!B:D,2,0),"")</f>
        <v>14</v>
      </c>
      <c r="M241" s="42">
        <f>IFERROR(VLOOKUP(A241,[1]bus_institutions!B:E,4,0),"")</f>
        <v>2.4519545438660919</v>
      </c>
      <c r="N241" s="23">
        <f t="shared" si="18"/>
        <v>200</v>
      </c>
      <c r="O241" s="61">
        <f>IFERROR(VLOOKUP(A241,[1]man_institutions!B:E,2,0),"")</f>
        <v>16</v>
      </c>
      <c r="P241" s="62">
        <f>IFERROR(VLOOKUP(A241,[1]man_institutions!B:E,4,0),"")</f>
        <v>2.7292612867458441</v>
      </c>
      <c r="Q241" s="63">
        <f t="shared" si="19"/>
        <v>228</v>
      </c>
    </row>
    <row r="242" spans="1:17" x14ac:dyDescent="0.25">
      <c r="A242" s="6" t="s">
        <v>839</v>
      </c>
      <c r="B242" s="37" t="s">
        <v>1236</v>
      </c>
      <c r="C242" s="72">
        <f>IFERROR(VLOOKUP(A242,[1]eco_bus_institutions!B:E,2,0),"")</f>
        <v>91</v>
      </c>
      <c r="D242" s="72">
        <f>IFERROR(VLOOKUP(A242,[1]eco_bus_institutions!B:E,4,0),"")</f>
        <v>1.8349890678465519</v>
      </c>
      <c r="E242" s="73">
        <f t="shared" si="15"/>
        <v>326</v>
      </c>
      <c r="F242" s="40">
        <f>IFERROR(VLOOKUP(A242,[1]eco_institutions!B:D,2,0),"")</f>
        <v>30</v>
      </c>
      <c r="G242" s="40">
        <f>IFERROR(VLOOKUP(A242,[1]eco_institutions!B:E,4,0),"")</f>
        <v>1.5167304287229411</v>
      </c>
      <c r="H242" s="14">
        <f t="shared" si="16"/>
        <v>294</v>
      </c>
      <c r="I242" s="46">
        <f>IFERROR(VLOOKUP(A242,[1]fin_institutions!B:D,2,0),"")</f>
        <v>39</v>
      </c>
      <c r="J242" s="41">
        <f>IFERROR(VLOOKUP(A242,[1]fin_institutions!B:E,4,0),"")</f>
        <v>1.528343987504019</v>
      </c>
      <c r="K242" s="41">
        <f t="shared" si="17"/>
        <v>273</v>
      </c>
      <c r="L242" s="56">
        <f>IFERROR(VLOOKUP(A242,[1]bus_institutions!B:D,2,0),"")</f>
        <v>25</v>
      </c>
      <c r="M242" s="42">
        <f>IFERROR(VLOOKUP(A242,[1]bus_institutions!B:E,4,0),"")</f>
        <v>1.747825037666491</v>
      </c>
      <c r="N242" s="23">
        <f t="shared" si="18"/>
        <v>404</v>
      </c>
      <c r="O242" s="61">
        <f>IFERROR(VLOOKUP(A242,[1]man_institutions!B:E,2,0),"")</f>
        <v>22</v>
      </c>
      <c r="P242" s="62">
        <f>IFERROR(VLOOKUP(A242,[1]man_institutions!B:E,4,0),"")</f>
        <v>2.624139969915515</v>
      </c>
      <c r="Q242" s="63">
        <f t="shared" si="19"/>
        <v>248</v>
      </c>
    </row>
    <row r="243" spans="1:17" x14ac:dyDescent="0.25">
      <c r="A243" s="6" t="s">
        <v>909</v>
      </c>
      <c r="B243" s="37" t="s">
        <v>1242</v>
      </c>
      <c r="C243" s="72">
        <f>IFERROR(VLOOKUP(A243,[1]eco_bus_institutions!B:E,2,0),"")</f>
        <v>78</v>
      </c>
      <c r="D243" s="72">
        <f>IFERROR(VLOOKUP(A243,[1]eco_bus_institutions!B:E,4,0),"")</f>
        <v>2.4251181173005052</v>
      </c>
      <c r="E243" s="73">
        <f t="shared" si="15"/>
        <v>142</v>
      </c>
      <c r="F243" s="40">
        <f>IFERROR(VLOOKUP(A243,[1]eco_institutions!B:D,2,0),"")</f>
        <v>50</v>
      </c>
      <c r="G243" s="40">
        <f>IFERROR(VLOOKUP(A243,[1]eco_institutions!B:E,4,0),"")</f>
        <v>2.2835300755904568</v>
      </c>
      <c r="H243" s="14">
        <f t="shared" si="16"/>
        <v>99</v>
      </c>
      <c r="I243" s="46">
        <f>IFERROR(VLOOKUP(A243,[1]fin_institutions!B:D,2,0),"")</f>
        <v>13</v>
      </c>
      <c r="J243" s="41">
        <f>IFERROR(VLOOKUP(A243,[1]fin_institutions!B:E,4,0),"")</f>
        <v>2.0454727330088449</v>
      </c>
      <c r="K243" s="41">
        <f t="shared" si="17"/>
        <v>149</v>
      </c>
      <c r="L243" s="56">
        <f>IFERROR(VLOOKUP(A243,[1]bus_institutions!B:D,2,0),"")</f>
        <v>7</v>
      </c>
      <c r="M243" s="42">
        <f>IFERROR(VLOOKUP(A243,[1]bus_institutions!B:E,4,0),"")</f>
        <v>3.1016659307264018</v>
      </c>
      <c r="N243" s="23">
        <f t="shared" si="18"/>
        <v>101</v>
      </c>
      <c r="O243" s="61">
        <f>IFERROR(VLOOKUP(A243,[1]man_institutions!B:E,2,0),"")</f>
        <v>21</v>
      </c>
      <c r="P243" s="62">
        <f>IFERROR(VLOOKUP(A243,[1]man_institutions!B:E,4,0),"")</f>
        <v>3.3387875366849729</v>
      </c>
      <c r="Q243" s="63">
        <f t="shared" si="19"/>
        <v>154</v>
      </c>
    </row>
    <row r="244" spans="1:17" x14ac:dyDescent="0.25">
      <c r="A244" s="6" t="s">
        <v>860</v>
      </c>
      <c r="B244" s="37" t="s">
        <v>1216</v>
      </c>
      <c r="C244" s="72">
        <f>IFERROR(VLOOKUP(A244,[1]eco_bus_institutions!B:E,2,0),"")</f>
        <v>183</v>
      </c>
      <c r="D244" s="72">
        <f>IFERROR(VLOOKUP(A244,[1]eco_bus_institutions!B:E,4,0),"")</f>
        <v>2.006335083046745</v>
      </c>
      <c r="E244" s="73">
        <f t="shared" si="15"/>
        <v>260</v>
      </c>
      <c r="F244" s="40">
        <f>IFERROR(VLOOKUP(A244,[1]eco_institutions!B:D,2,0),"")</f>
        <v>79</v>
      </c>
      <c r="G244" s="40">
        <f>IFERROR(VLOOKUP(A244,[1]eco_institutions!B:E,4,0),"")</f>
        <v>1.7563798258427969</v>
      </c>
      <c r="H244" s="14">
        <f t="shared" si="16"/>
        <v>202</v>
      </c>
      <c r="I244" s="46">
        <f>IFERROR(VLOOKUP(A244,[1]fin_institutions!B:D,2,0),"")</f>
        <v>32</v>
      </c>
      <c r="J244" s="41">
        <f>IFERROR(VLOOKUP(A244,[1]fin_institutions!B:E,4,0),"")</f>
        <v>1.340191369968265</v>
      </c>
      <c r="K244" s="41">
        <f t="shared" si="17"/>
        <v>368</v>
      </c>
      <c r="L244" s="56">
        <f>IFERROR(VLOOKUP(A244,[1]bus_institutions!B:D,2,0),"")</f>
        <v>61</v>
      </c>
      <c r="M244" s="42">
        <f>IFERROR(VLOOKUP(A244,[1]bus_institutions!B:E,4,0),"")</f>
        <v>2.2357206299269849</v>
      </c>
      <c r="N244" s="23">
        <f t="shared" si="18"/>
        <v>262</v>
      </c>
      <c r="O244" s="61">
        <f>IFERROR(VLOOKUP(A244,[1]man_institutions!B:E,2,0),"")</f>
        <v>47</v>
      </c>
      <c r="P244" s="62">
        <f>IFERROR(VLOOKUP(A244,[1]man_institutions!B:E,4,0),"")</f>
        <v>2.7843651192875321</v>
      </c>
      <c r="Q244" s="63">
        <f t="shared" si="19"/>
        <v>222</v>
      </c>
    </row>
    <row r="245" spans="1:17" x14ac:dyDescent="0.25">
      <c r="A245" s="6" t="s">
        <v>998</v>
      </c>
      <c r="B245" s="37" t="s">
        <v>1271</v>
      </c>
      <c r="C245" s="72">
        <f>IFERROR(VLOOKUP(A245,[1]eco_bus_institutions!B:E,2,0),"")</f>
        <v>274</v>
      </c>
      <c r="D245" s="72">
        <f>IFERROR(VLOOKUP(A245,[1]eco_bus_institutions!B:E,4,0),"")</f>
        <v>2.2546384126861461</v>
      </c>
      <c r="E245" s="73">
        <f t="shared" si="15"/>
        <v>182</v>
      </c>
      <c r="F245" s="40">
        <f>IFERROR(VLOOKUP(A245,[1]eco_institutions!B:D,2,0),"")</f>
        <v>267</v>
      </c>
      <c r="G245" s="40">
        <f>IFERROR(VLOOKUP(A245,[1]eco_institutions!B:E,4,0),"")</f>
        <v>2.1126245891436239</v>
      </c>
      <c r="H245" s="14">
        <f t="shared" si="16"/>
        <v>125</v>
      </c>
      <c r="I245" s="46">
        <f>IFERROR(VLOOKUP(A245,[1]fin_institutions!B:D,2,0),"")</f>
        <v>37</v>
      </c>
      <c r="J245" s="41">
        <f>IFERROR(VLOOKUP(A245,[1]fin_institutions!B:E,4,0),"")</f>
        <v>1.36519826442331</v>
      </c>
      <c r="K245" s="41">
        <f t="shared" si="17"/>
        <v>353</v>
      </c>
      <c r="L245" s="56">
        <f>IFERROR(VLOOKUP(A245,[1]bus_institutions!B:D,2,0),"")</f>
        <v>7</v>
      </c>
      <c r="M245" s="42">
        <f>IFERROR(VLOOKUP(A245,[1]bus_institutions!B:E,4,0),"")</f>
        <v>2.2146436530912208</v>
      </c>
      <c r="N245" s="23">
        <f t="shared" si="18"/>
        <v>268</v>
      </c>
      <c r="O245" s="61">
        <f>IFERROR(VLOOKUP(A245,[1]man_institutions!B:E,2,0),"")</f>
        <v>11</v>
      </c>
      <c r="P245" s="62">
        <f>IFERROR(VLOOKUP(A245,[1]man_institutions!B:E,4,0),"")</f>
        <v>2.256122815111576</v>
      </c>
      <c r="Q245" s="63">
        <f t="shared" si="19"/>
        <v>336</v>
      </c>
    </row>
    <row r="246" spans="1:17" x14ac:dyDescent="0.25">
      <c r="A246" s="6" t="s">
        <v>892</v>
      </c>
      <c r="B246" s="37" t="s">
        <v>1220</v>
      </c>
      <c r="C246" s="72">
        <f>IFERROR(VLOOKUP(A246,[1]eco_bus_institutions!B:E,2,0),"")</f>
        <v>93</v>
      </c>
      <c r="D246" s="72">
        <f>IFERROR(VLOOKUP(A246,[1]eco_bus_institutions!B:E,4,0),"")</f>
        <v>2.109889532815135</v>
      </c>
      <c r="E246" s="73">
        <f t="shared" si="15"/>
        <v>229</v>
      </c>
      <c r="F246" s="40">
        <f>IFERROR(VLOOKUP(A246,[1]eco_institutions!B:D,2,0),"")</f>
        <v>58</v>
      </c>
      <c r="G246" s="40">
        <f>IFERROR(VLOOKUP(A246,[1]eco_institutions!B:E,4,0),"")</f>
        <v>1.699367025313125</v>
      </c>
      <c r="H246" s="14">
        <f t="shared" si="16"/>
        <v>220</v>
      </c>
      <c r="I246" s="46">
        <f>IFERROR(VLOOKUP(A246,[1]fin_institutions!B:D,2,0),"")</f>
        <v>16</v>
      </c>
      <c r="J246" s="41">
        <f>IFERROR(VLOOKUP(A246,[1]fin_institutions!B:E,4,0),"")</f>
        <v>2.0194404264902199</v>
      </c>
      <c r="K246" s="41">
        <f t="shared" si="17"/>
        <v>153</v>
      </c>
      <c r="L246" s="56">
        <f>IFERROR(VLOOKUP(A246,[1]bus_institutions!B:D,2,0),"")</f>
        <v>21</v>
      </c>
      <c r="M246" s="42">
        <f>IFERROR(VLOOKUP(A246,[1]bus_institutions!B:E,4,0),"")</f>
        <v>2.9643463985353811</v>
      </c>
      <c r="N246" s="23">
        <f t="shared" si="18"/>
        <v>120</v>
      </c>
      <c r="O246" s="61">
        <f>IFERROR(VLOOKUP(A246,[1]man_institutions!B:E,2,0),"")</f>
        <v>19</v>
      </c>
      <c r="P246" s="62">
        <f>IFERROR(VLOOKUP(A246,[1]man_institutions!B:E,4,0),"")</f>
        <v>4.1791403584969302</v>
      </c>
      <c r="Q246" s="63">
        <f t="shared" si="19"/>
        <v>67</v>
      </c>
    </row>
    <row r="247" spans="1:17" x14ac:dyDescent="0.25">
      <c r="A247" s="6" t="s">
        <v>800</v>
      </c>
      <c r="B247" s="37" t="s">
        <v>1217</v>
      </c>
      <c r="C247" s="72">
        <f>IFERROR(VLOOKUP(A247,[1]eco_bus_institutions!B:E,2,0),"")</f>
        <v>60</v>
      </c>
      <c r="D247" s="72">
        <f>IFERROR(VLOOKUP(A247,[1]eco_bus_institutions!B:E,4,0),"")</f>
        <v>2.1033190861657731</v>
      </c>
      <c r="E247" s="73">
        <f t="shared" si="15"/>
        <v>233</v>
      </c>
      <c r="F247" s="40">
        <f>IFERROR(VLOOKUP(A247,[1]eco_institutions!B:D,2,0),"")</f>
        <v>17</v>
      </c>
      <c r="G247" s="40">
        <f>IFERROR(VLOOKUP(A247,[1]eco_institutions!B:E,4,0),"")</f>
        <v>1.653109313708087</v>
      </c>
      <c r="H247" s="14">
        <f t="shared" si="16"/>
        <v>241</v>
      </c>
      <c r="I247" s="46">
        <f>IFERROR(VLOOKUP(A247,[1]fin_institutions!B:D,2,0),"")</f>
        <v>19</v>
      </c>
      <c r="J247" s="41">
        <f>IFERROR(VLOOKUP(A247,[1]fin_institutions!B:E,4,0),"")</f>
        <v>1.922319949278672</v>
      </c>
      <c r="K247" s="41">
        <f t="shared" si="17"/>
        <v>174</v>
      </c>
      <c r="L247" s="56">
        <f>IFERROR(VLOOKUP(A247,[1]bus_institutions!B:D,2,0),"")</f>
        <v>19</v>
      </c>
      <c r="M247" s="42">
        <f>IFERROR(VLOOKUP(A247,[1]bus_institutions!B:E,4,0),"")</f>
        <v>2.6456939331498499</v>
      </c>
      <c r="N247" s="23">
        <f t="shared" si="18"/>
        <v>165</v>
      </c>
      <c r="O247" s="61">
        <f>IFERROR(VLOOKUP(A247,[1]man_institutions!B:E,2,0),"")</f>
        <v>22</v>
      </c>
      <c r="P247" s="62">
        <f>IFERROR(VLOOKUP(A247,[1]man_institutions!B:E,4,0),"")</f>
        <v>2.4125864180313559</v>
      </c>
      <c r="Q247" s="63">
        <f t="shared" si="19"/>
        <v>298</v>
      </c>
    </row>
    <row r="248" spans="1:17" x14ac:dyDescent="0.25">
      <c r="A248" s="6" t="s">
        <v>890</v>
      </c>
      <c r="B248" s="37" t="s">
        <v>1222</v>
      </c>
      <c r="C248" s="72">
        <f>IFERROR(VLOOKUP(A248,[1]eco_bus_institutions!B:E,2,0),"")</f>
        <v>67</v>
      </c>
      <c r="D248" s="72">
        <f>IFERROR(VLOOKUP(A248,[1]eco_bus_institutions!B:E,4,0),"")</f>
        <v>1.723797367671521</v>
      </c>
      <c r="E248" s="73">
        <f t="shared" si="15"/>
        <v>371</v>
      </c>
      <c r="F248" s="40">
        <f>IFERROR(VLOOKUP(A248,[1]eco_institutions!B:D,2,0),"")</f>
        <v>24</v>
      </c>
      <c r="G248" s="40">
        <f>IFERROR(VLOOKUP(A248,[1]eco_institutions!B:E,4,0),"")</f>
        <v>1.338180941421905</v>
      </c>
      <c r="H248" s="14">
        <f t="shared" si="16"/>
        <v>400</v>
      </c>
      <c r="I248" s="46">
        <f>IFERROR(VLOOKUP(A248,[1]fin_institutions!B:D,2,0),"")</f>
        <v>7</v>
      </c>
      <c r="J248" s="41">
        <f>IFERROR(VLOOKUP(A248,[1]fin_institutions!B:E,4,0),"")</f>
        <v>1.0591839657800139</v>
      </c>
      <c r="K248" s="41">
        <f t="shared" si="17"/>
        <v>550</v>
      </c>
      <c r="L248" s="56">
        <f>IFERROR(VLOOKUP(A248,[1]bus_institutions!B:D,2,0),"")</f>
        <v>34</v>
      </c>
      <c r="M248" s="42">
        <f>IFERROR(VLOOKUP(A248,[1]bus_institutions!B:E,4,0),"")</f>
        <v>1.97386070777653</v>
      </c>
      <c r="N248" s="23">
        <f t="shared" si="18"/>
        <v>326</v>
      </c>
      <c r="O248" s="61">
        <f>IFERROR(VLOOKUP(A248,[1]man_institutions!B:E,2,0),"")</f>
        <v>41</v>
      </c>
      <c r="P248" s="62">
        <f>IFERROR(VLOOKUP(A248,[1]man_institutions!B:E,4,0),"")</f>
        <v>2.3794551590103161</v>
      </c>
      <c r="Q248" s="63">
        <f t="shared" si="19"/>
        <v>302</v>
      </c>
    </row>
    <row r="249" spans="1:17" x14ac:dyDescent="0.25">
      <c r="A249" s="6" t="s">
        <v>777</v>
      </c>
      <c r="B249" s="37" t="s">
        <v>1224</v>
      </c>
      <c r="C249" s="72">
        <f>IFERROR(VLOOKUP(A249,[1]eco_bus_institutions!B:E,2,0),"")</f>
        <v>105</v>
      </c>
      <c r="D249" s="72">
        <f>IFERROR(VLOOKUP(A249,[1]eco_bus_institutions!B:E,4,0),"")</f>
        <v>2.2663359334555442</v>
      </c>
      <c r="E249" s="73">
        <f t="shared" si="15"/>
        <v>178</v>
      </c>
      <c r="F249" s="40">
        <f>IFERROR(VLOOKUP(A249,[1]eco_institutions!B:D,2,0),"")</f>
        <v>56</v>
      </c>
      <c r="G249" s="40">
        <f>IFERROR(VLOOKUP(A249,[1]eco_institutions!B:E,4,0),"")</f>
        <v>1.329944354982322</v>
      </c>
      <c r="H249" s="14">
        <f t="shared" si="16"/>
        <v>409</v>
      </c>
      <c r="I249" s="46">
        <f>IFERROR(VLOOKUP(A249,[1]fin_institutions!B:D,2,0),"")</f>
        <v>16</v>
      </c>
      <c r="J249" s="41">
        <f>IFERROR(VLOOKUP(A249,[1]fin_institutions!B:E,4,0),"")</f>
        <v>1.876047023830274</v>
      </c>
      <c r="K249" s="41">
        <f t="shared" si="17"/>
        <v>181</v>
      </c>
      <c r="L249" s="56">
        <f>IFERROR(VLOOKUP(A249,[1]bus_institutions!B:D,2,0),"")</f>
        <v>33</v>
      </c>
      <c r="M249" s="42">
        <f>IFERROR(VLOOKUP(A249,[1]bus_institutions!B:E,4,0),"")</f>
        <v>3.4582952964247542</v>
      </c>
      <c r="N249" s="23">
        <f t="shared" si="18"/>
        <v>69</v>
      </c>
      <c r="O249" s="61">
        <f>IFERROR(VLOOKUP(A249,[1]man_institutions!B:E,2,0),"")</f>
        <v>26</v>
      </c>
      <c r="P249" s="62">
        <f>IFERROR(VLOOKUP(A249,[1]man_institutions!B:E,4,0),"")</f>
        <v>5.7855163860648364</v>
      </c>
      <c r="Q249" s="63">
        <f t="shared" si="19"/>
        <v>19</v>
      </c>
    </row>
    <row r="250" spans="1:17" x14ac:dyDescent="0.25">
      <c r="A250" s="6" t="s">
        <v>942</v>
      </c>
      <c r="B250" s="37" t="s">
        <v>1230</v>
      </c>
      <c r="C250" s="72">
        <f>IFERROR(VLOOKUP(A250,[1]eco_bus_institutions!B:E,2,0),"")</f>
        <v>108</v>
      </c>
      <c r="D250" s="72">
        <f>IFERROR(VLOOKUP(A250,[1]eco_bus_institutions!B:E,4,0),"")</f>
        <v>1.868409102873849</v>
      </c>
      <c r="E250" s="73">
        <f t="shared" si="15"/>
        <v>312</v>
      </c>
      <c r="F250" s="40">
        <f>IFERROR(VLOOKUP(A250,[1]eco_institutions!B:D,2,0),"")</f>
        <v>57</v>
      </c>
      <c r="G250" s="40">
        <f>IFERROR(VLOOKUP(A250,[1]eco_institutions!B:E,4,0),"")</f>
        <v>1.835108005853014</v>
      </c>
      <c r="H250" s="14">
        <f t="shared" si="16"/>
        <v>182</v>
      </c>
      <c r="I250" s="46">
        <f>IFERROR(VLOOKUP(A250,[1]fin_institutions!B:D,2,0),"")</f>
        <v>20</v>
      </c>
      <c r="J250" s="41">
        <f>IFERROR(VLOOKUP(A250,[1]fin_institutions!B:E,4,0),"")</f>
        <v>1.38170499909518</v>
      </c>
      <c r="K250" s="41">
        <f t="shared" si="17"/>
        <v>346</v>
      </c>
      <c r="L250" s="56">
        <f>IFERROR(VLOOKUP(A250,[1]bus_institutions!B:D,2,0),"")</f>
        <v>21</v>
      </c>
      <c r="M250" s="42">
        <f>IFERROR(VLOOKUP(A250,[1]bus_institutions!B:E,4,0),"")</f>
        <v>1.70276323031643</v>
      </c>
      <c r="N250" s="23">
        <f t="shared" si="18"/>
        <v>423</v>
      </c>
      <c r="O250" s="61">
        <f>IFERROR(VLOOKUP(A250,[1]man_institutions!B:E,2,0),"")</f>
        <v>34</v>
      </c>
      <c r="P250" s="62">
        <f>IFERROR(VLOOKUP(A250,[1]man_institutions!B:E,4,0),"")</f>
        <v>1.95060675730211</v>
      </c>
      <c r="Q250" s="63">
        <f t="shared" si="19"/>
        <v>418</v>
      </c>
    </row>
    <row r="251" spans="1:17" x14ac:dyDescent="0.25">
      <c r="A251" s="6" t="s">
        <v>898</v>
      </c>
      <c r="B251" s="37" t="s">
        <v>1237</v>
      </c>
      <c r="C251" s="72">
        <f>IFERROR(VLOOKUP(A251,[1]eco_bus_institutions!B:E,2,0),"")</f>
        <v>203</v>
      </c>
      <c r="D251" s="72">
        <f>IFERROR(VLOOKUP(A251,[1]eco_bus_institutions!B:E,4,0),"")</f>
        <v>2.0747336432745982</v>
      </c>
      <c r="E251" s="73">
        <f t="shared" si="15"/>
        <v>241</v>
      </c>
      <c r="F251" s="40">
        <f>IFERROR(VLOOKUP(A251,[1]eco_institutions!B:D,2,0),"")</f>
        <v>75</v>
      </c>
      <c r="G251" s="40">
        <f>IFERROR(VLOOKUP(A251,[1]eco_institutions!B:E,4,0),"")</f>
        <v>2.0675363759233609</v>
      </c>
      <c r="H251" s="14">
        <f t="shared" si="16"/>
        <v>132</v>
      </c>
      <c r="I251" s="46">
        <f>IFERROR(VLOOKUP(A251,[1]fin_institutions!B:D,2,0),"")</f>
        <v>54</v>
      </c>
      <c r="J251" s="41">
        <f>IFERROR(VLOOKUP(A251,[1]fin_institutions!B:E,4,0),"")</f>
        <v>2.340784446081515</v>
      </c>
      <c r="K251" s="41">
        <f t="shared" si="17"/>
        <v>114</v>
      </c>
      <c r="L251" s="56">
        <f>IFERROR(VLOOKUP(A251,[1]bus_institutions!B:D,2,0),"")</f>
        <v>57</v>
      </c>
      <c r="M251" s="42">
        <f>IFERROR(VLOOKUP(A251,[1]bus_institutions!B:E,4,0),"")</f>
        <v>2.116208511970711</v>
      </c>
      <c r="N251" s="23">
        <f t="shared" si="18"/>
        <v>290</v>
      </c>
      <c r="O251" s="61">
        <f>IFERROR(VLOOKUP(A251,[1]man_institutions!B:E,2,0),"")</f>
        <v>55</v>
      </c>
      <c r="P251" s="62">
        <f>IFERROR(VLOOKUP(A251,[1]man_institutions!B:E,4,0),"")</f>
        <v>2.0301331999909338</v>
      </c>
      <c r="Q251" s="63">
        <f t="shared" si="19"/>
        <v>401</v>
      </c>
    </row>
    <row r="252" spans="1:17" x14ac:dyDescent="0.25">
      <c r="A252" s="6" t="s">
        <v>864</v>
      </c>
      <c r="B252" s="37" t="s">
        <v>1220</v>
      </c>
      <c r="C252" s="72">
        <f>IFERROR(VLOOKUP(A252,[1]eco_bus_institutions!B:E,2,0),"")</f>
        <v>74</v>
      </c>
      <c r="D252" s="72">
        <f>IFERROR(VLOOKUP(A252,[1]eco_bus_institutions!B:E,4,0),"")</f>
        <v>2.2245021679048671</v>
      </c>
      <c r="E252" s="73">
        <f t="shared" si="15"/>
        <v>192</v>
      </c>
      <c r="F252" s="40">
        <f>IFERROR(VLOOKUP(A252,[1]eco_institutions!B:D,2,0),"")</f>
        <v>52</v>
      </c>
      <c r="G252" s="40">
        <f>IFERROR(VLOOKUP(A252,[1]eco_institutions!B:E,4,0),"")</f>
        <v>2.0154973741360438</v>
      </c>
      <c r="H252" s="14">
        <f t="shared" si="16"/>
        <v>147</v>
      </c>
      <c r="I252" s="46">
        <f>IFERROR(VLOOKUP(A252,[1]fin_institutions!B:D,2,0),"")</f>
        <v>8</v>
      </c>
      <c r="J252" s="41">
        <f>IFERROR(VLOOKUP(A252,[1]fin_institutions!B:E,4,0),"")</f>
        <v>1.321407051227047</v>
      </c>
      <c r="K252" s="41">
        <f t="shared" si="17"/>
        <v>383</v>
      </c>
      <c r="L252" s="56">
        <f>IFERROR(VLOOKUP(A252,[1]bus_institutions!B:D,2,0),"")</f>
        <v>11</v>
      </c>
      <c r="M252" s="42">
        <f>IFERROR(VLOOKUP(A252,[1]bus_institutions!B:E,4,0),"")</f>
        <v>3.1950163543317038</v>
      </c>
      <c r="N252" s="23">
        <f t="shared" si="18"/>
        <v>95</v>
      </c>
      <c r="O252" s="61">
        <f>IFERROR(VLOOKUP(A252,[1]man_institutions!B:E,2,0),"")</f>
        <v>19</v>
      </c>
      <c r="P252" s="62">
        <f>IFERROR(VLOOKUP(A252,[1]man_institutions!B:E,4,0),"")</f>
        <v>3.0054468100749121</v>
      </c>
      <c r="Q252" s="63">
        <f t="shared" si="19"/>
        <v>190</v>
      </c>
    </row>
    <row r="253" spans="1:17" x14ac:dyDescent="0.25">
      <c r="A253" s="6" t="s">
        <v>803</v>
      </c>
      <c r="B253" s="37" t="s">
        <v>1217</v>
      </c>
      <c r="C253" s="72">
        <f>IFERROR(VLOOKUP(A253,[1]eco_bus_institutions!B:E,2,0),"")</f>
        <v>61</v>
      </c>
      <c r="D253" s="72">
        <f>IFERROR(VLOOKUP(A253,[1]eco_bus_institutions!B:E,4,0),"")</f>
        <v>2.10517743587683</v>
      </c>
      <c r="E253" s="73">
        <f t="shared" si="15"/>
        <v>230</v>
      </c>
      <c r="F253" s="40">
        <f>IFERROR(VLOOKUP(A253,[1]eco_institutions!B:D,2,0),"")</f>
        <v>17</v>
      </c>
      <c r="G253" s="40">
        <f>IFERROR(VLOOKUP(A253,[1]eco_institutions!B:E,4,0),"")</f>
        <v>1.240945286551761</v>
      </c>
      <c r="H253" s="14">
        <f t="shared" si="16"/>
        <v>484</v>
      </c>
      <c r="I253" s="46">
        <f>IFERROR(VLOOKUP(A253,[1]fin_institutions!B:D,2,0),"")</f>
        <v>9</v>
      </c>
      <c r="J253" s="41">
        <f>IFERROR(VLOOKUP(A253,[1]fin_institutions!B:E,4,0),"")</f>
        <v>2.7498292642085711</v>
      </c>
      <c r="K253" s="41">
        <f t="shared" si="17"/>
        <v>83</v>
      </c>
      <c r="L253" s="56">
        <f>IFERROR(VLOOKUP(A253,[1]bus_institutions!B:D,2,0),"")</f>
        <v>32</v>
      </c>
      <c r="M253" s="42">
        <f>IFERROR(VLOOKUP(A253,[1]bus_institutions!B:E,4,0),"")</f>
        <v>2.5415393149399321</v>
      </c>
      <c r="N253" s="23">
        <f t="shared" si="18"/>
        <v>177</v>
      </c>
      <c r="O253" s="61">
        <f>IFERROR(VLOOKUP(A253,[1]man_institutions!B:E,2,0),"")</f>
        <v>22</v>
      </c>
      <c r="P253" s="62">
        <f>IFERROR(VLOOKUP(A253,[1]man_institutions!B:E,4,0),"")</f>
        <v>3.4386701805380082</v>
      </c>
      <c r="Q253" s="63">
        <f t="shared" si="19"/>
        <v>136</v>
      </c>
    </row>
    <row r="254" spans="1:17" x14ac:dyDescent="0.25">
      <c r="A254" s="6" t="s">
        <v>799</v>
      </c>
      <c r="B254" s="37" t="s">
        <v>1271</v>
      </c>
      <c r="C254" s="72">
        <f>IFERROR(VLOOKUP(A254,[1]eco_bus_institutions!B:E,2,0),"")</f>
        <v>56</v>
      </c>
      <c r="D254" s="72">
        <f>IFERROR(VLOOKUP(A254,[1]eco_bus_institutions!B:E,4,0),"")</f>
        <v>1.9921568683602791</v>
      </c>
      <c r="E254" s="73">
        <f t="shared" si="15"/>
        <v>270</v>
      </c>
      <c r="F254" s="40">
        <f>IFERROR(VLOOKUP(A254,[1]eco_institutions!B:D,2,0),"")</f>
        <v>30</v>
      </c>
      <c r="G254" s="40">
        <f>IFERROR(VLOOKUP(A254,[1]eco_institutions!B:E,4,0),"")</f>
        <v>1.3240457892808351</v>
      </c>
      <c r="H254" s="14">
        <f t="shared" si="16"/>
        <v>415</v>
      </c>
      <c r="I254" s="46">
        <f>IFERROR(VLOOKUP(A254,[1]fin_institutions!B:D,2,0),"")</f>
        <v>10</v>
      </c>
      <c r="J254" s="41">
        <f>IFERROR(VLOOKUP(A254,[1]fin_institutions!B:E,4,0),"")</f>
        <v>1.2544719072952799</v>
      </c>
      <c r="K254" s="41">
        <f t="shared" si="17"/>
        <v>424</v>
      </c>
      <c r="L254" s="56">
        <f>IFERROR(VLOOKUP(A254,[1]bus_institutions!B:D,2,0),"")</f>
        <v>18</v>
      </c>
      <c r="M254" s="42">
        <f>IFERROR(VLOOKUP(A254,[1]bus_institutions!B:E,4,0),"")</f>
        <v>3.4195605178507251</v>
      </c>
      <c r="N254" s="23">
        <f t="shared" si="18"/>
        <v>73</v>
      </c>
      <c r="O254" s="61">
        <f>IFERROR(VLOOKUP(A254,[1]man_institutions!B:E,2,0),"")</f>
        <v>15</v>
      </c>
      <c r="P254" s="62">
        <f>IFERROR(VLOOKUP(A254,[1]man_institutions!B:E,4,0),"")</f>
        <v>2.0978269501275721</v>
      </c>
      <c r="Q254" s="63">
        <f t="shared" si="19"/>
        <v>377</v>
      </c>
    </row>
    <row r="255" spans="1:17" x14ac:dyDescent="0.25">
      <c r="A255" s="6" t="s">
        <v>902</v>
      </c>
      <c r="B255" s="37" t="s">
        <v>1216</v>
      </c>
      <c r="C255" s="72">
        <f>IFERROR(VLOOKUP(A255,[1]eco_bus_institutions!B:E,2,0),"")</f>
        <v>71</v>
      </c>
      <c r="D255" s="72">
        <f>IFERROR(VLOOKUP(A255,[1]eco_bus_institutions!B:E,4,0),"")</f>
        <v>1.7332510582063241</v>
      </c>
      <c r="E255" s="73">
        <f t="shared" si="15"/>
        <v>368</v>
      </c>
      <c r="F255" s="40">
        <f>IFERROR(VLOOKUP(A255,[1]eco_institutions!B:D,2,0),"")</f>
        <v>8</v>
      </c>
      <c r="G255" s="40">
        <f>IFERROR(VLOOKUP(A255,[1]eco_institutions!B:E,4,0),"")</f>
        <v>1.0429960156613021</v>
      </c>
      <c r="H255" s="14">
        <f t="shared" si="16"/>
        <v>588</v>
      </c>
      <c r="I255" s="46">
        <f>IFERROR(VLOOKUP(A255,[1]fin_institutions!B:D,2,0),"")</f>
        <v>23</v>
      </c>
      <c r="J255" s="41">
        <f>IFERROR(VLOOKUP(A255,[1]fin_institutions!B:E,4,0),"")</f>
        <v>1.213849778171967</v>
      </c>
      <c r="K255" s="41">
        <f t="shared" si="17"/>
        <v>454</v>
      </c>
      <c r="L255" s="56">
        <f>IFERROR(VLOOKUP(A255,[1]bus_institutions!B:D,2,0),"")</f>
        <v>33</v>
      </c>
      <c r="M255" s="42">
        <f>IFERROR(VLOOKUP(A255,[1]bus_institutions!B:E,4,0),"")</f>
        <v>1.9704316625304119</v>
      </c>
      <c r="N255" s="23">
        <f t="shared" si="18"/>
        <v>329</v>
      </c>
      <c r="O255" s="61">
        <f>IFERROR(VLOOKUP(A255,[1]man_institutions!B:E,2,0),"")</f>
        <v>27</v>
      </c>
      <c r="P255" s="62">
        <f>IFERROR(VLOOKUP(A255,[1]man_institutions!B:E,4,0),"")</f>
        <v>2.7043110128566878</v>
      </c>
      <c r="Q255" s="63">
        <f t="shared" si="19"/>
        <v>235</v>
      </c>
    </row>
    <row r="256" spans="1:17" x14ac:dyDescent="0.25">
      <c r="A256" s="6" t="s">
        <v>871</v>
      </c>
      <c r="B256" s="37" t="s">
        <v>1244</v>
      </c>
      <c r="C256" s="72">
        <f>IFERROR(VLOOKUP(A256,[1]eco_bus_institutions!B:E,2,0),"")</f>
        <v>43</v>
      </c>
      <c r="D256" s="72">
        <f>IFERROR(VLOOKUP(A256,[1]eco_bus_institutions!B:E,4,0),"")</f>
        <v>2.014896030639775</v>
      </c>
      <c r="E256" s="73">
        <f t="shared" si="15"/>
        <v>257</v>
      </c>
      <c r="F256" s="40">
        <f>IFERROR(VLOOKUP(A256,[1]eco_institutions!B:D,2,0),"")</f>
        <v>17</v>
      </c>
      <c r="G256" s="40">
        <f>IFERROR(VLOOKUP(A256,[1]eco_institutions!B:E,4,0),"")</f>
        <v>2.5472327337728662</v>
      </c>
      <c r="H256" s="14">
        <f t="shared" si="16"/>
        <v>78</v>
      </c>
      <c r="I256" s="46">
        <f>IFERROR(VLOOKUP(A256,[1]fin_institutions!B:D,2,0),"")</f>
        <v>13</v>
      </c>
      <c r="J256" s="41">
        <f>IFERROR(VLOOKUP(A256,[1]fin_institutions!B:E,4,0),"")</f>
        <v>1.484599614148979</v>
      </c>
      <c r="K256" s="41">
        <f t="shared" si="17"/>
        <v>297</v>
      </c>
      <c r="L256" s="56">
        <f>IFERROR(VLOOKUP(A256,[1]bus_institutions!B:D,2,0),"")</f>
        <v>14</v>
      </c>
      <c r="M256" s="42">
        <f>IFERROR(VLOOKUP(A256,[1]bus_institutions!B:E,4,0),"")</f>
        <v>1.3194161894440251</v>
      </c>
      <c r="N256" s="23">
        <f t="shared" si="18"/>
        <v>524</v>
      </c>
      <c r="O256" s="61">
        <f>IFERROR(VLOOKUP(A256,[1]man_institutions!B:E,2,0),"")</f>
        <v>16</v>
      </c>
      <c r="P256" s="62">
        <f>IFERROR(VLOOKUP(A256,[1]man_institutions!B:E,4,0),"")</f>
        <v>1.906942136722221</v>
      </c>
      <c r="Q256" s="63">
        <f t="shared" si="19"/>
        <v>426</v>
      </c>
    </row>
    <row r="257" spans="1:17" x14ac:dyDescent="0.25">
      <c r="A257" s="6" t="s">
        <v>887</v>
      </c>
      <c r="B257" s="37" t="s">
        <v>1237</v>
      </c>
      <c r="C257" s="72">
        <f>IFERROR(VLOOKUP(A257,[1]eco_bus_institutions!B:E,2,0),"")</f>
        <v>230</v>
      </c>
      <c r="D257" s="72">
        <f>IFERROR(VLOOKUP(A257,[1]eco_bus_institutions!B:E,4,0),"")</f>
        <v>2.3391107641147348</v>
      </c>
      <c r="E257" s="73">
        <f t="shared" si="15"/>
        <v>162</v>
      </c>
      <c r="F257" s="40">
        <f>IFERROR(VLOOKUP(A257,[1]eco_institutions!B:D,2,0),"")</f>
        <v>86</v>
      </c>
      <c r="G257" s="40">
        <f>IFERROR(VLOOKUP(A257,[1]eco_institutions!B:E,4,0),"")</f>
        <v>1.5438769412571911</v>
      </c>
      <c r="H257" s="14">
        <f t="shared" si="16"/>
        <v>282</v>
      </c>
      <c r="I257" s="46">
        <f>IFERROR(VLOOKUP(A257,[1]fin_institutions!B:D,2,0),"")</f>
        <v>98</v>
      </c>
      <c r="J257" s="41">
        <f>IFERROR(VLOOKUP(A257,[1]fin_institutions!B:E,4,0),"")</f>
        <v>1.405158140548799</v>
      </c>
      <c r="K257" s="41">
        <f t="shared" si="17"/>
        <v>336</v>
      </c>
      <c r="L257" s="56">
        <f>IFERROR(VLOOKUP(A257,[1]bus_institutions!B:D,2,0),"")</f>
        <v>55</v>
      </c>
      <c r="M257" s="42">
        <f>IFERROR(VLOOKUP(A257,[1]bus_institutions!B:E,4,0),"")</f>
        <v>2.3296536364208942</v>
      </c>
      <c r="N257" s="23">
        <f t="shared" si="18"/>
        <v>238</v>
      </c>
      <c r="O257" s="61">
        <f>IFERROR(VLOOKUP(A257,[1]man_institutions!B:E,2,0),"")</f>
        <v>50</v>
      </c>
      <c r="P257" s="62">
        <f>IFERROR(VLOOKUP(A257,[1]man_institutions!B:E,4,0),"")</f>
        <v>2.372715850129071</v>
      </c>
      <c r="Q257" s="63">
        <f t="shared" si="19"/>
        <v>303</v>
      </c>
    </row>
    <row r="258" spans="1:17" x14ac:dyDescent="0.25">
      <c r="A258" s="6" t="s">
        <v>936</v>
      </c>
      <c r="B258" s="37" t="s">
        <v>1222</v>
      </c>
      <c r="C258" s="72">
        <f>IFERROR(VLOOKUP(A258,[1]eco_bus_institutions!B:E,2,0),"")</f>
        <v>100</v>
      </c>
      <c r="D258" s="72">
        <f>IFERROR(VLOOKUP(A258,[1]eco_bus_institutions!B:E,4,0),"")</f>
        <v>1.931724163551563</v>
      </c>
      <c r="E258" s="73">
        <f t="shared" si="15"/>
        <v>295</v>
      </c>
      <c r="F258" s="40">
        <f>IFERROR(VLOOKUP(A258,[1]eco_institutions!B:D,2,0),"")</f>
        <v>54</v>
      </c>
      <c r="G258" s="40">
        <f>IFERROR(VLOOKUP(A258,[1]eco_institutions!B:E,4,0),"")</f>
        <v>1.953742792481679</v>
      </c>
      <c r="H258" s="14">
        <f t="shared" si="16"/>
        <v>158</v>
      </c>
      <c r="I258" s="46">
        <f>IFERROR(VLOOKUP(A258,[1]fin_institutions!B:D,2,0),"")</f>
        <v>6</v>
      </c>
      <c r="J258" s="41">
        <f>IFERROR(VLOOKUP(A258,[1]fin_institutions!B:E,4,0),"")</f>
        <v>1.1610175377359651</v>
      </c>
      <c r="K258" s="41">
        <f t="shared" si="17"/>
        <v>492</v>
      </c>
      <c r="L258" s="56">
        <f>IFERROR(VLOOKUP(A258,[1]bus_institutions!B:D,2,0),"")</f>
        <v>41</v>
      </c>
      <c r="M258" s="42">
        <f>IFERROR(VLOOKUP(A258,[1]bus_institutions!B:E,4,0),"")</f>
        <v>1.7446459780660091</v>
      </c>
      <c r="N258" s="23">
        <f t="shared" si="18"/>
        <v>408</v>
      </c>
      <c r="O258" s="61">
        <f>IFERROR(VLOOKUP(A258,[1]man_institutions!B:E,2,0),"")</f>
        <v>41</v>
      </c>
      <c r="P258" s="62">
        <f>IFERROR(VLOOKUP(A258,[1]man_institutions!B:E,4,0),"")</f>
        <v>2.043778162545081</v>
      </c>
      <c r="Q258" s="63">
        <f t="shared" si="19"/>
        <v>396</v>
      </c>
    </row>
    <row r="259" spans="1:17" x14ac:dyDescent="0.25">
      <c r="A259" s="6" t="s">
        <v>925</v>
      </c>
      <c r="B259" s="37" t="s">
        <v>1271</v>
      </c>
      <c r="C259" s="72">
        <f>IFERROR(VLOOKUP(A259,[1]eco_bus_institutions!B:E,2,0),"")</f>
        <v>89</v>
      </c>
      <c r="D259" s="72">
        <f>IFERROR(VLOOKUP(A259,[1]eco_bus_institutions!B:E,4,0),"")</f>
        <v>2.076997868722132</v>
      </c>
      <c r="E259" s="73">
        <f t="shared" ref="E259:E322" si="20">_xlfn.RANK.EQ(D259,D:D)</f>
        <v>240</v>
      </c>
      <c r="F259" s="40">
        <f>IFERROR(VLOOKUP(A259,[1]eco_institutions!B:D,2,0),"")</f>
        <v>63</v>
      </c>
      <c r="G259" s="40">
        <f>IFERROR(VLOOKUP(A259,[1]eco_institutions!B:E,4,0),"")</f>
        <v>1.743475849602812</v>
      </c>
      <c r="H259" s="14">
        <f t="shared" ref="H259:H322" si="21">IFERROR(_xlfn.RANK.EQ(G259,G:G),"")</f>
        <v>207</v>
      </c>
      <c r="I259" s="46">
        <f>IFERROR(VLOOKUP(A259,[1]fin_institutions!B:D,2,0),"")</f>
        <v>15</v>
      </c>
      <c r="J259" s="41">
        <f>IFERROR(VLOOKUP(A259,[1]fin_institutions!B:E,4,0),"")</f>
        <v>1.45271440699272</v>
      </c>
      <c r="K259" s="41">
        <f t="shared" ref="K259:K322" si="22">IFERROR(_xlfn.RANK.EQ(J259,J:J),"")</f>
        <v>310</v>
      </c>
      <c r="L259" s="56">
        <f>IFERROR(VLOOKUP(A259,[1]bus_institutions!B:D,2,0),"")</f>
        <v>15</v>
      </c>
      <c r="M259" s="42">
        <f>IFERROR(VLOOKUP(A259,[1]bus_institutions!B:E,4,0),"")</f>
        <v>3.2875306404998992</v>
      </c>
      <c r="N259" s="23">
        <f t="shared" ref="N259:N322" si="23">IFERROR(_xlfn.RANK.EQ(M259,M:M),"")</f>
        <v>88</v>
      </c>
      <c r="O259" s="61">
        <f>IFERROR(VLOOKUP(A259,[1]man_institutions!B:E,2,0),"")</f>
        <v>15</v>
      </c>
      <c r="P259" s="62">
        <f>IFERROR(VLOOKUP(A259,[1]man_institutions!B:E,4,0),"")</f>
        <v>2.8426776559196059</v>
      </c>
      <c r="Q259" s="63">
        <f t="shared" ref="Q259:Q322" si="24">IFERROR(_xlfn.RANK.EQ(P259,P:P),"")</f>
        <v>211</v>
      </c>
    </row>
    <row r="260" spans="1:17" x14ac:dyDescent="0.25">
      <c r="A260" s="6" t="s">
        <v>899</v>
      </c>
      <c r="B260" s="37" t="s">
        <v>1217</v>
      </c>
      <c r="C260" s="72">
        <f>IFERROR(VLOOKUP(A260,[1]eco_bus_institutions!B:E,2,0),"")</f>
        <v>63</v>
      </c>
      <c r="D260" s="72">
        <f>IFERROR(VLOOKUP(A260,[1]eco_bus_institutions!B:E,4,0),"")</f>
        <v>1.9643335839591449</v>
      </c>
      <c r="E260" s="73">
        <f t="shared" si="20"/>
        <v>279</v>
      </c>
      <c r="F260" s="40">
        <f>IFERROR(VLOOKUP(A260,[1]eco_institutions!B:D,2,0),"")</f>
        <v>12</v>
      </c>
      <c r="G260" s="40">
        <f>IFERROR(VLOOKUP(A260,[1]eco_institutions!B:E,4,0),"")</f>
        <v>1.3907663643761849</v>
      </c>
      <c r="H260" s="14">
        <f t="shared" si="21"/>
        <v>375</v>
      </c>
      <c r="I260" s="46">
        <f>IFERROR(VLOOKUP(A260,[1]fin_institutions!B:D,2,0),"")</f>
        <v>15</v>
      </c>
      <c r="J260" s="41">
        <f>IFERROR(VLOOKUP(A260,[1]fin_institutions!B:E,4,0),"")</f>
        <v>1.698376341713522</v>
      </c>
      <c r="K260" s="41">
        <f t="shared" si="22"/>
        <v>221</v>
      </c>
      <c r="L260" s="56">
        <f>IFERROR(VLOOKUP(A260,[1]bus_institutions!B:D,2,0),"")</f>
        <v>20</v>
      </c>
      <c r="M260" s="42">
        <f>IFERROR(VLOOKUP(A260,[1]bus_institutions!B:E,4,0),"")</f>
        <v>2.499400276139208</v>
      </c>
      <c r="N260" s="23">
        <f t="shared" si="23"/>
        <v>187</v>
      </c>
      <c r="O260" s="61">
        <f>IFERROR(VLOOKUP(A260,[1]man_institutions!B:E,2,0),"")</f>
        <v>33</v>
      </c>
      <c r="P260" s="62">
        <f>IFERROR(VLOOKUP(A260,[1]man_institutions!B:E,4,0),"")</f>
        <v>2.8061550145391392</v>
      </c>
      <c r="Q260" s="63">
        <f t="shared" si="24"/>
        <v>216</v>
      </c>
    </row>
    <row r="261" spans="1:17" x14ac:dyDescent="0.25">
      <c r="A261" s="6" t="s">
        <v>820</v>
      </c>
      <c r="B261" s="37" t="s">
        <v>1240</v>
      </c>
      <c r="C261" s="72">
        <f>IFERROR(VLOOKUP(A261,[1]eco_bus_institutions!B:E,2,0),"")</f>
        <v>107</v>
      </c>
      <c r="D261" s="72">
        <f>IFERROR(VLOOKUP(A261,[1]eco_bus_institutions!B:E,4,0),"")</f>
        <v>2.2369663764961509</v>
      </c>
      <c r="E261" s="73">
        <f t="shared" si="20"/>
        <v>188</v>
      </c>
      <c r="F261" s="40">
        <f>IFERROR(VLOOKUP(A261,[1]eco_institutions!B:D,2,0),"")</f>
        <v>53</v>
      </c>
      <c r="G261" s="40">
        <f>IFERROR(VLOOKUP(A261,[1]eco_institutions!B:E,4,0),"")</f>
        <v>1.8196286073565431</v>
      </c>
      <c r="H261" s="14">
        <f t="shared" si="21"/>
        <v>187</v>
      </c>
      <c r="I261" s="46">
        <f>IFERROR(VLOOKUP(A261,[1]fin_institutions!B:D,2,0),"")</f>
        <v>18</v>
      </c>
      <c r="J261" s="41">
        <f>IFERROR(VLOOKUP(A261,[1]fin_institutions!B:E,4,0),"")</f>
        <v>2.0720278847751761</v>
      </c>
      <c r="K261" s="41">
        <f t="shared" si="22"/>
        <v>144</v>
      </c>
      <c r="L261" s="56">
        <f>IFERROR(VLOOKUP(A261,[1]bus_institutions!B:D,2,0),"")</f>
        <v>25</v>
      </c>
      <c r="M261" s="42">
        <f>IFERROR(VLOOKUP(A261,[1]bus_institutions!B:E,4,0),"")</f>
        <v>3.3286619700000788</v>
      </c>
      <c r="N261" s="23">
        <f t="shared" si="23"/>
        <v>81</v>
      </c>
      <c r="O261" s="61">
        <f>IFERROR(VLOOKUP(A261,[1]man_institutions!B:E,2,0),"")</f>
        <v>35</v>
      </c>
      <c r="P261" s="62">
        <f>IFERROR(VLOOKUP(A261,[1]man_institutions!B:E,4,0),"")</f>
        <v>3.702292540606178</v>
      </c>
      <c r="Q261" s="63">
        <f t="shared" si="24"/>
        <v>100</v>
      </c>
    </row>
    <row r="262" spans="1:17" x14ac:dyDescent="0.25">
      <c r="A262" s="6" t="s">
        <v>873</v>
      </c>
      <c r="B262" s="37" t="s">
        <v>1216</v>
      </c>
      <c r="C262" s="72">
        <f>IFERROR(VLOOKUP(A262,[1]eco_bus_institutions!B:E,2,0),"")</f>
        <v>76</v>
      </c>
      <c r="D262" s="72">
        <f>IFERROR(VLOOKUP(A262,[1]eco_bus_institutions!B:E,4,0),"")</f>
        <v>1.7943036661656859</v>
      </c>
      <c r="E262" s="73">
        <f t="shared" si="20"/>
        <v>347</v>
      </c>
      <c r="F262" s="40">
        <f>IFERROR(VLOOKUP(A262,[1]eco_institutions!B:D,2,0),"")</f>
        <v>22</v>
      </c>
      <c r="G262" s="40">
        <f>IFERROR(VLOOKUP(A262,[1]eco_institutions!B:E,4,0),"")</f>
        <v>1.2404933292379889</v>
      </c>
      <c r="H262" s="14">
        <f t="shared" si="21"/>
        <v>485</v>
      </c>
      <c r="I262" s="46">
        <f>IFERROR(VLOOKUP(A262,[1]fin_institutions!B:D,2,0),"")</f>
        <v>11</v>
      </c>
      <c r="J262" s="41">
        <f>IFERROR(VLOOKUP(A262,[1]fin_institutions!B:E,4,0),"")</f>
        <v>1.1795857977817259</v>
      </c>
      <c r="K262" s="41">
        <f t="shared" si="22"/>
        <v>481</v>
      </c>
      <c r="L262" s="56">
        <f>IFERROR(VLOOKUP(A262,[1]bus_institutions!B:D,2,0),"")</f>
        <v>29</v>
      </c>
      <c r="M262" s="42">
        <f>IFERROR(VLOOKUP(A262,[1]bus_institutions!B:E,4,0),"")</f>
        <v>2.2587931533965131</v>
      </c>
      <c r="N262" s="23">
        <f t="shared" si="23"/>
        <v>253</v>
      </c>
      <c r="O262" s="61">
        <f>IFERROR(VLOOKUP(A262,[1]man_institutions!B:E,2,0),"")</f>
        <v>30</v>
      </c>
      <c r="P262" s="62">
        <f>IFERROR(VLOOKUP(A262,[1]man_institutions!B:E,4,0),"")</f>
        <v>2.6382912327698249</v>
      </c>
      <c r="Q262" s="63">
        <f t="shared" si="24"/>
        <v>246</v>
      </c>
    </row>
    <row r="263" spans="1:17" x14ac:dyDescent="0.25">
      <c r="A263" s="6" t="s">
        <v>819</v>
      </c>
      <c r="B263" s="37" t="s">
        <v>1216</v>
      </c>
      <c r="C263" s="72">
        <f>IFERROR(VLOOKUP(A263,[1]eco_bus_institutions!B:E,2,0),"")</f>
        <v>81</v>
      </c>
      <c r="D263" s="72">
        <f>IFERROR(VLOOKUP(A263,[1]eco_bus_institutions!B:E,4,0),"")</f>
        <v>2.1557720738162489</v>
      </c>
      <c r="E263" s="73">
        <f t="shared" si="20"/>
        <v>213</v>
      </c>
      <c r="F263" s="40">
        <f>IFERROR(VLOOKUP(A263,[1]eco_institutions!B:D,2,0),"")</f>
        <v>31</v>
      </c>
      <c r="G263" s="40">
        <f>IFERROR(VLOOKUP(A263,[1]eco_institutions!B:E,4,0),"")</f>
        <v>1.8087830995661649</v>
      </c>
      <c r="H263" s="14">
        <f t="shared" si="21"/>
        <v>192</v>
      </c>
      <c r="I263" s="46">
        <f>IFERROR(VLOOKUP(A263,[1]fin_institutions!B:D,2,0),"")</f>
        <v>12</v>
      </c>
      <c r="J263" s="41">
        <f>IFERROR(VLOOKUP(A263,[1]fin_institutions!B:E,4,0),"")</f>
        <v>1.6131332157939531</v>
      </c>
      <c r="K263" s="41">
        <f t="shared" si="22"/>
        <v>238</v>
      </c>
      <c r="L263" s="56">
        <f>IFERROR(VLOOKUP(A263,[1]bus_institutions!B:D,2,0),"")</f>
        <v>24</v>
      </c>
      <c r="M263" s="42">
        <f>IFERROR(VLOOKUP(A263,[1]bus_institutions!B:E,4,0),"")</f>
        <v>2.6464217279297628</v>
      </c>
      <c r="N263" s="23">
        <f t="shared" si="23"/>
        <v>164</v>
      </c>
      <c r="O263" s="61">
        <f>IFERROR(VLOOKUP(A263,[1]man_institutions!B:E,2,0),"")</f>
        <v>33</v>
      </c>
      <c r="P263" s="62">
        <f>IFERROR(VLOOKUP(A263,[1]man_institutions!B:E,4,0),"")</f>
        <v>3.5303455939917541</v>
      </c>
      <c r="Q263" s="63">
        <f t="shared" si="24"/>
        <v>121</v>
      </c>
    </row>
    <row r="264" spans="1:17" x14ac:dyDescent="0.25">
      <c r="A264" s="6" t="s">
        <v>922</v>
      </c>
      <c r="B264" s="37" t="s">
        <v>1231</v>
      </c>
      <c r="C264" s="72">
        <f>IFERROR(VLOOKUP(A264,[1]eco_bus_institutions!B:E,2,0),"")</f>
        <v>79</v>
      </c>
      <c r="D264" s="72">
        <f>IFERROR(VLOOKUP(A264,[1]eco_bus_institutions!B:E,4,0),"")</f>
        <v>1.89704736910508</v>
      </c>
      <c r="E264" s="73">
        <f t="shared" si="20"/>
        <v>302</v>
      </c>
      <c r="F264" s="40">
        <f>IFERROR(VLOOKUP(A264,[1]eco_institutions!B:D,2,0),"")</f>
        <v>45</v>
      </c>
      <c r="G264" s="40">
        <f>IFERROR(VLOOKUP(A264,[1]eco_institutions!B:E,4,0),"")</f>
        <v>1.7013672040944741</v>
      </c>
      <c r="H264" s="14">
        <f t="shared" si="21"/>
        <v>219</v>
      </c>
      <c r="I264" s="46">
        <f>IFERROR(VLOOKUP(A264,[1]fin_institutions!B:D,2,0),"")</f>
        <v>11</v>
      </c>
      <c r="J264" s="41">
        <f>IFERROR(VLOOKUP(A264,[1]fin_institutions!B:E,4,0),"")</f>
        <v>2.032124320761266</v>
      </c>
      <c r="K264" s="41">
        <f t="shared" si="22"/>
        <v>152</v>
      </c>
      <c r="L264" s="56">
        <f>IFERROR(VLOOKUP(A264,[1]bus_institutions!B:D,2,0),"")</f>
        <v>24</v>
      </c>
      <c r="M264" s="42">
        <f>IFERROR(VLOOKUP(A264,[1]bus_institutions!B:E,4,0),"")</f>
        <v>2.1926716983910191</v>
      </c>
      <c r="N264" s="23">
        <f t="shared" si="23"/>
        <v>273</v>
      </c>
      <c r="O264" s="61">
        <f>IFERROR(VLOOKUP(A264,[1]man_institutions!B:E,2,0),"")</f>
        <v>18</v>
      </c>
      <c r="P264" s="62">
        <f>IFERROR(VLOOKUP(A264,[1]man_institutions!B:E,4,0),"")</f>
        <v>2.3525756936032458</v>
      </c>
      <c r="Q264" s="63">
        <f t="shared" si="24"/>
        <v>309</v>
      </c>
    </row>
    <row r="265" spans="1:17" x14ac:dyDescent="0.25">
      <c r="A265" s="6" t="s">
        <v>823</v>
      </c>
      <c r="B265" s="37" t="s">
        <v>1216</v>
      </c>
      <c r="C265" s="72">
        <f>IFERROR(VLOOKUP(A265,[1]eco_bus_institutions!B:E,2,0),"")</f>
        <v>139</v>
      </c>
      <c r="D265" s="72">
        <f>IFERROR(VLOOKUP(A265,[1]eco_bus_institutions!B:E,4,0),"")</f>
        <v>1.920394580506809</v>
      </c>
      <c r="E265" s="73">
        <f t="shared" si="20"/>
        <v>298</v>
      </c>
      <c r="F265" s="40">
        <f>IFERROR(VLOOKUP(A265,[1]eco_institutions!B:D,2,0),"")</f>
        <v>53</v>
      </c>
      <c r="G265" s="40">
        <f>IFERROR(VLOOKUP(A265,[1]eco_institutions!B:E,4,0),"")</f>
        <v>1.3837381408402289</v>
      </c>
      <c r="H265" s="14">
        <f t="shared" si="21"/>
        <v>378</v>
      </c>
      <c r="I265" s="46">
        <f>IFERROR(VLOOKUP(A265,[1]fin_institutions!B:D,2,0),"")</f>
        <v>34</v>
      </c>
      <c r="J265" s="41">
        <f>IFERROR(VLOOKUP(A265,[1]fin_institutions!B:E,4,0),"")</f>
        <v>1.2158239638145709</v>
      </c>
      <c r="K265" s="41">
        <f t="shared" si="22"/>
        <v>452</v>
      </c>
      <c r="L265" s="56">
        <f>IFERROR(VLOOKUP(A265,[1]bus_institutions!B:D,2,0),"")</f>
        <v>46</v>
      </c>
      <c r="M265" s="42">
        <f>IFERROR(VLOOKUP(A265,[1]bus_institutions!B:E,4,0),"")</f>
        <v>2.2663991152403238</v>
      </c>
      <c r="N265" s="23">
        <f t="shared" si="23"/>
        <v>248</v>
      </c>
      <c r="O265" s="61">
        <f>IFERROR(VLOOKUP(A265,[1]man_institutions!B:E,2,0),"")</f>
        <v>47</v>
      </c>
      <c r="P265" s="62">
        <f>IFERROR(VLOOKUP(A265,[1]man_institutions!B:E,4,0),"")</f>
        <v>3.2033357319512281</v>
      </c>
      <c r="Q265" s="63">
        <f t="shared" si="24"/>
        <v>168</v>
      </c>
    </row>
    <row r="266" spans="1:17" x14ac:dyDescent="0.25">
      <c r="A266" s="6" t="s">
        <v>746</v>
      </c>
      <c r="B266" s="37" t="s">
        <v>1233</v>
      </c>
      <c r="C266" s="72">
        <f>IFERROR(VLOOKUP(A266,[1]eco_bus_institutions!B:E,2,0),"")</f>
        <v>44</v>
      </c>
      <c r="D266" s="72">
        <f>IFERROR(VLOOKUP(A266,[1]eco_bus_institutions!B:E,4,0),"")</f>
        <v>1.9825964663423961</v>
      </c>
      <c r="E266" s="73">
        <f t="shared" si="20"/>
        <v>272</v>
      </c>
      <c r="F266" s="40">
        <f>IFERROR(VLOOKUP(A266,[1]eco_institutions!B:D,2,0),"")</f>
        <v>11</v>
      </c>
      <c r="G266" s="40">
        <f>IFERROR(VLOOKUP(A266,[1]eco_institutions!B:E,4,0),"")</f>
        <v>1.0657798271705341</v>
      </c>
      <c r="H266" s="14">
        <f t="shared" si="21"/>
        <v>582</v>
      </c>
      <c r="I266" s="46" t="str">
        <f>IFERROR(VLOOKUP(A266,[1]fin_institutions!B:D,2,0),"")</f>
        <v/>
      </c>
      <c r="J266" s="41" t="str">
        <f>IFERROR(VLOOKUP(A266,[1]fin_institutions!B:E,4,0),"")</f>
        <v/>
      </c>
      <c r="K266" s="41" t="str">
        <f t="shared" si="22"/>
        <v/>
      </c>
      <c r="L266" s="56">
        <f>IFERROR(VLOOKUP(A266,[1]bus_institutions!B:D,2,0),"")</f>
        <v>20</v>
      </c>
      <c r="M266" s="42">
        <f>IFERROR(VLOOKUP(A266,[1]bus_institutions!B:E,4,0),"")</f>
        <v>2.2310416514054001</v>
      </c>
      <c r="N266" s="23">
        <f t="shared" si="23"/>
        <v>264</v>
      </c>
      <c r="O266" s="61">
        <f>IFERROR(VLOOKUP(A266,[1]man_institutions!B:E,2,0),"")</f>
        <v>33</v>
      </c>
      <c r="P266" s="62">
        <f>IFERROR(VLOOKUP(A266,[1]man_institutions!B:E,4,0),"")</f>
        <v>2.4933499901442802</v>
      </c>
      <c r="Q266" s="63">
        <f t="shared" si="24"/>
        <v>276</v>
      </c>
    </row>
    <row r="267" spans="1:17" x14ac:dyDescent="0.25">
      <c r="A267" s="6" t="s">
        <v>769</v>
      </c>
      <c r="B267" s="37" t="s">
        <v>1217</v>
      </c>
      <c r="C267" s="72">
        <f>IFERROR(VLOOKUP(A267,[1]eco_bus_institutions!B:E,2,0),"")</f>
        <v>51</v>
      </c>
      <c r="D267" s="72">
        <f>IFERROR(VLOOKUP(A267,[1]eco_bus_institutions!B:E,4,0),"")</f>
        <v>2.3204831403710982</v>
      </c>
      <c r="E267" s="73">
        <f t="shared" si="20"/>
        <v>166</v>
      </c>
      <c r="F267" s="40">
        <f>IFERROR(VLOOKUP(A267,[1]eco_institutions!B:D,2,0),"")</f>
        <v>18</v>
      </c>
      <c r="G267" s="40">
        <f>IFERROR(VLOOKUP(A267,[1]eco_institutions!B:E,4,0),"")</f>
        <v>2.111571766506644</v>
      </c>
      <c r="H267" s="14">
        <f t="shared" si="21"/>
        <v>126</v>
      </c>
      <c r="I267" s="46">
        <f>IFERROR(VLOOKUP(A267,[1]fin_institutions!B:D,2,0),"")</f>
        <v>18</v>
      </c>
      <c r="J267" s="41">
        <f>IFERROR(VLOOKUP(A267,[1]fin_institutions!B:E,4,0),"")</f>
        <v>2.3622385718709591</v>
      </c>
      <c r="K267" s="41">
        <f t="shared" si="22"/>
        <v>110</v>
      </c>
      <c r="L267" s="56">
        <f>IFERROR(VLOOKUP(A267,[1]bus_institutions!B:D,2,0),"")</f>
        <v>18</v>
      </c>
      <c r="M267" s="42">
        <f>IFERROR(VLOOKUP(A267,[1]bus_institutions!B:E,4,0),"")</f>
        <v>2.3032031004266988</v>
      </c>
      <c r="N267" s="23">
        <f t="shared" si="23"/>
        <v>242</v>
      </c>
      <c r="O267" s="61">
        <f>IFERROR(VLOOKUP(A267,[1]man_institutions!B:E,2,0),"")</f>
        <v>12</v>
      </c>
      <c r="P267" s="62">
        <f>IFERROR(VLOOKUP(A267,[1]man_institutions!B:E,4,0),"")</f>
        <v>3.0740583537498472</v>
      </c>
      <c r="Q267" s="63">
        <f t="shared" si="24"/>
        <v>183</v>
      </c>
    </row>
    <row r="268" spans="1:17" x14ac:dyDescent="0.25">
      <c r="A268" s="6" t="s">
        <v>815</v>
      </c>
      <c r="B268" s="37" t="s">
        <v>1222</v>
      </c>
      <c r="C268" s="72">
        <f>IFERROR(VLOOKUP(A268,[1]eco_bus_institutions!B:E,2,0),"")</f>
        <v>52</v>
      </c>
      <c r="D268" s="72">
        <f>IFERROR(VLOOKUP(A268,[1]eco_bus_institutions!B:E,4,0),"")</f>
        <v>1.94434709306689</v>
      </c>
      <c r="E268" s="73">
        <f t="shared" si="20"/>
        <v>289</v>
      </c>
      <c r="F268" s="40">
        <f>IFERROR(VLOOKUP(A268,[1]eco_institutions!B:D,2,0),"")</f>
        <v>30</v>
      </c>
      <c r="G268" s="40">
        <f>IFERROR(VLOOKUP(A268,[1]eco_institutions!B:E,4,0),"")</f>
        <v>1.345585853191789</v>
      </c>
      <c r="H268" s="14">
        <f t="shared" si="21"/>
        <v>395</v>
      </c>
      <c r="I268" s="46">
        <f>IFERROR(VLOOKUP(A268,[1]fin_institutions!B:D,2,0),"")</f>
        <v>6</v>
      </c>
      <c r="J268" s="41">
        <f>IFERROR(VLOOKUP(A268,[1]fin_institutions!B:E,4,0),"")</f>
        <v>1.3091205905700289</v>
      </c>
      <c r="K268" s="41">
        <f t="shared" si="22"/>
        <v>388</v>
      </c>
      <c r="L268" s="56">
        <f>IFERROR(VLOOKUP(A268,[1]bus_institutions!B:D,2,0),"")</f>
        <v>15</v>
      </c>
      <c r="M268" s="42">
        <f>IFERROR(VLOOKUP(A268,[1]bus_institutions!B:E,4,0),"")</f>
        <v>2.9122365328604629</v>
      </c>
      <c r="N268" s="23">
        <f t="shared" si="23"/>
        <v>129</v>
      </c>
      <c r="O268" s="61">
        <f>IFERROR(VLOOKUP(A268,[1]man_institutions!B:E,2,0),"")</f>
        <v>20</v>
      </c>
      <c r="P268" s="62">
        <f>IFERROR(VLOOKUP(A268,[1]man_institutions!B:E,4,0),"")</f>
        <v>3.14336319960973</v>
      </c>
      <c r="Q268" s="63">
        <f t="shared" si="24"/>
        <v>175</v>
      </c>
    </row>
    <row r="269" spans="1:17" x14ac:dyDescent="0.25">
      <c r="A269" s="6" t="s">
        <v>828</v>
      </c>
      <c r="B269" s="37" t="s">
        <v>1222</v>
      </c>
      <c r="C269" s="72">
        <f>IFERROR(VLOOKUP(A269,[1]eco_bus_institutions!B:E,2,0),"")</f>
        <v>51</v>
      </c>
      <c r="D269" s="72">
        <f>IFERROR(VLOOKUP(A269,[1]eco_bus_institutions!B:E,4,0),"")</f>
        <v>1.9962919270570589</v>
      </c>
      <c r="E269" s="73">
        <f t="shared" si="20"/>
        <v>267</v>
      </c>
      <c r="F269" s="40">
        <f>IFERROR(VLOOKUP(A269,[1]eco_institutions!B:D,2,0),"")</f>
        <v>26</v>
      </c>
      <c r="G269" s="40">
        <f>IFERROR(VLOOKUP(A269,[1]eco_institutions!B:E,4,0),"")</f>
        <v>1.5516314495762791</v>
      </c>
      <c r="H269" s="14">
        <f t="shared" si="21"/>
        <v>276</v>
      </c>
      <c r="I269" s="46" t="str">
        <f>IFERROR(VLOOKUP(A269,[1]fin_institutions!B:D,2,0),"")</f>
        <v/>
      </c>
      <c r="J269" s="41" t="str">
        <f>IFERROR(VLOOKUP(A269,[1]fin_institutions!B:E,4,0),"")</f>
        <v/>
      </c>
      <c r="K269" s="41" t="str">
        <f t="shared" si="22"/>
        <v/>
      </c>
      <c r="L269" s="56">
        <f>IFERROR(VLOOKUP(A269,[1]bus_institutions!B:D,2,0),"")</f>
        <v>23</v>
      </c>
      <c r="M269" s="42">
        <f>IFERROR(VLOOKUP(A269,[1]bus_institutions!B:E,4,0),"")</f>
        <v>2.2660301973311729</v>
      </c>
      <c r="N269" s="23">
        <f t="shared" si="23"/>
        <v>249</v>
      </c>
      <c r="O269" s="61">
        <f>IFERROR(VLOOKUP(A269,[1]man_institutions!B:E,2,0),"")</f>
        <v>25</v>
      </c>
      <c r="P269" s="62">
        <f>IFERROR(VLOOKUP(A269,[1]man_institutions!B:E,4,0),"")</f>
        <v>3.051069331413105</v>
      </c>
      <c r="Q269" s="63">
        <f t="shared" si="24"/>
        <v>186</v>
      </c>
    </row>
    <row r="270" spans="1:17" x14ac:dyDescent="0.25">
      <c r="A270" s="6" t="s">
        <v>811</v>
      </c>
      <c r="B270" s="37" t="s">
        <v>1232</v>
      </c>
      <c r="C270" s="72">
        <f>IFERROR(VLOOKUP(A270,[1]eco_bus_institutions!B:E,2,0),"")</f>
        <v>98</v>
      </c>
      <c r="D270" s="72">
        <f>IFERROR(VLOOKUP(A270,[1]eco_bus_institutions!B:E,4,0),"")</f>
        <v>1.82075346757759</v>
      </c>
      <c r="E270" s="73">
        <f t="shared" si="20"/>
        <v>335</v>
      </c>
      <c r="F270" s="40">
        <f>IFERROR(VLOOKUP(A270,[1]eco_institutions!B:D,2,0),"")</f>
        <v>56</v>
      </c>
      <c r="G270" s="40">
        <f>IFERROR(VLOOKUP(A270,[1]eco_institutions!B:E,4,0),"")</f>
        <v>1.317866495828957</v>
      </c>
      <c r="H270" s="14">
        <f t="shared" si="21"/>
        <v>419</v>
      </c>
      <c r="I270" s="46">
        <f>IFERROR(VLOOKUP(A270,[1]fin_institutions!B:D,2,0),"")</f>
        <v>28</v>
      </c>
      <c r="J270" s="41">
        <f>IFERROR(VLOOKUP(A270,[1]fin_institutions!B:E,4,0),"")</f>
        <v>1.626614080905495</v>
      </c>
      <c r="K270" s="41">
        <f t="shared" si="22"/>
        <v>235</v>
      </c>
      <c r="L270" s="56">
        <f>IFERROR(VLOOKUP(A270,[1]bus_institutions!B:D,2,0),"")</f>
        <v>23</v>
      </c>
      <c r="M270" s="42">
        <f>IFERROR(VLOOKUP(A270,[1]bus_institutions!B:E,4,0),"")</f>
        <v>2.000288036128091</v>
      </c>
      <c r="N270" s="23">
        <f t="shared" si="23"/>
        <v>318</v>
      </c>
      <c r="O270" s="61">
        <f>IFERROR(VLOOKUP(A270,[1]man_institutions!B:E,2,0),"")</f>
        <v>27</v>
      </c>
      <c r="P270" s="62">
        <f>IFERROR(VLOOKUP(A270,[1]man_institutions!B:E,4,0),"")</f>
        <v>2.538235824929358</v>
      </c>
      <c r="Q270" s="63">
        <f t="shared" si="24"/>
        <v>265</v>
      </c>
    </row>
    <row r="271" spans="1:17" x14ac:dyDescent="0.25">
      <c r="A271" s="6" t="s">
        <v>846</v>
      </c>
      <c r="B271" s="37" t="s">
        <v>1271</v>
      </c>
      <c r="C271" s="72">
        <f>IFERROR(VLOOKUP(A271,[1]eco_bus_institutions!B:E,2,0),"")</f>
        <v>87</v>
      </c>
      <c r="D271" s="72">
        <f>IFERROR(VLOOKUP(A271,[1]eco_bus_institutions!B:E,4,0),"")</f>
        <v>2.057668117701398</v>
      </c>
      <c r="E271" s="73">
        <f t="shared" si="20"/>
        <v>246</v>
      </c>
      <c r="F271" s="40">
        <f>IFERROR(VLOOKUP(A271,[1]eco_institutions!B:D,2,0),"")</f>
        <v>49</v>
      </c>
      <c r="G271" s="40">
        <f>IFERROR(VLOOKUP(A271,[1]eco_institutions!B:E,4,0),"")</f>
        <v>1.504520583595746</v>
      </c>
      <c r="H271" s="14">
        <f t="shared" si="21"/>
        <v>302</v>
      </c>
      <c r="I271" s="46">
        <f>IFERROR(VLOOKUP(A271,[1]fin_institutions!B:D,2,0),"")</f>
        <v>12</v>
      </c>
      <c r="J271" s="41">
        <f>IFERROR(VLOOKUP(A271,[1]fin_institutions!B:E,4,0),"")</f>
        <v>1.816231699983651</v>
      </c>
      <c r="K271" s="41">
        <f t="shared" si="22"/>
        <v>190</v>
      </c>
      <c r="L271" s="56">
        <f>IFERROR(VLOOKUP(A271,[1]bus_institutions!B:D,2,0),"")</f>
        <v>29</v>
      </c>
      <c r="M271" s="42">
        <f>IFERROR(VLOOKUP(A271,[1]bus_institutions!B:E,4,0),"")</f>
        <v>2.6667961630552171</v>
      </c>
      <c r="N271" s="23">
        <f t="shared" si="23"/>
        <v>159</v>
      </c>
      <c r="O271" s="61">
        <f>IFERROR(VLOOKUP(A271,[1]man_institutions!B:E,2,0),"")</f>
        <v>29</v>
      </c>
      <c r="P271" s="62">
        <f>IFERROR(VLOOKUP(A271,[1]man_institutions!B:E,4,0),"")</f>
        <v>2.8911280459455608</v>
      </c>
      <c r="Q271" s="63">
        <f t="shared" si="24"/>
        <v>203</v>
      </c>
    </row>
    <row r="272" spans="1:17" x14ac:dyDescent="0.25">
      <c r="A272" s="6" t="s">
        <v>869</v>
      </c>
      <c r="B272" s="37" t="s">
        <v>1247</v>
      </c>
      <c r="C272" s="72">
        <f>IFERROR(VLOOKUP(A272,[1]eco_bus_institutions!B:E,2,0),"")</f>
        <v>93</v>
      </c>
      <c r="D272" s="72">
        <f>IFERROR(VLOOKUP(A272,[1]eco_bus_institutions!B:E,4,0),"")</f>
        <v>1.6661504712115249</v>
      </c>
      <c r="E272" s="73">
        <f t="shared" si="20"/>
        <v>399</v>
      </c>
      <c r="F272" s="40">
        <f>IFERROR(VLOOKUP(A272,[1]eco_institutions!B:D,2,0),"")</f>
        <v>46</v>
      </c>
      <c r="G272" s="40">
        <f>IFERROR(VLOOKUP(A272,[1]eco_institutions!B:E,4,0),"")</f>
        <v>1.405334995193968</v>
      </c>
      <c r="H272" s="14">
        <f t="shared" si="21"/>
        <v>358</v>
      </c>
      <c r="I272" s="46">
        <f>IFERROR(VLOOKUP(A272,[1]fin_institutions!B:D,2,0),"")</f>
        <v>44</v>
      </c>
      <c r="J272" s="41">
        <f>IFERROR(VLOOKUP(A272,[1]fin_institutions!B:E,4,0),"")</f>
        <v>1.6028230346981771</v>
      </c>
      <c r="K272" s="41">
        <f t="shared" si="22"/>
        <v>242</v>
      </c>
      <c r="L272" s="56">
        <f>IFERROR(VLOOKUP(A272,[1]bus_institutions!B:D,2,0),"")</f>
        <v>16</v>
      </c>
      <c r="M272" s="42">
        <f>IFERROR(VLOOKUP(A272,[1]bus_institutions!B:E,4,0),"")</f>
        <v>1.573919937783739</v>
      </c>
      <c r="N272" s="23">
        <f t="shared" si="23"/>
        <v>465</v>
      </c>
      <c r="O272" s="61">
        <f>IFERROR(VLOOKUP(A272,[1]man_institutions!B:E,2,0),"")</f>
        <v>11</v>
      </c>
      <c r="P272" s="62">
        <f>IFERROR(VLOOKUP(A272,[1]man_institutions!B:E,4,0),"")</f>
        <v>1.8305299084932309</v>
      </c>
      <c r="Q272" s="63">
        <f t="shared" si="24"/>
        <v>452</v>
      </c>
    </row>
    <row r="273" spans="1:17" x14ac:dyDescent="0.25">
      <c r="A273" s="6" t="s">
        <v>908</v>
      </c>
      <c r="B273" s="37" t="s">
        <v>1230</v>
      </c>
      <c r="C273" s="72">
        <f>IFERROR(VLOOKUP(A273,[1]eco_bus_institutions!B:E,2,0),"")</f>
        <v>224</v>
      </c>
      <c r="D273" s="72">
        <f>IFERROR(VLOOKUP(A273,[1]eco_bus_institutions!B:E,4,0),"")</f>
        <v>1.8567200104869981</v>
      </c>
      <c r="E273" s="73">
        <f t="shared" si="20"/>
        <v>318</v>
      </c>
      <c r="F273" s="40">
        <f>IFERROR(VLOOKUP(A273,[1]eco_institutions!B:D,2,0),"")</f>
        <v>131</v>
      </c>
      <c r="G273" s="40">
        <f>IFERROR(VLOOKUP(A273,[1]eco_institutions!B:E,4,0),"")</f>
        <v>1.583129094708849</v>
      </c>
      <c r="H273" s="14">
        <f t="shared" si="21"/>
        <v>266</v>
      </c>
      <c r="I273" s="46">
        <f>IFERROR(VLOOKUP(A273,[1]fin_institutions!B:D,2,0),"")</f>
        <v>58</v>
      </c>
      <c r="J273" s="41">
        <f>IFERROR(VLOOKUP(A273,[1]fin_institutions!B:E,4,0),"")</f>
        <v>1.948871710877619</v>
      </c>
      <c r="K273" s="41">
        <f t="shared" si="22"/>
        <v>171</v>
      </c>
      <c r="L273" s="56">
        <f>IFERROR(VLOOKUP(A273,[1]bus_institutions!B:D,2,0),"")</f>
        <v>44</v>
      </c>
      <c r="M273" s="42">
        <f>IFERROR(VLOOKUP(A273,[1]bus_institutions!B:E,4,0),"")</f>
        <v>1.593062640945925</v>
      </c>
      <c r="N273" s="23">
        <f t="shared" si="23"/>
        <v>461</v>
      </c>
      <c r="O273" s="61">
        <f>IFERROR(VLOOKUP(A273,[1]man_institutions!B:E,2,0),"")</f>
        <v>50</v>
      </c>
      <c r="P273" s="62">
        <f>IFERROR(VLOOKUP(A273,[1]man_institutions!B:E,4,0),"")</f>
        <v>2.1152921742506439</v>
      </c>
      <c r="Q273" s="63">
        <f t="shared" si="24"/>
        <v>374</v>
      </c>
    </row>
    <row r="274" spans="1:17" x14ac:dyDescent="0.25">
      <c r="A274" s="6" t="s">
        <v>868</v>
      </c>
      <c r="B274" s="37" t="s">
        <v>1217</v>
      </c>
      <c r="C274" s="72">
        <f>IFERROR(VLOOKUP(A274,[1]eco_bus_institutions!B:E,2,0),"")</f>
        <v>99</v>
      </c>
      <c r="D274" s="72">
        <f>IFERROR(VLOOKUP(A274,[1]eco_bus_institutions!B:E,4,0),"")</f>
        <v>2.2231634068128212</v>
      </c>
      <c r="E274" s="73">
        <f t="shared" si="20"/>
        <v>193</v>
      </c>
      <c r="F274" s="40">
        <f>IFERROR(VLOOKUP(A274,[1]eco_institutions!B:D,2,0),"")</f>
        <v>68</v>
      </c>
      <c r="G274" s="40">
        <f>IFERROR(VLOOKUP(A274,[1]eco_institutions!B:E,4,0),"")</f>
        <v>1.5225124832315311</v>
      </c>
      <c r="H274" s="14">
        <f t="shared" si="21"/>
        <v>289</v>
      </c>
      <c r="I274" s="46">
        <f>IFERROR(VLOOKUP(A274,[1]fin_institutions!B:D,2,0),"")</f>
        <v>11</v>
      </c>
      <c r="J274" s="41">
        <f>IFERROR(VLOOKUP(A274,[1]fin_institutions!B:E,4,0),"")</f>
        <v>4.5419466288051664</v>
      </c>
      <c r="K274" s="41">
        <f t="shared" si="22"/>
        <v>21</v>
      </c>
      <c r="L274" s="56">
        <f>IFERROR(VLOOKUP(A274,[1]bus_institutions!B:D,2,0),"")</f>
        <v>10</v>
      </c>
      <c r="M274" s="42">
        <f>IFERROR(VLOOKUP(A274,[1]bus_institutions!B:E,4,0),"")</f>
        <v>3.2025310983022122</v>
      </c>
      <c r="N274" s="23">
        <f t="shared" si="23"/>
        <v>93</v>
      </c>
      <c r="O274" s="61">
        <f>IFERROR(VLOOKUP(A274,[1]man_institutions!B:E,2,0),"")</f>
        <v>24</v>
      </c>
      <c r="P274" s="62">
        <f>IFERROR(VLOOKUP(A274,[1]man_institutions!B:E,4,0),"")</f>
        <v>4.0029991956880302</v>
      </c>
      <c r="Q274" s="63">
        <f t="shared" si="24"/>
        <v>76</v>
      </c>
    </row>
    <row r="275" spans="1:17" x14ac:dyDescent="0.25">
      <c r="A275" s="6" t="s">
        <v>986</v>
      </c>
      <c r="B275" s="37" t="s">
        <v>1221</v>
      </c>
      <c r="C275" s="72">
        <f>IFERROR(VLOOKUP(A275,[1]eco_bus_institutions!B:E,2,0),"")</f>
        <v>65</v>
      </c>
      <c r="D275" s="72">
        <f>IFERROR(VLOOKUP(A275,[1]eco_bus_institutions!B:E,4,0),"")</f>
        <v>2.403501812233932</v>
      </c>
      <c r="E275" s="73">
        <f t="shared" si="20"/>
        <v>146</v>
      </c>
      <c r="F275" s="40">
        <f>IFERROR(VLOOKUP(A275,[1]eco_institutions!B:D,2,0),"")</f>
        <v>52</v>
      </c>
      <c r="G275" s="40">
        <f>IFERROR(VLOOKUP(A275,[1]eco_institutions!B:E,4,0),"")</f>
        <v>2.506814344452807</v>
      </c>
      <c r="H275" s="14">
        <f t="shared" si="21"/>
        <v>82</v>
      </c>
      <c r="I275" s="46">
        <f>IFERROR(VLOOKUP(A275,[1]fin_institutions!B:D,2,0),"")</f>
        <v>7</v>
      </c>
      <c r="J275" s="41">
        <f>IFERROR(VLOOKUP(A275,[1]fin_institutions!B:E,4,0),"")</f>
        <v>1.3525766530620369</v>
      </c>
      <c r="K275" s="41">
        <f t="shared" si="22"/>
        <v>362</v>
      </c>
      <c r="L275" s="56">
        <f>IFERROR(VLOOKUP(A275,[1]bus_institutions!B:D,2,0),"")</f>
        <v>8</v>
      </c>
      <c r="M275" s="42">
        <f>IFERROR(VLOOKUP(A275,[1]bus_institutions!B:E,4,0),"")</f>
        <v>1.6687031013776279</v>
      </c>
      <c r="N275" s="23">
        <f t="shared" si="23"/>
        <v>433</v>
      </c>
      <c r="O275" s="61">
        <f>IFERROR(VLOOKUP(A275,[1]man_institutions!B:E,2,0),"")</f>
        <v>7</v>
      </c>
      <c r="P275" s="62">
        <f>IFERROR(VLOOKUP(A275,[1]man_institutions!B:E,4,0),"")</f>
        <v>1.7108527857597671</v>
      </c>
      <c r="Q275" s="63">
        <f t="shared" si="24"/>
        <v>488</v>
      </c>
    </row>
    <row r="276" spans="1:17" x14ac:dyDescent="0.25">
      <c r="A276" s="6" t="s">
        <v>872</v>
      </c>
      <c r="B276" s="37" t="s">
        <v>1217</v>
      </c>
      <c r="C276" s="72">
        <f>IFERROR(VLOOKUP(A276,[1]eco_bus_institutions!B:E,2,0),"")</f>
        <v>65</v>
      </c>
      <c r="D276" s="72">
        <f>IFERROR(VLOOKUP(A276,[1]eco_bus_institutions!B:E,4,0),"")</f>
        <v>1.977412118927149</v>
      </c>
      <c r="E276" s="73">
        <f t="shared" si="20"/>
        <v>274</v>
      </c>
      <c r="F276" s="40">
        <f>IFERROR(VLOOKUP(A276,[1]eco_institutions!B:D,2,0),"")</f>
        <v>15</v>
      </c>
      <c r="G276" s="40">
        <f>IFERROR(VLOOKUP(A276,[1]eco_institutions!B:E,4,0),"")</f>
        <v>1.478471743272241</v>
      </c>
      <c r="H276" s="14">
        <f t="shared" si="21"/>
        <v>312</v>
      </c>
      <c r="I276" s="46">
        <f>IFERROR(VLOOKUP(A276,[1]fin_institutions!B:D,2,0),"")</f>
        <v>25</v>
      </c>
      <c r="J276" s="41">
        <f>IFERROR(VLOOKUP(A276,[1]fin_institutions!B:E,4,0),"")</f>
        <v>1.9597100455455461</v>
      </c>
      <c r="K276" s="41">
        <f t="shared" si="22"/>
        <v>166</v>
      </c>
      <c r="L276" s="56">
        <f>IFERROR(VLOOKUP(A276,[1]bus_institutions!B:D,2,0),"")</f>
        <v>17</v>
      </c>
      <c r="M276" s="42">
        <f>IFERROR(VLOOKUP(A276,[1]bus_institutions!B:E,4,0),"")</f>
        <v>2.3082272081780388</v>
      </c>
      <c r="N276" s="23">
        <f t="shared" si="23"/>
        <v>241</v>
      </c>
      <c r="O276" s="61">
        <f>IFERROR(VLOOKUP(A276,[1]man_institutions!B:E,2,0),"")</f>
        <v>17</v>
      </c>
      <c r="P276" s="62">
        <f>IFERROR(VLOOKUP(A276,[1]man_institutions!B:E,4,0),"")</f>
        <v>2.344304916342876</v>
      </c>
      <c r="Q276" s="63">
        <f t="shared" si="24"/>
        <v>315</v>
      </c>
    </row>
    <row r="277" spans="1:17" x14ac:dyDescent="0.25">
      <c r="A277" s="6" t="s">
        <v>870</v>
      </c>
      <c r="B277" s="37" t="s">
        <v>1223</v>
      </c>
      <c r="C277" s="72">
        <f>IFERROR(VLOOKUP(A277,[1]eco_bus_institutions!B:E,2,0),"")</f>
        <v>160</v>
      </c>
      <c r="D277" s="72">
        <f>IFERROR(VLOOKUP(A277,[1]eco_bus_institutions!B:E,4,0),"")</f>
        <v>1.8599972559514519</v>
      </c>
      <c r="E277" s="73">
        <f t="shared" si="20"/>
        <v>315</v>
      </c>
      <c r="F277" s="40">
        <f>IFERROR(VLOOKUP(A277,[1]eco_institutions!B:D,2,0),"")</f>
        <v>26</v>
      </c>
      <c r="G277" s="40">
        <f>IFERROR(VLOOKUP(A277,[1]eco_institutions!B:E,4,0),"")</f>
        <v>1.305212015669786</v>
      </c>
      <c r="H277" s="14">
        <f t="shared" si="21"/>
        <v>430</v>
      </c>
      <c r="I277" s="46">
        <f>IFERROR(VLOOKUP(A277,[1]fin_institutions!B:D,2,0),"")</f>
        <v>45</v>
      </c>
      <c r="J277" s="41">
        <f>IFERROR(VLOOKUP(A277,[1]fin_institutions!B:E,4,0),"")</f>
        <v>1.971467065022517</v>
      </c>
      <c r="K277" s="41">
        <f t="shared" si="22"/>
        <v>158</v>
      </c>
      <c r="L277" s="56">
        <f>IFERROR(VLOOKUP(A277,[1]bus_institutions!B:D,2,0),"")</f>
        <v>45</v>
      </c>
      <c r="M277" s="42">
        <f>IFERROR(VLOOKUP(A277,[1]bus_institutions!B:E,4,0),"")</f>
        <v>2.119443703095599</v>
      </c>
      <c r="N277" s="23">
        <f t="shared" si="23"/>
        <v>289</v>
      </c>
      <c r="O277" s="61">
        <f>IFERROR(VLOOKUP(A277,[1]man_institutions!B:E,2,0),"")</f>
        <v>83</v>
      </c>
      <c r="P277" s="62">
        <f>IFERROR(VLOOKUP(A277,[1]man_institutions!B:E,4,0),"")</f>
        <v>2.0742321089513012</v>
      </c>
      <c r="Q277" s="63">
        <f t="shared" si="24"/>
        <v>386</v>
      </c>
    </row>
    <row r="278" spans="1:17" x14ac:dyDescent="0.25">
      <c r="A278" s="6" t="s">
        <v>840</v>
      </c>
      <c r="B278" s="37" t="s">
        <v>1224</v>
      </c>
      <c r="C278" s="72">
        <f>IFERROR(VLOOKUP(A278,[1]eco_bus_institutions!B:E,2,0),"")</f>
        <v>86</v>
      </c>
      <c r="D278" s="72">
        <f>IFERROR(VLOOKUP(A278,[1]eco_bus_institutions!B:E,4,0),"")</f>
        <v>2.010136061950254</v>
      </c>
      <c r="E278" s="73">
        <f t="shared" si="20"/>
        <v>258</v>
      </c>
      <c r="F278" s="40">
        <f>IFERROR(VLOOKUP(A278,[1]eco_institutions!B:D,2,0),"")</f>
        <v>26</v>
      </c>
      <c r="G278" s="40">
        <f>IFERROR(VLOOKUP(A278,[1]eco_institutions!B:E,4,0),"")</f>
        <v>1.653978221243066</v>
      </c>
      <c r="H278" s="14">
        <f t="shared" si="21"/>
        <v>238</v>
      </c>
      <c r="I278" s="46">
        <f>IFERROR(VLOOKUP(A278,[1]fin_institutions!B:D,2,0),"")</f>
        <v>26</v>
      </c>
      <c r="J278" s="41">
        <f>IFERROR(VLOOKUP(A278,[1]fin_institutions!B:E,4,0),"")</f>
        <v>2.3143553844705549</v>
      </c>
      <c r="K278" s="41">
        <f t="shared" si="22"/>
        <v>117</v>
      </c>
      <c r="L278" s="56">
        <f>IFERROR(VLOOKUP(A278,[1]bus_institutions!B:D,2,0),"")</f>
        <v>36</v>
      </c>
      <c r="M278" s="42">
        <f>IFERROR(VLOOKUP(A278,[1]bus_institutions!B:E,4,0),"")</f>
        <v>2.0176480826985208</v>
      </c>
      <c r="N278" s="23">
        <f t="shared" si="23"/>
        <v>314</v>
      </c>
      <c r="O278" s="61">
        <f>IFERROR(VLOOKUP(A278,[1]man_institutions!B:E,2,0),"")</f>
        <v>38</v>
      </c>
      <c r="P278" s="62">
        <f>IFERROR(VLOOKUP(A278,[1]man_institutions!B:E,4,0),"")</f>
        <v>2.1761193825149729</v>
      </c>
      <c r="Q278" s="63">
        <f t="shared" si="24"/>
        <v>357</v>
      </c>
    </row>
    <row r="279" spans="1:17" x14ac:dyDescent="0.25">
      <c r="A279" s="6" t="s">
        <v>978</v>
      </c>
      <c r="B279" s="37" t="s">
        <v>1230</v>
      </c>
      <c r="C279" s="72">
        <f>IFERROR(VLOOKUP(A279,[1]eco_bus_institutions!B:E,2,0),"")</f>
        <v>89</v>
      </c>
      <c r="D279" s="72">
        <f>IFERROR(VLOOKUP(A279,[1]eco_bus_institutions!B:E,4,0),"")</f>
        <v>1.6996792436857691</v>
      </c>
      <c r="E279" s="73">
        <f t="shared" si="20"/>
        <v>382</v>
      </c>
      <c r="F279" s="40">
        <f>IFERROR(VLOOKUP(A279,[1]eco_institutions!B:D,2,0),"")</f>
        <v>44</v>
      </c>
      <c r="G279" s="40">
        <f>IFERROR(VLOOKUP(A279,[1]eco_institutions!B:E,4,0),"")</f>
        <v>1.4221055990009059</v>
      </c>
      <c r="H279" s="14">
        <f t="shared" si="21"/>
        <v>343</v>
      </c>
      <c r="I279" s="46">
        <f>IFERROR(VLOOKUP(A279,[1]fin_institutions!B:D,2,0),"")</f>
        <v>22</v>
      </c>
      <c r="J279" s="41">
        <f>IFERROR(VLOOKUP(A279,[1]fin_institutions!B:E,4,0),"")</f>
        <v>1.3703302459782849</v>
      </c>
      <c r="K279" s="41">
        <f t="shared" si="22"/>
        <v>349</v>
      </c>
      <c r="L279" s="56">
        <f>IFERROR(VLOOKUP(A279,[1]bus_institutions!B:D,2,0),"")</f>
        <v>21</v>
      </c>
      <c r="M279" s="42">
        <f>IFERROR(VLOOKUP(A279,[1]bus_institutions!B:E,4,0),"")</f>
        <v>1.9645472304729339</v>
      </c>
      <c r="N279" s="23">
        <f t="shared" si="23"/>
        <v>331</v>
      </c>
      <c r="O279" s="61">
        <f>IFERROR(VLOOKUP(A279,[1]man_institutions!B:E,2,0),"")</f>
        <v>27</v>
      </c>
      <c r="P279" s="62">
        <f>IFERROR(VLOOKUP(A279,[1]man_institutions!B:E,4,0),"")</f>
        <v>2.317731173929487</v>
      </c>
      <c r="Q279" s="63">
        <f t="shared" si="24"/>
        <v>320</v>
      </c>
    </row>
    <row r="280" spans="1:17" x14ac:dyDescent="0.25">
      <c r="A280" s="6" t="s">
        <v>859</v>
      </c>
      <c r="B280" s="37" t="s">
        <v>1217</v>
      </c>
      <c r="C280" s="72">
        <f>IFERROR(VLOOKUP(A280,[1]eco_bus_institutions!B:E,2,0),"")</f>
        <v>49</v>
      </c>
      <c r="D280" s="72">
        <f>IFERROR(VLOOKUP(A280,[1]eco_bus_institutions!B:E,4,0),"")</f>
        <v>1.9690974184920109</v>
      </c>
      <c r="E280" s="73">
        <f t="shared" si="20"/>
        <v>277</v>
      </c>
      <c r="F280" s="40">
        <f>IFERROR(VLOOKUP(A280,[1]eco_institutions!B:D,2,0),"")</f>
        <v>12</v>
      </c>
      <c r="G280" s="40">
        <f>IFERROR(VLOOKUP(A280,[1]eco_institutions!B:E,4,0),"")</f>
        <v>1.6541834783703839</v>
      </c>
      <c r="H280" s="14">
        <f t="shared" si="21"/>
        <v>237</v>
      </c>
      <c r="I280" s="46">
        <f>IFERROR(VLOOKUP(A280,[1]fin_institutions!B:D,2,0),"")</f>
        <v>21</v>
      </c>
      <c r="J280" s="41">
        <f>IFERROR(VLOOKUP(A280,[1]fin_institutions!B:E,4,0),"")</f>
        <v>1.7334928513732151</v>
      </c>
      <c r="K280" s="41">
        <f t="shared" si="22"/>
        <v>210</v>
      </c>
      <c r="L280" s="56">
        <f>IFERROR(VLOOKUP(A280,[1]bus_institutions!B:D,2,0),"")</f>
        <v>15</v>
      </c>
      <c r="M280" s="42">
        <f>IFERROR(VLOOKUP(A280,[1]bus_institutions!B:E,4,0),"")</f>
        <v>2.097518940231363</v>
      </c>
      <c r="N280" s="23">
        <f t="shared" si="23"/>
        <v>296</v>
      </c>
      <c r="O280" s="61">
        <f>IFERROR(VLOOKUP(A280,[1]man_institutions!B:E,2,0),"")</f>
        <v>15</v>
      </c>
      <c r="P280" s="62">
        <f>IFERROR(VLOOKUP(A280,[1]man_institutions!B:E,4,0),"")</f>
        <v>3.023874923176249</v>
      </c>
      <c r="Q280" s="63">
        <f t="shared" si="24"/>
        <v>189</v>
      </c>
    </row>
    <row r="281" spans="1:17" x14ac:dyDescent="0.25">
      <c r="A281" s="6" t="s">
        <v>855</v>
      </c>
      <c r="B281" s="37" t="s">
        <v>1221</v>
      </c>
      <c r="C281" s="72">
        <f>IFERROR(VLOOKUP(A281,[1]eco_bus_institutions!B:E,2,0),"")</f>
        <v>61</v>
      </c>
      <c r="D281" s="72">
        <f>IFERROR(VLOOKUP(A281,[1]eco_bus_institutions!B:E,4,0),"")</f>
        <v>1.8649228940589531</v>
      </c>
      <c r="E281" s="73">
        <f t="shared" si="20"/>
        <v>313</v>
      </c>
      <c r="F281" s="40">
        <f>IFERROR(VLOOKUP(A281,[1]eco_institutions!B:D,2,0),"")</f>
        <v>26</v>
      </c>
      <c r="G281" s="40">
        <f>IFERROR(VLOOKUP(A281,[1]eco_institutions!B:E,4,0),"")</f>
        <v>1.3621474505000859</v>
      </c>
      <c r="H281" s="14">
        <f t="shared" si="21"/>
        <v>391</v>
      </c>
      <c r="I281" s="46" t="str">
        <f>IFERROR(VLOOKUP(A281,[1]fin_institutions!B:D,2,0),"")</f>
        <v/>
      </c>
      <c r="J281" s="41" t="str">
        <f>IFERROR(VLOOKUP(A281,[1]fin_institutions!B:E,4,0),"")</f>
        <v/>
      </c>
      <c r="K281" s="41" t="str">
        <f t="shared" si="22"/>
        <v/>
      </c>
      <c r="L281" s="56">
        <f>IFERROR(VLOOKUP(A281,[1]bus_institutions!B:D,2,0),"")</f>
        <v>17</v>
      </c>
      <c r="M281" s="42">
        <f>IFERROR(VLOOKUP(A281,[1]bus_institutions!B:E,4,0),"")</f>
        <v>2.7043432378555559</v>
      </c>
      <c r="N281" s="23">
        <f t="shared" si="23"/>
        <v>151</v>
      </c>
      <c r="O281" s="61">
        <f>IFERROR(VLOOKUP(A281,[1]man_institutions!B:E,2,0),"")</f>
        <v>26</v>
      </c>
      <c r="P281" s="62">
        <f>IFERROR(VLOOKUP(A281,[1]man_institutions!B:E,4,0),"")</f>
        <v>2.832049584879655</v>
      </c>
      <c r="Q281" s="63">
        <f t="shared" si="24"/>
        <v>214</v>
      </c>
    </row>
    <row r="282" spans="1:17" x14ac:dyDescent="0.25">
      <c r="A282" s="6" t="s">
        <v>858</v>
      </c>
      <c r="B282" s="37" t="s">
        <v>1271</v>
      </c>
      <c r="C282" s="72">
        <f>IFERROR(VLOOKUP(A282,[1]eco_bus_institutions!B:E,2,0),"")</f>
        <v>89</v>
      </c>
      <c r="D282" s="72">
        <f>IFERROR(VLOOKUP(A282,[1]eco_bus_institutions!B:E,4,0),"")</f>
        <v>2.052004688900857</v>
      </c>
      <c r="E282" s="73">
        <f t="shared" si="20"/>
        <v>249</v>
      </c>
      <c r="F282" s="40">
        <f>IFERROR(VLOOKUP(A282,[1]eco_institutions!B:D,2,0),"")</f>
        <v>48</v>
      </c>
      <c r="G282" s="40">
        <f>IFERROR(VLOOKUP(A282,[1]eco_institutions!B:E,4,0),"")</f>
        <v>1.391510345973384</v>
      </c>
      <c r="H282" s="14">
        <f t="shared" si="21"/>
        <v>373</v>
      </c>
      <c r="I282" s="46">
        <f>IFERROR(VLOOKUP(A282,[1]fin_institutions!B:D,2,0),"")</f>
        <v>13</v>
      </c>
      <c r="J282" s="41">
        <f>IFERROR(VLOOKUP(A282,[1]fin_institutions!B:E,4,0),"")</f>
        <v>1.3325626456209181</v>
      </c>
      <c r="K282" s="41">
        <f t="shared" si="22"/>
        <v>375</v>
      </c>
      <c r="L282" s="56">
        <f>IFERROR(VLOOKUP(A282,[1]bus_institutions!B:D,2,0),"")</f>
        <v>23</v>
      </c>
      <c r="M282" s="42">
        <f>IFERROR(VLOOKUP(A282,[1]bus_institutions!B:E,4,0),"")</f>
        <v>3.3447773362557291</v>
      </c>
      <c r="N282" s="23">
        <f t="shared" si="23"/>
        <v>80</v>
      </c>
      <c r="O282" s="61">
        <f>IFERROR(VLOOKUP(A282,[1]man_institutions!B:E,2,0),"")</f>
        <v>17</v>
      </c>
      <c r="P282" s="62">
        <f>IFERROR(VLOOKUP(A282,[1]man_institutions!B:E,4,0),"")</f>
        <v>4.1980435907697196</v>
      </c>
      <c r="Q282" s="63">
        <f t="shared" si="24"/>
        <v>66</v>
      </c>
    </row>
    <row r="283" spans="1:17" x14ac:dyDescent="0.25">
      <c r="A283" s="6" t="s">
        <v>930</v>
      </c>
      <c r="B283" s="37" t="s">
        <v>1217</v>
      </c>
      <c r="C283" s="72">
        <f>IFERROR(VLOOKUP(A283,[1]eco_bus_institutions!B:E,2,0),"")</f>
        <v>96</v>
      </c>
      <c r="D283" s="72">
        <f>IFERROR(VLOOKUP(A283,[1]eco_bus_institutions!B:E,4,0),"")</f>
        <v>1.997088711533932</v>
      </c>
      <c r="E283" s="73">
        <f t="shared" si="20"/>
        <v>266</v>
      </c>
      <c r="F283" s="40">
        <f>IFERROR(VLOOKUP(A283,[1]eco_institutions!B:D,2,0),"")</f>
        <v>47</v>
      </c>
      <c r="G283" s="40">
        <f>IFERROR(VLOOKUP(A283,[1]eco_institutions!B:E,4,0),"")</f>
        <v>1.838207291399671</v>
      </c>
      <c r="H283" s="14">
        <f t="shared" si="21"/>
        <v>180</v>
      </c>
      <c r="I283" s="46">
        <f>IFERROR(VLOOKUP(A283,[1]fin_institutions!B:D,2,0),"")</f>
        <v>20</v>
      </c>
      <c r="J283" s="41">
        <f>IFERROR(VLOOKUP(A283,[1]fin_institutions!B:E,4,0),"")</f>
        <v>2.4641481673583279</v>
      </c>
      <c r="K283" s="41">
        <f t="shared" si="22"/>
        <v>105</v>
      </c>
      <c r="L283" s="56">
        <f>IFERROR(VLOOKUP(A283,[1]bus_institutions!B:D,2,0),"")</f>
        <v>23</v>
      </c>
      <c r="M283" s="42">
        <f>IFERROR(VLOOKUP(A283,[1]bus_institutions!B:E,4,0),"")</f>
        <v>2.096206316382542</v>
      </c>
      <c r="N283" s="23">
        <f t="shared" si="23"/>
        <v>297</v>
      </c>
      <c r="O283" s="61">
        <f>IFERROR(VLOOKUP(A283,[1]man_institutions!B:E,2,0),"")</f>
        <v>36</v>
      </c>
      <c r="P283" s="62">
        <f>IFERROR(VLOOKUP(A283,[1]man_institutions!B:E,4,0),"")</f>
        <v>2.1649017491799372</v>
      </c>
      <c r="Q283" s="63">
        <f t="shared" si="24"/>
        <v>362</v>
      </c>
    </row>
    <row r="284" spans="1:17" x14ac:dyDescent="0.25">
      <c r="A284" s="6" t="s">
        <v>915</v>
      </c>
      <c r="B284" s="37" t="s">
        <v>1236</v>
      </c>
      <c r="C284" s="72">
        <f>IFERROR(VLOOKUP(A284,[1]eco_bus_institutions!B:E,2,0),"")</f>
        <v>84</v>
      </c>
      <c r="D284" s="72">
        <f>IFERROR(VLOOKUP(A284,[1]eco_bus_institutions!B:E,4,0),"")</f>
        <v>1.7116103820970769</v>
      </c>
      <c r="E284" s="73">
        <f t="shared" si="20"/>
        <v>378</v>
      </c>
      <c r="F284" s="40">
        <f>IFERROR(VLOOKUP(A284,[1]eco_institutions!B:D,2,0),"")</f>
        <v>22</v>
      </c>
      <c r="G284" s="40">
        <f>IFERROR(VLOOKUP(A284,[1]eco_institutions!B:E,4,0),"")</f>
        <v>1.2777764820317219</v>
      </c>
      <c r="H284" s="14">
        <f t="shared" si="21"/>
        <v>454</v>
      </c>
      <c r="I284" s="46">
        <f>IFERROR(VLOOKUP(A284,[1]fin_institutions!B:D,2,0),"")</f>
        <v>32</v>
      </c>
      <c r="J284" s="41">
        <f>IFERROR(VLOOKUP(A284,[1]fin_institutions!B:E,4,0),"")</f>
        <v>1.4293629871571101</v>
      </c>
      <c r="K284" s="41">
        <f t="shared" si="22"/>
        <v>322</v>
      </c>
      <c r="L284" s="56">
        <f>IFERROR(VLOOKUP(A284,[1]bus_institutions!B:D,2,0),"")</f>
        <v>24</v>
      </c>
      <c r="M284" s="42">
        <f>IFERROR(VLOOKUP(A284,[1]bus_institutions!B:E,4,0),"")</f>
        <v>1.9616861392498941</v>
      </c>
      <c r="N284" s="23">
        <f t="shared" si="23"/>
        <v>332</v>
      </c>
      <c r="O284" s="61">
        <f>IFERROR(VLOOKUP(A284,[1]man_institutions!B:E,2,0),"")</f>
        <v>21</v>
      </c>
      <c r="P284" s="62">
        <f>IFERROR(VLOOKUP(A284,[1]man_institutions!B:E,4,0),"")</f>
        <v>2.6254742522893331</v>
      </c>
      <c r="Q284" s="63">
        <f t="shared" si="24"/>
        <v>247</v>
      </c>
    </row>
    <row r="285" spans="1:17" x14ac:dyDescent="0.25">
      <c r="A285" s="6" t="s">
        <v>881</v>
      </c>
      <c r="B285" s="37" t="s">
        <v>1217</v>
      </c>
      <c r="C285" s="72">
        <f>IFERROR(VLOOKUP(A285,[1]eco_bus_institutions!B:E,2,0),"")</f>
        <v>75</v>
      </c>
      <c r="D285" s="72">
        <f>IFERROR(VLOOKUP(A285,[1]eco_bus_institutions!B:E,4,0),"")</f>
        <v>2.0342691921724079</v>
      </c>
      <c r="E285" s="73">
        <f t="shared" si="20"/>
        <v>252</v>
      </c>
      <c r="F285" s="40">
        <f>IFERROR(VLOOKUP(A285,[1]eco_institutions!B:D,2,0),"")</f>
        <v>43</v>
      </c>
      <c r="G285" s="40">
        <f>IFERROR(VLOOKUP(A285,[1]eco_institutions!B:E,4,0),"")</f>
        <v>1.5743231185208719</v>
      </c>
      <c r="H285" s="14">
        <f t="shared" si="21"/>
        <v>268</v>
      </c>
      <c r="I285" s="46">
        <f>IFERROR(VLOOKUP(A285,[1]fin_institutions!B:D,2,0),"")</f>
        <v>14</v>
      </c>
      <c r="J285" s="41">
        <f>IFERROR(VLOOKUP(A285,[1]fin_institutions!B:E,4,0),"")</f>
        <v>1.5285486857060959</v>
      </c>
      <c r="K285" s="41">
        <f t="shared" si="22"/>
        <v>272</v>
      </c>
      <c r="L285" s="56">
        <f>IFERROR(VLOOKUP(A285,[1]bus_institutions!B:D,2,0),"")</f>
        <v>22</v>
      </c>
      <c r="M285" s="42">
        <f>IFERROR(VLOOKUP(A285,[1]bus_institutions!B:E,4,0),"")</f>
        <v>2.7102179055262079</v>
      </c>
      <c r="N285" s="23">
        <f t="shared" si="23"/>
        <v>150</v>
      </c>
      <c r="O285" s="61">
        <f>IFERROR(VLOOKUP(A285,[1]man_institutions!B:E,2,0),"")</f>
        <v>22</v>
      </c>
      <c r="P285" s="62">
        <f>IFERROR(VLOOKUP(A285,[1]man_institutions!B:E,4,0),"")</f>
        <v>2.4323968494355879</v>
      </c>
      <c r="Q285" s="63">
        <f t="shared" si="24"/>
        <v>294</v>
      </c>
    </row>
    <row r="286" spans="1:17" x14ac:dyDescent="0.25">
      <c r="A286" s="6" t="s">
        <v>794</v>
      </c>
      <c r="B286" s="37" t="s">
        <v>1216</v>
      </c>
      <c r="C286" s="72">
        <f>IFERROR(VLOOKUP(A286,[1]eco_bus_institutions!B:E,2,0),"")</f>
        <v>60</v>
      </c>
      <c r="D286" s="72">
        <f>IFERROR(VLOOKUP(A286,[1]eco_bus_institutions!B:E,4,0),"")</f>
        <v>2.2369036670691349</v>
      </c>
      <c r="E286" s="73">
        <f t="shared" si="20"/>
        <v>189</v>
      </c>
      <c r="F286" s="40">
        <f>IFERROR(VLOOKUP(A286,[1]eco_institutions!B:D,2,0),"")</f>
        <v>16</v>
      </c>
      <c r="G286" s="40">
        <f>IFERROR(VLOOKUP(A286,[1]eco_institutions!B:E,4,0),"")</f>
        <v>1.69024266285997</v>
      </c>
      <c r="H286" s="14">
        <f t="shared" si="21"/>
        <v>225</v>
      </c>
      <c r="I286" s="46">
        <f>IFERROR(VLOOKUP(A286,[1]fin_institutions!B:D,2,0),"")</f>
        <v>8</v>
      </c>
      <c r="J286" s="41">
        <f>IFERROR(VLOOKUP(A286,[1]fin_institutions!B:E,4,0),"")</f>
        <v>1.58601594243888</v>
      </c>
      <c r="K286" s="41">
        <f t="shared" si="22"/>
        <v>252</v>
      </c>
      <c r="L286" s="56">
        <f>IFERROR(VLOOKUP(A286,[1]bus_institutions!B:D,2,0),"")</f>
        <v>24</v>
      </c>
      <c r="M286" s="42">
        <f>IFERROR(VLOOKUP(A286,[1]bus_institutions!B:E,4,0),"")</f>
        <v>2.3956433002321931</v>
      </c>
      <c r="N286" s="23">
        <f t="shared" si="23"/>
        <v>218</v>
      </c>
      <c r="O286" s="61">
        <f>IFERROR(VLOOKUP(A286,[1]man_institutions!B:E,2,0),"")</f>
        <v>19</v>
      </c>
      <c r="P286" s="62">
        <f>IFERROR(VLOOKUP(A286,[1]man_institutions!B:E,4,0),"")</f>
        <v>3.0761894815562671</v>
      </c>
      <c r="Q286" s="63">
        <f t="shared" si="24"/>
        <v>181</v>
      </c>
    </row>
    <row r="287" spans="1:17" x14ac:dyDescent="0.25">
      <c r="A287" s="6" t="s">
        <v>938</v>
      </c>
      <c r="B287" s="37" t="s">
        <v>1217</v>
      </c>
      <c r="C287" s="72">
        <f>IFERROR(VLOOKUP(A287,[1]eco_bus_institutions!B:E,2,0),"")</f>
        <v>105</v>
      </c>
      <c r="D287" s="72">
        <f>IFERROR(VLOOKUP(A287,[1]eco_bus_institutions!B:E,4,0),"")</f>
        <v>2.2202546657518418</v>
      </c>
      <c r="E287" s="73">
        <f t="shared" si="20"/>
        <v>197</v>
      </c>
      <c r="F287" s="40">
        <f>IFERROR(VLOOKUP(A287,[1]eco_institutions!B:D,2,0),"")</f>
        <v>54</v>
      </c>
      <c r="G287" s="40">
        <f>IFERROR(VLOOKUP(A287,[1]eco_institutions!B:E,4,0),"")</f>
        <v>2.0156551189904728</v>
      </c>
      <c r="H287" s="14">
        <f t="shared" si="21"/>
        <v>146</v>
      </c>
      <c r="I287" s="46">
        <f>IFERROR(VLOOKUP(A287,[1]fin_institutions!B:D,2,0),"")</f>
        <v>19</v>
      </c>
      <c r="J287" s="41">
        <f>IFERROR(VLOOKUP(A287,[1]fin_institutions!B:E,4,0),"")</f>
        <v>3.7298361393618622</v>
      </c>
      <c r="K287" s="41">
        <f t="shared" si="22"/>
        <v>42</v>
      </c>
      <c r="L287" s="56">
        <f>IFERROR(VLOOKUP(A287,[1]bus_institutions!B:D,2,0),"")</f>
        <v>20</v>
      </c>
      <c r="M287" s="42">
        <f>IFERROR(VLOOKUP(A287,[1]bus_institutions!B:E,4,0),"")</f>
        <v>2.0597561044901389</v>
      </c>
      <c r="N287" s="23">
        <f t="shared" si="23"/>
        <v>309</v>
      </c>
      <c r="O287" s="61">
        <f>IFERROR(VLOOKUP(A287,[1]man_institutions!B:E,2,0),"")</f>
        <v>24</v>
      </c>
      <c r="P287" s="62">
        <f>IFERROR(VLOOKUP(A287,[1]man_institutions!B:E,4,0),"")</f>
        <v>2.2047132161720469</v>
      </c>
      <c r="Q287" s="63">
        <f t="shared" si="24"/>
        <v>351</v>
      </c>
    </row>
    <row r="288" spans="1:17" x14ac:dyDescent="0.25">
      <c r="A288" s="6" t="s">
        <v>924</v>
      </c>
      <c r="B288" s="37" t="s">
        <v>1222</v>
      </c>
      <c r="C288" s="72">
        <f>IFERROR(VLOOKUP(A288,[1]eco_bus_institutions!B:E,2,0),"")</f>
        <v>153</v>
      </c>
      <c r="D288" s="72">
        <f>IFERROR(VLOOKUP(A288,[1]eco_bus_institutions!B:E,4,0),"")</f>
        <v>1.9147422713200379</v>
      </c>
      <c r="E288" s="73">
        <f t="shared" si="20"/>
        <v>299</v>
      </c>
      <c r="F288" s="40">
        <f>IFERROR(VLOOKUP(A288,[1]eco_institutions!B:D,2,0),"")</f>
        <v>86</v>
      </c>
      <c r="G288" s="40">
        <f>IFERROR(VLOOKUP(A288,[1]eco_institutions!B:E,4,0),"")</f>
        <v>1.68736618506626</v>
      </c>
      <c r="H288" s="14">
        <f t="shared" si="21"/>
        <v>228</v>
      </c>
      <c r="I288" s="46">
        <f>IFERROR(VLOOKUP(A288,[1]fin_institutions!B:D,2,0),"")</f>
        <v>18</v>
      </c>
      <c r="J288" s="41">
        <f>IFERROR(VLOOKUP(A288,[1]fin_institutions!B:E,4,0),"")</f>
        <v>1.251270487977505</v>
      </c>
      <c r="K288" s="41">
        <f t="shared" si="22"/>
        <v>427</v>
      </c>
      <c r="L288" s="56">
        <f>IFERROR(VLOOKUP(A288,[1]bus_institutions!B:D,2,0),"")</f>
        <v>44</v>
      </c>
      <c r="M288" s="42">
        <f>IFERROR(VLOOKUP(A288,[1]bus_institutions!B:E,4,0),"")</f>
        <v>2.2820368097414052</v>
      </c>
      <c r="N288" s="23">
        <f t="shared" si="23"/>
        <v>246</v>
      </c>
      <c r="O288" s="61">
        <f>IFERROR(VLOOKUP(A288,[1]man_institutions!B:E,2,0),"")</f>
        <v>45</v>
      </c>
      <c r="P288" s="62">
        <f>IFERROR(VLOOKUP(A288,[1]man_institutions!B:E,4,0),"")</f>
        <v>2.061008475970564</v>
      </c>
      <c r="Q288" s="63">
        <f t="shared" si="24"/>
        <v>390</v>
      </c>
    </row>
    <row r="289" spans="1:17" x14ac:dyDescent="0.25">
      <c r="A289" s="6" t="s">
        <v>913</v>
      </c>
      <c r="B289" s="37" t="s">
        <v>1217</v>
      </c>
      <c r="C289" s="72">
        <f>IFERROR(VLOOKUP(A289,[1]eco_bus_institutions!B:E,2,0),"")</f>
        <v>95</v>
      </c>
      <c r="D289" s="72">
        <f>IFERROR(VLOOKUP(A289,[1]eco_bus_institutions!B:E,4,0),"")</f>
        <v>1.9464074310036319</v>
      </c>
      <c r="E289" s="73">
        <f t="shared" si="20"/>
        <v>287</v>
      </c>
      <c r="F289" s="40">
        <f>IFERROR(VLOOKUP(A289,[1]eco_institutions!B:D,2,0),"")</f>
        <v>40</v>
      </c>
      <c r="G289" s="40">
        <f>IFERROR(VLOOKUP(A289,[1]eco_institutions!B:E,4,0),"")</f>
        <v>1.5025909932714201</v>
      </c>
      <c r="H289" s="14">
        <f t="shared" si="21"/>
        <v>303</v>
      </c>
      <c r="I289" s="46">
        <f>IFERROR(VLOOKUP(A289,[1]fin_institutions!B:D,2,0),"")</f>
        <v>14</v>
      </c>
      <c r="J289" s="41">
        <f>IFERROR(VLOOKUP(A289,[1]fin_institutions!B:E,4,0),"")</f>
        <v>1.9430699217843781</v>
      </c>
      <c r="K289" s="41">
        <f t="shared" si="22"/>
        <v>173</v>
      </c>
      <c r="L289" s="56">
        <f>IFERROR(VLOOKUP(A289,[1]bus_institutions!B:D,2,0),"")</f>
        <v>31</v>
      </c>
      <c r="M289" s="42">
        <f>IFERROR(VLOOKUP(A289,[1]bus_institutions!B:E,4,0),"")</f>
        <v>2.365972179503014</v>
      </c>
      <c r="N289" s="23">
        <f t="shared" si="23"/>
        <v>229</v>
      </c>
      <c r="O289" s="61">
        <f>IFERROR(VLOOKUP(A289,[1]man_institutions!B:E,2,0),"")</f>
        <v>23</v>
      </c>
      <c r="P289" s="62">
        <f>IFERROR(VLOOKUP(A289,[1]man_institutions!B:E,4,0),"")</f>
        <v>2.718072502106748</v>
      </c>
      <c r="Q289" s="63">
        <f t="shared" si="24"/>
        <v>233</v>
      </c>
    </row>
    <row r="290" spans="1:17" x14ac:dyDescent="0.25">
      <c r="A290" s="6" t="s">
        <v>850</v>
      </c>
      <c r="B290" s="37" t="s">
        <v>1234</v>
      </c>
      <c r="C290" s="72">
        <f>IFERROR(VLOOKUP(A290,[1]eco_bus_institutions!B:E,2,0),"")</f>
        <v>138</v>
      </c>
      <c r="D290" s="72">
        <f>IFERROR(VLOOKUP(A290,[1]eco_bus_institutions!B:E,4,0),"")</f>
        <v>2.1612205404000879</v>
      </c>
      <c r="E290" s="73">
        <f t="shared" si="20"/>
        <v>211</v>
      </c>
      <c r="F290" s="40">
        <f>IFERROR(VLOOKUP(A290,[1]eco_institutions!B:D,2,0),"")</f>
        <v>55</v>
      </c>
      <c r="G290" s="40">
        <f>IFERROR(VLOOKUP(A290,[1]eco_institutions!B:E,4,0),"")</f>
        <v>1.975874259195604</v>
      </c>
      <c r="H290" s="14">
        <f t="shared" si="21"/>
        <v>155</v>
      </c>
      <c r="I290" s="46">
        <f>IFERROR(VLOOKUP(A290,[1]fin_institutions!B:D,2,0),"")</f>
        <v>40</v>
      </c>
      <c r="J290" s="41">
        <f>IFERROR(VLOOKUP(A290,[1]fin_institutions!B:E,4,0),"")</f>
        <v>1.3363164006176149</v>
      </c>
      <c r="K290" s="41">
        <f t="shared" si="22"/>
        <v>371</v>
      </c>
      <c r="L290" s="56">
        <f>IFERROR(VLOOKUP(A290,[1]bus_institutions!B:D,2,0),"")</f>
        <v>36</v>
      </c>
      <c r="M290" s="42">
        <f>IFERROR(VLOOKUP(A290,[1]bus_institutions!B:E,4,0),"")</f>
        <v>2.4365226072335968</v>
      </c>
      <c r="N290" s="23">
        <f t="shared" si="23"/>
        <v>209</v>
      </c>
      <c r="O290" s="61">
        <f>IFERROR(VLOOKUP(A290,[1]man_institutions!B:E,2,0),"")</f>
        <v>41</v>
      </c>
      <c r="P290" s="62">
        <f>IFERROR(VLOOKUP(A290,[1]man_institutions!B:E,4,0),"")</f>
        <v>3.403090554173247</v>
      </c>
      <c r="Q290" s="63">
        <f t="shared" si="24"/>
        <v>139</v>
      </c>
    </row>
    <row r="291" spans="1:17" x14ac:dyDescent="0.25">
      <c r="A291" s="6" t="s">
        <v>963</v>
      </c>
      <c r="B291" s="37" t="s">
        <v>1271</v>
      </c>
      <c r="C291" s="72">
        <f>IFERROR(VLOOKUP(A291,[1]eco_bus_institutions!B:E,2,0),"")</f>
        <v>240</v>
      </c>
      <c r="D291" s="72">
        <f>IFERROR(VLOOKUP(A291,[1]eco_bus_institutions!B:E,4,0),"")</f>
        <v>2.2688212723287582</v>
      </c>
      <c r="E291" s="73">
        <f t="shared" si="20"/>
        <v>177</v>
      </c>
      <c r="F291" s="40">
        <f>IFERROR(VLOOKUP(A291,[1]eco_institutions!B:D,2,0),"")</f>
        <v>197</v>
      </c>
      <c r="G291" s="40">
        <f>IFERROR(VLOOKUP(A291,[1]eco_institutions!B:E,4,0),"")</f>
        <v>2.1767734324024919</v>
      </c>
      <c r="H291" s="14">
        <f t="shared" si="21"/>
        <v>115</v>
      </c>
      <c r="I291" s="46">
        <f>IFERROR(VLOOKUP(A291,[1]fin_institutions!B:D,2,0),"")</f>
        <v>92</v>
      </c>
      <c r="J291" s="41">
        <f>IFERROR(VLOOKUP(A291,[1]fin_institutions!B:E,4,0),"")</f>
        <v>1.734546721787622</v>
      </c>
      <c r="K291" s="41">
        <f t="shared" si="22"/>
        <v>209</v>
      </c>
      <c r="L291" s="56" t="str">
        <f>IFERROR(VLOOKUP(A291,[1]bus_institutions!B:D,2,0),"")</f>
        <v/>
      </c>
      <c r="M291" s="42" t="str">
        <f>IFERROR(VLOOKUP(A291,[1]bus_institutions!B:E,4,0),"")</f>
        <v/>
      </c>
      <c r="N291" s="23" t="str">
        <f t="shared" si="23"/>
        <v/>
      </c>
      <c r="O291" s="61" t="str">
        <f>IFERROR(VLOOKUP(A291,[1]man_institutions!B:E,2,0),"")</f>
        <v/>
      </c>
      <c r="P291" s="62" t="str">
        <f>IFERROR(VLOOKUP(A291,[1]man_institutions!B:E,4,0),"")</f>
        <v/>
      </c>
      <c r="Q291" s="63" t="str">
        <f t="shared" si="24"/>
        <v/>
      </c>
    </row>
    <row r="292" spans="1:17" x14ac:dyDescent="0.25">
      <c r="A292" s="6" t="s">
        <v>1011</v>
      </c>
      <c r="B292" s="37" t="s">
        <v>1246</v>
      </c>
      <c r="C292" s="72">
        <f>IFERROR(VLOOKUP(A292,[1]eco_bus_institutions!B:E,2,0),"")</f>
        <v>59</v>
      </c>
      <c r="D292" s="72">
        <f>IFERROR(VLOOKUP(A292,[1]eco_bus_institutions!B:E,4,0),"")</f>
        <v>2.127981860170383</v>
      </c>
      <c r="E292" s="73">
        <f t="shared" si="20"/>
        <v>220</v>
      </c>
      <c r="F292" s="40">
        <f>IFERROR(VLOOKUP(A292,[1]eco_institutions!B:D,2,0),"")</f>
        <v>48</v>
      </c>
      <c r="G292" s="40">
        <f>IFERROR(VLOOKUP(A292,[1]eco_institutions!B:E,4,0),"")</f>
        <v>2.0579246829434901</v>
      </c>
      <c r="H292" s="14">
        <f t="shared" si="21"/>
        <v>136</v>
      </c>
      <c r="I292" s="46">
        <f>IFERROR(VLOOKUP(A292,[1]fin_institutions!B:D,2,0),"")</f>
        <v>11</v>
      </c>
      <c r="J292" s="41">
        <f>IFERROR(VLOOKUP(A292,[1]fin_institutions!B:E,4,0),"")</f>
        <v>1.5027179259334409</v>
      </c>
      <c r="K292" s="41">
        <f t="shared" si="22"/>
        <v>286</v>
      </c>
      <c r="L292" s="56">
        <f>IFERROR(VLOOKUP(A292,[1]bus_institutions!B:D,2,0),"")</f>
        <v>4</v>
      </c>
      <c r="M292" s="42">
        <f>IFERROR(VLOOKUP(A292,[1]bus_institutions!B:E,4,0),"")</f>
        <v>2.337386245184077</v>
      </c>
      <c r="N292" s="23">
        <f t="shared" si="23"/>
        <v>236</v>
      </c>
      <c r="O292" s="61">
        <f>IFERROR(VLOOKUP(A292,[1]man_institutions!B:E,2,0),"")</f>
        <v>8</v>
      </c>
      <c r="P292" s="62">
        <f>IFERROR(VLOOKUP(A292,[1]man_institutions!B:E,4,0),"")</f>
        <v>2.9583107405692521</v>
      </c>
      <c r="Q292" s="63">
        <f t="shared" si="24"/>
        <v>196</v>
      </c>
    </row>
    <row r="293" spans="1:17" x14ac:dyDescent="0.25">
      <c r="A293" s="6" t="s">
        <v>877</v>
      </c>
      <c r="B293" s="37" t="s">
        <v>1234</v>
      </c>
      <c r="C293" s="72">
        <f>IFERROR(VLOOKUP(A293,[1]eco_bus_institutions!B:E,2,0),"")</f>
        <v>46</v>
      </c>
      <c r="D293" s="72">
        <f>IFERROR(VLOOKUP(A293,[1]eco_bus_institutions!B:E,4,0),"")</f>
        <v>2.1616490635098509</v>
      </c>
      <c r="E293" s="73">
        <f t="shared" si="20"/>
        <v>210</v>
      </c>
      <c r="F293" s="40">
        <f>IFERROR(VLOOKUP(A293,[1]eco_institutions!B:D,2,0),"")</f>
        <v>27</v>
      </c>
      <c r="G293" s="40">
        <f>IFERROR(VLOOKUP(A293,[1]eco_institutions!B:E,4,0),"")</f>
        <v>1.80769085809251</v>
      </c>
      <c r="H293" s="14">
        <f t="shared" si="21"/>
        <v>193</v>
      </c>
      <c r="I293" s="46">
        <f>IFERROR(VLOOKUP(A293,[1]fin_institutions!B:D,2,0),"")</f>
        <v>11</v>
      </c>
      <c r="J293" s="41">
        <f>IFERROR(VLOOKUP(A293,[1]fin_institutions!B:E,4,0),"")</f>
        <v>1.8640925289225629</v>
      </c>
      <c r="K293" s="41">
        <f t="shared" si="22"/>
        <v>183</v>
      </c>
      <c r="L293" s="56">
        <f>IFERROR(VLOOKUP(A293,[1]bus_institutions!B:D,2,0),"")</f>
        <v>7</v>
      </c>
      <c r="M293" s="42">
        <f>IFERROR(VLOOKUP(A293,[1]bus_institutions!B:E,4,0),"")</f>
        <v>2.0791015925696059</v>
      </c>
      <c r="N293" s="23">
        <f t="shared" si="23"/>
        <v>303</v>
      </c>
      <c r="O293" s="61">
        <f>IFERROR(VLOOKUP(A293,[1]man_institutions!B:E,2,0),"")</f>
        <v>13</v>
      </c>
      <c r="P293" s="62">
        <f>IFERROR(VLOOKUP(A293,[1]man_institutions!B:E,4,0),"")</f>
        <v>2.9255465379782262</v>
      </c>
      <c r="Q293" s="63">
        <f t="shared" si="24"/>
        <v>199</v>
      </c>
    </row>
    <row r="294" spans="1:17" x14ac:dyDescent="0.25">
      <c r="A294" s="6" t="s">
        <v>955</v>
      </c>
      <c r="B294" s="37" t="s">
        <v>1230</v>
      </c>
      <c r="C294" s="72">
        <f>IFERROR(VLOOKUP(A294,[1]eco_bus_institutions!B:E,2,0),"")</f>
        <v>176</v>
      </c>
      <c r="D294" s="72">
        <f>IFERROR(VLOOKUP(A294,[1]eco_bus_institutions!B:E,4,0),"")</f>
        <v>1.653389324964589</v>
      </c>
      <c r="E294" s="73">
        <f t="shared" si="20"/>
        <v>402</v>
      </c>
      <c r="F294" s="40">
        <f>IFERROR(VLOOKUP(A294,[1]eco_institutions!B:D,2,0),"")</f>
        <v>92</v>
      </c>
      <c r="G294" s="40">
        <f>IFERROR(VLOOKUP(A294,[1]eco_institutions!B:E,4,0),"")</f>
        <v>1.4210195208960079</v>
      </c>
      <c r="H294" s="14">
        <f t="shared" si="21"/>
        <v>345</v>
      </c>
      <c r="I294" s="46">
        <f>IFERROR(VLOOKUP(A294,[1]fin_institutions!B:D,2,0),"")</f>
        <v>67</v>
      </c>
      <c r="J294" s="41">
        <f>IFERROR(VLOOKUP(A294,[1]fin_institutions!B:E,4,0),"")</f>
        <v>1.5170432178262669</v>
      </c>
      <c r="K294" s="41">
        <f t="shared" si="22"/>
        <v>277</v>
      </c>
      <c r="L294" s="56">
        <f>IFERROR(VLOOKUP(A294,[1]bus_institutions!B:D,2,0),"")</f>
        <v>29</v>
      </c>
      <c r="M294" s="42">
        <f>IFERROR(VLOOKUP(A294,[1]bus_institutions!B:E,4,0),"")</f>
        <v>1.500063159375167</v>
      </c>
      <c r="N294" s="23">
        <f t="shared" si="23"/>
        <v>481</v>
      </c>
      <c r="O294" s="61">
        <f>IFERROR(VLOOKUP(A294,[1]man_institutions!B:E,2,0),"")</f>
        <v>27</v>
      </c>
      <c r="P294" s="62">
        <f>IFERROR(VLOOKUP(A294,[1]man_institutions!B:E,4,0),"")</f>
        <v>1.7136696991926039</v>
      </c>
      <c r="Q294" s="63">
        <f t="shared" si="24"/>
        <v>487</v>
      </c>
    </row>
    <row r="295" spans="1:17" x14ac:dyDescent="0.25">
      <c r="A295" s="6" t="s">
        <v>931</v>
      </c>
      <c r="B295" s="37" t="s">
        <v>1237</v>
      </c>
      <c r="C295" s="72">
        <f>IFERROR(VLOOKUP(A295,[1]eco_bus_institutions!B:E,2,0),"")</f>
        <v>74</v>
      </c>
      <c r="D295" s="72">
        <f>IFERROR(VLOOKUP(A295,[1]eco_bus_institutions!B:E,4,0),"")</f>
        <v>1.7640200738700269</v>
      </c>
      <c r="E295" s="73">
        <f t="shared" si="20"/>
        <v>354</v>
      </c>
      <c r="F295" s="40">
        <f>IFERROR(VLOOKUP(A295,[1]eco_institutions!B:D,2,0),"")</f>
        <v>14</v>
      </c>
      <c r="G295" s="40">
        <f>IFERROR(VLOOKUP(A295,[1]eco_institutions!B:E,4,0),"")</f>
        <v>1.2554103256973319</v>
      </c>
      <c r="H295" s="14">
        <f t="shared" si="21"/>
        <v>474</v>
      </c>
      <c r="I295" s="46">
        <f>IFERROR(VLOOKUP(A295,[1]fin_institutions!B:D,2,0),"")</f>
        <v>21</v>
      </c>
      <c r="J295" s="41">
        <f>IFERROR(VLOOKUP(A295,[1]fin_institutions!B:E,4,0),"")</f>
        <v>1.207089422454505</v>
      </c>
      <c r="K295" s="41">
        <f t="shared" si="22"/>
        <v>459</v>
      </c>
      <c r="L295" s="56">
        <f>IFERROR(VLOOKUP(A295,[1]bus_institutions!B:D,2,0),"")</f>
        <v>23</v>
      </c>
      <c r="M295" s="42">
        <f>IFERROR(VLOOKUP(A295,[1]bus_institutions!B:E,4,0),"")</f>
        <v>1.780193769617018</v>
      </c>
      <c r="N295" s="23">
        <f t="shared" si="23"/>
        <v>389</v>
      </c>
      <c r="O295" s="61">
        <f>IFERROR(VLOOKUP(A295,[1]man_institutions!B:E,2,0),"")</f>
        <v>31</v>
      </c>
      <c r="P295" s="62">
        <f>IFERROR(VLOOKUP(A295,[1]man_institutions!B:E,4,0),"")</f>
        <v>2.52645037113072</v>
      </c>
      <c r="Q295" s="63">
        <f t="shared" si="24"/>
        <v>269</v>
      </c>
    </row>
    <row r="296" spans="1:17" x14ac:dyDescent="0.25">
      <c r="A296" s="6" t="s">
        <v>807</v>
      </c>
      <c r="B296" s="37" t="s">
        <v>1271</v>
      </c>
      <c r="C296" s="72">
        <f>IFERROR(VLOOKUP(A296,[1]eco_bus_institutions!B:E,2,0),"")</f>
        <v>43</v>
      </c>
      <c r="D296" s="72">
        <f>IFERROR(VLOOKUP(A296,[1]eco_bus_institutions!B:E,4,0),"")</f>
        <v>1.994249748226993</v>
      </c>
      <c r="E296" s="73">
        <f t="shared" si="20"/>
        <v>269</v>
      </c>
      <c r="F296" s="40">
        <f>IFERROR(VLOOKUP(A296,[1]eco_institutions!B:D,2,0),"")</f>
        <v>17</v>
      </c>
      <c r="G296" s="40">
        <f>IFERROR(VLOOKUP(A296,[1]eco_institutions!B:E,4,0),"")</f>
        <v>1.3720622080069</v>
      </c>
      <c r="H296" s="14">
        <f t="shared" si="21"/>
        <v>384</v>
      </c>
      <c r="I296" s="46">
        <f>IFERROR(VLOOKUP(A296,[1]fin_institutions!B:D,2,0),"")</f>
        <v>6</v>
      </c>
      <c r="J296" s="41">
        <f>IFERROR(VLOOKUP(A296,[1]fin_institutions!B:E,4,0),"")</f>
        <v>1.5809413439341731</v>
      </c>
      <c r="K296" s="41">
        <f t="shared" si="22"/>
        <v>255</v>
      </c>
      <c r="L296" s="56">
        <f>IFERROR(VLOOKUP(A296,[1]bus_institutions!B:D,2,0),"")</f>
        <v>19</v>
      </c>
      <c r="M296" s="42">
        <f>IFERROR(VLOOKUP(A296,[1]bus_institutions!B:E,4,0),"")</f>
        <v>2.5186721488538661</v>
      </c>
      <c r="N296" s="23">
        <f t="shared" si="23"/>
        <v>182</v>
      </c>
      <c r="O296" s="61">
        <f>IFERROR(VLOOKUP(A296,[1]man_institutions!B:E,2,0),"")</f>
        <v>21</v>
      </c>
      <c r="P296" s="62">
        <f>IFERROR(VLOOKUP(A296,[1]man_institutions!B:E,4,0),"")</f>
        <v>3.0436058301267712</v>
      </c>
      <c r="Q296" s="63">
        <f t="shared" si="24"/>
        <v>187</v>
      </c>
    </row>
    <row r="297" spans="1:17" x14ac:dyDescent="0.25">
      <c r="A297" s="6" t="s">
        <v>990</v>
      </c>
      <c r="B297" s="37" t="s">
        <v>1252</v>
      </c>
      <c r="C297" s="72">
        <f>IFERROR(VLOOKUP(A297,[1]eco_bus_institutions!B:E,2,0),"")</f>
        <v>40</v>
      </c>
      <c r="D297" s="72">
        <f>IFERROR(VLOOKUP(A297,[1]eco_bus_institutions!B:E,4,0),"")</f>
        <v>1.490787636355311</v>
      </c>
      <c r="E297" s="73">
        <f t="shared" si="20"/>
        <v>476</v>
      </c>
      <c r="F297" s="40">
        <f>IFERROR(VLOOKUP(A297,[1]eco_institutions!B:D,2,0),"")</f>
        <v>22</v>
      </c>
      <c r="G297" s="40">
        <f>IFERROR(VLOOKUP(A297,[1]eco_institutions!B:E,4,0),"")</f>
        <v>1.045813261326993</v>
      </c>
      <c r="H297" s="14">
        <f t="shared" si="21"/>
        <v>586</v>
      </c>
      <c r="I297" s="46">
        <f>IFERROR(VLOOKUP(A297,[1]fin_institutions!B:D,2,0),"")</f>
        <v>3</v>
      </c>
      <c r="J297" s="41">
        <f>IFERROR(VLOOKUP(A297,[1]fin_institutions!B:E,4,0),"")</f>
        <v>1</v>
      </c>
      <c r="K297" s="41">
        <f t="shared" si="22"/>
        <v>564</v>
      </c>
      <c r="L297" s="56">
        <f>IFERROR(VLOOKUP(A297,[1]bus_institutions!B:D,2,0),"")</f>
        <v>17</v>
      </c>
      <c r="M297" s="42">
        <f>IFERROR(VLOOKUP(A297,[1]bus_institutions!B:E,4,0),"")</f>
        <v>2.0835482203554219</v>
      </c>
      <c r="N297" s="23">
        <f t="shared" si="23"/>
        <v>300</v>
      </c>
      <c r="O297" s="61">
        <f>IFERROR(VLOOKUP(A297,[1]man_institutions!B:E,2,0),"")</f>
        <v>18</v>
      </c>
      <c r="P297" s="62">
        <f>IFERROR(VLOOKUP(A297,[1]man_institutions!B:E,4,0),"")</f>
        <v>1.886548154252438</v>
      </c>
      <c r="Q297" s="63">
        <f t="shared" si="24"/>
        <v>432</v>
      </c>
    </row>
    <row r="298" spans="1:17" x14ac:dyDescent="0.25">
      <c r="A298" s="6" t="s">
        <v>718</v>
      </c>
      <c r="B298" s="37" t="s">
        <v>1229</v>
      </c>
      <c r="C298" s="72">
        <f>IFERROR(VLOOKUP(A298,[1]eco_bus_institutions!B:E,2,0),"")</f>
        <v>41</v>
      </c>
      <c r="D298" s="72">
        <f>IFERROR(VLOOKUP(A298,[1]eco_bus_institutions!B:E,4,0),"")</f>
        <v>2.1247372611102171</v>
      </c>
      <c r="E298" s="73">
        <f t="shared" si="20"/>
        <v>223</v>
      </c>
      <c r="F298" s="40" t="str">
        <f>IFERROR(VLOOKUP(A298,[1]eco_institutions!B:D,2,0),"")</f>
        <v/>
      </c>
      <c r="G298" s="40" t="str">
        <f>IFERROR(VLOOKUP(A298,[1]eco_institutions!B:E,4,0),"")</f>
        <v/>
      </c>
      <c r="H298" s="14" t="str">
        <f t="shared" si="21"/>
        <v/>
      </c>
      <c r="I298" s="46" t="str">
        <f>IFERROR(VLOOKUP(A298,[1]fin_institutions!B:D,2,0),"")</f>
        <v/>
      </c>
      <c r="J298" s="41" t="str">
        <f>IFERROR(VLOOKUP(A298,[1]fin_institutions!B:E,4,0),"")</f>
        <v/>
      </c>
      <c r="K298" s="41" t="str">
        <f t="shared" si="22"/>
        <v/>
      </c>
      <c r="L298" s="56">
        <f>IFERROR(VLOOKUP(A298,[1]bus_institutions!B:D,2,0),"")</f>
        <v>25</v>
      </c>
      <c r="M298" s="42">
        <f>IFERROR(VLOOKUP(A298,[1]bus_institutions!B:E,4,0),"")</f>
        <v>2.515453659313704</v>
      </c>
      <c r="N298" s="23">
        <f t="shared" si="23"/>
        <v>183</v>
      </c>
      <c r="O298" s="61">
        <f>IFERROR(VLOOKUP(A298,[1]man_institutions!B:E,2,0),"")</f>
        <v>31</v>
      </c>
      <c r="P298" s="62">
        <f>IFERROR(VLOOKUP(A298,[1]man_institutions!B:E,4,0),"")</f>
        <v>3.221939924709909</v>
      </c>
      <c r="Q298" s="63">
        <f t="shared" si="24"/>
        <v>167</v>
      </c>
    </row>
    <row r="299" spans="1:17" x14ac:dyDescent="0.25">
      <c r="A299" s="6" t="s">
        <v>879</v>
      </c>
      <c r="B299" s="37" t="s">
        <v>1217</v>
      </c>
      <c r="C299" s="72">
        <f>IFERROR(VLOOKUP(A299,[1]eco_bus_institutions!B:E,2,0),"")</f>
        <v>65</v>
      </c>
      <c r="D299" s="72">
        <f>IFERROR(VLOOKUP(A299,[1]eco_bus_institutions!B:E,4,0),"")</f>
        <v>1.9077474910394749</v>
      </c>
      <c r="E299" s="73">
        <f t="shared" si="20"/>
        <v>300</v>
      </c>
      <c r="F299" s="40">
        <f>IFERROR(VLOOKUP(A299,[1]eco_institutions!B:D,2,0),"")</f>
        <v>32</v>
      </c>
      <c r="G299" s="40">
        <f>IFERROR(VLOOKUP(A299,[1]eco_institutions!B:E,4,0),"")</f>
        <v>1.2130253660584791</v>
      </c>
      <c r="H299" s="14">
        <f t="shared" si="21"/>
        <v>504</v>
      </c>
      <c r="I299" s="46">
        <f>IFERROR(VLOOKUP(A299,[1]fin_institutions!B:D,2,0),"")</f>
        <v>21</v>
      </c>
      <c r="J299" s="41">
        <f>IFERROR(VLOOKUP(A299,[1]fin_institutions!B:E,4,0),"")</f>
        <v>1.413849409107143</v>
      </c>
      <c r="K299" s="41">
        <f t="shared" si="22"/>
        <v>329</v>
      </c>
      <c r="L299" s="56">
        <f>IFERROR(VLOOKUP(A299,[1]bus_institutions!B:D,2,0),"")</f>
        <v>17</v>
      </c>
      <c r="M299" s="42">
        <f>IFERROR(VLOOKUP(A299,[1]bus_institutions!B:E,4,0),"")</f>
        <v>3.6576143956934448</v>
      </c>
      <c r="N299" s="23">
        <f t="shared" si="23"/>
        <v>53</v>
      </c>
      <c r="O299" s="61">
        <f>IFERROR(VLOOKUP(A299,[1]man_institutions!B:E,2,0),"")</f>
        <v>16</v>
      </c>
      <c r="P299" s="62">
        <f>IFERROR(VLOOKUP(A299,[1]man_institutions!B:E,4,0),"")</f>
        <v>2.0869086387205038</v>
      </c>
      <c r="Q299" s="63">
        <f t="shared" si="24"/>
        <v>382</v>
      </c>
    </row>
    <row r="300" spans="1:17" x14ac:dyDescent="0.25">
      <c r="A300" s="6" t="s">
        <v>906</v>
      </c>
      <c r="B300" s="37" t="s">
        <v>1243</v>
      </c>
      <c r="C300" s="72">
        <f>IFERROR(VLOOKUP(A300,[1]eco_bus_institutions!B:E,2,0),"")</f>
        <v>98</v>
      </c>
      <c r="D300" s="72">
        <f>IFERROR(VLOOKUP(A300,[1]eco_bus_institutions!B:E,4,0),"")</f>
        <v>1.827826647904264</v>
      </c>
      <c r="E300" s="73">
        <f t="shared" si="20"/>
        <v>330</v>
      </c>
      <c r="F300" s="40">
        <f>IFERROR(VLOOKUP(A300,[1]eco_institutions!B:D,2,0),"")</f>
        <v>48</v>
      </c>
      <c r="G300" s="40">
        <f>IFERROR(VLOOKUP(A300,[1]eco_institutions!B:E,4,0),"")</f>
        <v>1.300519050451882</v>
      </c>
      <c r="H300" s="14">
        <f t="shared" si="21"/>
        <v>434</v>
      </c>
      <c r="I300" s="46">
        <f>IFERROR(VLOOKUP(A300,[1]fin_institutions!B:D,2,0),"")</f>
        <v>24</v>
      </c>
      <c r="J300" s="41">
        <f>IFERROR(VLOOKUP(A300,[1]fin_institutions!B:E,4,0),"")</f>
        <v>1.5023942206186081</v>
      </c>
      <c r="K300" s="41">
        <f t="shared" si="22"/>
        <v>288</v>
      </c>
      <c r="L300" s="56">
        <f>IFERROR(VLOOKUP(A300,[1]bus_institutions!B:D,2,0),"")</f>
        <v>25</v>
      </c>
      <c r="M300" s="42">
        <f>IFERROR(VLOOKUP(A300,[1]bus_institutions!B:E,4,0),"")</f>
        <v>2.9415383555995169</v>
      </c>
      <c r="N300" s="23">
        <f t="shared" si="23"/>
        <v>126</v>
      </c>
      <c r="O300" s="61">
        <f>IFERROR(VLOOKUP(A300,[1]man_institutions!B:E,2,0),"")</f>
        <v>31</v>
      </c>
      <c r="P300" s="62">
        <f>IFERROR(VLOOKUP(A300,[1]man_institutions!B:E,4,0),"")</f>
        <v>2.1318963573227689</v>
      </c>
      <c r="Q300" s="63">
        <f t="shared" si="24"/>
        <v>369</v>
      </c>
    </row>
    <row r="301" spans="1:17" x14ac:dyDescent="0.25">
      <c r="A301" s="6" t="s">
        <v>862</v>
      </c>
      <c r="B301" s="37" t="s">
        <v>1237</v>
      </c>
      <c r="C301" s="72">
        <f>IFERROR(VLOOKUP(A301,[1]eco_bus_institutions!B:E,2,0),"")</f>
        <v>227</v>
      </c>
      <c r="D301" s="72">
        <f>IFERROR(VLOOKUP(A301,[1]eco_bus_institutions!B:E,4,0),"")</f>
        <v>1.9821213901259109</v>
      </c>
      <c r="E301" s="73">
        <f t="shared" si="20"/>
        <v>273</v>
      </c>
      <c r="F301" s="40">
        <f>IFERROR(VLOOKUP(A301,[1]eco_institutions!B:D,2,0),"")</f>
        <v>76</v>
      </c>
      <c r="G301" s="40">
        <f>IFERROR(VLOOKUP(A301,[1]eco_institutions!B:E,4,0),"")</f>
        <v>1.4945267007642149</v>
      </c>
      <c r="H301" s="14">
        <f t="shared" si="21"/>
        <v>307</v>
      </c>
      <c r="I301" s="46">
        <f>IFERROR(VLOOKUP(A301,[1]fin_institutions!B:D,2,0),"")</f>
        <v>52</v>
      </c>
      <c r="J301" s="41">
        <f>IFERROR(VLOOKUP(A301,[1]fin_institutions!B:E,4,0),"")</f>
        <v>1.5034489826332891</v>
      </c>
      <c r="K301" s="41">
        <f t="shared" si="22"/>
        <v>285</v>
      </c>
      <c r="L301" s="56">
        <f>IFERROR(VLOOKUP(A301,[1]bus_institutions!B:D,2,0),"")</f>
        <v>68</v>
      </c>
      <c r="M301" s="42">
        <f>IFERROR(VLOOKUP(A301,[1]bus_institutions!B:E,4,0),"")</f>
        <v>2.4365835880336881</v>
      </c>
      <c r="N301" s="23">
        <f t="shared" si="23"/>
        <v>208</v>
      </c>
      <c r="O301" s="61">
        <f>IFERROR(VLOOKUP(A301,[1]man_institutions!B:E,2,0),"")</f>
        <v>80</v>
      </c>
      <c r="P301" s="62">
        <f>IFERROR(VLOOKUP(A301,[1]man_institutions!B:E,4,0),"")</f>
        <v>3.2793706509380289</v>
      </c>
      <c r="Q301" s="63">
        <f t="shared" si="24"/>
        <v>160</v>
      </c>
    </row>
    <row r="302" spans="1:17" x14ac:dyDescent="0.25">
      <c r="A302" s="6" t="s">
        <v>865</v>
      </c>
      <c r="B302" s="37" t="s">
        <v>1216</v>
      </c>
      <c r="C302" s="72">
        <f>IFERROR(VLOOKUP(A302,[1]eco_bus_institutions!B:E,2,0),"")</f>
        <v>45</v>
      </c>
      <c r="D302" s="72">
        <f>IFERROR(VLOOKUP(A302,[1]eco_bus_institutions!B:E,4,0),"")</f>
        <v>1.856956497298031</v>
      </c>
      <c r="E302" s="73">
        <f t="shared" si="20"/>
        <v>317</v>
      </c>
      <c r="F302" s="40">
        <f>IFERROR(VLOOKUP(A302,[1]eco_institutions!B:D,2,0),"")</f>
        <v>7</v>
      </c>
      <c r="G302" s="40">
        <f>IFERROR(VLOOKUP(A302,[1]eco_institutions!B:E,4,0),"")</f>
        <v>1.0022287795961631</v>
      </c>
      <c r="H302" s="14">
        <f t="shared" si="21"/>
        <v>597</v>
      </c>
      <c r="I302" s="46">
        <f>IFERROR(VLOOKUP(A302,[1]fin_institutions!B:D,2,0),"")</f>
        <v>5</v>
      </c>
      <c r="J302" s="41">
        <f>IFERROR(VLOOKUP(A302,[1]fin_institutions!B:E,4,0),"")</f>
        <v>1.436677510820261</v>
      </c>
      <c r="K302" s="41">
        <f t="shared" si="22"/>
        <v>316</v>
      </c>
      <c r="L302" s="56">
        <f>IFERROR(VLOOKUP(A302,[1]bus_institutions!B:D,2,0),"")</f>
        <v>24</v>
      </c>
      <c r="M302" s="42">
        <f>IFERROR(VLOOKUP(A302,[1]bus_institutions!B:E,4,0),"")</f>
        <v>1.763225500249753</v>
      </c>
      <c r="N302" s="23">
        <f t="shared" si="23"/>
        <v>396</v>
      </c>
      <c r="O302" s="61">
        <f>IFERROR(VLOOKUP(A302,[1]man_institutions!B:E,2,0),"")</f>
        <v>27</v>
      </c>
      <c r="P302" s="62">
        <f>IFERROR(VLOOKUP(A302,[1]man_institutions!B:E,4,0),"")</f>
        <v>2.786512838247293</v>
      </c>
      <c r="Q302" s="63">
        <f t="shared" si="24"/>
        <v>220</v>
      </c>
    </row>
    <row r="303" spans="1:17" x14ac:dyDescent="0.25">
      <c r="A303" s="6" t="s">
        <v>934</v>
      </c>
      <c r="B303" s="37" t="s">
        <v>1237</v>
      </c>
      <c r="C303" s="72">
        <f>IFERROR(VLOOKUP(A303,[1]eco_bus_institutions!B:E,2,0),"")</f>
        <v>108</v>
      </c>
      <c r="D303" s="72">
        <f>IFERROR(VLOOKUP(A303,[1]eco_bus_institutions!B:E,4,0),"")</f>
        <v>1.824700716321779</v>
      </c>
      <c r="E303" s="73">
        <f t="shared" si="20"/>
        <v>332</v>
      </c>
      <c r="F303" s="40">
        <f>IFERROR(VLOOKUP(A303,[1]eco_institutions!B:D,2,0),"")</f>
        <v>17</v>
      </c>
      <c r="G303" s="40">
        <f>IFERROR(VLOOKUP(A303,[1]eco_institutions!B:E,4,0),"")</f>
        <v>1.3890493866720981</v>
      </c>
      <c r="H303" s="14">
        <f t="shared" si="21"/>
        <v>377</v>
      </c>
      <c r="I303" s="46">
        <f>IFERROR(VLOOKUP(A303,[1]fin_institutions!B:D,2,0),"")</f>
        <v>27</v>
      </c>
      <c r="J303" s="41">
        <f>IFERROR(VLOOKUP(A303,[1]fin_institutions!B:E,4,0),"")</f>
        <v>1.301321571680732</v>
      </c>
      <c r="K303" s="41">
        <f t="shared" si="22"/>
        <v>394</v>
      </c>
      <c r="L303" s="56">
        <f>IFERROR(VLOOKUP(A303,[1]bus_institutions!B:D,2,0),"")</f>
        <v>47</v>
      </c>
      <c r="M303" s="42">
        <f>IFERROR(VLOOKUP(A303,[1]bus_institutions!B:E,4,0),"")</f>
        <v>2.1763489586090738</v>
      </c>
      <c r="N303" s="23">
        <f t="shared" si="23"/>
        <v>276</v>
      </c>
      <c r="O303" s="61">
        <f>IFERROR(VLOOKUP(A303,[1]man_institutions!B:E,2,0),"")</f>
        <v>34</v>
      </c>
      <c r="P303" s="62">
        <f>IFERROR(VLOOKUP(A303,[1]man_institutions!B:E,4,0),"")</f>
        <v>2.449851221064498</v>
      </c>
      <c r="Q303" s="63">
        <f t="shared" si="24"/>
        <v>287</v>
      </c>
    </row>
    <row r="304" spans="1:17" x14ac:dyDescent="0.25">
      <c r="A304" s="6" t="s">
        <v>852</v>
      </c>
      <c r="B304" s="37" t="s">
        <v>1217</v>
      </c>
      <c r="C304" s="72">
        <f>IFERROR(VLOOKUP(A304,[1]eco_bus_institutions!B:E,2,0),"")</f>
        <v>75</v>
      </c>
      <c r="D304" s="72">
        <f>IFERROR(VLOOKUP(A304,[1]eco_bus_institutions!B:E,4,0),"")</f>
        <v>2.0055304342932132</v>
      </c>
      <c r="E304" s="73">
        <f t="shared" si="20"/>
        <v>261</v>
      </c>
      <c r="F304" s="40">
        <f>IFERROR(VLOOKUP(A304,[1]eco_institutions!B:D,2,0),"")</f>
        <v>28</v>
      </c>
      <c r="G304" s="40">
        <f>IFERROR(VLOOKUP(A304,[1]eco_institutions!B:E,4,0),"")</f>
        <v>1.407162151461431</v>
      </c>
      <c r="H304" s="14">
        <f t="shared" si="21"/>
        <v>354</v>
      </c>
      <c r="I304" s="46">
        <f>IFERROR(VLOOKUP(A304,[1]fin_institutions!B:D,2,0),"")</f>
        <v>20</v>
      </c>
      <c r="J304" s="41">
        <f>IFERROR(VLOOKUP(A304,[1]fin_institutions!B:E,4,0),"")</f>
        <v>1.948062470856097</v>
      </c>
      <c r="K304" s="41">
        <f t="shared" si="22"/>
        <v>172</v>
      </c>
      <c r="L304" s="56">
        <f>IFERROR(VLOOKUP(A304,[1]bus_institutions!B:D,2,0),"")</f>
        <v>22</v>
      </c>
      <c r="M304" s="42">
        <f>IFERROR(VLOOKUP(A304,[1]bus_institutions!B:E,4,0),"")</f>
        <v>2.4614372298793641</v>
      </c>
      <c r="N304" s="23">
        <f t="shared" si="23"/>
        <v>198</v>
      </c>
      <c r="O304" s="61">
        <f>IFERROR(VLOOKUP(A304,[1]man_institutions!B:E,2,0),"")</f>
        <v>20</v>
      </c>
      <c r="P304" s="62">
        <f>IFERROR(VLOOKUP(A304,[1]man_institutions!B:E,4,0),"")</f>
        <v>2.4777177354426709</v>
      </c>
      <c r="Q304" s="63">
        <f t="shared" si="24"/>
        <v>281</v>
      </c>
    </row>
    <row r="305" spans="1:17" x14ac:dyDescent="0.25">
      <c r="A305" s="6" t="s">
        <v>886</v>
      </c>
      <c r="B305" s="37" t="s">
        <v>1217</v>
      </c>
      <c r="C305" s="72">
        <f>IFERROR(VLOOKUP(A305,[1]eco_bus_institutions!B:E,2,0),"")</f>
        <v>66</v>
      </c>
      <c r="D305" s="72">
        <f>IFERROR(VLOOKUP(A305,[1]eco_bus_institutions!B:E,4,0),"")</f>
        <v>1.9365177716256201</v>
      </c>
      <c r="E305" s="73">
        <f t="shared" si="20"/>
        <v>293</v>
      </c>
      <c r="F305" s="40">
        <f>IFERROR(VLOOKUP(A305,[1]eco_institutions!B:D,2,0),"")</f>
        <v>26</v>
      </c>
      <c r="G305" s="40">
        <f>IFERROR(VLOOKUP(A305,[1]eco_institutions!B:E,4,0),"")</f>
        <v>1.526550253726914</v>
      </c>
      <c r="H305" s="14">
        <f t="shared" si="21"/>
        <v>288</v>
      </c>
      <c r="I305" s="46">
        <f>IFERROR(VLOOKUP(A305,[1]fin_institutions!B:D,2,0),"")</f>
        <v>11</v>
      </c>
      <c r="J305" s="41">
        <f>IFERROR(VLOOKUP(A305,[1]fin_institutions!B:E,4,0),"")</f>
        <v>1.606398230759092</v>
      </c>
      <c r="K305" s="41">
        <f t="shared" si="22"/>
        <v>240</v>
      </c>
      <c r="L305" s="56">
        <f>IFERROR(VLOOKUP(A305,[1]bus_institutions!B:D,2,0),"")</f>
        <v>22</v>
      </c>
      <c r="M305" s="42">
        <f>IFERROR(VLOOKUP(A305,[1]bus_institutions!B:E,4,0),"")</f>
        <v>2.908700911945989</v>
      </c>
      <c r="N305" s="23">
        <f t="shared" si="23"/>
        <v>130</v>
      </c>
      <c r="O305" s="61">
        <f>IFERROR(VLOOKUP(A305,[1]man_institutions!B:E,2,0),"")</f>
        <v>19</v>
      </c>
      <c r="P305" s="62">
        <f>IFERROR(VLOOKUP(A305,[1]man_institutions!B:E,4,0),"")</f>
        <v>2.5974588512855679</v>
      </c>
      <c r="Q305" s="63">
        <f t="shared" si="24"/>
        <v>253</v>
      </c>
    </row>
    <row r="306" spans="1:17" x14ac:dyDescent="0.25">
      <c r="A306" s="6" t="s">
        <v>952</v>
      </c>
      <c r="B306" s="37" t="s">
        <v>1222</v>
      </c>
      <c r="C306" s="72">
        <f>IFERROR(VLOOKUP(A306,[1]eco_bus_institutions!B:E,2,0),"")</f>
        <v>90</v>
      </c>
      <c r="D306" s="72">
        <f>IFERROR(VLOOKUP(A306,[1]eco_bus_institutions!B:E,4,0),"")</f>
        <v>1.7669191718608239</v>
      </c>
      <c r="E306" s="73">
        <f t="shared" si="20"/>
        <v>351</v>
      </c>
      <c r="F306" s="40">
        <f>IFERROR(VLOOKUP(A306,[1]eco_institutions!B:D,2,0),"")</f>
        <v>44</v>
      </c>
      <c r="G306" s="40">
        <f>IFERROR(VLOOKUP(A306,[1]eco_institutions!B:E,4,0),"")</f>
        <v>1.653486205328444</v>
      </c>
      <c r="H306" s="14">
        <f t="shared" si="21"/>
        <v>239</v>
      </c>
      <c r="I306" s="46" t="str">
        <f>IFERROR(VLOOKUP(A306,[1]fin_institutions!B:D,2,0),"")</f>
        <v/>
      </c>
      <c r="J306" s="41" t="str">
        <f>IFERROR(VLOOKUP(A306,[1]fin_institutions!B:E,4,0),"")</f>
        <v/>
      </c>
      <c r="K306" s="41" t="str">
        <f t="shared" si="22"/>
        <v/>
      </c>
      <c r="L306" s="56">
        <f>IFERROR(VLOOKUP(A306,[1]bus_institutions!B:D,2,0),"")</f>
        <v>34</v>
      </c>
      <c r="M306" s="42">
        <f>IFERROR(VLOOKUP(A306,[1]bus_institutions!B:E,4,0),"")</f>
        <v>1.741421709218653</v>
      </c>
      <c r="N306" s="23">
        <f t="shared" si="23"/>
        <v>410</v>
      </c>
      <c r="O306" s="61">
        <f>IFERROR(VLOOKUP(A306,[1]man_institutions!B:E,2,0),"")</f>
        <v>44</v>
      </c>
      <c r="P306" s="62">
        <f>IFERROR(VLOOKUP(A306,[1]man_institutions!B:E,4,0),"")</f>
        <v>2.2565475626689042</v>
      </c>
      <c r="Q306" s="63">
        <f t="shared" si="24"/>
        <v>335</v>
      </c>
    </row>
    <row r="307" spans="1:17" x14ac:dyDescent="0.25">
      <c r="A307" s="6" t="s">
        <v>876</v>
      </c>
      <c r="B307" s="37" t="s">
        <v>1216</v>
      </c>
      <c r="C307" s="72">
        <f>IFERROR(VLOOKUP(A307,[1]eco_bus_institutions!B:E,2,0),"")</f>
        <v>97</v>
      </c>
      <c r="D307" s="72">
        <f>IFERROR(VLOOKUP(A307,[1]eco_bus_institutions!B:E,4,0),"")</f>
        <v>2.056717944085487</v>
      </c>
      <c r="E307" s="73">
        <f t="shared" si="20"/>
        <v>247</v>
      </c>
      <c r="F307" s="40">
        <f>IFERROR(VLOOKUP(A307,[1]eco_institutions!B:D,2,0),"")</f>
        <v>46</v>
      </c>
      <c r="G307" s="40">
        <f>IFERROR(VLOOKUP(A307,[1]eco_institutions!B:E,4,0),"")</f>
        <v>1.6362252588357431</v>
      </c>
      <c r="H307" s="14">
        <f t="shared" si="21"/>
        <v>248</v>
      </c>
      <c r="I307" s="46">
        <f>IFERROR(VLOOKUP(A307,[1]fin_institutions!B:D,2,0),"")</f>
        <v>11</v>
      </c>
      <c r="J307" s="41">
        <f>IFERROR(VLOOKUP(A307,[1]fin_institutions!B:E,4,0),"")</f>
        <v>1.572216873285704</v>
      </c>
      <c r="K307" s="41">
        <f t="shared" si="22"/>
        <v>261</v>
      </c>
      <c r="L307" s="56">
        <f>IFERROR(VLOOKUP(A307,[1]bus_institutions!B:D,2,0),"")</f>
        <v>28</v>
      </c>
      <c r="M307" s="42">
        <f>IFERROR(VLOOKUP(A307,[1]bus_institutions!B:E,4,0),"")</f>
        <v>2.3381108344449881</v>
      </c>
      <c r="N307" s="23">
        <f t="shared" si="23"/>
        <v>235</v>
      </c>
      <c r="O307" s="61">
        <f>IFERROR(VLOOKUP(A307,[1]man_institutions!B:E,2,0),"")</f>
        <v>32</v>
      </c>
      <c r="P307" s="62">
        <f>IFERROR(VLOOKUP(A307,[1]man_institutions!B:E,4,0),"")</f>
        <v>3.3213517577499978</v>
      </c>
      <c r="Q307" s="63">
        <f t="shared" si="24"/>
        <v>156</v>
      </c>
    </row>
    <row r="308" spans="1:17" x14ac:dyDescent="0.25">
      <c r="A308" s="6" t="s">
        <v>891</v>
      </c>
      <c r="B308" s="37" t="s">
        <v>1237</v>
      </c>
      <c r="C308" s="72">
        <f>IFERROR(VLOOKUP(A308,[1]eco_bus_institutions!B:E,2,0),"")</f>
        <v>135</v>
      </c>
      <c r="D308" s="72">
        <f>IFERROR(VLOOKUP(A308,[1]eco_bus_institutions!B:E,4,0),"")</f>
        <v>1.804241833638947</v>
      </c>
      <c r="E308" s="73">
        <f t="shared" si="20"/>
        <v>344</v>
      </c>
      <c r="F308" s="40">
        <f>IFERROR(VLOOKUP(A308,[1]eco_institutions!B:D,2,0),"")</f>
        <v>35</v>
      </c>
      <c r="G308" s="40">
        <f>IFERROR(VLOOKUP(A308,[1]eco_institutions!B:E,4,0),"")</f>
        <v>1.237004000433003</v>
      </c>
      <c r="H308" s="14">
        <f t="shared" si="21"/>
        <v>486</v>
      </c>
      <c r="I308" s="46">
        <f>IFERROR(VLOOKUP(A308,[1]fin_institutions!B:D,2,0),"")</f>
        <v>27</v>
      </c>
      <c r="J308" s="41">
        <f>IFERROR(VLOOKUP(A308,[1]fin_institutions!B:E,4,0),"")</f>
        <v>1.4556739976205331</v>
      </c>
      <c r="K308" s="41">
        <f t="shared" si="22"/>
        <v>309</v>
      </c>
      <c r="L308" s="56">
        <f>IFERROR(VLOOKUP(A308,[1]bus_institutions!B:D,2,0),"")</f>
        <v>58</v>
      </c>
      <c r="M308" s="42">
        <f>IFERROR(VLOOKUP(A308,[1]bus_institutions!B:E,4,0),"")</f>
        <v>2.2971589915817749</v>
      </c>
      <c r="N308" s="23">
        <f t="shared" si="23"/>
        <v>243</v>
      </c>
      <c r="O308" s="61">
        <f>IFERROR(VLOOKUP(A308,[1]man_institutions!B:E,2,0),"")</f>
        <v>57</v>
      </c>
      <c r="P308" s="62">
        <f>IFERROR(VLOOKUP(A308,[1]man_institutions!B:E,4,0),"")</f>
        <v>2.263085547785618</v>
      </c>
      <c r="Q308" s="63">
        <f t="shared" si="24"/>
        <v>332</v>
      </c>
    </row>
    <row r="309" spans="1:17" x14ac:dyDescent="0.25">
      <c r="A309" s="6" t="s">
        <v>880</v>
      </c>
      <c r="B309" s="37" t="s">
        <v>1236</v>
      </c>
      <c r="C309" s="72">
        <f>IFERROR(VLOOKUP(A309,[1]eco_bus_institutions!B:E,2,0),"")</f>
        <v>78</v>
      </c>
      <c r="D309" s="72">
        <f>IFERROR(VLOOKUP(A309,[1]eco_bus_institutions!B:E,4,0),"")</f>
        <v>1.7779960681599909</v>
      </c>
      <c r="E309" s="73">
        <f t="shared" si="20"/>
        <v>349</v>
      </c>
      <c r="F309" s="40">
        <f>IFERROR(VLOOKUP(A309,[1]eco_institutions!B:D,2,0),"")</f>
        <v>21</v>
      </c>
      <c r="G309" s="40">
        <f>IFERROR(VLOOKUP(A309,[1]eco_institutions!B:E,4,0),"")</f>
        <v>1.2478195024942</v>
      </c>
      <c r="H309" s="14">
        <f t="shared" si="21"/>
        <v>479</v>
      </c>
      <c r="I309" s="46">
        <f>IFERROR(VLOOKUP(A309,[1]fin_institutions!B:D,2,0),"")</f>
        <v>28</v>
      </c>
      <c r="J309" s="41">
        <f>IFERROR(VLOOKUP(A309,[1]fin_institutions!B:E,4,0),"")</f>
        <v>1.6506584332888079</v>
      </c>
      <c r="K309" s="41">
        <f t="shared" si="22"/>
        <v>230</v>
      </c>
      <c r="L309" s="56">
        <f>IFERROR(VLOOKUP(A309,[1]bus_institutions!B:D,2,0),"")</f>
        <v>29</v>
      </c>
      <c r="M309" s="42">
        <f>IFERROR(VLOOKUP(A309,[1]bus_institutions!B:E,4,0),"")</f>
        <v>1.6919677773528681</v>
      </c>
      <c r="N309" s="23">
        <f t="shared" si="23"/>
        <v>425</v>
      </c>
      <c r="O309" s="61">
        <f>IFERROR(VLOOKUP(A309,[1]man_institutions!B:E,2,0),"")</f>
        <v>11</v>
      </c>
      <c r="P309" s="62">
        <f>IFERROR(VLOOKUP(A309,[1]man_institutions!B:E,4,0),"")</f>
        <v>2.2118054312783761</v>
      </c>
      <c r="Q309" s="63">
        <f t="shared" si="24"/>
        <v>347</v>
      </c>
    </row>
    <row r="310" spans="1:17" x14ac:dyDescent="0.25">
      <c r="A310" s="6" t="s">
        <v>973</v>
      </c>
      <c r="B310" s="37" t="s">
        <v>1228</v>
      </c>
      <c r="C310" s="72">
        <f>IFERROR(VLOOKUP(A310,[1]eco_bus_institutions!B:E,2,0),"")</f>
        <v>164</v>
      </c>
      <c r="D310" s="72">
        <f>IFERROR(VLOOKUP(A310,[1]eco_bus_institutions!B:E,4,0),"")</f>
        <v>1.9600699622169711</v>
      </c>
      <c r="E310" s="73">
        <f t="shared" si="20"/>
        <v>281</v>
      </c>
      <c r="F310" s="40">
        <f>IFERROR(VLOOKUP(A310,[1]eco_institutions!B:D,2,0),"")</f>
        <v>83</v>
      </c>
      <c r="G310" s="40">
        <f>IFERROR(VLOOKUP(A310,[1]eco_institutions!B:E,4,0),"")</f>
        <v>1.876510370686302</v>
      </c>
      <c r="H310" s="14">
        <f t="shared" si="21"/>
        <v>176</v>
      </c>
      <c r="I310" s="46">
        <f>IFERROR(VLOOKUP(A310,[1]fin_institutions!B:D,2,0),"")</f>
        <v>21</v>
      </c>
      <c r="J310" s="41">
        <f>IFERROR(VLOOKUP(A310,[1]fin_institutions!B:E,4,0),"")</f>
        <v>1.6196606041817929</v>
      </c>
      <c r="K310" s="41">
        <f t="shared" si="22"/>
        <v>236</v>
      </c>
      <c r="L310" s="56">
        <f>IFERROR(VLOOKUP(A310,[1]bus_institutions!B:D,2,0),"")</f>
        <v>45</v>
      </c>
      <c r="M310" s="42">
        <f>IFERROR(VLOOKUP(A310,[1]bus_institutions!B:E,4,0),"")</f>
        <v>1.983115662766155</v>
      </c>
      <c r="N310" s="23">
        <f t="shared" si="23"/>
        <v>323</v>
      </c>
      <c r="O310" s="61">
        <f>IFERROR(VLOOKUP(A310,[1]man_institutions!B:E,2,0),"")</f>
        <v>59</v>
      </c>
      <c r="P310" s="62">
        <f>IFERROR(VLOOKUP(A310,[1]man_institutions!B:E,4,0),"")</f>
        <v>2.5037752952947971</v>
      </c>
      <c r="Q310" s="63">
        <f t="shared" si="24"/>
        <v>271</v>
      </c>
    </row>
    <row r="311" spans="1:17" x14ac:dyDescent="0.25">
      <c r="A311" s="6" t="s">
        <v>975</v>
      </c>
      <c r="B311" s="37" t="s">
        <v>1222</v>
      </c>
      <c r="C311" s="72">
        <f>IFERROR(VLOOKUP(A311,[1]eco_bus_institutions!B:E,2,0),"")</f>
        <v>69</v>
      </c>
      <c r="D311" s="72">
        <f>IFERROR(VLOOKUP(A311,[1]eco_bus_institutions!B:E,4,0),"")</f>
        <v>2.1432000880477671</v>
      </c>
      <c r="E311" s="73">
        <f t="shared" si="20"/>
        <v>217</v>
      </c>
      <c r="F311" s="40">
        <f>IFERROR(VLOOKUP(A311,[1]eco_institutions!B:D,2,0),"")</f>
        <v>58</v>
      </c>
      <c r="G311" s="40">
        <f>IFERROR(VLOOKUP(A311,[1]eco_institutions!B:E,4,0),"")</f>
        <v>2.1200916449385701</v>
      </c>
      <c r="H311" s="14">
        <f t="shared" si="21"/>
        <v>122</v>
      </c>
      <c r="I311" s="46">
        <f>IFERROR(VLOOKUP(A311,[1]fin_institutions!B:D,2,0),"")</f>
        <v>22</v>
      </c>
      <c r="J311" s="41">
        <f>IFERROR(VLOOKUP(A311,[1]fin_institutions!B:E,4,0),"")</f>
        <v>1.485348394464806</v>
      </c>
      <c r="K311" s="41">
        <f t="shared" si="22"/>
        <v>296</v>
      </c>
      <c r="L311" s="56" t="str">
        <f>IFERROR(VLOOKUP(A311,[1]bus_institutions!B:D,2,0),"")</f>
        <v/>
      </c>
      <c r="M311" s="42" t="str">
        <f>IFERROR(VLOOKUP(A311,[1]bus_institutions!B:E,4,0),"")</f>
        <v/>
      </c>
      <c r="N311" s="23" t="str">
        <f t="shared" si="23"/>
        <v/>
      </c>
      <c r="O311" s="61" t="str">
        <f>IFERROR(VLOOKUP(A311,[1]man_institutions!B:E,2,0),"")</f>
        <v/>
      </c>
      <c r="P311" s="62" t="str">
        <f>IFERROR(VLOOKUP(A311,[1]man_institutions!B:E,4,0),"")</f>
        <v/>
      </c>
      <c r="Q311" s="63" t="str">
        <f t="shared" si="24"/>
        <v/>
      </c>
    </row>
    <row r="312" spans="1:17" x14ac:dyDescent="0.25">
      <c r="A312" s="6" t="s">
        <v>854</v>
      </c>
      <c r="B312" s="37" t="s">
        <v>1217</v>
      </c>
      <c r="C312" s="72">
        <f>IFERROR(VLOOKUP(A312,[1]eco_bus_institutions!B:E,2,0),"")</f>
        <v>50</v>
      </c>
      <c r="D312" s="72">
        <f>IFERROR(VLOOKUP(A312,[1]eco_bus_institutions!B:E,4,0),"")</f>
        <v>1.8045570022209949</v>
      </c>
      <c r="E312" s="73">
        <f t="shared" si="20"/>
        <v>342</v>
      </c>
      <c r="F312" s="40">
        <f>IFERROR(VLOOKUP(A312,[1]eco_institutions!B:D,2,0),"")</f>
        <v>21</v>
      </c>
      <c r="G312" s="40">
        <f>IFERROR(VLOOKUP(A312,[1]eco_institutions!B:E,4,0),"")</f>
        <v>1.4082512632297191</v>
      </c>
      <c r="H312" s="14">
        <f t="shared" si="21"/>
        <v>351</v>
      </c>
      <c r="I312" s="46">
        <f>IFERROR(VLOOKUP(A312,[1]fin_institutions!B:D,2,0),"")</f>
        <v>10</v>
      </c>
      <c r="J312" s="41">
        <f>IFERROR(VLOOKUP(A312,[1]fin_institutions!B:E,4,0),"")</f>
        <v>1.9702796300096641</v>
      </c>
      <c r="K312" s="41">
        <f t="shared" si="22"/>
        <v>160</v>
      </c>
      <c r="L312" s="56">
        <f>IFERROR(VLOOKUP(A312,[1]bus_institutions!B:D,2,0),"")</f>
        <v>14</v>
      </c>
      <c r="M312" s="42">
        <f>IFERROR(VLOOKUP(A312,[1]bus_institutions!B:E,4,0),"")</f>
        <v>2.238568090242703</v>
      </c>
      <c r="N312" s="23">
        <f t="shared" si="23"/>
        <v>260</v>
      </c>
      <c r="O312" s="61">
        <f>IFERROR(VLOOKUP(A312,[1]man_institutions!B:E,2,0),"")</f>
        <v>11</v>
      </c>
      <c r="P312" s="62">
        <f>IFERROR(VLOOKUP(A312,[1]man_institutions!B:E,4,0),"")</f>
        <v>2.0457774062224421</v>
      </c>
      <c r="Q312" s="63">
        <f t="shared" si="24"/>
        <v>394</v>
      </c>
    </row>
    <row r="313" spans="1:17" x14ac:dyDescent="0.25">
      <c r="A313" s="6" t="s">
        <v>836</v>
      </c>
      <c r="B313" s="37" t="s">
        <v>1217</v>
      </c>
      <c r="C313" s="72">
        <f>IFERROR(VLOOKUP(A313,[1]eco_bus_institutions!B:E,2,0),"")</f>
        <v>50</v>
      </c>
      <c r="D313" s="72">
        <f>IFERROR(VLOOKUP(A313,[1]eco_bus_institutions!B:E,4,0),"")</f>
        <v>1.8045570022209949</v>
      </c>
      <c r="E313" s="73">
        <f t="shared" si="20"/>
        <v>342</v>
      </c>
      <c r="F313" s="40">
        <f>IFERROR(VLOOKUP(A313,[1]eco_institutions!B:D,2,0),"")</f>
        <v>21</v>
      </c>
      <c r="G313" s="40">
        <f>IFERROR(VLOOKUP(A313,[1]eco_institutions!B:E,4,0),"")</f>
        <v>1.4082512632297191</v>
      </c>
      <c r="H313" s="14">
        <f t="shared" si="21"/>
        <v>351</v>
      </c>
      <c r="I313" s="46">
        <f>IFERROR(VLOOKUP(A313,[1]fin_institutions!B:D,2,0),"")</f>
        <v>10</v>
      </c>
      <c r="J313" s="41">
        <f>IFERROR(VLOOKUP(A313,[1]fin_institutions!B:E,4,0),"")</f>
        <v>1.9702796300096641</v>
      </c>
      <c r="K313" s="41">
        <f t="shared" si="22"/>
        <v>160</v>
      </c>
      <c r="L313" s="56">
        <f>IFERROR(VLOOKUP(A313,[1]bus_institutions!B:D,2,0),"")</f>
        <v>14</v>
      </c>
      <c r="M313" s="42">
        <f>IFERROR(VLOOKUP(A313,[1]bus_institutions!B:E,4,0),"")</f>
        <v>2.238568090242703</v>
      </c>
      <c r="N313" s="23">
        <f t="shared" si="23"/>
        <v>260</v>
      </c>
      <c r="O313" s="61">
        <f>IFERROR(VLOOKUP(A313,[1]man_institutions!B:E,2,0),"")</f>
        <v>11</v>
      </c>
      <c r="P313" s="62">
        <f>IFERROR(VLOOKUP(A313,[1]man_institutions!B:E,4,0),"")</f>
        <v>2.0457774062224421</v>
      </c>
      <c r="Q313" s="63">
        <f t="shared" si="24"/>
        <v>394</v>
      </c>
    </row>
    <row r="314" spans="1:17" x14ac:dyDescent="0.25">
      <c r="A314" s="6" t="s">
        <v>903</v>
      </c>
      <c r="B314" s="37" t="s">
        <v>1217</v>
      </c>
      <c r="C314" s="72">
        <f>IFERROR(VLOOKUP(A314,[1]eco_bus_institutions!B:E,2,0),"")</f>
        <v>95</v>
      </c>
      <c r="D314" s="72">
        <f>IFERROR(VLOOKUP(A314,[1]eco_bus_institutions!B:E,4,0),"")</f>
        <v>1.9251078009094991</v>
      </c>
      <c r="E314" s="73">
        <f t="shared" si="20"/>
        <v>296</v>
      </c>
      <c r="F314" s="40">
        <f>IFERROR(VLOOKUP(A314,[1]eco_institutions!B:D,2,0),"")</f>
        <v>30</v>
      </c>
      <c r="G314" s="40">
        <f>IFERROR(VLOOKUP(A314,[1]eco_institutions!B:E,4,0),"")</f>
        <v>1.259322793805048</v>
      </c>
      <c r="H314" s="14">
        <f t="shared" si="21"/>
        <v>469</v>
      </c>
      <c r="I314" s="46">
        <f>IFERROR(VLOOKUP(A314,[1]fin_institutions!B:D,2,0),"")</f>
        <v>31</v>
      </c>
      <c r="J314" s="41">
        <f>IFERROR(VLOOKUP(A314,[1]fin_institutions!B:E,4,0),"")</f>
        <v>1.7461316540180709</v>
      </c>
      <c r="K314" s="41">
        <f t="shared" si="22"/>
        <v>201</v>
      </c>
      <c r="L314" s="56">
        <f>IFERROR(VLOOKUP(A314,[1]bus_institutions!B:D,2,0),"")</f>
        <v>29</v>
      </c>
      <c r="M314" s="42">
        <f>IFERROR(VLOOKUP(A314,[1]bus_institutions!B:E,4,0),"")</f>
        <v>2.643325001728805</v>
      </c>
      <c r="N314" s="23">
        <f t="shared" si="23"/>
        <v>166</v>
      </c>
      <c r="O314" s="61">
        <f>IFERROR(VLOOKUP(A314,[1]man_institutions!B:E,2,0),"")</f>
        <v>31</v>
      </c>
      <c r="P314" s="62">
        <f>IFERROR(VLOOKUP(A314,[1]man_institutions!B:E,4,0),"")</f>
        <v>3.3828733895633429</v>
      </c>
      <c r="Q314" s="63">
        <f t="shared" si="24"/>
        <v>142</v>
      </c>
    </row>
    <row r="315" spans="1:17" x14ac:dyDescent="0.25">
      <c r="A315" s="6" t="s">
        <v>954</v>
      </c>
      <c r="B315" s="37" t="s">
        <v>1228</v>
      </c>
      <c r="C315" s="72">
        <f>IFERROR(VLOOKUP(A315,[1]eco_bus_institutions!B:E,2,0),"")</f>
        <v>103</v>
      </c>
      <c r="D315" s="72">
        <f>IFERROR(VLOOKUP(A315,[1]eco_bus_institutions!B:E,4,0),"")</f>
        <v>1.7708659395476249</v>
      </c>
      <c r="E315" s="73">
        <f t="shared" si="20"/>
        <v>350</v>
      </c>
      <c r="F315" s="40">
        <f>IFERROR(VLOOKUP(A315,[1]eco_institutions!B:D,2,0),"")</f>
        <v>28</v>
      </c>
      <c r="G315" s="40">
        <f>IFERROR(VLOOKUP(A315,[1]eco_institutions!B:E,4,0),"")</f>
        <v>1.574386408977311</v>
      </c>
      <c r="H315" s="14">
        <f t="shared" si="21"/>
        <v>267</v>
      </c>
      <c r="I315" s="46">
        <f>IFERROR(VLOOKUP(A315,[1]fin_institutions!B:D,2,0),"")</f>
        <v>8</v>
      </c>
      <c r="J315" s="41">
        <f>IFERROR(VLOOKUP(A315,[1]fin_institutions!B:E,4,0),"")</f>
        <v>1.602358788127477</v>
      </c>
      <c r="K315" s="41">
        <f t="shared" si="22"/>
        <v>243</v>
      </c>
      <c r="L315" s="56">
        <f>IFERROR(VLOOKUP(A315,[1]bus_institutions!B:D,2,0),"")</f>
        <v>44</v>
      </c>
      <c r="M315" s="42">
        <f>IFERROR(VLOOKUP(A315,[1]bus_institutions!B:E,4,0),"")</f>
        <v>1.865457209260851</v>
      </c>
      <c r="N315" s="23">
        <f t="shared" si="23"/>
        <v>362</v>
      </c>
      <c r="O315" s="61">
        <f>IFERROR(VLOOKUP(A315,[1]man_institutions!B:E,2,0),"")</f>
        <v>47</v>
      </c>
      <c r="P315" s="62">
        <f>IFERROR(VLOOKUP(A315,[1]man_institutions!B:E,4,0),"")</f>
        <v>2.212342091081267</v>
      </c>
      <c r="Q315" s="63">
        <f t="shared" si="24"/>
        <v>346</v>
      </c>
    </row>
    <row r="316" spans="1:17" x14ac:dyDescent="0.25">
      <c r="A316" s="6" t="s">
        <v>928</v>
      </c>
      <c r="B316" s="37" t="s">
        <v>1216</v>
      </c>
      <c r="C316" s="72">
        <f>IFERROR(VLOOKUP(A316,[1]eco_bus_institutions!B:E,2,0),"")</f>
        <v>60</v>
      </c>
      <c r="D316" s="72">
        <f>IFERROR(VLOOKUP(A316,[1]eco_bus_institutions!B:E,4,0),"")</f>
        <v>1.622107968751392</v>
      </c>
      <c r="E316" s="73">
        <f t="shared" si="20"/>
        <v>414</v>
      </c>
      <c r="F316" s="40">
        <f>IFERROR(VLOOKUP(A316,[1]eco_institutions!B:D,2,0),"")</f>
        <v>14</v>
      </c>
      <c r="G316" s="40">
        <f>IFERROR(VLOOKUP(A316,[1]eco_institutions!B:E,4,0),"")</f>
        <v>1.394741795134012</v>
      </c>
      <c r="H316" s="14">
        <f t="shared" si="21"/>
        <v>366</v>
      </c>
      <c r="I316" s="46">
        <f>IFERROR(VLOOKUP(A316,[1]fin_institutions!B:D,2,0),"")</f>
        <v>21</v>
      </c>
      <c r="J316" s="41">
        <f>IFERROR(VLOOKUP(A316,[1]fin_institutions!B:E,4,0),"")</f>
        <v>1.3073252660399279</v>
      </c>
      <c r="K316" s="41">
        <f t="shared" si="22"/>
        <v>392</v>
      </c>
      <c r="L316" s="56">
        <f>IFERROR(VLOOKUP(A316,[1]bus_institutions!B:D,2,0),"")</f>
        <v>20</v>
      </c>
      <c r="M316" s="42">
        <f>IFERROR(VLOOKUP(A316,[1]bus_institutions!B:E,4,0),"")</f>
        <v>1.8746462816121241</v>
      </c>
      <c r="N316" s="23">
        <f t="shared" si="23"/>
        <v>357</v>
      </c>
      <c r="O316" s="61">
        <f>IFERROR(VLOOKUP(A316,[1]man_institutions!B:E,2,0),"")</f>
        <v>19</v>
      </c>
      <c r="P316" s="62">
        <f>IFERROR(VLOOKUP(A316,[1]man_institutions!B:E,4,0),"")</f>
        <v>1.863004741876199</v>
      </c>
      <c r="Q316" s="63">
        <f t="shared" si="24"/>
        <v>443</v>
      </c>
    </row>
    <row r="317" spans="1:17" x14ac:dyDescent="0.25">
      <c r="A317" s="6" t="s">
        <v>974</v>
      </c>
      <c r="B317" s="37" t="s">
        <v>1237</v>
      </c>
      <c r="C317" s="72">
        <f>IFERROR(VLOOKUP(A317,[1]eco_bus_institutions!B:E,2,0),"")</f>
        <v>226</v>
      </c>
      <c r="D317" s="72">
        <f>IFERROR(VLOOKUP(A317,[1]eco_bus_institutions!B:E,4,0),"")</f>
        <v>1.971354472982987</v>
      </c>
      <c r="E317" s="73">
        <f t="shared" si="20"/>
        <v>276</v>
      </c>
      <c r="F317" s="40">
        <f>IFERROR(VLOOKUP(A317,[1]eco_institutions!B:D,2,0),"")</f>
        <v>153</v>
      </c>
      <c r="G317" s="40">
        <f>IFERROR(VLOOKUP(A317,[1]eco_institutions!B:E,4,0),"")</f>
        <v>1.8875855106876289</v>
      </c>
      <c r="H317" s="14">
        <f t="shared" si="21"/>
        <v>173</v>
      </c>
      <c r="I317" s="46">
        <f>IFERROR(VLOOKUP(A317,[1]fin_institutions!B:D,2,0),"")</f>
        <v>54</v>
      </c>
      <c r="J317" s="41">
        <f>IFERROR(VLOOKUP(A317,[1]fin_institutions!B:E,4,0),"")</f>
        <v>1.42685037451034</v>
      </c>
      <c r="K317" s="41">
        <f t="shared" si="22"/>
        <v>323</v>
      </c>
      <c r="L317" s="56">
        <f>IFERROR(VLOOKUP(A317,[1]bus_institutions!B:D,2,0),"")</f>
        <v>27</v>
      </c>
      <c r="M317" s="42">
        <f>IFERROR(VLOOKUP(A317,[1]bus_institutions!B:E,4,0),"")</f>
        <v>2.1360806371480021</v>
      </c>
      <c r="N317" s="23">
        <f t="shared" si="23"/>
        <v>284</v>
      </c>
      <c r="O317" s="61">
        <f>IFERROR(VLOOKUP(A317,[1]man_institutions!B:E,2,0),"")</f>
        <v>29</v>
      </c>
      <c r="P317" s="62">
        <f>IFERROR(VLOOKUP(A317,[1]man_institutions!B:E,4,0),"")</f>
        <v>2.594171750994168</v>
      </c>
      <c r="Q317" s="63">
        <f t="shared" si="24"/>
        <v>254</v>
      </c>
    </row>
    <row r="318" spans="1:17" x14ac:dyDescent="0.25">
      <c r="A318" s="6" t="s">
        <v>937</v>
      </c>
      <c r="B318" s="37" t="s">
        <v>1237</v>
      </c>
      <c r="C318" s="72">
        <f>IFERROR(VLOOKUP(A318,[1]eco_bus_institutions!B:E,2,0),"")</f>
        <v>90</v>
      </c>
      <c r="D318" s="72">
        <f>IFERROR(VLOOKUP(A318,[1]eco_bus_institutions!B:E,4,0),"")</f>
        <v>1.695754306728039</v>
      </c>
      <c r="E318" s="73">
        <f t="shared" si="20"/>
        <v>387</v>
      </c>
      <c r="F318" s="40">
        <f>IFERROR(VLOOKUP(A318,[1]eco_institutions!B:D,2,0),"")</f>
        <v>26</v>
      </c>
      <c r="G318" s="40">
        <f>IFERROR(VLOOKUP(A318,[1]eco_institutions!B:E,4,0),"")</f>
        <v>1.491759567743526</v>
      </c>
      <c r="H318" s="14">
        <f t="shared" si="21"/>
        <v>309</v>
      </c>
      <c r="I318" s="46">
        <f>IFERROR(VLOOKUP(A318,[1]fin_institutions!B:D,2,0),"")</f>
        <v>30</v>
      </c>
      <c r="J318" s="41">
        <f>IFERROR(VLOOKUP(A318,[1]fin_institutions!B:E,4,0),"")</f>
        <v>1.494663638297794</v>
      </c>
      <c r="K318" s="41">
        <f t="shared" si="22"/>
        <v>290</v>
      </c>
      <c r="L318" s="56">
        <f>IFERROR(VLOOKUP(A318,[1]bus_institutions!B:D,2,0),"")</f>
        <v>29</v>
      </c>
      <c r="M318" s="42">
        <f>IFERROR(VLOOKUP(A318,[1]bus_institutions!B:E,4,0),"")</f>
        <v>1.9074829798294901</v>
      </c>
      <c r="N318" s="23">
        <f t="shared" si="23"/>
        <v>349</v>
      </c>
      <c r="O318" s="61">
        <f>IFERROR(VLOOKUP(A318,[1]man_institutions!B:E,2,0),"")</f>
        <v>26</v>
      </c>
      <c r="P318" s="62">
        <f>IFERROR(VLOOKUP(A318,[1]man_institutions!B:E,4,0),"")</f>
        <v>2.0210824507219529</v>
      </c>
      <c r="Q318" s="63">
        <f t="shared" si="24"/>
        <v>405</v>
      </c>
    </row>
    <row r="319" spans="1:17" x14ac:dyDescent="0.25">
      <c r="A319" s="6" t="s">
        <v>875</v>
      </c>
      <c r="B319" s="37" t="s">
        <v>1217</v>
      </c>
      <c r="C319" s="72">
        <f>IFERROR(VLOOKUP(A319,[1]eco_bus_institutions!B:E,2,0),"")</f>
        <v>89</v>
      </c>
      <c r="D319" s="72">
        <f>IFERROR(VLOOKUP(A319,[1]eco_bus_institutions!B:E,4,0),"")</f>
        <v>1.9599504603163731</v>
      </c>
      <c r="E319" s="73">
        <f t="shared" si="20"/>
        <v>282</v>
      </c>
      <c r="F319" s="40">
        <f>IFERROR(VLOOKUP(A319,[1]eco_institutions!B:D,2,0),"")</f>
        <v>16</v>
      </c>
      <c r="G319" s="40">
        <f>IFERROR(VLOOKUP(A319,[1]eco_institutions!B:E,4,0),"")</f>
        <v>1.4138259156385291</v>
      </c>
      <c r="H319" s="14">
        <f t="shared" si="21"/>
        <v>348</v>
      </c>
      <c r="I319" s="46">
        <f>IFERROR(VLOOKUP(A319,[1]fin_institutions!B:D,2,0),"")</f>
        <v>26</v>
      </c>
      <c r="J319" s="41">
        <f>IFERROR(VLOOKUP(A319,[1]fin_institutions!B:E,4,0),"")</f>
        <v>1.7528260465048811</v>
      </c>
      <c r="K319" s="41">
        <f t="shared" si="22"/>
        <v>199</v>
      </c>
      <c r="L319" s="56">
        <f>IFERROR(VLOOKUP(A319,[1]bus_institutions!B:D,2,0),"")</f>
        <v>37</v>
      </c>
      <c r="M319" s="42">
        <f>IFERROR(VLOOKUP(A319,[1]bus_institutions!B:E,4,0),"")</f>
        <v>2.2216719017000131</v>
      </c>
      <c r="N319" s="23">
        <f t="shared" si="23"/>
        <v>266</v>
      </c>
      <c r="O319" s="61">
        <f>IFERROR(VLOOKUP(A319,[1]man_institutions!B:E,2,0),"")</f>
        <v>39</v>
      </c>
      <c r="P319" s="62">
        <f>IFERROR(VLOOKUP(A319,[1]man_institutions!B:E,4,0),"")</f>
        <v>2.7132201588492051</v>
      </c>
      <c r="Q319" s="63">
        <f t="shared" si="24"/>
        <v>234</v>
      </c>
    </row>
    <row r="320" spans="1:17" x14ac:dyDescent="0.25">
      <c r="A320" s="6" t="s">
        <v>884</v>
      </c>
      <c r="B320" s="37" t="s">
        <v>1237</v>
      </c>
      <c r="C320" s="72">
        <f>IFERROR(VLOOKUP(A320,[1]eco_bus_institutions!B:E,2,0),"")</f>
        <v>146</v>
      </c>
      <c r="D320" s="72">
        <f>IFERROR(VLOOKUP(A320,[1]eco_bus_institutions!B:E,4,0),"")</f>
        <v>1.76538928702591</v>
      </c>
      <c r="E320" s="73">
        <f t="shared" si="20"/>
        <v>353</v>
      </c>
      <c r="F320" s="40">
        <f>IFERROR(VLOOKUP(A320,[1]eco_institutions!B:D,2,0),"")</f>
        <v>46</v>
      </c>
      <c r="G320" s="40">
        <f>IFERROR(VLOOKUP(A320,[1]eco_institutions!B:E,4,0),"")</f>
        <v>1.256006806660263</v>
      </c>
      <c r="H320" s="14">
        <f t="shared" si="21"/>
        <v>473</v>
      </c>
      <c r="I320" s="46">
        <f>IFERROR(VLOOKUP(A320,[1]fin_institutions!B:D,2,0),"")</f>
        <v>22</v>
      </c>
      <c r="J320" s="41">
        <f>IFERROR(VLOOKUP(A320,[1]fin_institutions!B:E,4,0),"")</f>
        <v>1.226639067091394</v>
      </c>
      <c r="K320" s="41">
        <f t="shared" si="22"/>
        <v>446</v>
      </c>
      <c r="L320" s="56">
        <f>IFERROR(VLOOKUP(A320,[1]bus_institutions!B:D,2,0),"")</f>
        <v>57</v>
      </c>
      <c r="M320" s="42">
        <f>IFERROR(VLOOKUP(A320,[1]bus_institutions!B:E,4,0),"")</f>
        <v>2.3874578390237602</v>
      </c>
      <c r="N320" s="23">
        <f t="shared" si="23"/>
        <v>223</v>
      </c>
      <c r="O320" s="61">
        <f>IFERROR(VLOOKUP(A320,[1]man_institutions!B:E,2,0),"")</f>
        <v>56</v>
      </c>
      <c r="P320" s="62">
        <f>IFERROR(VLOOKUP(A320,[1]man_institutions!B:E,4,0),"")</f>
        <v>2.300532523125995</v>
      </c>
      <c r="Q320" s="63">
        <f t="shared" si="24"/>
        <v>323</v>
      </c>
    </row>
    <row r="321" spans="1:17" x14ac:dyDescent="0.25">
      <c r="A321" s="6" t="s">
        <v>920</v>
      </c>
      <c r="B321" s="37" t="s">
        <v>1216</v>
      </c>
      <c r="C321" s="72">
        <f>IFERROR(VLOOKUP(A321,[1]eco_bus_institutions!B:E,2,0),"")</f>
        <v>135</v>
      </c>
      <c r="D321" s="72">
        <f>IFERROR(VLOOKUP(A321,[1]eco_bus_institutions!B:E,4,0),"")</f>
        <v>1.7220473953844</v>
      </c>
      <c r="E321" s="73">
        <f t="shared" si="20"/>
        <v>372</v>
      </c>
      <c r="F321" s="40">
        <f>IFERROR(VLOOKUP(A321,[1]eco_institutions!B:D,2,0),"")</f>
        <v>27</v>
      </c>
      <c r="G321" s="40">
        <f>IFERROR(VLOOKUP(A321,[1]eco_institutions!B:E,4,0),"")</f>
        <v>1.254163305776189</v>
      </c>
      <c r="H321" s="14">
        <f t="shared" si="21"/>
        <v>475</v>
      </c>
      <c r="I321" s="46">
        <f>IFERROR(VLOOKUP(A321,[1]fin_institutions!B:D,2,0),"")</f>
        <v>25</v>
      </c>
      <c r="J321" s="41">
        <f>IFERROR(VLOOKUP(A321,[1]fin_institutions!B:E,4,0),"")</f>
        <v>1.2468192753783709</v>
      </c>
      <c r="K321" s="41">
        <f t="shared" si="22"/>
        <v>431</v>
      </c>
      <c r="L321" s="56">
        <f>IFERROR(VLOOKUP(A321,[1]bus_institutions!B:D,2,0),"")</f>
        <v>63</v>
      </c>
      <c r="M321" s="42">
        <f>IFERROR(VLOOKUP(A321,[1]bus_institutions!B:E,4,0),"")</f>
        <v>1.871618932117268</v>
      </c>
      <c r="N321" s="23">
        <f t="shared" si="23"/>
        <v>358</v>
      </c>
      <c r="O321" s="61">
        <f>IFERROR(VLOOKUP(A321,[1]man_institutions!B:E,2,0),"")</f>
        <v>59</v>
      </c>
      <c r="P321" s="62">
        <f>IFERROR(VLOOKUP(A321,[1]man_institutions!B:E,4,0),"")</f>
        <v>2.3484265096263148</v>
      </c>
      <c r="Q321" s="63">
        <f t="shared" si="24"/>
        <v>312</v>
      </c>
    </row>
    <row r="322" spans="1:17" x14ac:dyDescent="0.25">
      <c r="A322" s="6" t="s">
        <v>1010</v>
      </c>
      <c r="B322" s="37" t="s">
        <v>1242</v>
      </c>
      <c r="C322" s="72">
        <f>IFERROR(VLOOKUP(A322,[1]eco_bus_institutions!B:E,2,0),"")</f>
        <v>55</v>
      </c>
      <c r="D322" s="72">
        <f>IFERROR(VLOOKUP(A322,[1]eco_bus_institutions!B:E,4,0),"")</f>
        <v>2.1778950654917519</v>
      </c>
      <c r="E322" s="73">
        <f t="shared" si="20"/>
        <v>205</v>
      </c>
      <c r="F322" s="40">
        <f>IFERROR(VLOOKUP(A322,[1]eco_institutions!B:D,2,0),"")</f>
        <v>38</v>
      </c>
      <c r="G322" s="40">
        <f>IFERROR(VLOOKUP(A322,[1]eco_institutions!B:E,4,0),"")</f>
        <v>2.241837247565583</v>
      </c>
      <c r="H322" s="14">
        <f t="shared" si="21"/>
        <v>106</v>
      </c>
      <c r="I322" s="46">
        <f>IFERROR(VLOOKUP(A322,[1]fin_institutions!B:D,2,0),"")</f>
        <v>10</v>
      </c>
      <c r="J322" s="41">
        <f>IFERROR(VLOOKUP(A322,[1]fin_institutions!B:E,4,0),"")</f>
        <v>1.874168579892187</v>
      </c>
      <c r="K322" s="41">
        <f t="shared" si="22"/>
        <v>182</v>
      </c>
      <c r="L322" s="56">
        <f>IFERROR(VLOOKUP(A322,[1]bus_institutions!B:D,2,0),"")</f>
        <v>3</v>
      </c>
      <c r="M322" s="42">
        <f>IFERROR(VLOOKUP(A322,[1]bus_institutions!B:E,4,0),"")</f>
        <v>1.0106432762505171</v>
      </c>
      <c r="N322" s="23">
        <f t="shared" si="23"/>
        <v>567</v>
      </c>
      <c r="O322" s="61">
        <f>IFERROR(VLOOKUP(A322,[1]man_institutions!B:E,2,0),"")</f>
        <v>11</v>
      </c>
      <c r="P322" s="62">
        <f>IFERROR(VLOOKUP(A322,[1]man_institutions!B:E,4,0),"")</f>
        <v>2.3208027523231358</v>
      </c>
      <c r="Q322" s="63">
        <f t="shared" si="24"/>
        <v>318</v>
      </c>
    </row>
    <row r="323" spans="1:17" x14ac:dyDescent="0.25">
      <c r="A323" s="6" t="s">
        <v>907</v>
      </c>
      <c r="B323" s="37" t="s">
        <v>1217</v>
      </c>
      <c r="C323" s="72">
        <f>IFERROR(VLOOKUP(A323,[1]eco_bus_institutions!B:E,2,0),"")</f>
        <v>104</v>
      </c>
      <c r="D323" s="72">
        <f>IFERROR(VLOOKUP(A323,[1]eco_bus_institutions!B:E,4,0),"")</f>
        <v>2.0847684995048481</v>
      </c>
      <c r="E323" s="73">
        <f t="shared" ref="E323:E386" si="25">_xlfn.RANK.EQ(D323,D:D)</f>
        <v>238</v>
      </c>
      <c r="F323" s="40">
        <f>IFERROR(VLOOKUP(A323,[1]eco_institutions!B:D,2,0),"")</f>
        <v>45</v>
      </c>
      <c r="G323" s="40">
        <f>IFERROR(VLOOKUP(A323,[1]eco_institutions!B:E,4,0),"")</f>
        <v>2.0704503359965658</v>
      </c>
      <c r="H323" s="14">
        <f t="shared" ref="H323:H386" si="26">IFERROR(_xlfn.RANK.EQ(G323,G:G),"")</f>
        <v>130</v>
      </c>
      <c r="I323" s="46">
        <f>IFERROR(VLOOKUP(A323,[1]fin_institutions!B:D,2,0),"")</f>
        <v>13</v>
      </c>
      <c r="J323" s="41">
        <f>IFERROR(VLOOKUP(A323,[1]fin_institutions!B:E,4,0),"")</f>
        <v>1.968548710764638</v>
      </c>
      <c r="K323" s="41">
        <f t="shared" ref="K323:K386" si="27">IFERROR(_xlfn.RANK.EQ(J323,J:J),"")</f>
        <v>162</v>
      </c>
      <c r="L323" s="56">
        <f>IFERROR(VLOOKUP(A323,[1]bus_institutions!B:D,2,0),"")</f>
        <v>32</v>
      </c>
      <c r="M323" s="42">
        <f>IFERROR(VLOOKUP(A323,[1]bus_institutions!B:E,4,0),"")</f>
        <v>1.7514291015303469</v>
      </c>
      <c r="N323" s="23">
        <f t="shared" ref="N323:N386" si="28">IFERROR(_xlfn.RANK.EQ(M323,M:M),"")</f>
        <v>401</v>
      </c>
      <c r="O323" s="61">
        <f>IFERROR(VLOOKUP(A323,[1]man_institutions!B:E,2,0),"")</f>
        <v>42</v>
      </c>
      <c r="P323" s="62">
        <f>IFERROR(VLOOKUP(A323,[1]man_institutions!B:E,4,0),"")</f>
        <v>2.4604803827697652</v>
      </c>
      <c r="Q323" s="63">
        <f t="shared" ref="Q323:Q386" si="29">IFERROR(_xlfn.RANK.EQ(P323,P:P),"")</f>
        <v>284</v>
      </c>
    </row>
    <row r="324" spans="1:17" x14ac:dyDescent="0.25">
      <c r="A324" s="6" t="s">
        <v>927</v>
      </c>
      <c r="B324" s="37" t="s">
        <v>1222</v>
      </c>
      <c r="C324" s="72">
        <f>IFERROR(VLOOKUP(A324,[1]eco_bus_institutions!B:E,2,0),"")</f>
        <v>68</v>
      </c>
      <c r="D324" s="72">
        <f>IFERROR(VLOOKUP(A324,[1]eco_bus_institutions!B:E,4,0),"")</f>
        <v>1.763808816357658</v>
      </c>
      <c r="E324" s="73">
        <f t="shared" si="25"/>
        <v>355</v>
      </c>
      <c r="F324" s="40">
        <f>IFERROR(VLOOKUP(A324,[1]eco_institutions!B:D,2,0),"")</f>
        <v>41</v>
      </c>
      <c r="G324" s="40">
        <f>IFERROR(VLOOKUP(A324,[1]eco_institutions!B:E,4,0),"")</f>
        <v>1.3535402886855921</v>
      </c>
      <c r="H324" s="14">
        <f t="shared" si="26"/>
        <v>392</v>
      </c>
      <c r="I324" s="46">
        <f>IFERROR(VLOOKUP(A324,[1]fin_institutions!B:D,2,0),"")</f>
        <v>7</v>
      </c>
      <c r="J324" s="41">
        <f>IFERROR(VLOOKUP(A324,[1]fin_institutions!B:E,4,0),"")</f>
        <v>1.471005280719083</v>
      </c>
      <c r="K324" s="41">
        <f t="shared" si="27"/>
        <v>304</v>
      </c>
      <c r="L324" s="56">
        <f>IFERROR(VLOOKUP(A324,[1]bus_institutions!B:D,2,0),"")</f>
        <v>23</v>
      </c>
      <c r="M324" s="42">
        <f>IFERROR(VLOOKUP(A324,[1]bus_institutions!B:E,4,0),"")</f>
        <v>2.4775561892132099</v>
      </c>
      <c r="N324" s="23">
        <f t="shared" si="28"/>
        <v>194</v>
      </c>
      <c r="O324" s="61">
        <f>IFERROR(VLOOKUP(A324,[1]man_institutions!B:E,2,0),"")</f>
        <v>21</v>
      </c>
      <c r="P324" s="62">
        <f>IFERROR(VLOOKUP(A324,[1]man_institutions!B:E,4,0),"")</f>
        <v>2.7848005476210891</v>
      </c>
      <c r="Q324" s="63">
        <f t="shared" si="29"/>
        <v>221</v>
      </c>
    </row>
    <row r="325" spans="1:17" x14ac:dyDescent="0.25">
      <c r="A325" s="6" t="s">
        <v>1015</v>
      </c>
      <c r="B325" s="37" t="s">
        <v>1271</v>
      </c>
      <c r="C325" s="72">
        <f>IFERROR(VLOOKUP(A325,[1]eco_bus_institutions!B:E,2,0),"")</f>
        <v>52</v>
      </c>
      <c r="D325" s="72">
        <f>IFERROR(VLOOKUP(A325,[1]eco_bus_institutions!B:E,4,0),"")</f>
        <v>2.191039032150226</v>
      </c>
      <c r="E325" s="73">
        <f t="shared" si="25"/>
        <v>203</v>
      </c>
      <c r="F325" s="40">
        <f>IFERROR(VLOOKUP(A325,[1]eco_institutions!B:D,2,0),"")</f>
        <v>45</v>
      </c>
      <c r="G325" s="40">
        <f>IFERROR(VLOOKUP(A325,[1]eco_institutions!B:E,4,0),"")</f>
        <v>2.1875704800172668</v>
      </c>
      <c r="H325" s="14">
        <f t="shared" si="26"/>
        <v>113</v>
      </c>
      <c r="I325" s="46">
        <f>IFERROR(VLOOKUP(A325,[1]fin_institutions!B:D,2,0),"")</f>
        <v>10</v>
      </c>
      <c r="J325" s="41">
        <f>IFERROR(VLOOKUP(A325,[1]fin_institutions!B:E,4,0),"")</f>
        <v>1.377886514761351</v>
      </c>
      <c r="K325" s="41">
        <f t="shared" si="27"/>
        <v>347</v>
      </c>
      <c r="L325" s="56" t="str">
        <f>IFERROR(VLOOKUP(A325,[1]bus_institutions!B:D,2,0),"")</f>
        <v/>
      </c>
      <c r="M325" s="42" t="str">
        <f>IFERROR(VLOOKUP(A325,[1]bus_institutions!B:E,4,0),"")</f>
        <v/>
      </c>
      <c r="N325" s="23" t="str">
        <f t="shared" si="28"/>
        <v/>
      </c>
      <c r="O325" s="61">
        <f>IFERROR(VLOOKUP(A325,[1]man_institutions!B:E,2,0),"")</f>
        <v>9</v>
      </c>
      <c r="P325" s="62">
        <f>IFERROR(VLOOKUP(A325,[1]man_institutions!B:E,4,0),"")</f>
        <v>1.4704998293151861</v>
      </c>
      <c r="Q325" s="63">
        <f t="shared" si="29"/>
        <v>541</v>
      </c>
    </row>
    <row r="326" spans="1:17" x14ac:dyDescent="0.25">
      <c r="A326" s="6" t="s">
        <v>916</v>
      </c>
      <c r="B326" s="37" t="s">
        <v>1248</v>
      </c>
      <c r="C326" s="72">
        <f>IFERROR(VLOOKUP(A326,[1]eco_bus_institutions!B:E,2,0),"")</f>
        <v>45</v>
      </c>
      <c r="D326" s="72">
        <f>IFERROR(VLOOKUP(A326,[1]eco_bus_institutions!B:E,4,0),"")</f>
        <v>1.6767614882571349</v>
      </c>
      <c r="E326" s="73">
        <f t="shared" si="25"/>
        <v>392</v>
      </c>
      <c r="F326" s="40">
        <f>IFERROR(VLOOKUP(A326,[1]eco_institutions!B:D,2,0),"")</f>
        <v>13</v>
      </c>
      <c r="G326" s="40">
        <f>IFERROR(VLOOKUP(A326,[1]eco_institutions!B:E,4,0),"")</f>
        <v>1.5442289453351019</v>
      </c>
      <c r="H326" s="14">
        <f t="shared" si="26"/>
        <v>281</v>
      </c>
      <c r="I326" s="46">
        <f>IFERROR(VLOOKUP(A326,[1]fin_institutions!B:D,2,0),"")</f>
        <v>15</v>
      </c>
      <c r="J326" s="41">
        <f>IFERROR(VLOOKUP(A326,[1]fin_institutions!B:E,4,0),"")</f>
        <v>1.424710729296595</v>
      </c>
      <c r="K326" s="41">
        <f t="shared" si="27"/>
        <v>326</v>
      </c>
      <c r="L326" s="56">
        <f>IFERROR(VLOOKUP(A326,[1]bus_institutions!B:D,2,0),"")</f>
        <v>18</v>
      </c>
      <c r="M326" s="42">
        <f>IFERROR(VLOOKUP(A326,[1]bus_institutions!B:E,4,0),"")</f>
        <v>1.722517574697358</v>
      </c>
      <c r="N326" s="23">
        <f t="shared" si="28"/>
        <v>416</v>
      </c>
      <c r="O326" s="61">
        <f>IFERROR(VLOOKUP(A326,[1]man_institutions!B:E,2,0),"")</f>
        <v>8</v>
      </c>
      <c r="P326" s="62">
        <f>IFERROR(VLOOKUP(A326,[1]man_institutions!B:E,4,0),"")</f>
        <v>1.810997876313166</v>
      </c>
      <c r="Q326" s="63">
        <f t="shared" si="29"/>
        <v>456</v>
      </c>
    </row>
    <row r="327" spans="1:17" x14ac:dyDescent="0.25">
      <c r="A327" s="6" t="s">
        <v>914</v>
      </c>
      <c r="B327" s="37" t="s">
        <v>1217</v>
      </c>
      <c r="C327" s="72">
        <f>IFERROR(VLOOKUP(A327,[1]eco_bus_institutions!B:E,2,0),"")</f>
        <v>103</v>
      </c>
      <c r="D327" s="72">
        <f>IFERROR(VLOOKUP(A327,[1]eco_bus_institutions!B:E,4,0),"")</f>
        <v>1.9440642820006819</v>
      </c>
      <c r="E327" s="73">
        <f t="shared" si="25"/>
        <v>290</v>
      </c>
      <c r="F327" s="40">
        <f>IFERROR(VLOOKUP(A327,[1]eco_institutions!B:D,2,0),"")</f>
        <v>20</v>
      </c>
      <c r="G327" s="40">
        <f>IFERROR(VLOOKUP(A327,[1]eco_institutions!B:E,4,0),"")</f>
        <v>1.6491712902356039</v>
      </c>
      <c r="H327" s="14">
        <f t="shared" si="26"/>
        <v>243</v>
      </c>
      <c r="I327" s="46">
        <f>IFERROR(VLOOKUP(A327,[1]fin_institutions!B:D,2,0),"")</f>
        <v>32</v>
      </c>
      <c r="J327" s="41">
        <f>IFERROR(VLOOKUP(A327,[1]fin_institutions!B:E,4,0),"")</f>
        <v>2.119517125646786</v>
      </c>
      <c r="K327" s="41">
        <f t="shared" si="27"/>
        <v>136</v>
      </c>
      <c r="L327" s="56">
        <f>IFERROR(VLOOKUP(A327,[1]bus_institutions!B:D,2,0),"")</f>
        <v>33</v>
      </c>
      <c r="M327" s="42">
        <f>IFERROR(VLOOKUP(A327,[1]bus_institutions!B:E,4,0),"")</f>
        <v>2.1033748420215339</v>
      </c>
      <c r="N327" s="23">
        <f t="shared" si="28"/>
        <v>293</v>
      </c>
      <c r="O327" s="61">
        <f>IFERROR(VLOOKUP(A327,[1]man_institutions!B:E,2,0),"")</f>
        <v>40</v>
      </c>
      <c r="P327" s="62">
        <f>IFERROR(VLOOKUP(A327,[1]man_institutions!B:E,4,0),"")</f>
        <v>2.2482989825791959</v>
      </c>
      <c r="Q327" s="63">
        <f t="shared" si="29"/>
        <v>338</v>
      </c>
    </row>
    <row r="328" spans="1:17" x14ac:dyDescent="0.25">
      <c r="A328" s="6" t="s">
        <v>878</v>
      </c>
      <c r="B328" s="37" t="s">
        <v>1237</v>
      </c>
      <c r="C328" s="72">
        <f>IFERROR(VLOOKUP(A328,[1]eco_bus_institutions!B:E,2,0),"")</f>
        <v>249</v>
      </c>
      <c r="D328" s="72">
        <f>IFERROR(VLOOKUP(A328,[1]eco_bus_institutions!B:E,4,0),"")</f>
        <v>1.9421876632649271</v>
      </c>
      <c r="E328" s="73">
        <f t="shared" si="25"/>
        <v>291</v>
      </c>
      <c r="F328" s="40">
        <f>IFERROR(VLOOKUP(A328,[1]eco_institutions!B:D,2,0),"")</f>
        <v>118</v>
      </c>
      <c r="G328" s="40">
        <f>IFERROR(VLOOKUP(A328,[1]eco_institutions!B:E,4,0),"")</f>
        <v>1.4858947078472049</v>
      </c>
      <c r="H328" s="14">
        <f t="shared" si="26"/>
        <v>311</v>
      </c>
      <c r="I328" s="46">
        <f>IFERROR(VLOOKUP(A328,[1]fin_institutions!B:D,2,0),"")</f>
        <v>61</v>
      </c>
      <c r="J328" s="41">
        <f>IFERROR(VLOOKUP(A328,[1]fin_institutions!B:E,4,0),"")</f>
        <v>1.711873451183799</v>
      </c>
      <c r="K328" s="41">
        <f t="shared" si="27"/>
        <v>217</v>
      </c>
      <c r="L328" s="56">
        <f>IFERROR(VLOOKUP(A328,[1]bus_institutions!B:D,2,0),"")</f>
        <v>50</v>
      </c>
      <c r="M328" s="42">
        <f>IFERROR(VLOOKUP(A328,[1]bus_institutions!B:E,4,0),"")</f>
        <v>2.3934481473851932</v>
      </c>
      <c r="N328" s="23">
        <f t="shared" si="28"/>
        <v>220</v>
      </c>
      <c r="O328" s="61">
        <f>IFERROR(VLOOKUP(A328,[1]man_institutions!B:E,2,0),"")</f>
        <v>66</v>
      </c>
      <c r="P328" s="62">
        <f>IFERROR(VLOOKUP(A328,[1]man_institutions!B:E,4,0),"")</f>
        <v>3.3708252428689272</v>
      </c>
      <c r="Q328" s="63">
        <f t="shared" si="29"/>
        <v>145</v>
      </c>
    </row>
    <row r="329" spans="1:17" x14ac:dyDescent="0.25">
      <c r="A329" s="6" t="s">
        <v>1014</v>
      </c>
      <c r="B329" s="37" t="s">
        <v>1271</v>
      </c>
      <c r="C329" s="72">
        <f>IFERROR(VLOOKUP(A329,[1]eco_bus_institutions!B:E,2,0),"")</f>
        <v>38</v>
      </c>
      <c r="D329" s="72">
        <f>IFERROR(VLOOKUP(A329,[1]eco_bus_institutions!B:E,4,0),"")</f>
        <v>1.9024951138660799</v>
      </c>
      <c r="E329" s="73">
        <f t="shared" si="25"/>
        <v>301</v>
      </c>
      <c r="F329" s="40">
        <f>IFERROR(VLOOKUP(A329,[1]eco_institutions!B:D,2,0),"")</f>
        <v>18</v>
      </c>
      <c r="G329" s="40">
        <f>IFERROR(VLOOKUP(A329,[1]eco_institutions!B:E,4,0),"")</f>
        <v>1.9224683652188419</v>
      </c>
      <c r="H329" s="14">
        <f t="shared" si="26"/>
        <v>167</v>
      </c>
      <c r="I329" s="46">
        <f>IFERROR(VLOOKUP(A329,[1]fin_institutions!B:D,2,0),"")</f>
        <v>7</v>
      </c>
      <c r="J329" s="41">
        <f>IFERROR(VLOOKUP(A329,[1]fin_institutions!B:E,4,0),"")</f>
        <v>1.738435365098455</v>
      </c>
      <c r="K329" s="41">
        <f t="shared" si="27"/>
        <v>206</v>
      </c>
      <c r="L329" s="56">
        <f>IFERROR(VLOOKUP(A329,[1]bus_institutions!B:D,2,0),"")</f>
        <v>13</v>
      </c>
      <c r="M329" s="42">
        <f>IFERROR(VLOOKUP(A329,[1]bus_institutions!B:E,4,0),"")</f>
        <v>1.9386771418995501</v>
      </c>
      <c r="N329" s="23">
        <f t="shared" si="28"/>
        <v>340</v>
      </c>
      <c r="O329" s="61">
        <f>IFERROR(VLOOKUP(A329,[1]man_institutions!B:E,2,0),"")</f>
        <v>12</v>
      </c>
      <c r="P329" s="62">
        <f>IFERROR(VLOOKUP(A329,[1]man_institutions!B:E,4,0),"")</f>
        <v>1.7854529876856799</v>
      </c>
      <c r="Q329" s="63">
        <f t="shared" si="29"/>
        <v>465</v>
      </c>
    </row>
    <row r="330" spans="1:17" x14ac:dyDescent="0.25">
      <c r="A330" s="6" t="s">
        <v>950</v>
      </c>
      <c r="B330" s="37" t="s">
        <v>1234</v>
      </c>
      <c r="C330" s="72">
        <f>IFERROR(VLOOKUP(A330,[1]eco_bus_institutions!B:E,2,0),"")</f>
        <v>118</v>
      </c>
      <c r="D330" s="72">
        <f>IFERROR(VLOOKUP(A330,[1]eco_bus_institutions!B:E,4,0),"")</f>
        <v>1.8148190775435371</v>
      </c>
      <c r="E330" s="73">
        <f t="shared" si="25"/>
        <v>339</v>
      </c>
      <c r="F330" s="40">
        <f>IFERROR(VLOOKUP(A330,[1]eco_institutions!B:D,2,0),"")</f>
        <v>47</v>
      </c>
      <c r="G330" s="40">
        <f>IFERROR(VLOOKUP(A330,[1]eco_institutions!B:E,4,0),"")</f>
        <v>1.370431873798877</v>
      </c>
      <c r="H330" s="14">
        <f t="shared" si="26"/>
        <v>385</v>
      </c>
      <c r="I330" s="46">
        <f>IFERROR(VLOOKUP(A330,[1]fin_institutions!B:D,2,0),"")</f>
        <v>34</v>
      </c>
      <c r="J330" s="41">
        <f>IFERROR(VLOOKUP(A330,[1]fin_institutions!B:E,4,0),"")</f>
        <v>1.45618937532596</v>
      </c>
      <c r="K330" s="41">
        <f t="shared" si="27"/>
        <v>308</v>
      </c>
      <c r="L330" s="56">
        <f>IFERROR(VLOOKUP(A330,[1]bus_institutions!B:D,2,0),"")</f>
        <v>36</v>
      </c>
      <c r="M330" s="42">
        <f>IFERROR(VLOOKUP(A330,[1]bus_institutions!B:E,4,0),"")</f>
        <v>2.3831887246951799</v>
      </c>
      <c r="N330" s="23">
        <f t="shared" si="28"/>
        <v>226</v>
      </c>
      <c r="O330" s="61">
        <f>IFERROR(VLOOKUP(A330,[1]man_institutions!B:E,2,0),"")</f>
        <v>21</v>
      </c>
      <c r="P330" s="62">
        <f>IFERROR(VLOOKUP(A330,[1]man_institutions!B:E,4,0),"")</f>
        <v>3.1679204036714448</v>
      </c>
      <c r="Q330" s="63">
        <f t="shared" si="29"/>
        <v>172</v>
      </c>
    </row>
    <row r="331" spans="1:17" x14ac:dyDescent="0.25">
      <c r="A331" s="6" t="s">
        <v>1005</v>
      </c>
      <c r="B331" s="37" t="s">
        <v>1253</v>
      </c>
      <c r="C331" s="72">
        <f>IFERROR(VLOOKUP(A331,[1]eco_bus_institutions!B:E,2,0),"")</f>
        <v>40</v>
      </c>
      <c r="D331" s="72">
        <f>IFERROR(VLOOKUP(A331,[1]eco_bus_institutions!B:E,4,0),"")</f>
        <v>1.5462861608589611</v>
      </c>
      <c r="E331" s="73">
        <f t="shared" si="25"/>
        <v>458</v>
      </c>
      <c r="F331" s="40">
        <f>IFERROR(VLOOKUP(A331,[1]eco_institutions!B:D,2,0),"")</f>
        <v>23</v>
      </c>
      <c r="G331" s="40">
        <f>IFERROR(VLOOKUP(A331,[1]eco_institutions!B:E,4,0),"")</f>
        <v>1.242814010319012</v>
      </c>
      <c r="H331" s="14">
        <f t="shared" si="26"/>
        <v>482</v>
      </c>
      <c r="I331" s="46">
        <f>IFERROR(VLOOKUP(A331,[1]fin_institutions!B:D,2,0),"")</f>
        <v>13</v>
      </c>
      <c r="J331" s="41">
        <f>IFERROR(VLOOKUP(A331,[1]fin_institutions!B:E,4,0),"")</f>
        <v>1.148078410083738</v>
      </c>
      <c r="K331" s="41">
        <f t="shared" si="27"/>
        <v>505</v>
      </c>
      <c r="L331" s="56">
        <f>IFERROR(VLOOKUP(A331,[1]bus_institutions!B:D,2,0),"")</f>
        <v>8</v>
      </c>
      <c r="M331" s="42">
        <f>IFERROR(VLOOKUP(A331,[1]bus_institutions!B:E,4,0),"")</f>
        <v>3.0833236969468798</v>
      </c>
      <c r="N331" s="23">
        <f t="shared" si="28"/>
        <v>106</v>
      </c>
      <c r="O331" s="61">
        <f>IFERROR(VLOOKUP(A331,[1]man_institutions!B:E,2,0),"")</f>
        <v>5</v>
      </c>
      <c r="P331" s="62">
        <f>IFERROR(VLOOKUP(A331,[1]man_institutions!B:E,4,0),"")</f>
        <v>1.20594275419341</v>
      </c>
      <c r="Q331" s="63">
        <f t="shared" si="29"/>
        <v>571</v>
      </c>
    </row>
    <row r="332" spans="1:17" x14ac:dyDescent="0.25">
      <c r="A332" s="6" t="s">
        <v>932</v>
      </c>
      <c r="B332" s="37" t="s">
        <v>1230</v>
      </c>
      <c r="C332" s="72">
        <f>IFERROR(VLOOKUP(A332,[1]eco_bus_institutions!B:E,2,0),"")</f>
        <v>63</v>
      </c>
      <c r="D332" s="72">
        <f>IFERROR(VLOOKUP(A332,[1]eco_bus_institutions!B:E,4,0),"")</f>
        <v>1.622105882819872</v>
      </c>
      <c r="E332" s="73">
        <f t="shared" si="25"/>
        <v>415</v>
      </c>
      <c r="F332" s="40">
        <f>IFERROR(VLOOKUP(A332,[1]eco_institutions!B:D,2,0),"")</f>
        <v>22</v>
      </c>
      <c r="G332" s="40">
        <f>IFERROR(VLOOKUP(A332,[1]eco_institutions!B:E,4,0),"")</f>
        <v>1.133026688962826</v>
      </c>
      <c r="H332" s="14">
        <f t="shared" si="26"/>
        <v>556</v>
      </c>
      <c r="I332" s="46">
        <f>IFERROR(VLOOKUP(A332,[1]fin_institutions!B:D,2,0),"")</f>
        <v>14</v>
      </c>
      <c r="J332" s="41">
        <f>IFERROR(VLOOKUP(A332,[1]fin_institutions!B:E,4,0),"")</f>
        <v>1.1858155832919419</v>
      </c>
      <c r="K332" s="41">
        <f t="shared" si="27"/>
        <v>478</v>
      </c>
      <c r="L332" s="56">
        <f>IFERROR(VLOOKUP(A332,[1]bus_institutions!B:D,2,0),"")</f>
        <v>23</v>
      </c>
      <c r="M332" s="42">
        <f>IFERROR(VLOOKUP(A332,[1]bus_institutions!B:E,4,0),"")</f>
        <v>2.0811584890567052</v>
      </c>
      <c r="N332" s="23">
        <f t="shared" si="28"/>
        <v>302</v>
      </c>
      <c r="O332" s="61">
        <f>IFERROR(VLOOKUP(A332,[1]man_institutions!B:E,2,0),"")</f>
        <v>21</v>
      </c>
      <c r="P332" s="62">
        <f>IFERROR(VLOOKUP(A332,[1]man_institutions!B:E,4,0),"")</f>
        <v>2.367836397615831</v>
      </c>
      <c r="Q332" s="63">
        <f t="shared" si="29"/>
        <v>305</v>
      </c>
    </row>
    <row r="333" spans="1:17" x14ac:dyDescent="0.25">
      <c r="A333" s="6" t="s">
        <v>968</v>
      </c>
      <c r="B333" s="37" t="s">
        <v>1230</v>
      </c>
      <c r="C333" s="72">
        <f>IFERROR(VLOOKUP(A333,[1]eco_bus_institutions!B:E,2,0),"")</f>
        <v>52</v>
      </c>
      <c r="D333" s="72">
        <f>IFERROR(VLOOKUP(A333,[1]eco_bus_institutions!B:E,4,0),"")</f>
        <v>1.715902833237513</v>
      </c>
      <c r="E333" s="73">
        <f t="shared" si="25"/>
        <v>375</v>
      </c>
      <c r="F333" s="40">
        <f>IFERROR(VLOOKUP(A333,[1]eco_institutions!B:D,2,0),"")</f>
        <v>9</v>
      </c>
      <c r="G333" s="40">
        <f>IFERROR(VLOOKUP(A333,[1]eco_institutions!B:E,4,0),"")</f>
        <v>1.082519333366081</v>
      </c>
      <c r="H333" s="14">
        <f t="shared" si="26"/>
        <v>579</v>
      </c>
      <c r="I333" s="46">
        <f>IFERROR(VLOOKUP(A333,[1]fin_institutions!B:D,2,0),"")</f>
        <v>4</v>
      </c>
      <c r="J333" s="41">
        <f>IFERROR(VLOOKUP(A333,[1]fin_institutions!B:E,4,0),"")</f>
        <v>1.2675360925663579</v>
      </c>
      <c r="K333" s="41">
        <f t="shared" si="27"/>
        <v>412</v>
      </c>
      <c r="L333" s="56">
        <f>IFERROR(VLOOKUP(A333,[1]bus_institutions!B:D,2,0),"")</f>
        <v>24</v>
      </c>
      <c r="M333" s="42">
        <f>IFERROR(VLOOKUP(A333,[1]bus_institutions!B:E,4,0),"")</f>
        <v>2.0827634117764982</v>
      </c>
      <c r="N333" s="23">
        <f t="shared" si="28"/>
        <v>301</v>
      </c>
      <c r="O333" s="61">
        <f>IFERROR(VLOOKUP(A333,[1]man_institutions!B:E,2,0),"")</f>
        <v>32</v>
      </c>
      <c r="P333" s="62">
        <f>IFERROR(VLOOKUP(A333,[1]man_institutions!B:E,4,0),"")</f>
        <v>2.1159717467094792</v>
      </c>
      <c r="Q333" s="63">
        <f t="shared" si="29"/>
        <v>373</v>
      </c>
    </row>
    <row r="334" spans="1:17" x14ac:dyDescent="0.25">
      <c r="A334" s="6" t="s">
        <v>991</v>
      </c>
      <c r="B334" s="37" t="s">
        <v>1229</v>
      </c>
      <c r="C334" s="72">
        <f>IFERROR(VLOOKUP(A334,[1]eco_bus_institutions!B:E,2,0),"")</f>
        <v>91</v>
      </c>
      <c r="D334" s="72">
        <f>IFERROR(VLOOKUP(A334,[1]eco_bus_institutions!B:E,4,0),"")</f>
        <v>1.999796648644375</v>
      </c>
      <c r="E334" s="73">
        <f t="shared" si="25"/>
        <v>264</v>
      </c>
      <c r="F334" s="40">
        <f>IFERROR(VLOOKUP(A334,[1]eco_institutions!B:D,2,0),"")</f>
        <v>45</v>
      </c>
      <c r="G334" s="40">
        <f>IFERROR(VLOOKUP(A334,[1]eco_institutions!B:E,4,0),"")</f>
        <v>2.3190972182112799</v>
      </c>
      <c r="H334" s="14">
        <f t="shared" si="26"/>
        <v>97</v>
      </c>
      <c r="I334" s="46">
        <f>IFERROR(VLOOKUP(A334,[1]fin_institutions!B:D,2,0),"")</f>
        <v>8</v>
      </c>
      <c r="J334" s="41">
        <f>IFERROR(VLOOKUP(A334,[1]fin_institutions!B:E,4,0),"")</f>
        <v>1.096453522687042</v>
      </c>
      <c r="K334" s="41">
        <f t="shared" si="27"/>
        <v>528</v>
      </c>
      <c r="L334" s="56">
        <f>IFERROR(VLOOKUP(A334,[1]bus_institutions!B:D,2,0),"")</f>
        <v>32</v>
      </c>
      <c r="M334" s="42">
        <f>IFERROR(VLOOKUP(A334,[1]bus_institutions!B:E,4,0),"")</f>
        <v>1.610955293368002</v>
      </c>
      <c r="N334" s="23">
        <f t="shared" si="28"/>
        <v>455</v>
      </c>
      <c r="O334" s="61">
        <f>IFERROR(VLOOKUP(A334,[1]man_institutions!B:E,2,0),"")</f>
        <v>28</v>
      </c>
      <c r="P334" s="62">
        <f>IFERROR(VLOOKUP(A334,[1]man_institutions!B:E,4,0),"")</f>
        <v>2.066210024583484</v>
      </c>
      <c r="Q334" s="63">
        <f t="shared" si="29"/>
        <v>389</v>
      </c>
    </row>
    <row r="335" spans="1:17" x14ac:dyDescent="0.25">
      <c r="A335" s="6" t="s">
        <v>993</v>
      </c>
      <c r="B335" s="37" t="s">
        <v>1249</v>
      </c>
      <c r="C335" s="72">
        <f>IFERROR(VLOOKUP(A335,[1]eco_bus_institutions!B:E,2,0),"")</f>
        <v>86</v>
      </c>
      <c r="D335" s="72">
        <f>IFERROR(VLOOKUP(A335,[1]eco_bus_institutions!B:E,4,0),"")</f>
        <v>1.958535605430485</v>
      </c>
      <c r="E335" s="73">
        <f t="shared" si="25"/>
        <v>284</v>
      </c>
      <c r="F335" s="40">
        <f>IFERROR(VLOOKUP(A335,[1]eco_institutions!B:D,2,0),"")</f>
        <v>72</v>
      </c>
      <c r="G335" s="40">
        <f>IFERROR(VLOOKUP(A335,[1]eco_institutions!B:E,4,0),"")</f>
        <v>1.9330449323833141</v>
      </c>
      <c r="H335" s="14">
        <f t="shared" si="26"/>
        <v>163</v>
      </c>
      <c r="I335" s="46">
        <f>IFERROR(VLOOKUP(A335,[1]fin_institutions!B:D,2,0),"")</f>
        <v>20</v>
      </c>
      <c r="J335" s="41">
        <f>IFERROR(VLOOKUP(A335,[1]fin_institutions!B:E,4,0),"")</f>
        <v>1.282925866304405</v>
      </c>
      <c r="K335" s="41">
        <f t="shared" si="27"/>
        <v>405</v>
      </c>
      <c r="L335" s="56">
        <f>IFERROR(VLOOKUP(A335,[1]bus_institutions!B:D,2,0),"")</f>
        <v>5</v>
      </c>
      <c r="M335" s="42">
        <f>IFERROR(VLOOKUP(A335,[1]bus_institutions!B:E,4,0),"")</f>
        <v>1.287601319418743</v>
      </c>
      <c r="N335" s="23">
        <f t="shared" si="28"/>
        <v>531</v>
      </c>
      <c r="O335" s="61">
        <f>IFERROR(VLOOKUP(A335,[1]man_institutions!B:E,2,0),"")</f>
        <v>5</v>
      </c>
      <c r="P335" s="62">
        <f>IFERROR(VLOOKUP(A335,[1]man_institutions!B:E,4,0),"")</f>
        <v>1.2160738735927801</v>
      </c>
      <c r="Q335" s="63">
        <f t="shared" si="29"/>
        <v>570</v>
      </c>
    </row>
    <row r="336" spans="1:17" x14ac:dyDescent="0.25">
      <c r="A336" s="6" t="s">
        <v>983</v>
      </c>
      <c r="B336" s="37" t="s">
        <v>1271</v>
      </c>
      <c r="C336" s="72">
        <f>IFERROR(VLOOKUP(A336,[1]eco_bus_institutions!B:E,2,0),"")</f>
        <v>45</v>
      </c>
      <c r="D336" s="72">
        <f>IFERROR(VLOOKUP(A336,[1]eco_bus_institutions!B:E,4,0),"")</f>
        <v>1.82110309850399</v>
      </c>
      <c r="E336" s="73">
        <f t="shared" si="25"/>
        <v>334</v>
      </c>
      <c r="F336" s="40">
        <f>IFERROR(VLOOKUP(A336,[1]eco_institutions!B:D,2,0),"")</f>
        <v>24</v>
      </c>
      <c r="G336" s="40">
        <f>IFERROR(VLOOKUP(A336,[1]eco_institutions!B:E,4,0),"")</f>
        <v>1.9723188417153541</v>
      </c>
      <c r="H336" s="14">
        <f t="shared" si="26"/>
        <v>156</v>
      </c>
      <c r="I336" s="46" t="str">
        <f>IFERROR(VLOOKUP(A336,[1]fin_institutions!B:D,2,0),"")</f>
        <v/>
      </c>
      <c r="J336" s="41" t="str">
        <f>IFERROR(VLOOKUP(A336,[1]fin_institutions!B:E,4,0),"")</f>
        <v/>
      </c>
      <c r="K336" s="41" t="str">
        <f t="shared" si="27"/>
        <v/>
      </c>
      <c r="L336" s="56">
        <f>IFERROR(VLOOKUP(A336,[1]bus_institutions!B:D,2,0),"")</f>
        <v>15</v>
      </c>
      <c r="M336" s="42">
        <f>IFERROR(VLOOKUP(A336,[1]bus_institutions!B:E,4,0),"")</f>
        <v>1.6675368140570559</v>
      </c>
      <c r="N336" s="23">
        <f t="shared" si="28"/>
        <v>436</v>
      </c>
      <c r="O336" s="61">
        <f>IFERROR(VLOOKUP(A336,[1]man_institutions!B:E,2,0),"")</f>
        <v>17</v>
      </c>
      <c r="P336" s="62">
        <f>IFERROR(VLOOKUP(A336,[1]man_institutions!B:E,4,0),"")</f>
        <v>1.599741844768233</v>
      </c>
      <c r="Q336" s="63">
        <f t="shared" si="29"/>
        <v>508</v>
      </c>
    </row>
    <row r="337" spans="1:17" x14ac:dyDescent="0.25">
      <c r="A337" s="6" t="s">
        <v>953</v>
      </c>
      <c r="B337" s="37" t="s">
        <v>1220</v>
      </c>
      <c r="C337" s="72">
        <f>IFERROR(VLOOKUP(A337,[1]eco_bus_institutions!B:E,2,0),"")</f>
        <v>41</v>
      </c>
      <c r="D337" s="72">
        <f>IFERROR(VLOOKUP(A337,[1]eco_bus_institutions!B:E,4,0),"")</f>
        <v>1.759515084716895</v>
      </c>
      <c r="E337" s="73">
        <f t="shared" si="25"/>
        <v>356</v>
      </c>
      <c r="F337" s="40">
        <f>IFERROR(VLOOKUP(A337,[1]eco_institutions!B:D,2,0),"")</f>
        <v>12</v>
      </c>
      <c r="G337" s="40">
        <f>IFERROR(VLOOKUP(A337,[1]eco_institutions!B:E,4,0),"")</f>
        <v>1.3105987311020499</v>
      </c>
      <c r="H337" s="14">
        <f t="shared" si="26"/>
        <v>425</v>
      </c>
      <c r="I337" s="46">
        <f>IFERROR(VLOOKUP(A337,[1]fin_institutions!B:D,2,0),"")</f>
        <v>7</v>
      </c>
      <c r="J337" s="41">
        <f>IFERROR(VLOOKUP(A337,[1]fin_institutions!B:E,4,0),"")</f>
        <v>1.1420837938218591</v>
      </c>
      <c r="K337" s="41">
        <f t="shared" si="27"/>
        <v>509</v>
      </c>
      <c r="L337" s="56">
        <f>IFERROR(VLOOKUP(A337,[1]bus_institutions!B:D,2,0),"")</f>
        <v>21</v>
      </c>
      <c r="M337" s="42">
        <f>IFERROR(VLOOKUP(A337,[1]bus_institutions!B:E,4,0),"")</f>
        <v>2.1927507063326099</v>
      </c>
      <c r="N337" s="23">
        <f t="shared" si="28"/>
        <v>272</v>
      </c>
      <c r="O337" s="61">
        <f>IFERROR(VLOOKUP(A337,[1]man_institutions!B:E,2,0),"")</f>
        <v>21</v>
      </c>
      <c r="P337" s="62">
        <f>IFERROR(VLOOKUP(A337,[1]man_institutions!B:E,4,0),"")</f>
        <v>2.5669279986965021</v>
      </c>
      <c r="Q337" s="63">
        <f t="shared" si="29"/>
        <v>260</v>
      </c>
    </row>
    <row r="338" spans="1:17" x14ac:dyDescent="0.25">
      <c r="A338" s="6" t="s">
        <v>981</v>
      </c>
      <c r="B338" s="37" t="s">
        <v>1230</v>
      </c>
      <c r="C338" s="72">
        <f>IFERROR(VLOOKUP(A338,[1]eco_bus_institutions!B:E,2,0),"")</f>
        <v>148</v>
      </c>
      <c r="D338" s="72">
        <f>IFERROR(VLOOKUP(A338,[1]eco_bus_institutions!B:E,4,0),"")</f>
        <v>1.7355955114492909</v>
      </c>
      <c r="E338" s="73">
        <f t="shared" si="25"/>
        <v>363</v>
      </c>
      <c r="F338" s="40">
        <f>IFERROR(VLOOKUP(A338,[1]eco_institutions!B:D,2,0),"")</f>
        <v>52</v>
      </c>
      <c r="G338" s="40">
        <f>IFERROR(VLOOKUP(A338,[1]eco_institutions!B:E,4,0),"")</f>
        <v>1.561595917199591</v>
      </c>
      <c r="H338" s="14">
        <f t="shared" si="26"/>
        <v>273</v>
      </c>
      <c r="I338" s="46">
        <f>IFERROR(VLOOKUP(A338,[1]fin_institutions!B:D,2,0),"")</f>
        <v>29</v>
      </c>
      <c r="J338" s="41">
        <f>IFERROR(VLOOKUP(A338,[1]fin_institutions!B:E,4,0),"")</f>
        <v>1.8476336089370029</v>
      </c>
      <c r="K338" s="41">
        <f t="shared" si="27"/>
        <v>187</v>
      </c>
      <c r="L338" s="56">
        <f>IFERROR(VLOOKUP(A338,[1]bus_institutions!B:D,2,0),"")</f>
        <v>44</v>
      </c>
      <c r="M338" s="42">
        <f>IFERROR(VLOOKUP(A338,[1]bus_institutions!B:E,4,0),"")</f>
        <v>1.6194749941120039</v>
      </c>
      <c r="N338" s="23">
        <f t="shared" si="28"/>
        <v>449</v>
      </c>
      <c r="O338" s="61">
        <f>IFERROR(VLOOKUP(A338,[1]man_institutions!B:E,2,0),"")</f>
        <v>65</v>
      </c>
      <c r="P338" s="62">
        <f>IFERROR(VLOOKUP(A338,[1]man_institutions!B:E,4,0),"")</f>
        <v>2.2685553986233251</v>
      </c>
      <c r="Q338" s="63">
        <f t="shared" si="29"/>
        <v>326</v>
      </c>
    </row>
    <row r="339" spans="1:17" x14ac:dyDescent="0.25">
      <c r="A339" s="6" t="s">
        <v>911</v>
      </c>
      <c r="B339" s="37" t="s">
        <v>1218</v>
      </c>
      <c r="C339" s="72">
        <f>IFERROR(VLOOKUP(A339,[1]eco_bus_institutions!B:E,2,0),"")</f>
        <v>64</v>
      </c>
      <c r="D339" s="72">
        <f>IFERROR(VLOOKUP(A339,[1]eco_bus_institutions!B:E,4,0),"")</f>
        <v>1.8391584728315269</v>
      </c>
      <c r="E339" s="73">
        <f t="shared" si="25"/>
        <v>324</v>
      </c>
      <c r="F339" s="40">
        <f>IFERROR(VLOOKUP(A339,[1]eco_institutions!B:D,2,0),"")</f>
        <v>34</v>
      </c>
      <c r="G339" s="40">
        <f>IFERROR(VLOOKUP(A339,[1]eco_institutions!B:E,4,0),"")</f>
        <v>1.362450367601399</v>
      </c>
      <c r="H339" s="14">
        <f t="shared" si="26"/>
        <v>390</v>
      </c>
      <c r="I339" s="46">
        <f>IFERROR(VLOOKUP(A339,[1]fin_institutions!B:D,2,0),"")</f>
        <v>5</v>
      </c>
      <c r="J339" s="41">
        <f>IFERROR(VLOOKUP(A339,[1]fin_institutions!B:E,4,0),"")</f>
        <v>1.7935014244041469</v>
      </c>
      <c r="K339" s="41">
        <f t="shared" si="27"/>
        <v>194</v>
      </c>
      <c r="L339" s="56">
        <f>IFERROR(VLOOKUP(A339,[1]bus_institutions!B:D,2,0),"")</f>
        <v>29</v>
      </c>
      <c r="M339" s="42">
        <f>IFERROR(VLOOKUP(A339,[1]bus_institutions!B:E,4,0),"")</f>
        <v>1.7626576760307491</v>
      </c>
      <c r="N339" s="23">
        <f t="shared" si="28"/>
        <v>397</v>
      </c>
      <c r="O339" s="61">
        <f>IFERROR(VLOOKUP(A339,[1]man_institutions!B:E,2,0),"")</f>
        <v>25</v>
      </c>
      <c r="P339" s="62">
        <f>IFERROR(VLOOKUP(A339,[1]man_institutions!B:E,4,0),"")</f>
        <v>2.5498083887365879</v>
      </c>
      <c r="Q339" s="63">
        <f t="shared" si="29"/>
        <v>262</v>
      </c>
    </row>
    <row r="340" spans="1:17" x14ac:dyDescent="0.25">
      <c r="A340" s="6" t="s">
        <v>961</v>
      </c>
      <c r="B340" s="37" t="s">
        <v>1217</v>
      </c>
      <c r="C340" s="72">
        <f>IFERROR(VLOOKUP(A340,[1]eco_bus_institutions!B:E,2,0),"")</f>
        <v>71</v>
      </c>
      <c r="D340" s="72">
        <f>IFERROR(VLOOKUP(A340,[1]eco_bus_institutions!B:E,4,0),"")</f>
        <v>1.9241564338037529</v>
      </c>
      <c r="E340" s="73">
        <f t="shared" si="25"/>
        <v>297</v>
      </c>
      <c r="F340" s="40">
        <f>IFERROR(VLOOKUP(A340,[1]eco_institutions!B:D,2,0),"")</f>
        <v>40</v>
      </c>
      <c r="G340" s="40">
        <f>IFERROR(VLOOKUP(A340,[1]eco_institutions!B:E,4,0),"")</f>
        <v>1.6189881581446599</v>
      </c>
      <c r="H340" s="14">
        <f t="shared" si="26"/>
        <v>256</v>
      </c>
      <c r="I340" s="46">
        <f>IFERROR(VLOOKUP(A340,[1]fin_institutions!B:D,2,0),"")</f>
        <v>6</v>
      </c>
      <c r="J340" s="41">
        <f>IFERROR(VLOOKUP(A340,[1]fin_institutions!B:E,4,0),"")</f>
        <v>2.6865174022132519</v>
      </c>
      <c r="K340" s="41">
        <f t="shared" si="27"/>
        <v>89</v>
      </c>
      <c r="L340" s="56">
        <f>IFERROR(VLOOKUP(A340,[1]bus_institutions!B:D,2,0),"")</f>
        <v>21</v>
      </c>
      <c r="M340" s="42">
        <f>IFERROR(VLOOKUP(A340,[1]bus_institutions!B:E,4,0),"")</f>
        <v>2.403649129355578</v>
      </c>
      <c r="N340" s="23">
        <f t="shared" si="28"/>
        <v>215</v>
      </c>
      <c r="O340" s="61">
        <f>IFERROR(VLOOKUP(A340,[1]man_institutions!B:E,2,0),"")</f>
        <v>18</v>
      </c>
      <c r="P340" s="62">
        <f>IFERROR(VLOOKUP(A340,[1]man_institutions!B:E,4,0),"")</f>
        <v>2.4969371763361008</v>
      </c>
      <c r="Q340" s="63">
        <f t="shared" si="29"/>
        <v>273</v>
      </c>
    </row>
    <row r="341" spans="1:17" x14ac:dyDescent="0.25">
      <c r="A341" s="6" t="s">
        <v>947</v>
      </c>
      <c r="B341" s="37" t="s">
        <v>1224</v>
      </c>
      <c r="C341" s="72">
        <f>IFERROR(VLOOKUP(A341,[1]eco_bus_institutions!B:E,2,0),"")</f>
        <v>84</v>
      </c>
      <c r="D341" s="72">
        <f>IFERROR(VLOOKUP(A341,[1]eco_bus_institutions!B:E,4,0),"")</f>
        <v>1.8850229919288319</v>
      </c>
      <c r="E341" s="73">
        <f t="shared" si="25"/>
        <v>305</v>
      </c>
      <c r="F341" s="40">
        <f>IFERROR(VLOOKUP(A341,[1]eco_institutions!B:D,2,0),"")</f>
        <v>38</v>
      </c>
      <c r="G341" s="40">
        <f>IFERROR(VLOOKUP(A341,[1]eco_institutions!B:E,4,0),"")</f>
        <v>1.574048331619351</v>
      </c>
      <c r="H341" s="14">
        <f t="shared" si="26"/>
        <v>269</v>
      </c>
      <c r="I341" s="46">
        <f>IFERROR(VLOOKUP(A341,[1]fin_institutions!B:D,2,0),"")</f>
        <v>17</v>
      </c>
      <c r="J341" s="41">
        <f>IFERROR(VLOOKUP(A341,[1]fin_institutions!B:E,4,0),"")</f>
        <v>1.5940198483938439</v>
      </c>
      <c r="K341" s="41">
        <f t="shared" si="27"/>
        <v>247</v>
      </c>
      <c r="L341" s="56">
        <f>IFERROR(VLOOKUP(A341,[1]bus_institutions!B:D,2,0),"")</f>
        <v>30</v>
      </c>
      <c r="M341" s="42">
        <f>IFERROR(VLOOKUP(A341,[1]bus_institutions!B:E,4,0),"")</f>
        <v>2.4509573492421288</v>
      </c>
      <c r="N341" s="23">
        <f t="shared" si="28"/>
        <v>201</v>
      </c>
      <c r="O341" s="61">
        <f>IFERROR(VLOOKUP(A341,[1]man_institutions!B:E,2,0),"")</f>
        <v>28</v>
      </c>
      <c r="P341" s="62">
        <f>IFERROR(VLOOKUP(A341,[1]man_institutions!B:E,4,0),"")</f>
        <v>2.5867592075014998</v>
      </c>
      <c r="Q341" s="63">
        <f t="shared" si="29"/>
        <v>258</v>
      </c>
    </row>
    <row r="342" spans="1:17" x14ac:dyDescent="0.25">
      <c r="A342" s="6" t="s">
        <v>939</v>
      </c>
      <c r="B342" s="37" t="s">
        <v>1237</v>
      </c>
      <c r="C342" s="72">
        <f>IFERROR(VLOOKUP(A342,[1]eco_bus_institutions!B:E,2,0),"")</f>
        <v>167</v>
      </c>
      <c r="D342" s="72">
        <f>IFERROR(VLOOKUP(A342,[1]eco_bus_institutions!B:E,4,0),"")</f>
        <v>1.8037746577967599</v>
      </c>
      <c r="E342" s="73">
        <f t="shared" si="25"/>
        <v>345</v>
      </c>
      <c r="F342" s="40">
        <f>IFERROR(VLOOKUP(A342,[1]eco_institutions!B:D,2,0),"")</f>
        <v>59</v>
      </c>
      <c r="G342" s="40">
        <f>IFERROR(VLOOKUP(A342,[1]eco_institutions!B:E,4,0),"")</f>
        <v>1.7294596512038301</v>
      </c>
      <c r="H342" s="14">
        <f t="shared" si="26"/>
        <v>210</v>
      </c>
      <c r="I342" s="46">
        <f>IFERROR(VLOOKUP(A342,[1]fin_institutions!B:D,2,0),"")</f>
        <v>47</v>
      </c>
      <c r="J342" s="41">
        <f>IFERROR(VLOOKUP(A342,[1]fin_institutions!B:E,4,0),"")</f>
        <v>1.319068884066654</v>
      </c>
      <c r="K342" s="41">
        <f t="shared" si="27"/>
        <v>385</v>
      </c>
      <c r="L342" s="56">
        <f>IFERROR(VLOOKUP(A342,[1]bus_institutions!B:D,2,0),"")</f>
        <v>41</v>
      </c>
      <c r="M342" s="42">
        <f>IFERROR(VLOOKUP(A342,[1]bus_institutions!B:E,4,0),"")</f>
        <v>2.1897553611210179</v>
      </c>
      <c r="N342" s="23">
        <f t="shared" si="28"/>
        <v>275</v>
      </c>
      <c r="O342" s="61">
        <f>IFERROR(VLOOKUP(A342,[1]man_institutions!B:E,2,0),"")</f>
        <v>49</v>
      </c>
      <c r="P342" s="62">
        <f>IFERROR(VLOOKUP(A342,[1]man_institutions!B:E,4,0),"")</f>
        <v>2.1652866741871968</v>
      </c>
      <c r="Q342" s="63">
        <f t="shared" si="29"/>
        <v>361</v>
      </c>
    </row>
    <row r="343" spans="1:17" x14ac:dyDescent="0.25">
      <c r="A343" s="6" t="s">
        <v>959</v>
      </c>
      <c r="B343" s="37" t="s">
        <v>1224</v>
      </c>
      <c r="C343" s="72">
        <f>IFERROR(VLOOKUP(A343,[1]eco_bus_institutions!B:E,2,0),"")</f>
        <v>61</v>
      </c>
      <c r="D343" s="72">
        <f>IFERROR(VLOOKUP(A343,[1]eco_bus_institutions!B:E,4,0),"")</f>
        <v>2.0047909013521679</v>
      </c>
      <c r="E343" s="73">
        <f t="shared" si="25"/>
        <v>262</v>
      </c>
      <c r="F343" s="40">
        <f>IFERROR(VLOOKUP(A343,[1]eco_institutions!B:D,2,0),"")</f>
        <v>32</v>
      </c>
      <c r="G343" s="40">
        <f>IFERROR(VLOOKUP(A343,[1]eco_institutions!B:E,4,0),"")</f>
        <v>2.117762956142863</v>
      </c>
      <c r="H343" s="14">
        <f t="shared" si="26"/>
        <v>124</v>
      </c>
      <c r="I343" s="46">
        <f>IFERROR(VLOOKUP(A343,[1]fin_institutions!B:D,2,0),"")</f>
        <v>9</v>
      </c>
      <c r="J343" s="41">
        <f>IFERROR(VLOOKUP(A343,[1]fin_institutions!B:E,4,0),"")</f>
        <v>1.2318512081926749</v>
      </c>
      <c r="K343" s="41">
        <f t="shared" si="27"/>
        <v>441</v>
      </c>
      <c r="L343" s="56">
        <f>IFERROR(VLOOKUP(A343,[1]bus_institutions!B:D,2,0),"")</f>
        <v>19</v>
      </c>
      <c r="M343" s="42">
        <f>IFERROR(VLOOKUP(A343,[1]bus_institutions!B:E,4,0),"")</f>
        <v>1.8138283666112061</v>
      </c>
      <c r="N343" s="23">
        <f t="shared" si="28"/>
        <v>379</v>
      </c>
      <c r="O343" s="61">
        <f>IFERROR(VLOOKUP(A343,[1]man_institutions!B:E,2,0),"")</f>
        <v>15</v>
      </c>
      <c r="P343" s="62">
        <f>IFERROR(VLOOKUP(A343,[1]man_institutions!B:E,4,0),"")</f>
        <v>2.2665845861084288</v>
      </c>
      <c r="Q343" s="63">
        <f t="shared" si="29"/>
        <v>328</v>
      </c>
    </row>
    <row r="344" spans="1:17" x14ac:dyDescent="0.25">
      <c r="A344" s="6" t="s">
        <v>1017</v>
      </c>
      <c r="B344" s="37" t="s">
        <v>1230</v>
      </c>
      <c r="C344" s="72">
        <f>IFERROR(VLOOKUP(A344,[1]eco_bus_institutions!B:E,2,0),"")</f>
        <v>253</v>
      </c>
      <c r="D344" s="72">
        <f>IFERROR(VLOOKUP(A344,[1]eco_bus_institutions!B:E,4,0),"")</f>
        <v>1.8462643934504259</v>
      </c>
      <c r="E344" s="73">
        <f t="shared" si="25"/>
        <v>322</v>
      </c>
      <c r="F344" s="40">
        <f>IFERROR(VLOOKUP(A344,[1]eco_institutions!B:D,2,0),"")</f>
        <v>180</v>
      </c>
      <c r="G344" s="40">
        <f>IFERROR(VLOOKUP(A344,[1]eco_institutions!B:E,4,0),"")</f>
        <v>1.729249833254576</v>
      </c>
      <c r="H344" s="14">
        <f t="shared" si="26"/>
        <v>211</v>
      </c>
      <c r="I344" s="46">
        <f>IFERROR(VLOOKUP(A344,[1]fin_institutions!B:D,2,0),"")</f>
        <v>40</v>
      </c>
      <c r="J344" s="41">
        <f>IFERROR(VLOOKUP(A344,[1]fin_institutions!B:E,4,0),"")</f>
        <v>1.697287807440486</v>
      </c>
      <c r="K344" s="41">
        <f t="shared" si="27"/>
        <v>222</v>
      </c>
      <c r="L344" s="56">
        <f>IFERROR(VLOOKUP(A344,[1]bus_institutions!B:D,2,0),"")</f>
        <v>42</v>
      </c>
      <c r="M344" s="42">
        <f>IFERROR(VLOOKUP(A344,[1]bus_institutions!B:E,4,0),"")</f>
        <v>1.875968089848439</v>
      </c>
      <c r="N344" s="23">
        <f t="shared" si="28"/>
        <v>356</v>
      </c>
      <c r="O344" s="61">
        <f>IFERROR(VLOOKUP(A344,[1]man_institutions!B:E,2,0),"")</f>
        <v>39</v>
      </c>
      <c r="P344" s="62">
        <f>IFERROR(VLOOKUP(A344,[1]man_institutions!B:E,4,0),"")</f>
        <v>2.5173449298051729</v>
      </c>
      <c r="Q344" s="63">
        <f t="shared" si="29"/>
        <v>270</v>
      </c>
    </row>
    <row r="345" spans="1:17" x14ac:dyDescent="0.25">
      <c r="A345" s="6" t="s">
        <v>1000</v>
      </c>
      <c r="B345" s="37" t="s">
        <v>1224</v>
      </c>
      <c r="C345" s="72">
        <f>IFERROR(VLOOKUP(A345,[1]eco_bus_institutions!B:E,2,0),"")</f>
        <v>72</v>
      </c>
      <c r="D345" s="72">
        <f>IFERROR(VLOOKUP(A345,[1]eco_bus_institutions!B:E,4,0),"")</f>
        <v>1.960579194543278</v>
      </c>
      <c r="E345" s="73">
        <f t="shared" si="25"/>
        <v>280</v>
      </c>
      <c r="F345" s="40">
        <f>IFERROR(VLOOKUP(A345,[1]eco_institutions!B:D,2,0),"")</f>
        <v>37</v>
      </c>
      <c r="G345" s="40">
        <f>IFERROR(VLOOKUP(A345,[1]eco_institutions!B:E,4,0),"")</f>
        <v>2.0347485078405172</v>
      </c>
      <c r="H345" s="14">
        <f t="shared" si="26"/>
        <v>140</v>
      </c>
      <c r="I345" s="46">
        <f>IFERROR(VLOOKUP(A345,[1]fin_institutions!B:D,2,0),"")</f>
        <v>17</v>
      </c>
      <c r="J345" s="41">
        <f>IFERROR(VLOOKUP(A345,[1]fin_institutions!B:E,4,0),"")</f>
        <v>1.5459954724077449</v>
      </c>
      <c r="K345" s="41">
        <f t="shared" si="27"/>
        <v>266</v>
      </c>
      <c r="L345" s="56">
        <f>IFERROR(VLOOKUP(A345,[1]bus_institutions!B:D,2,0),"")</f>
        <v>14</v>
      </c>
      <c r="M345" s="42">
        <f>IFERROR(VLOOKUP(A345,[1]bus_institutions!B:E,4,0),"")</f>
        <v>1.949655275946462</v>
      </c>
      <c r="N345" s="23">
        <f t="shared" si="28"/>
        <v>336</v>
      </c>
      <c r="O345" s="61">
        <f>IFERROR(VLOOKUP(A345,[1]man_institutions!B:E,2,0),"")</f>
        <v>17</v>
      </c>
      <c r="P345" s="62">
        <f>IFERROR(VLOOKUP(A345,[1]man_institutions!B:E,4,0),"")</f>
        <v>2.00745651329445</v>
      </c>
      <c r="Q345" s="63">
        <f t="shared" si="29"/>
        <v>407</v>
      </c>
    </row>
    <row r="346" spans="1:17" x14ac:dyDescent="0.25">
      <c r="A346" s="6" t="s">
        <v>969</v>
      </c>
      <c r="B346" s="37" t="s">
        <v>1230</v>
      </c>
      <c r="C346" s="72">
        <f>IFERROR(VLOOKUP(A346,[1]eco_bus_institutions!B:E,2,0),"")</f>
        <v>237</v>
      </c>
      <c r="D346" s="72">
        <f>IFERROR(VLOOKUP(A346,[1]eco_bus_institutions!B:E,4,0),"")</f>
        <v>1.6449599353134881</v>
      </c>
      <c r="E346" s="73">
        <f t="shared" si="25"/>
        <v>406</v>
      </c>
      <c r="F346" s="40">
        <f>IFERROR(VLOOKUP(A346,[1]eco_institutions!B:D,2,0),"")</f>
        <v>156</v>
      </c>
      <c r="G346" s="40">
        <f>IFERROR(VLOOKUP(A346,[1]eco_institutions!B:E,4,0),"")</f>
        <v>1.4057720695875631</v>
      </c>
      <c r="H346" s="14">
        <f t="shared" si="26"/>
        <v>357</v>
      </c>
      <c r="I346" s="46">
        <f>IFERROR(VLOOKUP(A346,[1]fin_institutions!B:D,2,0),"")</f>
        <v>75</v>
      </c>
      <c r="J346" s="41">
        <f>IFERROR(VLOOKUP(A346,[1]fin_institutions!B:E,4,0),"")</f>
        <v>1.471455441665003</v>
      </c>
      <c r="K346" s="41">
        <f t="shared" si="27"/>
        <v>303</v>
      </c>
      <c r="L346" s="56">
        <f>IFERROR(VLOOKUP(A346,[1]bus_institutions!B:D,2,0),"")</f>
        <v>39</v>
      </c>
      <c r="M346" s="42">
        <f>IFERROR(VLOOKUP(A346,[1]bus_institutions!B:E,4,0),"")</f>
        <v>1.541516794962982</v>
      </c>
      <c r="N346" s="23">
        <f t="shared" si="28"/>
        <v>476</v>
      </c>
      <c r="O346" s="61">
        <f>IFERROR(VLOOKUP(A346,[1]man_institutions!B:E,2,0),"")</f>
        <v>37</v>
      </c>
      <c r="P346" s="62">
        <f>IFERROR(VLOOKUP(A346,[1]man_institutions!B:E,4,0),"")</f>
        <v>2.0905694311679048</v>
      </c>
      <c r="Q346" s="63">
        <f t="shared" si="29"/>
        <v>379</v>
      </c>
    </row>
    <row r="347" spans="1:17" x14ac:dyDescent="0.25">
      <c r="A347" s="6" t="s">
        <v>996</v>
      </c>
      <c r="B347" s="37" t="s">
        <v>1271</v>
      </c>
      <c r="C347" s="72">
        <f>IFERROR(VLOOKUP(A347,[1]eco_bus_institutions!B:E,2,0),"")</f>
        <v>73</v>
      </c>
      <c r="D347" s="72">
        <f>IFERROR(VLOOKUP(A347,[1]eco_bus_institutions!B:E,4,0),"")</f>
        <v>2.002486420287994</v>
      </c>
      <c r="E347" s="73">
        <f t="shared" si="25"/>
        <v>263</v>
      </c>
      <c r="F347" s="40">
        <f>IFERROR(VLOOKUP(A347,[1]eco_institutions!B:D,2,0),"")</f>
        <v>53</v>
      </c>
      <c r="G347" s="40">
        <f>IFERROR(VLOOKUP(A347,[1]eco_institutions!B:E,4,0),"")</f>
        <v>1.83145379647877</v>
      </c>
      <c r="H347" s="14">
        <f t="shared" si="26"/>
        <v>185</v>
      </c>
      <c r="I347" s="46">
        <f>IFERROR(VLOOKUP(A347,[1]fin_institutions!B:D,2,0),"")</f>
        <v>20</v>
      </c>
      <c r="J347" s="41">
        <f>IFERROR(VLOOKUP(A347,[1]fin_institutions!B:E,4,0),"")</f>
        <v>2.0626116359415549</v>
      </c>
      <c r="K347" s="41">
        <f t="shared" si="27"/>
        <v>145</v>
      </c>
      <c r="L347" s="56">
        <f>IFERROR(VLOOKUP(A347,[1]bus_institutions!B:D,2,0),"")</f>
        <v>10</v>
      </c>
      <c r="M347" s="42">
        <f>IFERROR(VLOOKUP(A347,[1]bus_institutions!B:E,4,0),"")</f>
        <v>2.670195360033119</v>
      </c>
      <c r="N347" s="23">
        <f t="shared" si="28"/>
        <v>158</v>
      </c>
      <c r="O347" s="61">
        <f>IFERROR(VLOOKUP(A347,[1]man_institutions!B:E,2,0),"")</f>
        <v>13</v>
      </c>
      <c r="P347" s="62">
        <f>IFERROR(VLOOKUP(A347,[1]man_institutions!B:E,4,0),"")</f>
        <v>5.5826032221097286</v>
      </c>
      <c r="Q347" s="63">
        <f t="shared" si="29"/>
        <v>25</v>
      </c>
    </row>
    <row r="348" spans="1:17" x14ac:dyDescent="0.25">
      <c r="A348" s="6" t="s">
        <v>1056</v>
      </c>
      <c r="B348" s="37" t="s">
        <v>1249</v>
      </c>
      <c r="C348" s="72">
        <f>IFERROR(VLOOKUP(A348,[1]eco_bus_institutions!B:E,2,0),"")</f>
        <v>46</v>
      </c>
      <c r="D348" s="72">
        <f>IFERROR(VLOOKUP(A348,[1]eco_bus_institutions!B:E,4,0),"")</f>
        <v>1.995435368258877</v>
      </c>
      <c r="E348" s="73">
        <f t="shared" si="25"/>
        <v>268</v>
      </c>
      <c r="F348" s="40" t="str">
        <f>IFERROR(VLOOKUP(A348,[1]eco_institutions!B:D,2,0),"")</f>
        <v/>
      </c>
      <c r="G348" s="40" t="str">
        <f>IFERROR(VLOOKUP(A348,[1]eco_institutions!B:E,4,0),"")</f>
        <v/>
      </c>
      <c r="H348" s="14" t="str">
        <f t="shared" si="26"/>
        <v/>
      </c>
      <c r="I348" s="46" t="str">
        <f>IFERROR(VLOOKUP(A348,[1]fin_institutions!B:D,2,0),"")</f>
        <v/>
      </c>
      <c r="J348" s="41" t="str">
        <f>IFERROR(VLOOKUP(A348,[1]fin_institutions!B:E,4,0),"")</f>
        <v/>
      </c>
      <c r="K348" s="41" t="str">
        <f t="shared" si="27"/>
        <v/>
      </c>
      <c r="L348" s="56" t="str">
        <f>IFERROR(VLOOKUP(A348,[1]bus_institutions!B:D,2,0),"")</f>
        <v/>
      </c>
      <c r="M348" s="42" t="str">
        <f>IFERROR(VLOOKUP(A348,[1]bus_institutions!B:E,4,0),"")</f>
        <v/>
      </c>
      <c r="N348" s="23" t="str">
        <f t="shared" si="28"/>
        <v/>
      </c>
      <c r="O348" s="61" t="str">
        <f>IFERROR(VLOOKUP(A348,[1]man_institutions!B:E,2,0),"")</f>
        <v/>
      </c>
      <c r="P348" s="62" t="str">
        <f>IFERROR(VLOOKUP(A348,[1]man_institutions!B:E,4,0),"")</f>
        <v/>
      </c>
      <c r="Q348" s="63" t="str">
        <f t="shared" si="29"/>
        <v/>
      </c>
    </row>
    <row r="349" spans="1:17" x14ac:dyDescent="0.25">
      <c r="A349" s="6" t="s">
        <v>896</v>
      </c>
      <c r="B349" s="37" t="s">
        <v>1216</v>
      </c>
      <c r="C349" s="72">
        <f>IFERROR(VLOOKUP(A349,[1]eco_bus_institutions!B:E,2,0),"")</f>
        <v>43</v>
      </c>
      <c r="D349" s="72">
        <f>IFERROR(VLOOKUP(A349,[1]eco_bus_institutions!B:E,4,0),"")</f>
        <v>1.7213175835512871</v>
      </c>
      <c r="E349" s="73">
        <f t="shared" si="25"/>
        <v>373</v>
      </c>
      <c r="F349" s="40">
        <f>IFERROR(VLOOKUP(A349,[1]eco_institutions!B:D,2,0),"")</f>
        <v>15</v>
      </c>
      <c r="G349" s="40">
        <f>IFERROR(VLOOKUP(A349,[1]eco_institutions!B:E,4,0),"")</f>
        <v>1.2052140112005261</v>
      </c>
      <c r="H349" s="14">
        <f t="shared" si="26"/>
        <v>513</v>
      </c>
      <c r="I349" s="46">
        <f>IFERROR(VLOOKUP(A349,[1]fin_institutions!B:D,2,0),"")</f>
        <v>9</v>
      </c>
      <c r="J349" s="41">
        <f>IFERROR(VLOOKUP(A349,[1]fin_institutions!B:E,4,0),"")</f>
        <v>1.124485368706247</v>
      </c>
      <c r="K349" s="41">
        <f t="shared" si="27"/>
        <v>520</v>
      </c>
      <c r="L349" s="56">
        <f>IFERROR(VLOOKUP(A349,[1]bus_institutions!B:D,2,0),"")</f>
        <v>20</v>
      </c>
      <c r="M349" s="42">
        <f>IFERROR(VLOOKUP(A349,[1]bus_institutions!B:E,4,0),"")</f>
        <v>1.9671516387114849</v>
      </c>
      <c r="N349" s="23">
        <f t="shared" si="28"/>
        <v>330</v>
      </c>
      <c r="O349" s="61">
        <f>IFERROR(VLOOKUP(A349,[1]man_institutions!B:E,2,0),"")</f>
        <v>24</v>
      </c>
      <c r="P349" s="62">
        <f>IFERROR(VLOOKUP(A349,[1]man_institutions!B:E,4,0),"")</f>
        <v>3.4609884480957178</v>
      </c>
      <c r="Q349" s="63">
        <f t="shared" si="29"/>
        <v>132</v>
      </c>
    </row>
    <row r="350" spans="1:17" x14ac:dyDescent="0.25">
      <c r="A350" s="6" t="s">
        <v>883</v>
      </c>
      <c r="B350" s="37" t="s">
        <v>1222</v>
      </c>
      <c r="C350" s="72">
        <f>IFERROR(VLOOKUP(A350,[1]eco_bus_institutions!B:E,2,0),"")</f>
        <v>46</v>
      </c>
      <c r="D350" s="72">
        <f>IFERROR(VLOOKUP(A350,[1]eco_bus_institutions!B:E,4,0),"")</f>
        <v>1.8117616153471969</v>
      </c>
      <c r="E350" s="73">
        <f t="shared" si="25"/>
        <v>340</v>
      </c>
      <c r="F350" s="40">
        <f>IFERROR(VLOOKUP(A350,[1]eco_institutions!B:D,2,0),"")</f>
        <v>17</v>
      </c>
      <c r="G350" s="40">
        <f>IFERROR(VLOOKUP(A350,[1]eco_institutions!B:E,4,0),"")</f>
        <v>1.311500334899506</v>
      </c>
      <c r="H350" s="14">
        <f t="shared" si="26"/>
        <v>424</v>
      </c>
      <c r="I350" s="46">
        <f>IFERROR(VLOOKUP(A350,[1]fin_institutions!B:D,2,0),"")</f>
        <v>10</v>
      </c>
      <c r="J350" s="41">
        <f>IFERROR(VLOOKUP(A350,[1]fin_institutions!B:E,4,0),"")</f>
        <v>1.4945618951477391</v>
      </c>
      <c r="K350" s="41">
        <f t="shared" si="27"/>
        <v>291</v>
      </c>
      <c r="L350" s="56">
        <f>IFERROR(VLOOKUP(A350,[1]bus_institutions!B:D,2,0),"")</f>
        <v>18</v>
      </c>
      <c r="M350" s="42">
        <f>IFERROR(VLOOKUP(A350,[1]bus_institutions!B:E,4,0),"")</f>
        <v>2.2320547584291242</v>
      </c>
      <c r="N350" s="23">
        <f t="shared" si="28"/>
        <v>263</v>
      </c>
      <c r="O350" s="61">
        <f>IFERROR(VLOOKUP(A350,[1]man_institutions!B:E,2,0),"")</f>
        <v>18</v>
      </c>
      <c r="P350" s="62">
        <f>IFERROR(VLOOKUP(A350,[1]man_institutions!B:E,4,0),"")</f>
        <v>2.619753574310268</v>
      </c>
      <c r="Q350" s="63">
        <f t="shared" si="29"/>
        <v>250</v>
      </c>
    </row>
    <row r="351" spans="1:17" x14ac:dyDescent="0.25">
      <c r="A351" s="6" t="s">
        <v>1002</v>
      </c>
      <c r="B351" s="37" t="s">
        <v>1271</v>
      </c>
      <c r="C351" s="72">
        <f>IFERROR(VLOOKUP(A351,[1]eco_bus_institutions!B:E,2,0),"")</f>
        <v>73</v>
      </c>
      <c r="D351" s="72">
        <f>IFERROR(VLOOKUP(A351,[1]eco_bus_institutions!B:E,4,0),"")</f>
        <v>1.9462950658160589</v>
      </c>
      <c r="E351" s="73">
        <f t="shared" si="25"/>
        <v>288</v>
      </c>
      <c r="F351" s="40">
        <f>IFERROR(VLOOKUP(A351,[1]eco_institutions!B:D,2,0),"")</f>
        <v>60</v>
      </c>
      <c r="G351" s="40">
        <f>IFERROR(VLOOKUP(A351,[1]eco_institutions!B:E,4,0),"")</f>
        <v>1.6314721886664081</v>
      </c>
      <c r="H351" s="14">
        <f t="shared" si="26"/>
        <v>249</v>
      </c>
      <c r="I351" s="46">
        <f>IFERROR(VLOOKUP(A351,[1]fin_institutions!B:D,2,0),"")</f>
        <v>6</v>
      </c>
      <c r="J351" s="41">
        <f>IFERROR(VLOOKUP(A351,[1]fin_institutions!B:E,4,0),"")</f>
        <v>2.5469871718219439</v>
      </c>
      <c r="K351" s="41">
        <f t="shared" si="27"/>
        <v>99</v>
      </c>
      <c r="L351" s="56">
        <f>IFERROR(VLOOKUP(A351,[1]bus_institutions!B:D,2,0),"")</f>
        <v>5</v>
      </c>
      <c r="M351" s="42">
        <f>IFERROR(VLOOKUP(A351,[1]bus_institutions!B:E,4,0),"")</f>
        <v>3.7504608591168549</v>
      </c>
      <c r="N351" s="23">
        <f t="shared" si="28"/>
        <v>49</v>
      </c>
      <c r="O351" s="61">
        <f>IFERROR(VLOOKUP(A351,[1]man_institutions!B:E,2,0),"")</f>
        <v>10</v>
      </c>
      <c r="P351" s="62">
        <f>IFERROR(VLOOKUP(A351,[1]man_institutions!B:E,4,0),"")</f>
        <v>2.7286348139234762</v>
      </c>
      <c r="Q351" s="63">
        <f t="shared" si="29"/>
        <v>229</v>
      </c>
    </row>
    <row r="352" spans="1:17" x14ac:dyDescent="0.25">
      <c r="A352" s="6" t="s">
        <v>944</v>
      </c>
      <c r="B352" s="37" t="s">
        <v>1217</v>
      </c>
      <c r="C352" s="72">
        <f>IFERROR(VLOOKUP(A352,[1]eco_bus_institutions!B:E,2,0),"")</f>
        <v>136</v>
      </c>
      <c r="D352" s="72">
        <f>IFERROR(VLOOKUP(A352,[1]eco_bus_institutions!B:E,4,0),"")</f>
        <v>2.1671786861896791</v>
      </c>
      <c r="E352" s="73">
        <f t="shared" si="25"/>
        <v>207</v>
      </c>
      <c r="F352" s="40">
        <f>IFERROR(VLOOKUP(A352,[1]eco_institutions!B:D,2,0),"")</f>
        <v>78</v>
      </c>
      <c r="G352" s="40">
        <f>IFERROR(VLOOKUP(A352,[1]eco_institutions!B:E,4,0),"")</f>
        <v>2.0878449445721441</v>
      </c>
      <c r="H352" s="14">
        <f t="shared" si="26"/>
        <v>129</v>
      </c>
      <c r="I352" s="46">
        <f>IFERROR(VLOOKUP(A352,[1]fin_institutions!B:D,2,0),"")</f>
        <v>11</v>
      </c>
      <c r="J352" s="41">
        <f>IFERROR(VLOOKUP(A352,[1]fin_institutions!B:E,4,0),"")</f>
        <v>2.7724862787433868</v>
      </c>
      <c r="K352" s="41">
        <f t="shared" si="27"/>
        <v>79</v>
      </c>
      <c r="L352" s="56">
        <f>IFERROR(VLOOKUP(A352,[1]bus_institutions!B:D,2,0),"")</f>
        <v>27</v>
      </c>
      <c r="M352" s="42">
        <f>IFERROR(VLOOKUP(A352,[1]bus_institutions!B:E,4,0),"")</f>
        <v>2.0755927785745141</v>
      </c>
      <c r="N352" s="23">
        <f t="shared" si="28"/>
        <v>306</v>
      </c>
      <c r="O352" s="61">
        <f>IFERROR(VLOOKUP(A352,[1]man_institutions!B:E,2,0),"")</f>
        <v>48</v>
      </c>
      <c r="P352" s="62">
        <f>IFERROR(VLOOKUP(A352,[1]man_institutions!B:E,4,0),"")</f>
        <v>2.7891802705485529</v>
      </c>
      <c r="Q352" s="63">
        <f t="shared" si="29"/>
        <v>218</v>
      </c>
    </row>
    <row r="353" spans="1:17" x14ac:dyDescent="0.25">
      <c r="A353" s="6" t="s">
        <v>951</v>
      </c>
      <c r="B353" s="37" t="s">
        <v>1233</v>
      </c>
      <c r="C353" s="72">
        <f>IFERROR(VLOOKUP(A353,[1]eco_bus_institutions!B:E,2,0),"")</f>
        <v>163</v>
      </c>
      <c r="D353" s="72">
        <f>IFERROR(VLOOKUP(A353,[1]eco_bus_institutions!B:E,4,0),"")</f>
        <v>1.823885083662393</v>
      </c>
      <c r="E353" s="73">
        <f t="shared" si="25"/>
        <v>333</v>
      </c>
      <c r="F353" s="40">
        <f>IFERROR(VLOOKUP(A353,[1]eco_institutions!B:D,2,0),"")</f>
        <v>92</v>
      </c>
      <c r="G353" s="40">
        <f>IFERROR(VLOOKUP(A353,[1]eco_institutions!B:E,4,0),"")</f>
        <v>1.4569643181506291</v>
      </c>
      <c r="H353" s="14">
        <f t="shared" si="26"/>
        <v>327</v>
      </c>
      <c r="I353" s="46">
        <f>IFERROR(VLOOKUP(A353,[1]fin_institutions!B:D,2,0),"")</f>
        <v>23</v>
      </c>
      <c r="J353" s="41">
        <f>IFERROR(VLOOKUP(A353,[1]fin_institutions!B:E,4,0),"")</f>
        <v>1.70942904052601</v>
      </c>
      <c r="K353" s="41">
        <f t="shared" si="27"/>
        <v>218</v>
      </c>
      <c r="L353" s="56">
        <f>IFERROR(VLOOKUP(A353,[1]bus_institutions!B:D,2,0),"")</f>
        <v>41</v>
      </c>
      <c r="M353" s="42">
        <f>IFERROR(VLOOKUP(A353,[1]bus_institutions!B:E,4,0),"")</f>
        <v>2.4700138042838828</v>
      </c>
      <c r="N353" s="23">
        <f t="shared" si="28"/>
        <v>197</v>
      </c>
      <c r="O353" s="61">
        <f>IFERROR(VLOOKUP(A353,[1]man_institutions!B:E,2,0),"")</f>
        <v>51</v>
      </c>
      <c r="P353" s="62">
        <f>IFERROR(VLOOKUP(A353,[1]man_institutions!B:E,4,0),"")</f>
        <v>2.4681366986306901</v>
      </c>
      <c r="Q353" s="63">
        <f t="shared" si="29"/>
        <v>282</v>
      </c>
    </row>
    <row r="354" spans="1:17" x14ac:dyDescent="0.25">
      <c r="A354" s="6" t="s">
        <v>970</v>
      </c>
      <c r="B354" s="37" t="s">
        <v>1217</v>
      </c>
      <c r="C354" s="72">
        <f>IFERROR(VLOOKUP(A354,[1]eco_bus_institutions!B:E,2,0),"")</f>
        <v>46</v>
      </c>
      <c r="D354" s="72">
        <f>IFERROR(VLOOKUP(A354,[1]eco_bus_institutions!B:E,4,0),"")</f>
        <v>1.8738703019257099</v>
      </c>
      <c r="E354" s="73">
        <f t="shared" si="25"/>
        <v>309</v>
      </c>
      <c r="F354" s="40">
        <f>IFERROR(VLOOKUP(A354,[1]eco_institutions!B:D,2,0),"")</f>
        <v>18</v>
      </c>
      <c r="G354" s="40">
        <f>IFERROR(VLOOKUP(A354,[1]eco_institutions!B:E,4,0),"")</f>
        <v>1.316603284186274</v>
      </c>
      <c r="H354" s="14">
        <f t="shared" si="26"/>
        <v>421</v>
      </c>
      <c r="I354" s="46">
        <f>IFERROR(VLOOKUP(A354,[1]fin_institutions!B:D,2,0),"")</f>
        <v>13</v>
      </c>
      <c r="J354" s="41">
        <f>IFERROR(VLOOKUP(A354,[1]fin_institutions!B:E,4,0),"")</f>
        <v>2.75645067931096</v>
      </c>
      <c r="K354" s="41">
        <f t="shared" si="27"/>
        <v>81</v>
      </c>
      <c r="L354" s="56">
        <f>IFERROR(VLOOKUP(A354,[1]bus_institutions!B:D,2,0),"")</f>
        <v>9</v>
      </c>
      <c r="M354" s="42">
        <f>IFERROR(VLOOKUP(A354,[1]bus_institutions!B:E,4,0),"")</f>
        <v>2.0777118575666189</v>
      </c>
      <c r="N354" s="23">
        <f t="shared" si="28"/>
        <v>304</v>
      </c>
      <c r="O354" s="61">
        <f>IFERROR(VLOOKUP(A354,[1]man_institutions!B:E,2,0),"")</f>
        <v>9</v>
      </c>
      <c r="P354" s="62">
        <f>IFERROR(VLOOKUP(A354,[1]man_institutions!B:E,4,0),"")</f>
        <v>2.3447881722934958</v>
      </c>
      <c r="Q354" s="63">
        <f t="shared" si="29"/>
        <v>314</v>
      </c>
    </row>
    <row r="355" spans="1:17" x14ac:dyDescent="0.25">
      <c r="A355" s="6" t="s">
        <v>966</v>
      </c>
      <c r="B355" s="37" t="s">
        <v>1236</v>
      </c>
      <c r="C355" s="72">
        <f>IFERROR(VLOOKUP(A355,[1]eco_bus_institutions!B:E,2,0),"")</f>
        <v>110</v>
      </c>
      <c r="D355" s="72">
        <f>IFERROR(VLOOKUP(A355,[1]eco_bus_institutions!B:E,4,0),"")</f>
        <v>1.6347872342059271</v>
      </c>
      <c r="E355" s="73">
        <f t="shared" si="25"/>
        <v>410</v>
      </c>
      <c r="F355" s="40">
        <f>IFERROR(VLOOKUP(A355,[1]eco_institutions!B:D,2,0),"")</f>
        <v>25</v>
      </c>
      <c r="G355" s="40">
        <f>IFERROR(VLOOKUP(A355,[1]eco_institutions!B:E,4,0),"")</f>
        <v>1.4472176955933691</v>
      </c>
      <c r="H355" s="14">
        <f t="shared" si="26"/>
        <v>331</v>
      </c>
      <c r="I355" s="46">
        <f>IFERROR(VLOOKUP(A355,[1]fin_institutions!B:D,2,0),"")</f>
        <v>42</v>
      </c>
      <c r="J355" s="41">
        <f>IFERROR(VLOOKUP(A355,[1]fin_institutions!B:E,4,0),"")</f>
        <v>1.3346011253154011</v>
      </c>
      <c r="K355" s="41">
        <f t="shared" si="27"/>
        <v>372</v>
      </c>
      <c r="L355" s="56">
        <f>IFERROR(VLOOKUP(A355,[1]bus_institutions!B:D,2,0),"")</f>
        <v>29</v>
      </c>
      <c r="M355" s="42">
        <f>IFERROR(VLOOKUP(A355,[1]bus_institutions!B:E,4,0),"")</f>
        <v>1.730407345046965</v>
      </c>
      <c r="N355" s="23">
        <f t="shared" si="28"/>
        <v>413</v>
      </c>
      <c r="O355" s="61">
        <f>IFERROR(VLOOKUP(A355,[1]man_institutions!B:E,2,0),"")</f>
        <v>31</v>
      </c>
      <c r="P355" s="62">
        <f>IFERROR(VLOOKUP(A355,[1]man_institutions!B:E,4,0),"")</f>
        <v>2.1599196471326239</v>
      </c>
      <c r="Q355" s="63">
        <f t="shared" si="29"/>
        <v>364</v>
      </c>
    </row>
    <row r="356" spans="1:17" x14ac:dyDescent="0.25">
      <c r="A356" s="6" t="s">
        <v>976</v>
      </c>
      <c r="B356" s="37" t="s">
        <v>1237</v>
      </c>
      <c r="C356" s="72">
        <f>IFERROR(VLOOKUP(A356,[1]eco_bus_institutions!B:E,2,0),"")</f>
        <v>117</v>
      </c>
      <c r="D356" s="72">
        <f>IFERROR(VLOOKUP(A356,[1]eco_bus_institutions!B:E,4,0),"")</f>
        <v>1.5755311331007289</v>
      </c>
      <c r="E356" s="73">
        <f t="shared" si="25"/>
        <v>434</v>
      </c>
      <c r="F356" s="40">
        <f>IFERROR(VLOOKUP(A356,[1]eco_institutions!B:D,2,0),"")</f>
        <v>34</v>
      </c>
      <c r="G356" s="40">
        <f>IFERROR(VLOOKUP(A356,[1]eco_institutions!B:E,4,0),"")</f>
        <v>1.2248855996115211</v>
      </c>
      <c r="H356" s="14">
        <f t="shared" si="26"/>
        <v>493</v>
      </c>
      <c r="I356" s="46">
        <f>IFERROR(VLOOKUP(A356,[1]fin_institutions!B:D,2,0),"")</f>
        <v>24</v>
      </c>
      <c r="J356" s="41">
        <f>IFERROR(VLOOKUP(A356,[1]fin_institutions!B:E,4,0),"")</f>
        <v>1.385875205920877</v>
      </c>
      <c r="K356" s="41">
        <f t="shared" si="27"/>
        <v>343</v>
      </c>
      <c r="L356" s="56">
        <f>IFERROR(VLOOKUP(A356,[1]bus_institutions!B:D,2,0),"")</f>
        <v>49</v>
      </c>
      <c r="M356" s="42">
        <f>IFERROR(VLOOKUP(A356,[1]bus_institutions!B:E,4,0),"")</f>
        <v>1.685521055047617</v>
      </c>
      <c r="N356" s="23">
        <f t="shared" si="28"/>
        <v>427</v>
      </c>
      <c r="O356" s="61">
        <f>IFERROR(VLOOKUP(A356,[1]man_institutions!B:E,2,0),"")</f>
        <v>36</v>
      </c>
      <c r="P356" s="62">
        <f>IFERROR(VLOOKUP(A356,[1]man_institutions!B:E,4,0),"")</f>
        <v>2.1804457796627839</v>
      </c>
      <c r="Q356" s="63">
        <f t="shared" si="29"/>
        <v>356</v>
      </c>
    </row>
    <row r="357" spans="1:17" x14ac:dyDescent="0.25">
      <c r="A357" s="6" t="s">
        <v>921</v>
      </c>
      <c r="B357" s="37" t="s">
        <v>1229</v>
      </c>
      <c r="C357" s="72">
        <f>IFERROR(VLOOKUP(A357,[1]eco_bus_institutions!B:E,2,0),"")</f>
        <v>45</v>
      </c>
      <c r="D357" s="72">
        <f>IFERROR(VLOOKUP(A357,[1]eco_bus_institutions!B:E,4,0),"")</f>
        <v>1.826639230857324</v>
      </c>
      <c r="E357" s="73">
        <f t="shared" si="25"/>
        <v>331</v>
      </c>
      <c r="F357" s="40">
        <f>IFERROR(VLOOKUP(A357,[1]eco_institutions!B:D,2,0),"")</f>
        <v>12</v>
      </c>
      <c r="G357" s="40">
        <f>IFERROR(VLOOKUP(A357,[1]eco_institutions!B:E,4,0),"")</f>
        <v>1.2970129708792499</v>
      </c>
      <c r="H357" s="14">
        <f t="shared" si="26"/>
        <v>437</v>
      </c>
      <c r="I357" s="46">
        <f>IFERROR(VLOOKUP(A357,[1]fin_institutions!B:D,2,0),"")</f>
        <v>5</v>
      </c>
      <c r="J357" s="41">
        <f>IFERROR(VLOOKUP(A357,[1]fin_institutions!B:E,4,0),"")</f>
        <v>1.54309413232646</v>
      </c>
      <c r="K357" s="41">
        <f t="shared" si="27"/>
        <v>267</v>
      </c>
      <c r="L357" s="56">
        <f>IFERROR(VLOOKUP(A357,[1]bus_institutions!B:D,2,0),"")</f>
        <v>23</v>
      </c>
      <c r="M357" s="42">
        <f>IFERROR(VLOOKUP(A357,[1]bus_institutions!B:E,4,0),"")</f>
        <v>1.9434905701231839</v>
      </c>
      <c r="N357" s="23">
        <f t="shared" si="28"/>
        <v>338</v>
      </c>
      <c r="O357" s="61">
        <f>IFERROR(VLOOKUP(A357,[1]man_institutions!B:E,2,0),"")</f>
        <v>19</v>
      </c>
      <c r="P357" s="62">
        <f>IFERROR(VLOOKUP(A357,[1]man_institutions!B:E,4,0),"")</f>
        <v>4.2948396628226586</v>
      </c>
      <c r="Q357" s="63">
        <f t="shared" si="29"/>
        <v>64</v>
      </c>
    </row>
    <row r="358" spans="1:17" x14ac:dyDescent="0.25">
      <c r="A358" s="6" t="s">
        <v>917</v>
      </c>
      <c r="B358" s="37" t="s">
        <v>1236</v>
      </c>
      <c r="C358" s="72">
        <f>IFERROR(VLOOKUP(A358,[1]eco_bus_institutions!B:E,2,0),"")</f>
        <v>86</v>
      </c>
      <c r="D358" s="72">
        <f>IFERROR(VLOOKUP(A358,[1]eco_bus_institutions!B:E,4,0),"")</f>
        <v>1.765584785975477</v>
      </c>
      <c r="E358" s="73">
        <f t="shared" si="25"/>
        <v>352</v>
      </c>
      <c r="F358" s="40">
        <f>IFERROR(VLOOKUP(A358,[1]eco_institutions!B:D,2,0),"")</f>
        <v>22</v>
      </c>
      <c r="G358" s="40">
        <f>IFERROR(VLOOKUP(A358,[1]eco_institutions!B:E,4,0),"")</f>
        <v>1.3461031249348729</v>
      </c>
      <c r="H358" s="14">
        <f t="shared" si="26"/>
        <v>394</v>
      </c>
      <c r="I358" s="46">
        <f>IFERROR(VLOOKUP(A358,[1]fin_institutions!B:D,2,0),"")</f>
        <v>25</v>
      </c>
      <c r="J358" s="41">
        <f>IFERROR(VLOOKUP(A358,[1]fin_institutions!B:E,4,0),"")</f>
        <v>1.2693115143853471</v>
      </c>
      <c r="K358" s="41">
        <f t="shared" si="27"/>
        <v>411</v>
      </c>
      <c r="L358" s="56">
        <f>IFERROR(VLOOKUP(A358,[1]bus_institutions!B:D,2,0),"")</f>
        <v>35</v>
      </c>
      <c r="M358" s="42">
        <f>IFERROR(VLOOKUP(A358,[1]bus_institutions!B:E,4,0),"")</f>
        <v>2.4384578090618021</v>
      </c>
      <c r="N358" s="23">
        <f t="shared" si="28"/>
        <v>207</v>
      </c>
      <c r="O358" s="61">
        <f>IFERROR(VLOOKUP(A358,[1]man_institutions!B:E,2,0),"")</f>
        <v>18</v>
      </c>
      <c r="P358" s="62">
        <f>IFERROR(VLOOKUP(A358,[1]man_institutions!B:E,4,0),"")</f>
        <v>1.956650637196562</v>
      </c>
      <c r="Q358" s="63">
        <f t="shared" si="29"/>
        <v>417</v>
      </c>
    </row>
    <row r="359" spans="1:17" x14ac:dyDescent="0.25">
      <c r="A359" s="6" t="s">
        <v>985</v>
      </c>
      <c r="B359" s="37" t="s">
        <v>1218</v>
      </c>
      <c r="C359" s="72">
        <f>IFERROR(VLOOKUP(A359,[1]eco_bus_institutions!B:E,2,0),"")</f>
        <v>74</v>
      </c>
      <c r="D359" s="72">
        <f>IFERROR(VLOOKUP(A359,[1]eco_bus_institutions!B:E,4,0),"")</f>
        <v>1.6147334099725901</v>
      </c>
      <c r="E359" s="73">
        <f t="shared" si="25"/>
        <v>417</v>
      </c>
      <c r="F359" s="40">
        <f>IFERROR(VLOOKUP(A359,[1]eco_institutions!B:D,2,0),"")</f>
        <v>39</v>
      </c>
      <c r="G359" s="40">
        <f>IFERROR(VLOOKUP(A359,[1]eco_institutions!B:E,4,0),"")</f>
        <v>1.2322268068400131</v>
      </c>
      <c r="H359" s="14">
        <f t="shared" si="26"/>
        <v>489</v>
      </c>
      <c r="I359" s="46">
        <f>IFERROR(VLOOKUP(A359,[1]fin_institutions!B:D,2,0),"")</f>
        <v>11</v>
      </c>
      <c r="J359" s="41">
        <f>IFERROR(VLOOKUP(A359,[1]fin_institutions!B:E,4,0),"")</f>
        <v>1.2642458073675129</v>
      </c>
      <c r="K359" s="41">
        <f t="shared" si="27"/>
        <v>414</v>
      </c>
      <c r="L359" s="56">
        <f>IFERROR(VLOOKUP(A359,[1]bus_institutions!B:D,2,0),"")</f>
        <v>21</v>
      </c>
      <c r="M359" s="42">
        <f>IFERROR(VLOOKUP(A359,[1]bus_institutions!B:E,4,0),"")</f>
        <v>2.342708333588134</v>
      </c>
      <c r="N359" s="23">
        <f t="shared" si="28"/>
        <v>234</v>
      </c>
      <c r="O359" s="61">
        <f>IFERROR(VLOOKUP(A359,[1]man_institutions!B:E,2,0),"")</f>
        <v>20</v>
      </c>
      <c r="P359" s="62">
        <f>IFERROR(VLOOKUP(A359,[1]man_institutions!B:E,4,0),"")</f>
        <v>2.458551221924933</v>
      </c>
      <c r="Q359" s="63">
        <f t="shared" si="29"/>
        <v>286</v>
      </c>
    </row>
    <row r="360" spans="1:17" x14ac:dyDescent="0.25">
      <c r="A360" s="6" t="s">
        <v>962</v>
      </c>
      <c r="B360" s="37" t="s">
        <v>1271</v>
      </c>
      <c r="C360" s="72">
        <f>IFERROR(VLOOKUP(A360,[1]eco_bus_institutions!B:E,2,0),"")</f>
        <v>46</v>
      </c>
      <c r="D360" s="72">
        <f>IFERROR(VLOOKUP(A360,[1]eco_bus_institutions!B:E,4,0),"")</f>
        <v>1.971679414137971</v>
      </c>
      <c r="E360" s="73">
        <f t="shared" si="25"/>
        <v>275</v>
      </c>
      <c r="F360" s="40">
        <f>IFERROR(VLOOKUP(A360,[1]eco_institutions!B:D,2,0),"")</f>
        <v>34</v>
      </c>
      <c r="G360" s="40">
        <f>IFERROR(VLOOKUP(A360,[1]eco_institutions!B:E,4,0),"")</f>
        <v>1.6753697100523199</v>
      </c>
      <c r="H360" s="14">
        <f t="shared" si="26"/>
        <v>231</v>
      </c>
      <c r="I360" s="46">
        <f>IFERROR(VLOOKUP(A360,[1]fin_institutions!B:D,2,0),"")</f>
        <v>23</v>
      </c>
      <c r="J360" s="41">
        <f>IFERROR(VLOOKUP(A360,[1]fin_institutions!B:E,4,0),"")</f>
        <v>1.8591660771262231</v>
      </c>
      <c r="K360" s="41">
        <f t="shared" si="27"/>
        <v>184</v>
      </c>
      <c r="L360" s="56" t="str">
        <f>IFERROR(VLOOKUP(A360,[1]bus_institutions!B:D,2,0),"")</f>
        <v/>
      </c>
      <c r="M360" s="42" t="str">
        <f>IFERROR(VLOOKUP(A360,[1]bus_institutions!B:E,4,0),"")</f>
        <v/>
      </c>
      <c r="N360" s="23" t="str">
        <f t="shared" si="28"/>
        <v/>
      </c>
      <c r="O360" s="61" t="str">
        <f>IFERROR(VLOOKUP(A360,[1]man_institutions!B:E,2,0),"")</f>
        <v/>
      </c>
      <c r="P360" s="62" t="str">
        <f>IFERROR(VLOOKUP(A360,[1]man_institutions!B:E,4,0),"")</f>
        <v/>
      </c>
      <c r="Q360" s="63" t="str">
        <f t="shared" si="29"/>
        <v/>
      </c>
    </row>
    <row r="361" spans="1:17" x14ac:dyDescent="0.25">
      <c r="A361" s="6" t="s">
        <v>946</v>
      </c>
      <c r="B361" s="37" t="s">
        <v>1237</v>
      </c>
      <c r="C361" s="72">
        <f>IFERROR(VLOOKUP(A361,[1]eco_bus_institutions!B:E,2,0),"")</f>
        <v>195</v>
      </c>
      <c r="D361" s="72">
        <f>IFERROR(VLOOKUP(A361,[1]eco_bus_institutions!B:E,4,0),"")</f>
        <v>1.735726150323444</v>
      </c>
      <c r="E361" s="73">
        <f t="shared" si="25"/>
        <v>362</v>
      </c>
      <c r="F361" s="40">
        <f>IFERROR(VLOOKUP(A361,[1]eco_institutions!B:D,2,0),"")</f>
        <v>59</v>
      </c>
      <c r="G361" s="40">
        <f>IFERROR(VLOOKUP(A361,[1]eco_institutions!B:E,4,0),"")</f>
        <v>1.5417991360433969</v>
      </c>
      <c r="H361" s="14">
        <f t="shared" si="26"/>
        <v>283</v>
      </c>
      <c r="I361" s="46">
        <f>IFERROR(VLOOKUP(A361,[1]fin_institutions!B:D,2,0),"")</f>
        <v>54</v>
      </c>
      <c r="J361" s="41">
        <f>IFERROR(VLOOKUP(A361,[1]fin_institutions!B:E,4,0),"")</f>
        <v>1.5060288842655001</v>
      </c>
      <c r="K361" s="41">
        <f t="shared" si="27"/>
        <v>284</v>
      </c>
      <c r="L361" s="56">
        <f>IFERROR(VLOOKUP(A361,[1]bus_institutions!B:D,2,0),"")</f>
        <v>51</v>
      </c>
      <c r="M361" s="42">
        <f>IFERROR(VLOOKUP(A361,[1]bus_institutions!B:E,4,0),"")</f>
        <v>2.216504251599952</v>
      </c>
      <c r="N361" s="23">
        <f t="shared" si="28"/>
        <v>267</v>
      </c>
      <c r="O361" s="61">
        <f>IFERROR(VLOOKUP(A361,[1]man_institutions!B:E,2,0),"")</f>
        <v>71</v>
      </c>
      <c r="P361" s="62">
        <f>IFERROR(VLOOKUP(A361,[1]man_institutions!B:E,4,0),"")</f>
        <v>1.972292583425769</v>
      </c>
      <c r="Q361" s="63">
        <f t="shared" si="29"/>
        <v>411</v>
      </c>
    </row>
    <row r="362" spans="1:17" x14ac:dyDescent="0.25">
      <c r="A362" s="6" t="s">
        <v>1003</v>
      </c>
      <c r="B362" s="37" t="s">
        <v>1230</v>
      </c>
      <c r="C362" s="72">
        <f>IFERROR(VLOOKUP(A362,[1]eco_bus_institutions!B:E,2,0),"")</f>
        <v>40</v>
      </c>
      <c r="D362" s="72">
        <f>IFERROR(VLOOKUP(A362,[1]eco_bus_institutions!B:E,4,0),"")</f>
        <v>1.533393022462548</v>
      </c>
      <c r="E362" s="73">
        <f t="shared" si="25"/>
        <v>463</v>
      </c>
      <c r="F362" s="40">
        <f>IFERROR(VLOOKUP(A362,[1]eco_institutions!B:D,2,0),"")</f>
        <v>19</v>
      </c>
      <c r="G362" s="40">
        <f>IFERROR(VLOOKUP(A362,[1]eco_institutions!B:E,4,0),"")</f>
        <v>1.654680013793429</v>
      </c>
      <c r="H362" s="14">
        <f t="shared" si="26"/>
        <v>236</v>
      </c>
      <c r="I362" s="46">
        <f>IFERROR(VLOOKUP(A362,[1]fin_institutions!B:D,2,0),"")</f>
        <v>11</v>
      </c>
      <c r="J362" s="41">
        <f>IFERROR(VLOOKUP(A362,[1]fin_institutions!B:E,4,0),"")</f>
        <v>1.263998031583504</v>
      </c>
      <c r="K362" s="41">
        <f t="shared" si="27"/>
        <v>415</v>
      </c>
      <c r="L362" s="56">
        <f>IFERROR(VLOOKUP(A362,[1]bus_institutions!B:D,2,0),"")</f>
        <v>6</v>
      </c>
      <c r="M362" s="42">
        <f>IFERROR(VLOOKUP(A362,[1]bus_institutions!B:E,4,0),"")</f>
        <v>1.4019536754472419</v>
      </c>
      <c r="N362" s="23">
        <f t="shared" si="28"/>
        <v>506</v>
      </c>
      <c r="O362" s="61">
        <f>IFERROR(VLOOKUP(A362,[1]man_institutions!B:E,2,0),"")</f>
        <v>20</v>
      </c>
      <c r="P362" s="62">
        <f>IFERROR(VLOOKUP(A362,[1]man_institutions!B:E,4,0),"")</f>
        <v>1.5294156383622759</v>
      </c>
      <c r="Q362" s="63">
        <f t="shared" si="29"/>
        <v>529</v>
      </c>
    </row>
    <row r="363" spans="1:17" x14ac:dyDescent="0.25">
      <c r="A363" s="6" t="s">
        <v>957</v>
      </c>
      <c r="B363" s="37" t="s">
        <v>1230</v>
      </c>
      <c r="C363" s="72">
        <f>IFERROR(VLOOKUP(A363,[1]eco_bus_institutions!B:E,2,0),"")</f>
        <v>79</v>
      </c>
      <c r="D363" s="72">
        <f>IFERROR(VLOOKUP(A363,[1]eco_bus_institutions!B:E,4,0),"")</f>
        <v>1.68328321587601</v>
      </c>
      <c r="E363" s="73">
        <f t="shared" si="25"/>
        <v>391</v>
      </c>
      <c r="F363" s="40">
        <f>IFERROR(VLOOKUP(A363,[1]eco_institutions!B:D,2,0),"")</f>
        <v>54</v>
      </c>
      <c r="G363" s="40">
        <f>IFERROR(VLOOKUP(A363,[1]eco_institutions!B:E,4,0),"")</f>
        <v>1.415952102223033</v>
      </c>
      <c r="H363" s="14">
        <f t="shared" si="26"/>
        <v>347</v>
      </c>
      <c r="I363" s="46">
        <f>IFERROR(VLOOKUP(A363,[1]fin_institutions!B:D,2,0),"")</f>
        <v>16</v>
      </c>
      <c r="J363" s="41">
        <f>IFERROR(VLOOKUP(A363,[1]fin_institutions!B:E,4,0),"")</f>
        <v>1.4841593498383101</v>
      </c>
      <c r="K363" s="41">
        <f t="shared" si="27"/>
        <v>298</v>
      </c>
      <c r="L363" s="56">
        <f>IFERROR(VLOOKUP(A363,[1]bus_institutions!B:D,2,0),"")</f>
        <v>16</v>
      </c>
      <c r="M363" s="42">
        <f>IFERROR(VLOOKUP(A363,[1]bus_institutions!B:E,4,0),"")</f>
        <v>1.8473957248651121</v>
      </c>
      <c r="N363" s="23">
        <f t="shared" si="28"/>
        <v>368</v>
      </c>
      <c r="O363" s="61">
        <f>IFERROR(VLOOKUP(A363,[1]man_institutions!B:E,2,0),"")</f>
        <v>13</v>
      </c>
      <c r="P363" s="62">
        <f>IFERROR(VLOOKUP(A363,[1]man_institutions!B:E,4,0),"")</f>
        <v>1.8878476912093549</v>
      </c>
      <c r="Q363" s="63">
        <f t="shared" si="29"/>
        <v>431</v>
      </c>
    </row>
    <row r="364" spans="1:17" x14ac:dyDescent="0.25">
      <c r="A364" s="6" t="s">
        <v>935</v>
      </c>
      <c r="B364" s="37" t="s">
        <v>1237</v>
      </c>
      <c r="C364" s="72">
        <f>IFERROR(VLOOKUP(A364,[1]eco_bus_institutions!B:E,2,0),"")</f>
        <v>158</v>
      </c>
      <c r="D364" s="72">
        <f>IFERROR(VLOOKUP(A364,[1]eco_bus_institutions!B:E,4,0),"")</f>
        <v>1.848047699107757</v>
      </c>
      <c r="E364" s="73">
        <f t="shared" si="25"/>
        <v>321</v>
      </c>
      <c r="F364" s="40">
        <f>IFERROR(VLOOKUP(A364,[1]eco_institutions!B:D,2,0),"")</f>
        <v>55</v>
      </c>
      <c r="G364" s="40">
        <f>IFERROR(VLOOKUP(A364,[1]eco_institutions!B:E,4,0),"")</f>
        <v>1.49666617304656</v>
      </c>
      <c r="H364" s="14">
        <f t="shared" si="26"/>
        <v>306</v>
      </c>
      <c r="I364" s="46">
        <f>IFERROR(VLOOKUP(A364,[1]fin_institutions!B:D,2,0),"")</f>
        <v>43</v>
      </c>
      <c r="J364" s="41">
        <f>IFERROR(VLOOKUP(A364,[1]fin_institutions!B:E,4,0),"")</f>
        <v>1.5762307784930689</v>
      </c>
      <c r="K364" s="41">
        <f t="shared" si="27"/>
        <v>257</v>
      </c>
      <c r="L364" s="56">
        <f>IFERROR(VLOOKUP(A364,[1]bus_institutions!B:D,2,0),"")</f>
        <v>38</v>
      </c>
      <c r="M364" s="42">
        <f>IFERROR(VLOOKUP(A364,[1]bus_institutions!B:E,4,0),"")</f>
        <v>2.1229112727608279</v>
      </c>
      <c r="N364" s="23">
        <f t="shared" si="28"/>
        <v>288</v>
      </c>
      <c r="O364" s="61">
        <f>IFERROR(VLOOKUP(A364,[1]man_institutions!B:E,2,0),"")</f>
        <v>52</v>
      </c>
      <c r="P364" s="62">
        <f>IFERROR(VLOOKUP(A364,[1]man_institutions!B:E,4,0),"")</f>
        <v>2.5743415152320011</v>
      </c>
      <c r="Q364" s="63">
        <f t="shared" si="29"/>
        <v>259</v>
      </c>
    </row>
    <row r="365" spans="1:17" x14ac:dyDescent="0.25">
      <c r="A365" s="6" t="s">
        <v>949</v>
      </c>
      <c r="B365" s="37" t="s">
        <v>1221</v>
      </c>
      <c r="C365" s="72">
        <f>IFERROR(VLOOKUP(A365,[1]eco_bus_institutions!B:E,2,0),"")</f>
        <v>49</v>
      </c>
      <c r="D365" s="72">
        <f>IFERROR(VLOOKUP(A365,[1]eco_bus_institutions!B:E,4,0),"")</f>
        <v>1.693289881876727</v>
      </c>
      <c r="E365" s="73">
        <f t="shared" si="25"/>
        <v>388</v>
      </c>
      <c r="F365" s="40">
        <f>IFERROR(VLOOKUP(A365,[1]eco_institutions!B:D,2,0),"")</f>
        <v>32</v>
      </c>
      <c r="G365" s="40">
        <f>IFERROR(VLOOKUP(A365,[1]eco_institutions!B:E,4,0),"")</f>
        <v>1.392649403742481</v>
      </c>
      <c r="H365" s="14">
        <f t="shared" si="26"/>
        <v>371</v>
      </c>
      <c r="I365" s="46">
        <f>IFERROR(VLOOKUP(A365,[1]fin_institutions!B:D,2,0),"")</f>
        <v>10</v>
      </c>
      <c r="J365" s="41">
        <f>IFERROR(VLOOKUP(A365,[1]fin_institutions!B:E,4,0),"")</f>
        <v>1.3256055563165741</v>
      </c>
      <c r="K365" s="41">
        <f t="shared" si="27"/>
        <v>381</v>
      </c>
      <c r="L365" s="56">
        <f>IFERROR(VLOOKUP(A365,[1]bus_institutions!B:D,2,0),"")</f>
        <v>10</v>
      </c>
      <c r="M365" s="42">
        <f>IFERROR(VLOOKUP(A365,[1]bus_institutions!B:E,4,0),"")</f>
        <v>2.435171126449454</v>
      </c>
      <c r="N365" s="23">
        <f t="shared" si="28"/>
        <v>211</v>
      </c>
      <c r="O365" s="61">
        <f>IFERROR(VLOOKUP(A365,[1]man_institutions!B:E,2,0),"")</f>
        <v>7</v>
      </c>
      <c r="P365" s="62">
        <f>IFERROR(VLOOKUP(A365,[1]man_institutions!B:E,4,0),"")</f>
        <v>1.904831878644212</v>
      </c>
      <c r="Q365" s="63">
        <f t="shared" si="29"/>
        <v>427</v>
      </c>
    </row>
    <row r="366" spans="1:17" x14ac:dyDescent="0.25">
      <c r="A366" s="6" t="s">
        <v>994</v>
      </c>
      <c r="B366" s="37" t="s">
        <v>1230</v>
      </c>
      <c r="C366" s="72">
        <f>IFERROR(VLOOKUP(A366,[1]eco_bus_institutions!B:E,2,0),"")</f>
        <v>189</v>
      </c>
      <c r="D366" s="72">
        <f>IFERROR(VLOOKUP(A366,[1]eco_bus_institutions!B:E,4,0),"")</f>
        <v>1.5747887793202611</v>
      </c>
      <c r="E366" s="73">
        <f t="shared" si="25"/>
        <v>435</v>
      </c>
      <c r="F366" s="40">
        <f>IFERROR(VLOOKUP(A366,[1]eco_institutions!B:D,2,0),"")</f>
        <v>79</v>
      </c>
      <c r="G366" s="40">
        <f>IFERROR(VLOOKUP(A366,[1]eco_institutions!B:E,4,0),"")</f>
        <v>1.265978724759532</v>
      </c>
      <c r="H366" s="14">
        <f t="shared" si="26"/>
        <v>463</v>
      </c>
      <c r="I366" s="46">
        <f>IFERROR(VLOOKUP(A366,[1]fin_institutions!B:D,2,0),"")</f>
        <v>40</v>
      </c>
      <c r="J366" s="41">
        <f>IFERROR(VLOOKUP(A366,[1]fin_institutions!B:E,4,0),"")</f>
        <v>1.781278968152646</v>
      </c>
      <c r="K366" s="41">
        <f t="shared" si="27"/>
        <v>196</v>
      </c>
      <c r="L366" s="56">
        <f>IFERROR(VLOOKUP(A366,[1]bus_institutions!B:D,2,0),"")</f>
        <v>42</v>
      </c>
      <c r="M366" s="42">
        <f>IFERROR(VLOOKUP(A366,[1]bus_institutions!B:E,4,0),"")</f>
        <v>1.4103185586532669</v>
      </c>
      <c r="N366" s="23">
        <f t="shared" si="28"/>
        <v>504</v>
      </c>
      <c r="O366" s="61">
        <f>IFERROR(VLOOKUP(A366,[1]man_institutions!B:E,2,0),"")</f>
        <v>86</v>
      </c>
      <c r="P366" s="62">
        <f>IFERROR(VLOOKUP(A366,[1]man_institutions!B:E,4,0),"")</f>
        <v>1.756241732252698</v>
      </c>
      <c r="Q366" s="63">
        <f t="shared" si="29"/>
        <v>473</v>
      </c>
    </row>
    <row r="367" spans="1:17" x14ac:dyDescent="0.25">
      <c r="A367" s="6" t="s">
        <v>933</v>
      </c>
      <c r="B367" s="37" t="s">
        <v>1222</v>
      </c>
      <c r="C367" s="72">
        <f>IFERROR(VLOOKUP(A367,[1]eco_bus_institutions!B:E,2,0),"")</f>
        <v>80</v>
      </c>
      <c r="D367" s="72">
        <f>IFERROR(VLOOKUP(A367,[1]eco_bus_institutions!B:E,4,0),"")</f>
        <v>1.8201673721725971</v>
      </c>
      <c r="E367" s="73">
        <f t="shared" si="25"/>
        <v>336</v>
      </c>
      <c r="F367" s="40">
        <f>IFERROR(VLOOKUP(A367,[1]eco_institutions!B:D,2,0),"")</f>
        <v>42</v>
      </c>
      <c r="G367" s="40">
        <f>IFERROR(VLOOKUP(A367,[1]eco_institutions!B:E,4,0),"")</f>
        <v>1.3935954208898489</v>
      </c>
      <c r="H367" s="14">
        <f t="shared" si="26"/>
        <v>368</v>
      </c>
      <c r="I367" s="46">
        <f>IFERROR(VLOOKUP(A367,[1]fin_institutions!B:D,2,0),"")</f>
        <v>14</v>
      </c>
      <c r="J367" s="41">
        <f>IFERROR(VLOOKUP(A367,[1]fin_institutions!B:E,4,0),"")</f>
        <v>1.4807516262070679</v>
      </c>
      <c r="K367" s="41">
        <f t="shared" si="27"/>
        <v>301</v>
      </c>
      <c r="L367" s="56">
        <f>IFERROR(VLOOKUP(A367,[1]bus_institutions!B:D,2,0),"")</f>
        <v>22</v>
      </c>
      <c r="M367" s="42">
        <f>IFERROR(VLOOKUP(A367,[1]bus_institutions!B:E,4,0),"")</f>
        <v>2.4997574775775848</v>
      </c>
      <c r="N367" s="23">
        <f t="shared" si="28"/>
        <v>185</v>
      </c>
      <c r="O367" s="61">
        <f>IFERROR(VLOOKUP(A367,[1]man_institutions!B:E,2,0),"")</f>
        <v>30</v>
      </c>
      <c r="P367" s="62">
        <f>IFERROR(VLOOKUP(A367,[1]man_institutions!B:E,4,0),"")</f>
        <v>3.1383826983846541</v>
      </c>
      <c r="Q367" s="63">
        <f t="shared" si="29"/>
        <v>176</v>
      </c>
    </row>
    <row r="368" spans="1:17" x14ac:dyDescent="0.25">
      <c r="A368" s="6" t="s">
        <v>1028</v>
      </c>
      <c r="B368" s="37" t="s">
        <v>1230</v>
      </c>
      <c r="C368" s="72">
        <f>IFERROR(VLOOKUP(A368,[1]eco_bus_institutions!B:E,2,0),"")</f>
        <v>99</v>
      </c>
      <c r="D368" s="72">
        <f>IFERROR(VLOOKUP(A368,[1]eco_bus_institutions!B:E,4,0),"")</f>
        <v>1.586040636642978</v>
      </c>
      <c r="E368" s="73">
        <f t="shared" si="25"/>
        <v>430</v>
      </c>
      <c r="F368" s="40">
        <f>IFERROR(VLOOKUP(A368,[1]eco_institutions!B:D,2,0),"")</f>
        <v>51</v>
      </c>
      <c r="G368" s="40">
        <f>IFERROR(VLOOKUP(A368,[1]eco_institutions!B:E,4,0),"")</f>
        <v>1.3296363322156091</v>
      </c>
      <c r="H368" s="14">
        <f t="shared" si="26"/>
        <v>410</v>
      </c>
      <c r="I368" s="46">
        <f>IFERROR(VLOOKUP(A368,[1]fin_institutions!B:D,2,0),"")</f>
        <v>12</v>
      </c>
      <c r="J368" s="41">
        <f>IFERROR(VLOOKUP(A368,[1]fin_institutions!B:E,4,0),"")</f>
        <v>2.0808165462177719</v>
      </c>
      <c r="K368" s="41">
        <f t="shared" si="27"/>
        <v>143</v>
      </c>
      <c r="L368" s="56">
        <f>IFERROR(VLOOKUP(A368,[1]bus_institutions!B:D,2,0),"")</f>
        <v>31</v>
      </c>
      <c r="M368" s="42">
        <f>IFERROR(VLOOKUP(A368,[1]bus_institutions!B:E,4,0),"")</f>
        <v>1.4948122329342439</v>
      </c>
      <c r="N368" s="23">
        <f t="shared" si="28"/>
        <v>482</v>
      </c>
      <c r="O368" s="61">
        <f>IFERROR(VLOOKUP(A368,[1]man_institutions!B:E,2,0),"")</f>
        <v>28</v>
      </c>
      <c r="P368" s="62">
        <f>IFERROR(VLOOKUP(A368,[1]man_institutions!B:E,4,0),"")</f>
        <v>2.667813614967093</v>
      </c>
      <c r="Q368" s="63">
        <f t="shared" si="29"/>
        <v>241</v>
      </c>
    </row>
    <row r="369" spans="1:17" x14ac:dyDescent="0.25">
      <c r="A369" s="6" t="s">
        <v>1032</v>
      </c>
      <c r="B369" s="37" t="s">
        <v>1230</v>
      </c>
      <c r="C369" s="72">
        <f>IFERROR(VLOOKUP(A369,[1]eco_bus_institutions!B:E,2,0),"")</f>
        <v>79</v>
      </c>
      <c r="D369" s="72">
        <f>IFERROR(VLOOKUP(A369,[1]eco_bus_institutions!B:E,4,0),"")</f>
        <v>1.5638540283050719</v>
      </c>
      <c r="E369" s="73">
        <f t="shared" si="25"/>
        <v>444</v>
      </c>
      <c r="F369" s="40">
        <f>IFERROR(VLOOKUP(A369,[1]eco_institutions!B:D,2,0),"")</f>
        <v>38</v>
      </c>
      <c r="G369" s="40">
        <f>IFERROR(VLOOKUP(A369,[1]eco_institutions!B:E,4,0),"")</f>
        <v>1.5148947416937411</v>
      </c>
      <c r="H369" s="14">
        <f t="shared" si="26"/>
        <v>296</v>
      </c>
      <c r="I369" s="46">
        <f>IFERROR(VLOOKUP(A369,[1]fin_institutions!B:D,2,0),"")</f>
        <v>12</v>
      </c>
      <c r="J369" s="41">
        <f>IFERROR(VLOOKUP(A369,[1]fin_institutions!B:E,4,0),"")</f>
        <v>1.202526063553409</v>
      </c>
      <c r="K369" s="41">
        <f t="shared" si="27"/>
        <v>464</v>
      </c>
      <c r="L369" s="56">
        <f>IFERROR(VLOOKUP(A369,[1]bus_institutions!B:D,2,0),"")</f>
        <v>14</v>
      </c>
      <c r="M369" s="42">
        <f>IFERROR(VLOOKUP(A369,[1]bus_institutions!B:E,4,0),"")</f>
        <v>1.7392009507142649</v>
      </c>
      <c r="N369" s="23">
        <f t="shared" si="28"/>
        <v>411</v>
      </c>
      <c r="O369" s="61">
        <f>IFERROR(VLOOKUP(A369,[1]man_institutions!B:E,2,0),"")</f>
        <v>31</v>
      </c>
      <c r="P369" s="62">
        <f>IFERROR(VLOOKUP(A369,[1]man_institutions!B:E,4,0),"")</f>
        <v>2.2209913498458409</v>
      </c>
      <c r="Q369" s="63">
        <f t="shared" si="29"/>
        <v>343</v>
      </c>
    </row>
    <row r="370" spans="1:17" x14ac:dyDescent="0.25">
      <c r="A370" s="6" t="s">
        <v>1008</v>
      </c>
      <c r="B370" s="37" t="s">
        <v>1240</v>
      </c>
      <c r="C370" s="72">
        <f>IFERROR(VLOOKUP(A370,[1]eco_bus_institutions!B:E,2,0),"")</f>
        <v>78</v>
      </c>
      <c r="D370" s="72">
        <f>IFERROR(VLOOKUP(A370,[1]eco_bus_institutions!B:E,4,0),"")</f>
        <v>1.8738323834579049</v>
      </c>
      <c r="E370" s="73">
        <f t="shared" si="25"/>
        <v>310</v>
      </c>
      <c r="F370" s="40">
        <f>IFERROR(VLOOKUP(A370,[1]eco_institutions!B:D,2,0),"")</f>
        <v>48</v>
      </c>
      <c r="G370" s="40">
        <f>IFERROR(VLOOKUP(A370,[1]eco_institutions!B:E,4,0),"")</f>
        <v>1.620978227500139</v>
      </c>
      <c r="H370" s="14">
        <f t="shared" si="26"/>
        <v>255</v>
      </c>
      <c r="I370" s="46">
        <f>IFERROR(VLOOKUP(A370,[1]fin_institutions!B:D,2,0),"")</f>
        <v>12</v>
      </c>
      <c r="J370" s="41">
        <f>IFERROR(VLOOKUP(A370,[1]fin_institutions!B:E,4,0),"")</f>
        <v>1.5302951716130699</v>
      </c>
      <c r="K370" s="41">
        <f t="shared" si="27"/>
        <v>271</v>
      </c>
      <c r="L370" s="56">
        <f>IFERROR(VLOOKUP(A370,[1]bus_institutions!B:D,2,0),"")</f>
        <v>21</v>
      </c>
      <c r="M370" s="42">
        <f>IFERROR(VLOOKUP(A370,[1]bus_institutions!B:E,4,0),"")</f>
        <v>2.4355388495062211</v>
      </c>
      <c r="N370" s="23">
        <f t="shared" si="28"/>
        <v>210</v>
      </c>
      <c r="O370" s="61">
        <f>IFERROR(VLOOKUP(A370,[1]man_institutions!B:E,2,0),"")</f>
        <v>16</v>
      </c>
      <c r="P370" s="62">
        <f>IFERROR(VLOOKUP(A370,[1]man_institutions!B:E,4,0),"")</f>
        <v>2.7010282905251688</v>
      </c>
      <c r="Q370" s="63">
        <f t="shared" si="29"/>
        <v>236</v>
      </c>
    </row>
    <row r="371" spans="1:17" x14ac:dyDescent="0.25">
      <c r="A371" s="6" t="s">
        <v>1042</v>
      </c>
      <c r="B371" s="37" t="s">
        <v>1216</v>
      </c>
      <c r="C371" s="72">
        <f>IFERROR(VLOOKUP(A371,[1]eco_bus_institutions!B:E,2,0),"")</f>
        <v>92</v>
      </c>
      <c r="D371" s="72">
        <f>IFERROR(VLOOKUP(A371,[1]eco_bus_institutions!B:E,4,0),"")</f>
        <v>1.5805435324044279</v>
      </c>
      <c r="E371" s="73">
        <f t="shared" si="25"/>
        <v>432</v>
      </c>
      <c r="F371" s="40">
        <f>IFERROR(VLOOKUP(A371,[1]eco_institutions!B:D,2,0),"")</f>
        <v>18</v>
      </c>
      <c r="G371" s="40">
        <f>IFERROR(VLOOKUP(A371,[1]eco_institutions!B:E,4,0),"")</f>
        <v>1.397403788955208</v>
      </c>
      <c r="H371" s="14">
        <f t="shared" si="26"/>
        <v>365</v>
      </c>
      <c r="I371" s="46">
        <f>IFERROR(VLOOKUP(A371,[1]fin_institutions!B:D,2,0),"")</f>
        <v>24</v>
      </c>
      <c r="J371" s="41">
        <f>IFERROR(VLOOKUP(A371,[1]fin_institutions!B:E,4,0),"")</f>
        <v>1.2276917196764621</v>
      </c>
      <c r="K371" s="41">
        <f t="shared" si="27"/>
        <v>445</v>
      </c>
      <c r="L371" s="56">
        <f>IFERROR(VLOOKUP(A371,[1]bus_institutions!B:D,2,0),"")</f>
        <v>33</v>
      </c>
      <c r="M371" s="42">
        <f>IFERROR(VLOOKUP(A371,[1]bus_institutions!B:E,4,0),"")</f>
        <v>1.6950171786163459</v>
      </c>
      <c r="N371" s="23">
        <f t="shared" si="28"/>
        <v>424</v>
      </c>
      <c r="O371" s="61">
        <f>IFERROR(VLOOKUP(A371,[1]man_institutions!B:E,2,0),"")</f>
        <v>36</v>
      </c>
      <c r="P371" s="62">
        <f>IFERROR(VLOOKUP(A371,[1]man_institutions!B:E,4,0),"")</f>
        <v>2.0542631882084339</v>
      </c>
      <c r="Q371" s="63">
        <f t="shared" si="29"/>
        <v>392</v>
      </c>
    </row>
    <row r="372" spans="1:17" x14ac:dyDescent="0.25">
      <c r="A372" s="6" t="s">
        <v>1041</v>
      </c>
      <c r="B372" s="37" t="s">
        <v>1217</v>
      </c>
      <c r="C372" s="72">
        <f>IFERROR(VLOOKUP(A372,[1]eco_bus_institutions!B:E,2,0),"")</f>
        <v>45</v>
      </c>
      <c r="D372" s="72">
        <f>IFERROR(VLOOKUP(A372,[1]eco_bus_institutions!B:E,4,0),"")</f>
        <v>1.6461416941171649</v>
      </c>
      <c r="E372" s="73">
        <f t="shared" si="25"/>
        <v>405</v>
      </c>
      <c r="F372" s="40">
        <f>IFERROR(VLOOKUP(A372,[1]eco_institutions!B:D,2,0),"")</f>
        <v>15</v>
      </c>
      <c r="G372" s="40">
        <f>IFERROR(VLOOKUP(A372,[1]eco_institutions!B:E,4,0),"")</f>
        <v>1.4625381412664991</v>
      </c>
      <c r="H372" s="14">
        <f t="shared" si="26"/>
        <v>322</v>
      </c>
      <c r="I372" s="46">
        <f>IFERROR(VLOOKUP(A372,[1]fin_institutions!B:D,2,0),"")</f>
        <v>9</v>
      </c>
      <c r="J372" s="41">
        <f>IFERROR(VLOOKUP(A372,[1]fin_institutions!B:E,4,0),"")</f>
        <v>1.516896391010736</v>
      </c>
      <c r="K372" s="41">
        <f t="shared" si="27"/>
        <v>279</v>
      </c>
      <c r="L372" s="56">
        <f>IFERROR(VLOOKUP(A372,[1]bus_institutions!B:D,2,0),"")</f>
        <v>16</v>
      </c>
      <c r="M372" s="42">
        <f>IFERROR(VLOOKUP(A372,[1]bus_institutions!B:E,4,0),"")</f>
        <v>1.6904034288268981</v>
      </c>
      <c r="N372" s="23">
        <f t="shared" si="28"/>
        <v>426</v>
      </c>
      <c r="O372" s="61">
        <f>IFERROR(VLOOKUP(A372,[1]man_institutions!B:E,2,0),"")</f>
        <v>14</v>
      </c>
      <c r="P372" s="62">
        <f>IFERROR(VLOOKUP(A372,[1]man_institutions!B:E,4,0),"")</f>
        <v>1.894516430261129</v>
      </c>
      <c r="Q372" s="63">
        <f t="shared" si="29"/>
        <v>429</v>
      </c>
    </row>
    <row r="373" spans="1:17" x14ac:dyDescent="0.25">
      <c r="A373" s="6" t="s">
        <v>1149</v>
      </c>
      <c r="B373" s="37" t="s">
        <v>1218</v>
      </c>
      <c r="C373" s="72">
        <f>IFERROR(VLOOKUP(A373,[1]eco_bus_institutions!B:E,2,0),"")</f>
        <v>36</v>
      </c>
      <c r="D373" s="72">
        <f>IFERROR(VLOOKUP(A373,[1]eco_bus_institutions!B:E,4,0),"")</f>
        <v>1.8542060362148369</v>
      </c>
      <c r="E373" s="73">
        <f t="shared" si="25"/>
        <v>320</v>
      </c>
      <c r="F373" s="40">
        <f>IFERROR(VLOOKUP(A373,[1]eco_institutions!B:D,2,0),"")</f>
        <v>33</v>
      </c>
      <c r="G373" s="40">
        <f>IFERROR(VLOOKUP(A373,[1]eco_institutions!B:E,4,0),"")</f>
        <v>1.824653161760819</v>
      </c>
      <c r="H373" s="14">
        <f t="shared" si="26"/>
        <v>186</v>
      </c>
      <c r="I373" s="46">
        <f>IFERROR(VLOOKUP(A373,[1]fin_institutions!B:D,2,0),"")</f>
        <v>4</v>
      </c>
      <c r="J373" s="41">
        <f>IFERROR(VLOOKUP(A373,[1]fin_institutions!B:E,4,0),"")</f>
        <v>1.524657007972452</v>
      </c>
      <c r="K373" s="41">
        <f t="shared" si="27"/>
        <v>275</v>
      </c>
      <c r="L373" s="56" t="str">
        <f>IFERROR(VLOOKUP(A373,[1]bus_institutions!B:D,2,0),"")</f>
        <v/>
      </c>
      <c r="M373" s="42" t="str">
        <f>IFERROR(VLOOKUP(A373,[1]bus_institutions!B:E,4,0),"")</f>
        <v/>
      </c>
      <c r="N373" s="23" t="str">
        <f t="shared" si="28"/>
        <v/>
      </c>
      <c r="O373" s="61" t="str">
        <f>IFERROR(VLOOKUP(A373,[1]man_institutions!B:E,2,0),"")</f>
        <v/>
      </c>
      <c r="P373" s="62" t="str">
        <f>IFERROR(VLOOKUP(A373,[1]man_institutions!B:E,4,0),"")</f>
        <v/>
      </c>
      <c r="Q373" s="63" t="str">
        <f t="shared" si="29"/>
        <v/>
      </c>
    </row>
    <row r="374" spans="1:17" x14ac:dyDescent="0.25">
      <c r="A374" s="6" t="s">
        <v>964</v>
      </c>
      <c r="B374" s="37" t="s">
        <v>1230</v>
      </c>
      <c r="C374" s="72">
        <f>IFERROR(VLOOKUP(A374,[1]eco_bus_institutions!B:E,2,0),"")</f>
        <v>110</v>
      </c>
      <c r="D374" s="72">
        <f>IFERROR(VLOOKUP(A374,[1]eco_bus_institutions!B:E,4,0),"")</f>
        <v>1.614326139819406</v>
      </c>
      <c r="E374" s="73">
        <f t="shared" si="25"/>
        <v>418</v>
      </c>
      <c r="F374" s="40">
        <f>IFERROR(VLOOKUP(A374,[1]eco_institutions!B:D,2,0),"")</f>
        <v>52</v>
      </c>
      <c r="G374" s="40">
        <f>IFERROR(VLOOKUP(A374,[1]eco_institutions!B:E,4,0),"")</f>
        <v>1.328960657604344</v>
      </c>
      <c r="H374" s="14">
        <f t="shared" si="26"/>
        <v>411</v>
      </c>
      <c r="I374" s="46">
        <f>IFERROR(VLOOKUP(A374,[1]fin_institutions!B:D,2,0),"")</f>
        <v>19</v>
      </c>
      <c r="J374" s="41">
        <f>IFERROR(VLOOKUP(A374,[1]fin_institutions!B:E,4,0),"")</f>
        <v>1.7129287027111579</v>
      </c>
      <c r="K374" s="41">
        <f t="shared" si="27"/>
        <v>215</v>
      </c>
      <c r="L374" s="56">
        <f>IFERROR(VLOOKUP(A374,[1]bus_institutions!B:D,2,0),"")</f>
        <v>28</v>
      </c>
      <c r="M374" s="42">
        <f>IFERROR(VLOOKUP(A374,[1]bus_institutions!B:E,4,0),"")</f>
        <v>1.710611982541226</v>
      </c>
      <c r="N374" s="23">
        <f t="shared" si="28"/>
        <v>419</v>
      </c>
      <c r="O374" s="61">
        <f>IFERROR(VLOOKUP(A374,[1]man_institutions!B:E,2,0),"")</f>
        <v>37</v>
      </c>
      <c r="P374" s="62">
        <f>IFERROR(VLOOKUP(A374,[1]man_institutions!B:E,4,0),"")</f>
        <v>1.8338215271276599</v>
      </c>
      <c r="Q374" s="63">
        <f t="shared" si="29"/>
        <v>451</v>
      </c>
    </row>
    <row r="375" spans="1:17" x14ac:dyDescent="0.25">
      <c r="A375" s="6" t="s">
        <v>967</v>
      </c>
      <c r="B375" s="37" t="s">
        <v>1216</v>
      </c>
      <c r="C375" s="72">
        <f>IFERROR(VLOOKUP(A375,[1]eco_bus_institutions!B:E,2,0),"")</f>
        <v>71</v>
      </c>
      <c r="D375" s="72">
        <f>IFERROR(VLOOKUP(A375,[1]eco_bus_institutions!B:E,4,0),"")</f>
        <v>1.7030492656637239</v>
      </c>
      <c r="E375" s="73">
        <f t="shared" si="25"/>
        <v>380</v>
      </c>
      <c r="F375" s="40">
        <f>IFERROR(VLOOKUP(A375,[1]eco_institutions!B:D,2,0),"")</f>
        <v>10</v>
      </c>
      <c r="G375" s="40">
        <f>IFERROR(VLOOKUP(A375,[1]eco_institutions!B:E,4,0),"")</f>
        <v>1.344617508452058</v>
      </c>
      <c r="H375" s="14">
        <f t="shared" si="26"/>
        <v>396</v>
      </c>
      <c r="I375" s="46">
        <f>IFERROR(VLOOKUP(A375,[1]fin_institutions!B:D,2,0),"")</f>
        <v>8</v>
      </c>
      <c r="J375" s="41">
        <f>IFERROR(VLOOKUP(A375,[1]fin_institutions!B:E,4,0),"")</f>
        <v>1.199979757328697</v>
      </c>
      <c r="K375" s="41">
        <f t="shared" si="27"/>
        <v>466</v>
      </c>
      <c r="L375" s="56">
        <f>IFERROR(VLOOKUP(A375,[1]bus_institutions!B:D,2,0),"")</f>
        <v>34</v>
      </c>
      <c r="M375" s="42">
        <f>IFERROR(VLOOKUP(A375,[1]bus_institutions!B:E,4,0),"")</f>
        <v>1.9268559952934059</v>
      </c>
      <c r="N375" s="23">
        <f t="shared" si="28"/>
        <v>344</v>
      </c>
      <c r="O375" s="61">
        <f>IFERROR(VLOOKUP(A375,[1]man_institutions!B:E,2,0),"")</f>
        <v>40</v>
      </c>
      <c r="P375" s="62">
        <f>IFERROR(VLOOKUP(A375,[1]man_institutions!B:E,4,0),"")</f>
        <v>2.2658451887806348</v>
      </c>
      <c r="Q375" s="63">
        <f t="shared" si="29"/>
        <v>329</v>
      </c>
    </row>
    <row r="376" spans="1:17" x14ac:dyDescent="0.25">
      <c r="A376" s="6" t="s">
        <v>1027</v>
      </c>
      <c r="B376" s="37" t="s">
        <v>1217</v>
      </c>
      <c r="C376" s="72">
        <f>IFERROR(VLOOKUP(A376,[1]eco_bus_institutions!B:E,2,0),"")</f>
        <v>61</v>
      </c>
      <c r="D376" s="72">
        <f>IFERROR(VLOOKUP(A376,[1]eco_bus_institutions!B:E,4,0),"")</f>
        <v>1.6654944871351101</v>
      </c>
      <c r="E376" s="73">
        <f t="shared" si="25"/>
        <v>400</v>
      </c>
      <c r="F376" s="40">
        <f>IFERROR(VLOOKUP(A376,[1]eco_institutions!B:D,2,0),"")</f>
        <v>24</v>
      </c>
      <c r="G376" s="40">
        <f>IFERROR(VLOOKUP(A376,[1]eco_institutions!B:E,4,0),"")</f>
        <v>1.4270151207381301</v>
      </c>
      <c r="H376" s="14">
        <f t="shared" si="26"/>
        <v>341</v>
      </c>
      <c r="I376" s="46">
        <f>IFERROR(VLOOKUP(A376,[1]fin_institutions!B:D,2,0),"")</f>
        <v>16</v>
      </c>
      <c r="J376" s="41">
        <f>IFERROR(VLOOKUP(A376,[1]fin_institutions!B:E,4,0),"")</f>
        <v>2.1101224208199101</v>
      </c>
      <c r="K376" s="41">
        <f t="shared" si="27"/>
        <v>137</v>
      </c>
      <c r="L376" s="56">
        <f>IFERROR(VLOOKUP(A376,[1]bus_institutions!B:D,2,0),"")</f>
        <v>23</v>
      </c>
      <c r="M376" s="42">
        <f>IFERROR(VLOOKUP(A376,[1]bus_institutions!B:E,4,0),"")</f>
        <v>1.587050667795372</v>
      </c>
      <c r="N376" s="23">
        <f t="shared" si="28"/>
        <v>462</v>
      </c>
      <c r="O376" s="61">
        <f>IFERROR(VLOOKUP(A376,[1]man_institutions!B:E,2,0),"")</f>
        <v>9</v>
      </c>
      <c r="P376" s="62">
        <f>IFERROR(VLOOKUP(A376,[1]man_institutions!B:E,4,0),"")</f>
        <v>2.1578399662279821</v>
      </c>
      <c r="Q376" s="63">
        <f t="shared" si="29"/>
        <v>365</v>
      </c>
    </row>
    <row r="377" spans="1:17" x14ac:dyDescent="0.25">
      <c r="A377" s="6" t="s">
        <v>900</v>
      </c>
      <c r="B377" s="37" t="s">
        <v>1233</v>
      </c>
      <c r="C377" s="72">
        <f>IFERROR(VLOOKUP(A377,[1]eco_bus_institutions!B:E,2,0),"")</f>
        <v>44</v>
      </c>
      <c r="D377" s="72">
        <f>IFERROR(VLOOKUP(A377,[1]eco_bus_institutions!B:E,4,0),"")</f>
        <v>1.800525259322501</v>
      </c>
      <c r="E377" s="73">
        <f t="shared" si="25"/>
        <v>346</v>
      </c>
      <c r="F377" s="40">
        <f>IFERROR(VLOOKUP(A377,[1]eco_institutions!B:D,2,0),"")</f>
        <v>8</v>
      </c>
      <c r="G377" s="40">
        <f>IFERROR(VLOOKUP(A377,[1]eco_institutions!B:E,4,0),"")</f>
        <v>1.084231537393761</v>
      </c>
      <c r="H377" s="14">
        <f t="shared" si="26"/>
        <v>577</v>
      </c>
      <c r="I377" s="46" t="str">
        <f>IFERROR(VLOOKUP(A377,[1]fin_institutions!B:D,2,0),"")</f>
        <v/>
      </c>
      <c r="J377" s="41" t="str">
        <f>IFERROR(VLOOKUP(A377,[1]fin_institutions!B:E,4,0),"")</f>
        <v/>
      </c>
      <c r="K377" s="41" t="str">
        <f t="shared" si="27"/>
        <v/>
      </c>
      <c r="L377" s="56">
        <f>IFERROR(VLOOKUP(A377,[1]bus_institutions!B:D,2,0),"")</f>
        <v>16</v>
      </c>
      <c r="M377" s="42">
        <f>IFERROR(VLOOKUP(A377,[1]bus_institutions!B:E,4,0),"")</f>
        <v>1.8057770079983131</v>
      </c>
      <c r="N377" s="23">
        <f t="shared" si="28"/>
        <v>382</v>
      </c>
      <c r="O377" s="61">
        <f>IFERROR(VLOOKUP(A377,[1]man_institutions!B:E,2,0),"")</f>
        <v>27</v>
      </c>
      <c r="P377" s="62">
        <f>IFERROR(VLOOKUP(A377,[1]man_institutions!B:E,4,0),"")</f>
        <v>2.49497033147999</v>
      </c>
      <c r="Q377" s="63">
        <f t="shared" si="29"/>
        <v>274</v>
      </c>
    </row>
    <row r="378" spans="1:17" x14ac:dyDescent="0.25">
      <c r="A378" s="6" t="s">
        <v>923</v>
      </c>
      <c r="B378" s="37" t="s">
        <v>1271</v>
      </c>
      <c r="C378" s="72">
        <f>IFERROR(VLOOKUP(A378,[1]eco_bus_institutions!B:E,2,0),"")</f>
        <v>54</v>
      </c>
      <c r="D378" s="72">
        <f>IFERROR(VLOOKUP(A378,[1]eco_bus_institutions!B:E,4,0),"")</f>
        <v>1.8279265846730759</v>
      </c>
      <c r="E378" s="73">
        <f t="shared" si="25"/>
        <v>329</v>
      </c>
      <c r="F378" s="40">
        <f>IFERROR(VLOOKUP(A378,[1]eco_institutions!B:D,2,0),"")</f>
        <v>32</v>
      </c>
      <c r="G378" s="40">
        <f>IFERROR(VLOOKUP(A378,[1]eco_institutions!B:E,4,0),"")</f>
        <v>1.515647483315145</v>
      </c>
      <c r="H378" s="14">
        <f t="shared" si="26"/>
        <v>295</v>
      </c>
      <c r="I378" s="46">
        <f>IFERROR(VLOOKUP(A378,[1]fin_institutions!B:D,2,0),"")</f>
        <v>8</v>
      </c>
      <c r="J378" s="41">
        <f>IFERROR(VLOOKUP(A378,[1]fin_institutions!B:E,4,0),"")</f>
        <v>1.3938553921633561</v>
      </c>
      <c r="K378" s="41">
        <f t="shared" si="27"/>
        <v>341</v>
      </c>
      <c r="L378" s="56">
        <f>IFERROR(VLOOKUP(A378,[1]bus_institutions!B:D,2,0),"")</f>
        <v>9</v>
      </c>
      <c r="M378" s="42">
        <f>IFERROR(VLOOKUP(A378,[1]bus_institutions!B:E,4,0),"")</f>
        <v>2.1254199050398599</v>
      </c>
      <c r="N378" s="23">
        <f t="shared" si="28"/>
        <v>285</v>
      </c>
      <c r="O378" s="61">
        <f>IFERROR(VLOOKUP(A378,[1]man_institutions!B:E,2,0),"")</f>
        <v>17</v>
      </c>
      <c r="P378" s="62">
        <f>IFERROR(VLOOKUP(A378,[1]man_institutions!B:E,4,0),"")</f>
        <v>2.3426345245885618</v>
      </c>
      <c r="Q378" s="63">
        <f t="shared" si="29"/>
        <v>316</v>
      </c>
    </row>
    <row r="379" spans="1:17" x14ac:dyDescent="0.25">
      <c r="A379" s="6" t="s">
        <v>1069</v>
      </c>
      <c r="B379" s="37" t="s">
        <v>1222</v>
      </c>
      <c r="C379" s="72">
        <f>IFERROR(VLOOKUP(A379,[1]eco_bus_institutions!B:E,2,0),"")</f>
        <v>65</v>
      </c>
      <c r="D379" s="72">
        <f>IFERROR(VLOOKUP(A379,[1]eco_bus_institutions!B:E,4,0),"")</f>
        <v>1.7374170471302719</v>
      </c>
      <c r="E379" s="73">
        <f t="shared" si="25"/>
        <v>361</v>
      </c>
      <c r="F379" s="40">
        <f>IFERROR(VLOOKUP(A379,[1]eco_institutions!B:D,2,0),"")</f>
        <v>43</v>
      </c>
      <c r="G379" s="40">
        <f>IFERROR(VLOOKUP(A379,[1]eco_institutions!B:E,4,0),"")</f>
        <v>1.6054102398136869</v>
      </c>
      <c r="H379" s="14">
        <f t="shared" si="26"/>
        <v>259</v>
      </c>
      <c r="I379" s="46">
        <f>IFERROR(VLOOKUP(A379,[1]fin_institutions!B:D,2,0),"")</f>
        <v>6</v>
      </c>
      <c r="J379" s="41">
        <f>IFERROR(VLOOKUP(A379,[1]fin_institutions!B:E,4,0),"")</f>
        <v>1.12508488706457</v>
      </c>
      <c r="K379" s="41">
        <f t="shared" si="27"/>
        <v>519</v>
      </c>
      <c r="L379" s="56">
        <f>IFERROR(VLOOKUP(A379,[1]bus_institutions!B:D,2,0),"")</f>
        <v>15</v>
      </c>
      <c r="M379" s="42">
        <f>IFERROR(VLOOKUP(A379,[1]bus_institutions!B:E,4,0),"")</f>
        <v>1.952174569696596</v>
      </c>
      <c r="N379" s="23">
        <f t="shared" si="28"/>
        <v>334</v>
      </c>
      <c r="O379" s="61">
        <f>IFERROR(VLOOKUP(A379,[1]man_institutions!B:E,2,0),"")</f>
        <v>21</v>
      </c>
      <c r="P379" s="62">
        <f>IFERROR(VLOOKUP(A379,[1]man_institutions!B:E,4,0),"")</f>
        <v>2.2437746528575651</v>
      </c>
      <c r="Q379" s="63">
        <f t="shared" si="29"/>
        <v>339</v>
      </c>
    </row>
    <row r="380" spans="1:17" x14ac:dyDescent="0.25">
      <c r="A380" s="6" t="s">
        <v>1043</v>
      </c>
      <c r="B380" s="37" t="s">
        <v>1217</v>
      </c>
      <c r="C380" s="72">
        <f>IFERROR(VLOOKUP(A380,[1]eco_bus_institutions!B:E,2,0),"")</f>
        <v>61</v>
      </c>
      <c r="D380" s="72">
        <f>IFERROR(VLOOKUP(A380,[1]eco_bus_institutions!B:E,4,0),"")</f>
        <v>1.8458404685117871</v>
      </c>
      <c r="E380" s="73">
        <f t="shared" si="25"/>
        <v>323</v>
      </c>
      <c r="F380" s="40">
        <f>IFERROR(VLOOKUP(A380,[1]eco_institutions!B:D,2,0),"")</f>
        <v>36</v>
      </c>
      <c r="G380" s="40">
        <f>IFERROR(VLOOKUP(A380,[1]eco_institutions!B:E,4,0),"")</f>
        <v>1.6957846970593189</v>
      </c>
      <c r="H380" s="14">
        <f t="shared" si="26"/>
        <v>221</v>
      </c>
      <c r="I380" s="46">
        <f>IFERROR(VLOOKUP(A380,[1]fin_institutions!B:D,2,0),"")</f>
        <v>15</v>
      </c>
      <c r="J380" s="41">
        <f>IFERROR(VLOOKUP(A380,[1]fin_institutions!B:E,4,0),"")</f>
        <v>1.491306260714043</v>
      </c>
      <c r="K380" s="41">
        <f t="shared" si="27"/>
        <v>294</v>
      </c>
      <c r="L380" s="56">
        <f>IFERROR(VLOOKUP(A380,[1]bus_institutions!B:D,2,0),"")</f>
        <v>11</v>
      </c>
      <c r="M380" s="42">
        <f>IFERROR(VLOOKUP(A380,[1]bus_institutions!B:E,4,0),"")</f>
        <v>2.2556595415602758</v>
      </c>
      <c r="N380" s="23">
        <f t="shared" si="28"/>
        <v>255</v>
      </c>
      <c r="O380" s="61">
        <f>IFERROR(VLOOKUP(A380,[1]man_institutions!B:E,2,0),"")</f>
        <v>16</v>
      </c>
      <c r="P380" s="62">
        <f>IFERROR(VLOOKUP(A380,[1]man_institutions!B:E,4,0),"")</f>
        <v>2.209324822970903</v>
      </c>
      <c r="Q380" s="63">
        <f t="shared" si="29"/>
        <v>350</v>
      </c>
    </row>
    <row r="381" spans="1:17" x14ac:dyDescent="0.25">
      <c r="A381" s="6" t="s">
        <v>929</v>
      </c>
      <c r="B381" s="37" t="s">
        <v>1224</v>
      </c>
      <c r="C381" s="72">
        <f>IFERROR(VLOOKUP(A381,[1]eco_bus_institutions!B:E,2,0),"")</f>
        <v>41</v>
      </c>
      <c r="D381" s="72">
        <f>IFERROR(VLOOKUP(A381,[1]eco_bus_institutions!B:E,4,0),"")</f>
        <v>1.8378232948160309</v>
      </c>
      <c r="E381" s="73">
        <f t="shared" si="25"/>
        <v>325</v>
      </c>
      <c r="F381" s="40">
        <f>IFERROR(VLOOKUP(A381,[1]eco_institutions!B:D,2,0),"")</f>
        <v>14</v>
      </c>
      <c r="G381" s="40">
        <f>IFERROR(VLOOKUP(A381,[1]eco_institutions!B:E,4,0),"")</f>
        <v>1.390693705225341</v>
      </c>
      <c r="H381" s="14">
        <f t="shared" si="26"/>
        <v>376</v>
      </c>
      <c r="I381" s="46">
        <f>IFERROR(VLOOKUP(A381,[1]fin_institutions!B:D,2,0),"")</f>
        <v>9</v>
      </c>
      <c r="J381" s="41">
        <f>IFERROR(VLOOKUP(A381,[1]fin_institutions!B:E,4,0),"")</f>
        <v>1.2602115177945841</v>
      </c>
      <c r="K381" s="41">
        <f t="shared" si="27"/>
        <v>419</v>
      </c>
      <c r="L381" s="56">
        <f>IFERROR(VLOOKUP(A381,[1]bus_institutions!B:D,2,0),"")</f>
        <v>15</v>
      </c>
      <c r="M381" s="42">
        <f>IFERROR(VLOOKUP(A381,[1]bus_institutions!B:E,4,0),"")</f>
        <v>2.2634404061957492</v>
      </c>
      <c r="N381" s="23">
        <f t="shared" si="28"/>
        <v>250</v>
      </c>
      <c r="O381" s="61">
        <f>IFERROR(VLOOKUP(A381,[1]man_institutions!B:E,2,0),"")</f>
        <v>14</v>
      </c>
      <c r="P381" s="62">
        <f>IFERROR(VLOOKUP(A381,[1]man_institutions!B:E,4,0),"")</f>
        <v>3.439179412747666</v>
      </c>
      <c r="Q381" s="63">
        <f t="shared" si="29"/>
        <v>135</v>
      </c>
    </row>
    <row r="382" spans="1:17" x14ac:dyDescent="0.25">
      <c r="A382" s="6" t="s">
        <v>1048</v>
      </c>
      <c r="B382" s="37" t="s">
        <v>1222</v>
      </c>
      <c r="C382" s="72">
        <f>IFERROR(VLOOKUP(A382,[1]eco_bus_institutions!B:E,2,0),"")</f>
        <v>57</v>
      </c>
      <c r="D382" s="72">
        <f>IFERROR(VLOOKUP(A382,[1]eco_bus_institutions!B:E,4,0),"")</f>
        <v>2.162822046681101</v>
      </c>
      <c r="E382" s="73">
        <f t="shared" si="25"/>
        <v>209</v>
      </c>
      <c r="F382" s="40">
        <f>IFERROR(VLOOKUP(A382,[1]eco_institutions!B:D,2,0),"")</f>
        <v>53</v>
      </c>
      <c r="G382" s="40">
        <f>IFERROR(VLOOKUP(A382,[1]eco_institutions!B:E,4,0),"")</f>
        <v>2.1340622335416448</v>
      </c>
      <c r="H382" s="14">
        <f t="shared" si="26"/>
        <v>119</v>
      </c>
      <c r="I382" s="46">
        <f>IFERROR(VLOOKUP(A382,[1]fin_institutions!B:D,2,0),"")</f>
        <v>8</v>
      </c>
      <c r="J382" s="41">
        <f>IFERROR(VLOOKUP(A382,[1]fin_institutions!B:E,4,0),"")</f>
        <v>1.1307494870594219</v>
      </c>
      <c r="K382" s="41">
        <f t="shared" si="27"/>
        <v>517</v>
      </c>
      <c r="L382" s="56" t="str">
        <f>IFERROR(VLOOKUP(A382,[1]bus_institutions!B:D,2,0),"")</f>
        <v/>
      </c>
      <c r="M382" s="42" t="str">
        <f>IFERROR(VLOOKUP(A382,[1]bus_institutions!B:E,4,0),"")</f>
        <v/>
      </c>
      <c r="N382" s="23" t="str">
        <f t="shared" si="28"/>
        <v/>
      </c>
      <c r="O382" s="61" t="str">
        <f>IFERROR(VLOOKUP(A382,[1]man_institutions!B:E,2,0),"")</f>
        <v/>
      </c>
      <c r="P382" s="62" t="str">
        <f>IFERROR(VLOOKUP(A382,[1]man_institutions!B:E,4,0),"")</f>
        <v/>
      </c>
      <c r="Q382" s="63" t="str">
        <f t="shared" si="29"/>
        <v/>
      </c>
    </row>
    <row r="383" spans="1:17" x14ac:dyDescent="0.25">
      <c r="A383" s="6" t="s">
        <v>1045</v>
      </c>
      <c r="B383" s="37" t="s">
        <v>1230</v>
      </c>
      <c r="C383" s="72">
        <f>IFERROR(VLOOKUP(A383,[1]eco_bus_institutions!B:E,2,0),"")</f>
        <v>62</v>
      </c>
      <c r="D383" s="72">
        <f>IFERROR(VLOOKUP(A383,[1]eco_bus_institutions!B:E,4,0),"")</f>
        <v>1.478477319874276</v>
      </c>
      <c r="E383" s="73">
        <f t="shared" si="25"/>
        <v>483</v>
      </c>
      <c r="F383" s="40">
        <f>IFERROR(VLOOKUP(A383,[1]eco_institutions!B:D,2,0),"")</f>
        <v>33</v>
      </c>
      <c r="G383" s="40">
        <f>IFERROR(VLOOKUP(A383,[1]eco_institutions!B:E,4,0),"")</f>
        <v>1.368567247887392</v>
      </c>
      <c r="H383" s="14">
        <f t="shared" si="26"/>
        <v>388</v>
      </c>
      <c r="I383" s="46">
        <f>IFERROR(VLOOKUP(A383,[1]fin_institutions!B:D,2,0),"")</f>
        <v>23</v>
      </c>
      <c r="J383" s="41">
        <f>IFERROR(VLOOKUP(A383,[1]fin_institutions!B:E,4,0),"")</f>
        <v>1.44352662038493</v>
      </c>
      <c r="K383" s="41">
        <f t="shared" si="27"/>
        <v>314</v>
      </c>
      <c r="L383" s="56">
        <f>IFERROR(VLOOKUP(A383,[1]bus_institutions!B:D,2,0),"")</f>
        <v>5</v>
      </c>
      <c r="M383" s="42">
        <f>IFERROR(VLOOKUP(A383,[1]bus_institutions!B:E,4,0),"")</f>
        <v>1.256644578046495</v>
      </c>
      <c r="N383" s="23">
        <f t="shared" si="28"/>
        <v>538</v>
      </c>
      <c r="O383" s="61">
        <f>IFERROR(VLOOKUP(A383,[1]man_institutions!B:E,2,0),"")</f>
        <v>14</v>
      </c>
      <c r="P383" s="62">
        <f>IFERROR(VLOOKUP(A383,[1]man_institutions!B:E,4,0),"")</f>
        <v>1.591648355002286</v>
      </c>
      <c r="Q383" s="63">
        <f t="shared" si="29"/>
        <v>510</v>
      </c>
    </row>
    <row r="384" spans="1:17" x14ac:dyDescent="0.25">
      <c r="A384" s="6" t="s">
        <v>1035</v>
      </c>
      <c r="B384" s="37" t="s">
        <v>1216</v>
      </c>
      <c r="C384" s="72">
        <f>IFERROR(VLOOKUP(A384,[1]eco_bus_institutions!B:E,2,0),"")</f>
        <v>87</v>
      </c>
      <c r="D384" s="72">
        <f>IFERROR(VLOOKUP(A384,[1]eco_bus_institutions!B:E,4,0),"")</f>
        <v>1.4598564012905899</v>
      </c>
      <c r="E384" s="73">
        <f t="shared" si="25"/>
        <v>492</v>
      </c>
      <c r="F384" s="40">
        <f>IFERROR(VLOOKUP(A384,[1]eco_institutions!B:D,2,0),"")</f>
        <v>20</v>
      </c>
      <c r="G384" s="40">
        <f>IFERROR(VLOOKUP(A384,[1]eco_institutions!B:E,4,0),"")</f>
        <v>1.117015274701598</v>
      </c>
      <c r="H384" s="14">
        <f t="shared" si="26"/>
        <v>564</v>
      </c>
      <c r="I384" s="46">
        <f>IFERROR(VLOOKUP(A384,[1]fin_institutions!B:D,2,0),"")</f>
        <v>22</v>
      </c>
      <c r="J384" s="41">
        <f>IFERROR(VLOOKUP(A384,[1]fin_institutions!B:E,4,0),"")</f>
        <v>1.187051940386012</v>
      </c>
      <c r="K384" s="41">
        <f t="shared" si="27"/>
        <v>477</v>
      </c>
      <c r="L384" s="56">
        <f>IFERROR(VLOOKUP(A384,[1]bus_institutions!B:D,2,0),"")</f>
        <v>37</v>
      </c>
      <c r="M384" s="42">
        <f>IFERROR(VLOOKUP(A384,[1]bus_institutions!B:E,4,0),"")</f>
        <v>1.678111538035975</v>
      </c>
      <c r="N384" s="23">
        <f t="shared" si="28"/>
        <v>429</v>
      </c>
      <c r="O384" s="61">
        <f>IFERROR(VLOOKUP(A384,[1]man_institutions!B:E,2,0),"")</f>
        <v>37</v>
      </c>
      <c r="P384" s="62">
        <f>IFERROR(VLOOKUP(A384,[1]man_institutions!B:E,4,0),"")</f>
        <v>1.8031011469563409</v>
      </c>
      <c r="Q384" s="63">
        <f t="shared" si="29"/>
        <v>460</v>
      </c>
    </row>
    <row r="385" spans="1:17" x14ac:dyDescent="0.25">
      <c r="A385" s="6" t="s">
        <v>1053</v>
      </c>
      <c r="B385" s="37" t="s">
        <v>1217</v>
      </c>
      <c r="C385" s="72">
        <f>IFERROR(VLOOKUP(A385,[1]eco_bus_institutions!B:E,2,0),"")</f>
        <v>165</v>
      </c>
      <c r="D385" s="72">
        <f>IFERROR(VLOOKUP(A385,[1]eco_bus_institutions!B:E,4,0),"")</f>
        <v>2.070824924030064</v>
      </c>
      <c r="E385" s="73">
        <f t="shared" si="25"/>
        <v>244</v>
      </c>
      <c r="F385" s="40">
        <f>IFERROR(VLOOKUP(A385,[1]eco_institutions!B:D,2,0),"")</f>
        <v>148</v>
      </c>
      <c r="G385" s="40">
        <f>IFERROR(VLOOKUP(A385,[1]eco_institutions!B:E,4,0),"")</f>
        <v>2.0697769283971268</v>
      </c>
      <c r="H385" s="14">
        <f t="shared" si="26"/>
        <v>131</v>
      </c>
      <c r="I385" s="46">
        <f>IFERROR(VLOOKUP(A385,[1]fin_institutions!B:D,2,0),"")</f>
        <v>32</v>
      </c>
      <c r="J385" s="41">
        <f>IFERROR(VLOOKUP(A385,[1]fin_institutions!B:E,4,0),"")</f>
        <v>1.362975745905421</v>
      </c>
      <c r="K385" s="41">
        <f t="shared" si="27"/>
        <v>356</v>
      </c>
      <c r="L385" s="56" t="str">
        <f>IFERROR(VLOOKUP(A385,[1]bus_institutions!B:D,2,0),"")</f>
        <v/>
      </c>
      <c r="M385" s="42" t="str">
        <f>IFERROR(VLOOKUP(A385,[1]bus_institutions!B:E,4,0),"")</f>
        <v/>
      </c>
      <c r="N385" s="23" t="str">
        <f t="shared" si="28"/>
        <v/>
      </c>
      <c r="O385" s="61" t="str">
        <f>IFERROR(VLOOKUP(A385,[1]man_institutions!B:E,2,0),"")</f>
        <v/>
      </c>
      <c r="P385" s="62" t="str">
        <f>IFERROR(VLOOKUP(A385,[1]man_institutions!B:E,4,0),"")</f>
        <v/>
      </c>
      <c r="Q385" s="63" t="str">
        <f t="shared" si="29"/>
        <v/>
      </c>
    </row>
    <row r="386" spans="1:17" x14ac:dyDescent="0.25">
      <c r="A386" s="6" t="s">
        <v>1047</v>
      </c>
      <c r="B386" s="37" t="s">
        <v>1271</v>
      </c>
      <c r="C386" s="72">
        <f>IFERROR(VLOOKUP(A386,[1]eco_bus_institutions!B:E,2,0),"")</f>
        <v>49</v>
      </c>
      <c r="D386" s="72">
        <f>IFERROR(VLOOKUP(A386,[1]eco_bus_institutions!B:E,4,0),"")</f>
        <v>2.1099352525772401</v>
      </c>
      <c r="E386" s="73">
        <f t="shared" si="25"/>
        <v>228</v>
      </c>
      <c r="F386" s="40">
        <f>IFERROR(VLOOKUP(A386,[1]eco_institutions!B:D,2,0),"")</f>
        <v>45</v>
      </c>
      <c r="G386" s="40">
        <f>IFERROR(VLOOKUP(A386,[1]eco_institutions!B:E,4,0),"")</f>
        <v>2.0492018337053781</v>
      </c>
      <c r="H386" s="14">
        <f t="shared" si="26"/>
        <v>139</v>
      </c>
      <c r="I386" s="46">
        <f>IFERROR(VLOOKUP(A386,[1]fin_institutions!B:D,2,0),"")</f>
        <v>7</v>
      </c>
      <c r="J386" s="41">
        <f>IFERROR(VLOOKUP(A386,[1]fin_institutions!B:E,4,0),"")</f>
        <v>1.385023840674843</v>
      </c>
      <c r="K386" s="41">
        <f t="shared" si="27"/>
        <v>344</v>
      </c>
      <c r="L386" s="56" t="str">
        <f>IFERROR(VLOOKUP(A386,[1]bus_institutions!B:D,2,0),"")</f>
        <v/>
      </c>
      <c r="M386" s="42" t="str">
        <f>IFERROR(VLOOKUP(A386,[1]bus_institutions!B:E,4,0),"")</f>
        <v/>
      </c>
      <c r="N386" s="23" t="str">
        <f t="shared" si="28"/>
        <v/>
      </c>
      <c r="O386" s="61" t="str">
        <f>IFERROR(VLOOKUP(A386,[1]man_institutions!B:E,2,0),"")</f>
        <v/>
      </c>
      <c r="P386" s="62" t="str">
        <f>IFERROR(VLOOKUP(A386,[1]man_institutions!B:E,4,0),"")</f>
        <v/>
      </c>
      <c r="Q386" s="63" t="str">
        <f t="shared" si="29"/>
        <v/>
      </c>
    </row>
    <row r="387" spans="1:17" x14ac:dyDescent="0.25">
      <c r="A387" s="6" t="s">
        <v>940</v>
      </c>
      <c r="B387" s="37" t="s">
        <v>1219</v>
      </c>
      <c r="C387" s="72">
        <f>IFERROR(VLOOKUP(A387,[1]eco_bus_institutions!B:E,2,0),"")</f>
        <v>150</v>
      </c>
      <c r="D387" s="72">
        <f>IFERROR(VLOOKUP(A387,[1]eco_bus_institutions!B:E,4,0),"")</f>
        <v>1.8803774808718881</v>
      </c>
      <c r="E387" s="73">
        <f t="shared" ref="E387:E450" si="30">_xlfn.RANK.EQ(D387,D:D)</f>
        <v>307</v>
      </c>
      <c r="F387" s="40">
        <f>IFERROR(VLOOKUP(A387,[1]eco_institutions!B:D,2,0),"")</f>
        <v>97</v>
      </c>
      <c r="G387" s="40">
        <f>IFERROR(VLOOKUP(A387,[1]eco_institutions!B:E,4,0),"")</f>
        <v>1.5359725156713371</v>
      </c>
      <c r="H387" s="14">
        <f t="shared" ref="H387:H450" si="31">IFERROR(_xlfn.RANK.EQ(G387,G:G),"")</f>
        <v>285</v>
      </c>
      <c r="I387" s="46">
        <f>IFERROR(VLOOKUP(A387,[1]fin_institutions!B:D,2,0),"")</f>
        <v>17</v>
      </c>
      <c r="J387" s="41">
        <f>IFERROR(VLOOKUP(A387,[1]fin_institutions!B:E,4,0),"")</f>
        <v>1.6106869546851701</v>
      </c>
      <c r="K387" s="41">
        <f t="shared" ref="K387:K450" si="32">IFERROR(_xlfn.RANK.EQ(J387,J:J),"")</f>
        <v>239</v>
      </c>
      <c r="L387" s="56">
        <f>IFERROR(VLOOKUP(A387,[1]bus_institutions!B:D,2,0),"")</f>
        <v>19</v>
      </c>
      <c r="M387" s="42">
        <f>IFERROR(VLOOKUP(A387,[1]bus_institutions!B:E,4,0),"")</f>
        <v>2.9917709639212831</v>
      </c>
      <c r="N387" s="23">
        <f t="shared" ref="N387:N450" si="33">IFERROR(_xlfn.RANK.EQ(M387,M:M),"")</f>
        <v>115</v>
      </c>
      <c r="O387" s="61">
        <f>IFERROR(VLOOKUP(A387,[1]man_institutions!B:E,2,0),"")</f>
        <v>37</v>
      </c>
      <c r="P387" s="62">
        <f>IFERROR(VLOOKUP(A387,[1]man_institutions!B:E,4,0),"")</f>
        <v>3.2440411832236831</v>
      </c>
      <c r="Q387" s="63">
        <f t="shared" ref="Q387:Q450" si="34">IFERROR(_xlfn.RANK.EQ(P387,P:P),"")</f>
        <v>164</v>
      </c>
    </row>
    <row r="388" spans="1:17" x14ac:dyDescent="0.25">
      <c r="A388" s="6" t="s">
        <v>1046</v>
      </c>
      <c r="B388" s="37" t="s">
        <v>1217</v>
      </c>
      <c r="C388" s="72">
        <f>IFERROR(VLOOKUP(A388,[1]eco_bus_institutions!B:E,2,0),"")</f>
        <v>47</v>
      </c>
      <c r="D388" s="72">
        <f>IFERROR(VLOOKUP(A388,[1]eco_bus_institutions!B:E,4,0),"")</f>
        <v>1.73492988262821</v>
      </c>
      <c r="E388" s="73">
        <f t="shared" si="30"/>
        <v>364</v>
      </c>
      <c r="F388" s="40">
        <f>IFERROR(VLOOKUP(A388,[1]eco_institutions!B:D,2,0),"")</f>
        <v>17</v>
      </c>
      <c r="G388" s="40">
        <f>IFERROR(VLOOKUP(A388,[1]eco_institutions!B:E,4,0),"")</f>
        <v>1.33307187074555</v>
      </c>
      <c r="H388" s="14">
        <f t="shared" si="31"/>
        <v>403</v>
      </c>
      <c r="I388" s="46">
        <f>IFERROR(VLOOKUP(A388,[1]fin_institutions!B:D,2,0),"")</f>
        <v>12</v>
      </c>
      <c r="J388" s="41">
        <f>IFERROR(VLOOKUP(A388,[1]fin_institutions!B:E,4,0),"")</f>
        <v>2.2041629564306229</v>
      </c>
      <c r="K388" s="41">
        <f t="shared" si="32"/>
        <v>127</v>
      </c>
      <c r="L388" s="56">
        <f>IFERROR(VLOOKUP(A388,[1]bus_institutions!B:D,2,0),"")</f>
        <v>11</v>
      </c>
      <c r="M388" s="42">
        <f>IFERROR(VLOOKUP(A388,[1]bus_institutions!B:E,4,0),"")</f>
        <v>1.551479351922431</v>
      </c>
      <c r="N388" s="23">
        <f t="shared" si="33"/>
        <v>469</v>
      </c>
      <c r="O388" s="61">
        <f>IFERROR(VLOOKUP(A388,[1]man_institutions!B:E,2,0),"")</f>
        <v>14</v>
      </c>
      <c r="P388" s="62">
        <f>IFERROR(VLOOKUP(A388,[1]man_institutions!B:E,4,0),"")</f>
        <v>2.0293807652719398</v>
      </c>
      <c r="Q388" s="63">
        <f t="shared" si="34"/>
        <v>403</v>
      </c>
    </row>
    <row r="389" spans="1:17" x14ac:dyDescent="0.25">
      <c r="A389" s="6" t="s">
        <v>971</v>
      </c>
      <c r="B389" s="37" t="s">
        <v>1222</v>
      </c>
      <c r="C389" s="72">
        <f>IFERROR(VLOOKUP(A389,[1]eco_bus_institutions!B:E,2,0),"")</f>
        <v>49</v>
      </c>
      <c r="D389" s="72">
        <f>IFERROR(VLOOKUP(A389,[1]eco_bus_institutions!B:E,4,0),"")</f>
        <v>1.5533343151789121</v>
      </c>
      <c r="E389" s="73">
        <f t="shared" si="30"/>
        <v>452</v>
      </c>
      <c r="F389" s="40">
        <f>IFERROR(VLOOKUP(A389,[1]eco_institutions!B:D,2,0),"")</f>
        <v>15</v>
      </c>
      <c r="G389" s="40">
        <f>IFERROR(VLOOKUP(A389,[1]eco_institutions!B:E,4,0),"")</f>
        <v>1.0977148799386689</v>
      </c>
      <c r="H389" s="14">
        <f t="shared" si="31"/>
        <v>573</v>
      </c>
      <c r="I389" s="46" t="str">
        <f>IFERROR(VLOOKUP(A389,[1]fin_institutions!B:D,2,0),"")</f>
        <v/>
      </c>
      <c r="J389" s="41" t="str">
        <f>IFERROR(VLOOKUP(A389,[1]fin_institutions!B:E,4,0),"")</f>
        <v/>
      </c>
      <c r="K389" s="41" t="str">
        <f t="shared" si="32"/>
        <v/>
      </c>
      <c r="L389" s="56">
        <f>IFERROR(VLOOKUP(A389,[1]bus_institutions!B:D,2,0),"")</f>
        <v>31</v>
      </c>
      <c r="M389" s="42">
        <f>IFERROR(VLOOKUP(A389,[1]bus_institutions!B:E,4,0),"")</f>
        <v>1.8128170422122549</v>
      </c>
      <c r="N389" s="23">
        <f t="shared" si="33"/>
        <v>380</v>
      </c>
      <c r="O389" s="61">
        <f>IFERROR(VLOOKUP(A389,[1]man_institutions!B:E,2,0),"")</f>
        <v>31</v>
      </c>
      <c r="P389" s="62">
        <f>IFERROR(VLOOKUP(A389,[1]man_institutions!B:E,4,0),"")</f>
        <v>2.4264819648382141</v>
      </c>
      <c r="Q389" s="63">
        <f t="shared" si="34"/>
        <v>295</v>
      </c>
    </row>
    <row r="390" spans="1:17" x14ac:dyDescent="0.25">
      <c r="A390" s="6" t="s">
        <v>1006</v>
      </c>
      <c r="B390" s="37" t="s">
        <v>1220</v>
      </c>
      <c r="C390" s="72">
        <f>IFERROR(VLOOKUP(A390,[1]eco_bus_institutions!B:E,2,0),"")</f>
        <v>83</v>
      </c>
      <c r="D390" s="72">
        <f>IFERROR(VLOOKUP(A390,[1]eco_bus_institutions!B:E,4,0),"")</f>
        <v>1.6590258637513089</v>
      </c>
      <c r="E390" s="73">
        <f t="shared" si="30"/>
        <v>401</v>
      </c>
      <c r="F390" s="40">
        <f>IFERROR(VLOOKUP(A390,[1]eco_institutions!B:D,2,0),"")</f>
        <v>39</v>
      </c>
      <c r="G390" s="40">
        <f>IFERROR(VLOOKUP(A390,[1]eco_institutions!B:E,4,0),"")</f>
        <v>1.2195137907720379</v>
      </c>
      <c r="H390" s="14">
        <f t="shared" si="31"/>
        <v>498</v>
      </c>
      <c r="I390" s="46">
        <f>IFERROR(VLOOKUP(A390,[1]fin_institutions!B:D,2,0),"")</f>
        <v>6</v>
      </c>
      <c r="J390" s="41">
        <f>IFERROR(VLOOKUP(A390,[1]fin_institutions!B:E,4,0),"")</f>
        <v>1.3524287657147629</v>
      </c>
      <c r="K390" s="41">
        <f t="shared" si="32"/>
        <v>363</v>
      </c>
      <c r="L390" s="56">
        <f>IFERROR(VLOOKUP(A390,[1]bus_institutions!B:D,2,0),"")</f>
        <v>37</v>
      </c>
      <c r="M390" s="42">
        <f>IFERROR(VLOOKUP(A390,[1]bus_institutions!B:E,4,0),"")</f>
        <v>2.1733342251445471</v>
      </c>
      <c r="N390" s="23">
        <f t="shared" si="33"/>
        <v>278</v>
      </c>
      <c r="O390" s="61">
        <f>IFERROR(VLOOKUP(A390,[1]man_institutions!B:E,2,0),"")</f>
        <v>31</v>
      </c>
      <c r="P390" s="62">
        <f>IFERROR(VLOOKUP(A390,[1]man_institutions!B:E,4,0),"")</f>
        <v>2.764694022993174</v>
      </c>
      <c r="Q390" s="63">
        <f t="shared" si="34"/>
        <v>226</v>
      </c>
    </row>
    <row r="391" spans="1:17" x14ac:dyDescent="0.25">
      <c r="A391" s="6" t="s">
        <v>1023</v>
      </c>
      <c r="B391" s="37" t="s">
        <v>1230</v>
      </c>
      <c r="C391" s="72">
        <f>IFERROR(VLOOKUP(A391,[1]eco_bus_institutions!B:E,2,0),"")</f>
        <v>175</v>
      </c>
      <c r="D391" s="72">
        <f>IFERROR(VLOOKUP(A391,[1]eco_bus_institutions!B:E,4,0),"")</f>
        <v>1.573497699545225</v>
      </c>
      <c r="E391" s="73">
        <f t="shared" si="30"/>
        <v>436</v>
      </c>
      <c r="F391" s="40">
        <f>IFERROR(VLOOKUP(A391,[1]eco_institutions!B:D,2,0),"")</f>
        <v>104</v>
      </c>
      <c r="G391" s="40">
        <f>IFERROR(VLOOKUP(A391,[1]eco_institutions!B:E,4,0),"")</f>
        <v>1.306257663290981</v>
      </c>
      <c r="H391" s="14">
        <f t="shared" si="31"/>
        <v>428</v>
      </c>
      <c r="I391" s="46">
        <f>IFERROR(VLOOKUP(A391,[1]fin_institutions!B:D,2,0),"")</f>
        <v>58</v>
      </c>
      <c r="J391" s="41">
        <f>IFERROR(VLOOKUP(A391,[1]fin_institutions!B:E,4,0),"")</f>
        <v>1.426231873524165</v>
      </c>
      <c r="K391" s="41">
        <f t="shared" si="32"/>
        <v>324</v>
      </c>
      <c r="L391" s="56">
        <f>IFERROR(VLOOKUP(A391,[1]bus_institutions!B:D,2,0),"")</f>
        <v>28</v>
      </c>
      <c r="M391" s="42">
        <f>IFERROR(VLOOKUP(A391,[1]bus_institutions!B:E,4,0),"")</f>
        <v>1.784625757290478</v>
      </c>
      <c r="N391" s="23">
        <f t="shared" si="33"/>
        <v>387</v>
      </c>
      <c r="O391" s="61">
        <f>IFERROR(VLOOKUP(A391,[1]man_institutions!B:E,2,0),"")</f>
        <v>23</v>
      </c>
      <c r="P391" s="62">
        <f>IFERROR(VLOOKUP(A391,[1]man_institutions!B:E,4,0),"")</f>
        <v>1.824262060370446</v>
      </c>
      <c r="Q391" s="63">
        <f t="shared" si="34"/>
        <v>453</v>
      </c>
    </row>
    <row r="392" spans="1:17" x14ac:dyDescent="0.25">
      <c r="A392" s="6" t="s">
        <v>1039</v>
      </c>
      <c r="B392" s="37" t="s">
        <v>1217</v>
      </c>
      <c r="C392" s="72">
        <f>IFERROR(VLOOKUP(A392,[1]eco_bus_institutions!B:E,2,0),"")</f>
        <v>44</v>
      </c>
      <c r="D392" s="72">
        <f>IFERROR(VLOOKUP(A392,[1]eco_bus_institutions!B:E,4,0),"")</f>
        <v>1.590002720156946</v>
      </c>
      <c r="E392" s="73">
        <f t="shared" si="30"/>
        <v>428</v>
      </c>
      <c r="F392" s="40">
        <f>IFERROR(VLOOKUP(A392,[1]eco_institutions!B:D,2,0),"")</f>
        <v>14</v>
      </c>
      <c r="G392" s="40">
        <f>IFERROR(VLOOKUP(A392,[1]eco_institutions!B:E,4,0),"")</f>
        <v>1.2412384352994279</v>
      </c>
      <c r="H392" s="14">
        <f t="shared" si="31"/>
        <v>483</v>
      </c>
      <c r="I392" s="46">
        <f>IFERROR(VLOOKUP(A392,[1]fin_institutions!B:D,2,0),"")</f>
        <v>8</v>
      </c>
      <c r="J392" s="41">
        <f>IFERROR(VLOOKUP(A392,[1]fin_institutions!B:E,4,0),"")</f>
        <v>1.1601005097678849</v>
      </c>
      <c r="K392" s="41">
        <f t="shared" si="32"/>
        <v>493</v>
      </c>
      <c r="L392" s="56">
        <f>IFERROR(VLOOKUP(A392,[1]bus_institutions!B:D,2,0),"")</f>
        <v>10</v>
      </c>
      <c r="M392" s="42">
        <f>IFERROR(VLOOKUP(A392,[1]bus_institutions!B:E,4,0),"")</f>
        <v>2.827398727269494</v>
      </c>
      <c r="N392" s="23">
        <f t="shared" si="33"/>
        <v>136</v>
      </c>
      <c r="O392" s="61">
        <f>IFERROR(VLOOKUP(A392,[1]man_institutions!B:E,2,0),"")</f>
        <v>19</v>
      </c>
      <c r="P392" s="62">
        <f>IFERROR(VLOOKUP(A392,[1]man_institutions!B:E,4,0),"")</f>
        <v>2.3626703304843808</v>
      </c>
      <c r="Q392" s="63">
        <f t="shared" si="34"/>
        <v>307</v>
      </c>
    </row>
    <row r="393" spans="1:17" x14ac:dyDescent="0.25">
      <c r="A393" s="6" t="s">
        <v>984</v>
      </c>
      <c r="B393" s="37" t="s">
        <v>1220</v>
      </c>
      <c r="C393" s="72">
        <f>IFERROR(VLOOKUP(A393,[1]eco_bus_institutions!B:E,2,0),"")</f>
        <v>36</v>
      </c>
      <c r="D393" s="72">
        <f>IFERROR(VLOOKUP(A393,[1]eco_bus_institutions!B:E,4,0),"")</f>
        <v>1.4724451233624769</v>
      </c>
      <c r="E393" s="73">
        <f t="shared" si="30"/>
        <v>486</v>
      </c>
      <c r="F393" s="40">
        <f>IFERROR(VLOOKUP(A393,[1]eco_institutions!B:D,2,0),"")</f>
        <v>17</v>
      </c>
      <c r="G393" s="40">
        <f>IFERROR(VLOOKUP(A393,[1]eco_institutions!B:E,4,0),"")</f>
        <v>1.337121450984905</v>
      </c>
      <c r="H393" s="14">
        <f t="shared" si="31"/>
        <v>401</v>
      </c>
      <c r="I393" s="46">
        <f>IFERROR(VLOOKUP(A393,[1]fin_institutions!B:D,2,0),"")</f>
        <v>3</v>
      </c>
      <c r="J393" s="41">
        <f>IFERROR(VLOOKUP(A393,[1]fin_institutions!B:E,4,0),"")</f>
        <v>1.0479165800366781</v>
      </c>
      <c r="K393" s="41">
        <f t="shared" si="32"/>
        <v>556</v>
      </c>
      <c r="L393" s="56">
        <f>IFERROR(VLOOKUP(A393,[1]bus_institutions!B:D,2,0),"")</f>
        <v>15</v>
      </c>
      <c r="M393" s="42">
        <f>IFERROR(VLOOKUP(A393,[1]bus_institutions!B:E,4,0),"")</f>
        <v>1.536978118193145</v>
      </c>
      <c r="N393" s="23">
        <f t="shared" si="33"/>
        <v>477</v>
      </c>
      <c r="O393" s="61">
        <f>IFERROR(VLOOKUP(A393,[1]man_institutions!B:E,2,0),"")</f>
        <v>13</v>
      </c>
      <c r="P393" s="62">
        <f>IFERROR(VLOOKUP(A393,[1]man_institutions!B:E,4,0),"")</f>
        <v>2.0272330125539781</v>
      </c>
      <c r="Q393" s="63">
        <f t="shared" si="34"/>
        <v>404</v>
      </c>
    </row>
    <row r="394" spans="1:17" x14ac:dyDescent="0.25">
      <c r="A394" s="6" t="s">
        <v>874</v>
      </c>
      <c r="B394" s="37" t="s">
        <v>1217</v>
      </c>
      <c r="C394" s="72">
        <f>IFERROR(VLOOKUP(A394,[1]eco_bus_institutions!B:E,2,0),"")</f>
        <v>39</v>
      </c>
      <c r="D394" s="72">
        <f>IFERROR(VLOOKUP(A394,[1]eco_bus_institutions!B:E,4,0),"")</f>
        <v>1.786882787226278</v>
      </c>
      <c r="E394" s="73">
        <f t="shared" si="30"/>
        <v>348</v>
      </c>
      <c r="F394" s="40">
        <f>IFERROR(VLOOKUP(A394,[1]eco_institutions!B:D,2,0),"")</f>
        <v>7</v>
      </c>
      <c r="G394" s="40">
        <f>IFERROR(VLOOKUP(A394,[1]eco_institutions!B:E,4,0),"")</f>
        <v>1.2883347293519249</v>
      </c>
      <c r="H394" s="14">
        <f t="shared" si="31"/>
        <v>446</v>
      </c>
      <c r="I394" s="46">
        <f>IFERROR(VLOOKUP(A394,[1]fin_institutions!B:D,2,0),"")</f>
        <v>7</v>
      </c>
      <c r="J394" s="41">
        <f>IFERROR(VLOOKUP(A394,[1]fin_institutions!B:E,4,0),"")</f>
        <v>1.2482772889690299</v>
      </c>
      <c r="K394" s="41">
        <f t="shared" si="32"/>
        <v>429</v>
      </c>
      <c r="L394" s="56">
        <f>IFERROR(VLOOKUP(A394,[1]bus_institutions!B:D,2,0),"")</f>
        <v>19</v>
      </c>
      <c r="M394" s="42">
        <f>IFERROR(VLOOKUP(A394,[1]bus_institutions!B:E,4,0),"")</f>
        <v>1.97566037819445</v>
      </c>
      <c r="N394" s="23">
        <f t="shared" si="33"/>
        <v>324</v>
      </c>
      <c r="O394" s="61">
        <f>IFERROR(VLOOKUP(A394,[1]man_institutions!B:E,2,0),"")</f>
        <v>21</v>
      </c>
      <c r="P394" s="62">
        <f>IFERROR(VLOOKUP(A394,[1]man_institutions!B:E,4,0),"")</f>
        <v>2.035263666438563</v>
      </c>
      <c r="Q394" s="63">
        <f t="shared" si="34"/>
        <v>399</v>
      </c>
    </row>
    <row r="395" spans="1:17" x14ac:dyDescent="0.25">
      <c r="A395" s="6" t="s">
        <v>988</v>
      </c>
      <c r="B395" s="37" t="s">
        <v>1220</v>
      </c>
      <c r="C395" s="72">
        <f>IFERROR(VLOOKUP(A395,[1]eco_bus_institutions!B:E,2,0),"")</f>
        <v>138</v>
      </c>
      <c r="D395" s="72">
        <f>IFERROR(VLOOKUP(A395,[1]eco_bus_institutions!B:E,4,0),"")</f>
        <v>1.569263308093787</v>
      </c>
      <c r="E395" s="73">
        <f t="shared" si="30"/>
        <v>440</v>
      </c>
      <c r="F395" s="40">
        <f>IFERROR(VLOOKUP(A395,[1]eco_institutions!B:D,2,0),"")</f>
        <v>59</v>
      </c>
      <c r="G395" s="40">
        <f>IFERROR(VLOOKUP(A395,[1]eco_institutions!B:E,4,0),"")</f>
        <v>1.2117916262374111</v>
      </c>
      <c r="H395" s="14">
        <f t="shared" si="31"/>
        <v>506</v>
      </c>
      <c r="I395" s="46">
        <f>IFERROR(VLOOKUP(A395,[1]fin_institutions!B:D,2,0),"")</f>
        <v>9</v>
      </c>
      <c r="J395" s="41">
        <f>IFERROR(VLOOKUP(A395,[1]fin_institutions!B:E,4,0),"")</f>
        <v>1.215735792754236</v>
      </c>
      <c r="K395" s="41">
        <f t="shared" si="32"/>
        <v>453</v>
      </c>
      <c r="L395" s="56">
        <f>IFERROR(VLOOKUP(A395,[1]bus_institutions!B:D,2,0),"")</f>
        <v>59</v>
      </c>
      <c r="M395" s="42">
        <f>IFERROR(VLOOKUP(A395,[1]bus_institutions!B:E,4,0),"")</f>
        <v>1.8434517347790811</v>
      </c>
      <c r="N395" s="23">
        <f t="shared" si="33"/>
        <v>372</v>
      </c>
      <c r="O395" s="61">
        <f>IFERROR(VLOOKUP(A395,[1]man_institutions!B:E,2,0),"")</f>
        <v>65</v>
      </c>
      <c r="P395" s="62">
        <f>IFERROR(VLOOKUP(A395,[1]man_institutions!B:E,4,0),"")</f>
        <v>2.263490436502078</v>
      </c>
      <c r="Q395" s="63">
        <f t="shared" si="34"/>
        <v>331</v>
      </c>
    </row>
    <row r="396" spans="1:17" x14ac:dyDescent="0.25">
      <c r="A396" s="6" t="s">
        <v>982</v>
      </c>
      <c r="B396" s="37" t="s">
        <v>1217</v>
      </c>
      <c r="C396" s="72">
        <f>IFERROR(VLOOKUP(A396,[1]eco_bus_institutions!B:E,2,0),"")</f>
        <v>49</v>
      </c>
      <c r="D396" s="72">
        <f>IFERROR(VLOOKUP(A396,[1]eco_bus_institutions!B:E,4,0),"")</f>
        <v>1.6959457765479751</v>
      </c>
      <c r="E396" s="73">
        <f t="shared" si="30"/>
        <v>386</v>
      </c>
      <c r="F396" s="40">
        <f>IFERROR(VLOOKUP(A396,[1]eco_institutions!B:D,2,0),"")</f>
        <v>27</v>
      </c>
      <c r="G396" s="40">
        <f>IFERROR(VLOOKUP(A396,[1]eco_institutions!B:E,4,0),"")</f>
        <v>1.451343821343837</v>
      </c>
      <c r="H396" s="14">
        <f t="shared" si="31"/>
        <v>329</v>
      </c>
      <c r="I396" s="46">
        <f>IFERROR(VLOOKUP(A396,[1]fin_institutions!B:D,2,0),"")</f>
        <v>14</v>
      </c>
      <c r="J396" s="41">
        <f>IFERROR(VLOOKUP(A396,[1]fin_institutions!B:E,4,0),"")</f>
        <v>1.5405182527476149</v>
      </c>
      <c r="K396" s="41">
        <f t="shared" si="32"/>
        <v>268</v>
      </c>
      <c r="L396" s="56">
        <f>IFERROR(VLOOKUP(A396,[1]bus_institutions!B:D,2,0),"")</f>
        <v>17</v>
      </c>
      <c r="M396" s="42">
        <f>IFERROR(VLOOKUP(A396,[1]bus_institutions!B:E,4,0),"")</f>
        <v>1.8935666362788801</v>
      </c>
      <c r="N396" s="23">
        <f t="shared" si="33"/>
        <v>354</v>
      </c>
      <c r="O396" s="61">
        <f>IFERROR(VLOOKUP(A396,[1]man_institutions!B:E,2,0),"")</f>
        <v>15</v>
      </c>
      <c r="P396" s="62">
        <f>IFERROR(VLOOKUP(A396,[1]man_institutions!B:E,4,0),"")</f>
        <v>1.9968397306467991</v>
      </c>
      <c r="Q396" s="63">
        <f t="shared" si="34"/>
        <v>408</v>
      </c>
    </row>
    <row r="397" spans="1:17" x14ac:dyDescent="0.25">
      <c r="A397" s="6" t="s">
        <v>956</v>
      </c>
      <c r="B397" s="37" t="s">
        <v>1230</v>
      </c>
      <c r="C397" s="72">
        <f>IFERROR(VLOOKUP(A397,[1]eco_bus_institutions!B:E,2,0),"")</f>
        <v>41</v>
      </c>
      <c r="D397" s="72">
        <f>IFERROR(VLOOKUP(A397,[1]eco_bus_institutions!B:E,4,0),"")</f>
        <v>1.598867087232744</v>
      </c>
      <c r="E397" s="73">
        <f t="shared" si="30"/>
        <v>426</v>
      </c>
      <c r="F397" s="40">
        <f>IFERROR(VLOOKUP(A397,[1]eco_institutions!B:D,2,0),"")</f>
        <v>17</v>
      </c>
      <c r="G397" s="40">
        <f>IFERROR(VLOOKUP(A397,[1]eco_institutions!B:E,4,0),"")</f>
        <v>1.4782549892597301</v>
      </c>
      <c r="H397" s="14">
        <f t="shared" si="31"/>
        <v>313</v>
      </c>
      <c r="I397" s="46">
        <f>IFERROR(VLOOKUP(A397,[1]fin_institutions!B:D,2,0),"")</f>
        <v>9</v>
      </c>
      <c r="J397" s="41">
        <f>IFERROR(VLOOKUP(A397,[1]fin_institutions!B:E,4,0),"")</f>
        <v>1.563058568552073</v>
      </c>
      <c r="K397" s="41">
        <f t="shared" si="32"/>
        <v>263</v>
      </c>
      <c r="L397" s="56">
        <f>IFERROR(VLOOKUP(A397,[1]bus_institutions!B:D,2,0),"")</f>
        <v>8</v>
      </c>
      <c r="M397" s="42">
        <f>IFERROR(VLOOKUP(A397,[1]bus_institutions!B:E,4,0),"")</f>
        <v>1.410287143778798</v>
      </c>
      <c r="N397" s="23">
        <f t="shared" si="33"/>
        <v>505</v>
      </c>
      <c r="O397" s="61">
        <f>IFERROR(VLOOKUP(A397,[1]man_institutions!B:E,2,0),"")</f>
        <v>19</v>
      </c>
      <c r="P397" s="62">
        <f>IFERROR(VLOOKUP(A397,[1]man_institutions!B:E,4,0),"")</f>
        <v>1.6994434300958541</v>
      </c>
      <c r="Q397" s="63">
        <f t="shared" si="34"/>
        <v>494</v>
      </c>
    </row>
    <row r="398" spans="1:17" x14ac:dyDescent="0.25">
      <c r="A398" s="6" t="s">
        <v>1004</v>
      </c>
      <c r="B398" s="37" t="s">
        <v>1230</v>
      </c>
      <c r="C398" s="72">
        <f>IFERROR(VLOOKUP(A398,[1]eco_bus_institutions!B:E,2,0),"")</f>
        <v>79</v>
      </c>
      <c r="D398" s="72">
        <f>IFERROR(VLOOKUP(A398,[1]eco_bus_institutions!B:E,4,0),"")</f>
        <v>1.556287601471571</v>
      </c>
      <c r="E398" s="73">
        <f t="shared" si="30"/>
        <v>450</v>
      </c>
      <c r="F398" s="40">
        <f>IFERROR(VLOOKUP(A398,[1]eco_institutions!B:D,2,0),"")</f>
        <v>31</v>
      </c>
      <c r="G398" s="40">
        <f>IFERROR(VLOOKUP(A398,[1]eco_institutions!B:E,4,0),"")</f>
        <v>1.561510444288239</v>
      </c>
      <c r="H398" s="14">
        <f t="shared" si="31"/>
        <v>274</v>
      </c>
      <c r="I398" s="46">
        <f>IFERROR(VLOOKUP(A398,[1]fin_institutions!B:D,2,0),"")</f>
        <v>28</v>
      </c>
      <c r="J398" s="41">
        <f>IFERROR(VLOOKUP(A398,[1]fin_institutions!B:E,4,0),"")</f>
        <v>1.481719088311132</v>
      </c>
      <c r="K398" s="41">
        <f t="shared" si="32"/>
        <v>300</v>
      </c>
      <c r="L398" s="56">
        <f>IFERROR(VLOOKUP(A398,[1]bus_institutions!B:D,2,0),"")</f>
        <v>17</v>
      </c>
      <c r="M398" s="42">
        <f>IFERROR(VLOOKUP(A398,[1]bus_institutions!B:E,4,0),"")</f>
        <v>1.368224242440043</v>
      </c>
      <c r="N398" s="23">
        <f t="shared" si="33"/>
        <v>514</v>
      </c>
      <c r="O398" s="61">
        <f>IFERROR(VLOOKUP(A398,[1]man_institutions!B:E,2,0),"")</f>
        <v>30</v>
      </c>
      <c r="P398" s="62">
        <f>IFERROR(VLOOKUP(A398,[1]man_institutions!B:E,4,0),"")</f>
        <v>1.784768945654732</v>
      </c>
      <c r="Q398" s="63">
        <f t="shared" si="34"/>
        <v>466</v>
      </c>
    </row>
    <row r="399" spans="1:17" x14ac:dyDescent="0.25">
      <c r="A399" s="6" t="s">
        <v>626</v>
      </c>
      <c r="B399" s="37" t="s">
        <v>1231</v>
      </c>
      <c r="C399" s="72">
        <f>IFERROR(VLOOKUP(A399,[1]eco_bus_institutions!B:E,2,0),"")</f>
        <v>61</v>
      </c>
      <c r="D399" s="72">
        <f>IFERROR(VLOOKUP(A399,[1]eco_bus_institutions!B:E,4,0),"")</f>
        <v>1.6048552654301631</v>
      </c>
      <c r="E399" s="73">
        <f t="shared" si="30"/>
        <v>422</v>
      </c>
      <c r="F399" s="40">
        <f>IFERROR(VLOOKUP(A399,[1]eco_institutions!B:D,2,0),"")</f>
        <v>6</v>
      </c>
      <c r="G399" s="40">
        <f>IFERROR(VLOOKUP(A399,[1]eco_institutions!B:E,4,0),"")</f>
        <v>1.6394328148712161</v>
      </c>
      <c r="H399" s="14">
        <f t="shared" si="31"/>
        <v>247</v>
      </c>
      <c r="I399" s="46">
        <f>IFERROR(VLOOKUP(A399,[1]fin_institutions!B:D,2,0),"")</f>
        <v>14</v>
      </c>
      <c r="J399" s="41">
        <f>IFERROR(VLOOKUP(A399,[1]fin_institutions!B:E,4,0),"")</f>
        <v>1.481819265790548</v>
      </c>
      <c r="K399" s="41">
        <f t="shared" si="32"/>
        <v>299</v>
      </c>
      <c r="L399" s="56">
        <f>IFERROR(VLOOKUP(A399,[1]bus_institutions!B:D,2,0),"")</f>
        <v>35</v>
      </c>
      <c r="M399" s="42">
        <f>IFERROR(VLOOKUP(A399,[1]bus_institutions!B:E,4,0),"")</f>
        <v>1.612503792625378</v>
      </c>
      <c r="N399" s="23">
        <f t="shared" si="33"/>
        <v>454</v>
      </c>
      <c r="O399" s="61">
        <f>IFERROR(VLOOKUP(A399,[1]man_institutions!B:E,2,0),"")</f>
        <v>23</v>
      </c>
      <c r="P399" s="62">
        <f>IFERROR(VLOOKUP(A399,[1]man_institutions!B:E,4,0),"")</f>
        <v>1.8898659885490701</v>
      </c>
      <c r="Q399" s="63">
        <f t="shared" si="34"/>
        <v>430</v>
      </c>
    </row>
    <row r="400" spans="1:17" x14ac:dyDescent="0.25">
      <c r="A400" s="6" t="s">
        <v>958</v>
      </c>
      <c r="B400" s="37" t="s">
        <v>1241</v>
      </c>
      <c r="C400" s="72">
        <f>IFERROR(VLOOKUP(A400,[1]eco_bus_institutions!B:E,2,0),"")</f>
        <v>116</v>
      </c>
      <c r="D400" s="72">
        <f>IFERROR(VLOOKUP(A400,[1]eco_bus_institutions!B:E,4,0),"")</f>
        <v>1.7588000285854699</v>
      </c>
      <c r="E400" s="73">
        <f t="shared" si="30"/>
        <v>357</v>
      </c>
      <c r="F400" s="40">
        <f>IFERROR(VLOOKUP(A400,[1]eco_institutions!B:D,2,0),"")</f>
        <v>44</v>
      </c>
      <c r="G400" s="40">
        <f>IFERROR(VLOOKUP(A400,[1]eco_institutions!B:E,4,0),"")</f>
        <v>1.390815663270017</v>
      </c>
      <c r="H400" s="14">
        <f t="shared" si="31"/>
        <v>374</v>
      </c>
      <c r="I400" s="46">
        <f>IFERROR(VLOOKUP(A400,[1]fin_institutions!B:D,2,0),"")</f>
        <v>16</v>
      </c>
      <c r="J400" s="41">
        <f>IFERROR(VLOOKUP(A400,[1]fin_institutions!B:E,4,0),"")</f>
        <v>1.158254568982205</v>
      </c>
      <c r="K400" s="41">
        <f t="shared" si="32"/>
        <v>495</v>
      </c>
      <c r="L400" s="56">
        <f>IFERROR(VLOOKUP(A400,[1]bus_institutions!B:D,2,0),"")</f>
        <v>39</v>
      </c>
      <c r="M400" s="42">
        <f>IFERROR(VLOOKUP(A400,[1]bus_institutions!B:E,4,0),"")</f>
        <v>2.262987381504749</v>
      </c>
      <c r="N400" s="23">
        <f t="shared" si="33"/>
        <v>251</v>
      </c>
      <c r="O400" s="61">
        <f>IFERROR(VLOOKUP(A400,[1]man_institutions!B:E,2,0),"")</f>
        <v>56</v>
      </c>
      <c r="P400" s="62">
        <f>IFERROR(VLOOKUP(A400,[1]man_institutions!B:E,4,0),"")</f>
        <v>2.424002523434841</v>
      </c>
      <c r="Q400" s="63">
        <f t="shared" si="34"/>
        <v>296</v>
      </c>
    </row>
    <row r="401" spans="1:17" x14ac:dyDescent="0.25">
      <c r="A401" s="6" t="s">
        <v>1012</v>
      </c>
      <c r="B401" s="37" t="s">
        <v>1230</v>
      </c>
      <c r="C401" s="72">
        <f>IFERROR(VLOOKUP(A401,[1]eco_bus_institutions!B:E,2,0),"")</f>
        <v>131</v>
      </c>
      <c r="D401" s="72">
        <f>IFERROR(VLOOKUP(A401,[1]eco_bus_institutions!B:E,4,0),"")</f>
        <v>1.5302159221098079</v>
      </c>
      <c r="E401" s="73">
        <f t="shared" si="30"/>
        <v>466</v>
      </c>
      <c r="F401" s="40">
        <f>IFERROR(VLOOKUP(A401,[1]eco_institutions!B:D,2,0),"")</f>
        <v>73</v>
      </c>
      <c r="G401" s="40">
        <f>IFERROR(VLOOKUP(A401,[1]eco_institutions!B:E,4,0),"")</f>
        <v>1.4080941027759231</v>
      </c>
      <c r="H401" s="14">
        <f t="shared" si="31"/>
        <v>353</v>
      </c>
      <c r="I401" s="46">
        <f>IFERROR(VLOOKUP(A401,[1]fin_institutions!B:D,2,0),"")</f>
        <v>40</v>
      </c>
      <c r="J401" s="41">
        <f>IFERROR(VLOOKUP(A401,[1]fin_institutions!B:E,4,0),"")</f>
        <v>1.3365725882881789</v>
      </c>
      <c r="K401" s="41">
        <f t="shared" si="32"/>
        <v>370</v>
      </c>
      <c r="L401" s="56">
        <f>IFERROR(VLOOKUP(A401,[1]bus_institutions!B:D,2,0),"")</f>
        <v>31</v>
      </c>
      <c r="M401" s="42">
        <f>IFERROR(VLOOKUP(A401,[1]bus_institutions!B:E,4,0),"")</f>
        <v>1.4777911113894211</v>
      </c>
      <c r="N401" s="23">
        <f t="shared" si="33"/>
        <v>489</v>
      </c>
      <c r="O401" s="61">
        <f>IFERROR(VLOOKUP(A401,[1]man_institutions!B:E,2,0),"")</f>
        <v>28</v>
      </c>
      <c r="P401" s="62">
        <f>IFERROR(VLOOKUP(A401,[1]man_institutions!B:E,4,0),"")</f>
        <v>3.6246205208640432</v>
      </c>
      <c r="Q401" s="63">
        <f t="shared" si="34"/>
        <v>110</v>
      </c>
    </row>
    <row r="402" spans="1:17" x14ac:dyDescent="0.25">
      <c r="A402" s="6" t="s">
        <v>1071</v>
      </c>
      <c r="B402" s="37" t="s">
        <v>1254</v>
      </c>
      <c r="C402" s="72">
        <f>IFERROR(VLOOKUP(A402,[1]eco_bus_institutions!B:E,2,0),"")</f>
        <v>102</v>
      </c>
      <c r="D402" s="72">
        <f>IFERROR(VLOOKUP(A402,[1]eco_bus_institutions!B:E,4,0),"")</f>
        <v>1.6281656429701981</v>
      </c>
      <c r="E402" s="73">
        <f t="shared" si="30"/>
        <v>413</v>
      </c>
      <c r="F402" s="40">
        <f>IFERROR(VLOOKUP(A402,[1]eco_institutions!B:D,2,0),"")</f>
        <v>38</v>
      </c>
      <c r="G402" s="40">
        <f>IFERROR(VLOOKUP(A402,[1]eco_institutions!B:E,4,0),"")</f>
        <v>1.4019379260648679</v>
      </c>
      <c r="H402" s="14">
        <f t="shared" si="31"/>
        <v>361</v>
      </c>
      <c r="I402" s="46">
        <f>IFERROR(VLOOKUP(A402,[1]fin_institutions!B:D,2,0),"")</f>
        <v>18</v>
      </c>
      <c r="J402" s="41">
        <f>IFERROR(VLOOKUP(A402,[1]fin_institutions!B:E,4,0),"")</f>
        <v>2.0569090076851051</v>
      </c>
      <c r="K402" s="41">
        <f t="shared" si="32"/>
        <v>146</v>
      </c>
      <c r="L402" s="56">
        <f>IFERROR(VLOOKUP(A402,[1]bus_institutions!B:D,2,0),"")</f>
        <v>41</v>
      </c>
      <c r="M402" s="42">
        <f>IFERROR(VLOOKUP(A402,[1]bus_institutions!B:E,4,0),"")</f>
        <v>1.9037832287692189</v>
      </c>
      <c r="N402" s="23">
        <f t="shared" si="33"/>
        <v>352</v>
      </c>
      <c r="O402" s="61">
        <f>IFERROR(VLOOKUP(A402,[1]man_institutions!B:E,2,0),"")</f>
        <v>32</v>
      </c>
      <c r="P402" s="62">
        <f>IFERROR(VLOOKUP(A402,[1]man_institutions!B:E,4,0),"")</f>
        <v>1.8039762078416031</v>
      </c>
      <c r="Q402" s="63">
        <f t="shared" si="34"/>
        <v>459</v>
      </c>
    </row>
    <row r="403" spans="1:17" x14ac:dyDescent="0.25">
      <c r="A403" s="6" t="s">
        <v>1018</v>
      </c>
      <c r="B403" s="37" t="s">
        <v>1256</v>
      </c>
      <c r="C403" s="72">
        <f>IFERROR(VLOOKUP(A403,[1]eco_bus_institutions!B:E,2,0),"")</f>
        <v>59</v>
      </c>
      <c r="D403" s="72">
        <f>IFERROR(VLOOKUP(A403,[1]eco_bus_institutions!B:E,4,0),"")</f>
        <v>1.4925011485262849</v>
      </c>
      <c r="E403" s="73">
        <f t="shared" si="30"/>
        <v>475</v>
      </c>
      <c r="F403" s="40">
        <f>IFERROR(VLOOKUP(A403,[1]eco_institutions!B:D,2,0),"")</f>
        <v>17</v>
      </c>
      <c r="G403" s="40">
        <f>IFERROR(VLOOKUP(A403,[1]eco_institutions!B:E,4,0),"")</f>
        <v>1.2273004071611939</v>
      </c>
      <c r="H403" s="14">
        <f t="shared" si="31"/>
        <v>491</v>
      </c>
      <c r="I403" s="46">
        <f>IFERROR(VLOOKUP(A403,[1]fin_institutions!B:D,2,0),"")</f>
        <v>19</v>
      </c>
      <c r="J403" s="41">
        <f>IFERROR(VLOOKUP(A403,[1]fin_institutions!B:E,4,0),"")</f>
        <v>1.2121611039444271</v>
      </c>
      <c r="K403" s="41">
        <f t="shared" si="32"/>
        <v>455</v>
      </c>
      <c r="L403" s="56">
        <f>IFERROR(VLOOKUP(A403,[1]bus_institutions!B:D,2,0),"")</f>
        <v>24</v>
      </c>
      <c r="M403" s="42">
        <f>IFERROR(VLOOKUP(A403,[1]bus_institutions!B:E,4,0),"")</f>
        <v>1.7903745957888151</v>
      </c>
      <c r="N403" s="23">
        <f t="shared" si="33"/>
        <v>384</v>
      </c>
      <c r="O403" s="61">
        <f>IFERROR(VLOOKUP(A403,[1]man_institutions!B:E,2,0),"")</f>
        <v>20</v>
      </c>
      <c r="P403" s="62">
        <f>IFERROR(VLOOKUP(A403,[1]man_institutions!B:E,4,0),"")</f>
        <v>1.9659532513120339</v>
      </c>
      <c r="Q403" s="63">
        <f t="shared" si="34"/>
        <v>415</v>
      </c>
    </row>
    <row r="404" spans="1:17" x14ac:dyDescent="0.25">
      <c r="A404" s="6" t="s">
        <v>1007</v>
      </c>
      <c r="B404" s="37" t="s">
        <v>1217</v>
      </c>
      <c r="C404" s="72">
        <f>IFERROR(VLOOKUP(A404,[1]eco_bus_institutions!B:E,2,0),"")</f>
        <v>60</v>
      </c>
      <c r="D404" s="72">
        <f>IFERROR(VLOOKUP(A404,[1]eco_bus_institutions!B:E,4,0),"")</f>
        <v>1.6111711437060019</v>
      </c>
      <c r="E404" s="73">
        <f t="shared" si="30"/>
        <v>420</v>
      </c>
      <c r="F404" s="40">
        <f>IFERROR(VLOOKUP(A404,[1]eco_institutions!B:D,2,0),"")</f>
        <v>9</v>
      </c>
      <c r="G404" s="40">
        <f>IFERROR(VLOOKUP(A404,[1]eco_institutions!B:E,4,0),"")</f>
        <v>1.198475646420015</v>
      </c>
      <c r="H404" s="14">
        <f t="shared" si="31"/>
        <v>518</v>
      </c>
      <c r="I404" s="46">
        <f>IFERROR(VLOOKUP(A404,[1]fin_institutions!B:D,2,0),"")</f>
        <v>13</v>
      </c>
      <c r="J404" s="41">
        <f>IFERROR(VLOOKUP(A404,[1]fin_institutions!B:E,4,0),"")</f>
        <v>1.723168105319473</v>
      </c>
      <c r="K404" s="41">
        <f t="shared" si="32"/>
        <v>213</v>
      </c>
      <c r="L404" s="56">
        <f>IFERROR(VLOOKUP(A404,[1]bus_institutions!B:D,2,0),"")</f>
        <v>35</v>
      </c>
      <c r="M404" s="42">
        <f>IFERROR(VLOOKUP(A404,[1]bus_institutions!B:E,4,0),"")</f>
        <v>1.7862042638479141</v>
      </c>
      <c r="N404" s="23">
        <f t="shared" si="33"/>
        <v>385</v>
      </c>
      <c r="O404" s="61">
        <f>IFERROR(VLOOKUP(A404,[1]man_institutions!B:E,2,0),"")</f>
        <v>20</v>
      </c>
      <c r="P404" s="62">
        <f>IFERROR(VLOOKUP(A404,[1]man_institutions!B:E,4,0),"")</f>
        <v>1.8005364629584351</v>
      </c>
      <c r="Q404" s="63">
        <f t="shared" si="34"/>
        <v>461</v>
      </c>
    </row>
    <row r="405" spans="1:17" x14ac:dyDescent="0.25">
      <c r="A405" s="6" t="s">
        <v>980</v>
      </c>
      <c r="B405" s="37" t="s">
        <v>1230</v>
      </c>
      <c r="C405" s="72">
        <f>IFERROR(VLOOKUP(A405,[1]eco_bus_institutions!B:E,2,0),"")</f>
        <v>75</v>
      </c>
      <c r="D405" s="72">
        <f>IFERROR(VLOOKUP(A405,[1]eco_bus_institutions!B:E,4,0),"")</f>
        <v>1.5966538589876831</v>
      </c>
      <c r="E405" s="73">
        <f t="shared" si="30"/>
        <v>427</v>
      </c>
      <c r="F405" s="40">
        <f>IFERROR(VLOOKUP(A405,[1]eco_institutions!B:D,2,0),"")</f>
        <v>35</v>
      </c>
      <c r="G405" s="40">
        <f>IFERROR(VLOOKUP(A405,[1]eco_institutions!B:E,4,0),"")</f>
        <v>1.26331815110891</v>
      </c>
      <c r="H405" s="14">
        <f t="shared" si="31"/>
        <v>465</v>
      </c>
      <c r="I405" s="46">
        <f>IFERROR(VLOOKUP(A405,[1]fin_institutions!B:D,2,0),"")</f>
        <v>12</v>
      </c>
      <c r="J405" s="41">
        <f>IFERROR(VLOOKUP(A405,[1]fin_institutions!B:E,4,0),"")</f>
        <v>1.6568647111703181</v>
      </c>
      <c r="K405" s="41">
        <f t="shared" si="32"/>
        <v>229</v>
      </c>
      <c r="L405" s="56">
        <f>IFERROR(VLOOKUP(A405,[1]bus_institutions!B:D,2,0),"")</f>
        <v>16</v>
      </c>
      <c r="M405" s="42">
        <f>IFERROR(VLOOKUP(A405,[1]bus_institutions!B:E,4,0),"")</f>
        <v>1.7765138901480231</v>
      </c>
      <c r="N405" s="23">
        <f t="shared" si="33"/>
        <v>390</v>
      </c>
      <c r="O405" s="61">
        <f>IFERROR(VLOOKUP(A405,[1]man_institutions!B:E,2,0),"")</f>
        <v>26</v>
      </c>
      <c r="P405" s="62">
        <f>IFERROR(VLOOKUP(A405,[1]man_institutions!B:E,4,0),"")</f>
        <v>1.853891207536563</v>
      </c>
      <c r="Q405" s="63">
        <f t="shared" si="34"/>
        <v>446</v>
      </c>
    </row>
    <row r="406" spans="1:17" x14ac:dyDescent="0.25">
      <c r="A406" s="6" t="s">
        <v>1019</v>
      </c>
      <c r="B406" s="37" t="s">
        <v>1230</v>
      </c>
      <c r="C406" s="72">
        <f>IFERROR(VLOOKUP(A406,[1]eco_bus_institutions!B:E,2,0),"")</f>
        <v>141</v>
      </c>
      <c r="D406" s="72">
        <f>IFERROR(VLOOKUP(A406,[1]eco_bus_institutions!B:E,4,0),"")</f>
        <v>1.5558371337765191</v>
      </c>
      <c r="E406" s="73">
        <f t="shared" si="30"/>
        <v>451</v>
      </c>
      <c r="F406" s="40">
        <f>IFERROR(VLOOKUP(A406,[1]eco_institutions!B:D,2,0),"")</f>
        <v>54</v>
      </c>
      <c r="G406" s="40">
        <f>IFERROR(VLOOKUP(A406,[1]eco_institutions!B:E,4,0),"")</f>
        <v>1.2700433744201289</v>
      </c>
      <c r="H406" s="14">
        <f t="shared" si="31"/>
        <v>458</v>
      </c>
      <c r="I406" s="46">
        <f>IFERROR(VLOOKUP(A406,[1]fin_institutions!B:D,2,0),"")</f>
        <v>40</v>
      </c>
      <c r="J406" s="41">
        <f>IFERROR(VLOOKUP(A406,[1]fin_institutions!B:E,4,0),"")</f>
        <v>1.333491159175126</v>
      </c>
      <c r="K406" s="41">
        <f t="shared" si="32"/>
        <v>373</v>
      </c>
      <c r="L406" s="56">
        <f>IFERROR(VLOOKUP(A406,[1]bus_institutions!B:D,2,0),"")</f>
        <v>41</v>
      </c>
      <c r="M406" s="42">
        <f>IFERROR(VLOOKUP(A406,[1]bus_institutions!B:E,4,0),"")</f>
        <v>1.8621052970493881</v>
      </c>
      <c r="N406" s="23">
        <f t="shared" si="33"/>
        <v>363</v>
      </c>
      <c r="O406" s="61">
        <f>IFERROR(VLOOKUP(A406,[1]man_institutions!B:E,2,0),"")</f>
        <v>45</v>
      </c>
      <c r="P406" s="62">
        <f>IFERROR(VLOOKUP(A406,[1]man_institutions!B:E,4,0),"")</f>
        <v>2.0146642743501402</v>
      </c>
      <c r="Q406" s="63">
        <f t="shared" si="34"/>
        <v>406</v>
      </c>
    </row>
    <row r="407" spans="1:17" x14ac:dyDescent="0.25">
      <c r="A407" s="6" t="s">
        <v>919</v>
      </c>
      <c r="B407" s="37" t="s">
        <v>1240</v>
      </c>
      <c r="C407" s="72">
        <f>IFERROR(VLOOKUP(A407,[1]eco_bus_institutions!B:E,2,0),"")</f>
        <v>57</v>
      </c>
      <c r="D407" s="72">
        <f>IFERROR(VLOOKUP(A407,[1]eco_bus_institutions!B:E,4,0),"")</f>
        <v>1.935509659295291</v>
      </c>
      <c r="E407" s="73">
        <f t="shared" si="30"/>
        <v>294</v>
      </c>
      <c r="F407" s="40">
        <f>IFERROR(VLOOKUP(A407,[1]eco_institutions!B:D,2,0),"")</f>
        <v>36</v>
      </c>
      <c r="G407" s="40">
        <f>IFERROR(VLOOKUP(A407,[1]eco_institutions!B:E,4,0),"")</f>
        <v>1.7502896008196409</v>
      </c>
      <c r="H407" s="14">
        <f t="shared" si="31"/>
        <v>205</v>
      </c>
      <c r="I407" s="46">
        <f>IFERROR(VLOOKUP(A407,[1]fin_institutions!B:D,2,0),"")</f>
        <v>10</v>
      </c>
      <c r="J407" s="41">
        <f>IFERROR(VLOOKUP(A407,[1]fin_institutions!B:E,4,0),"")</f>
        <v>1.337513322197216</v>
      </c>
      <c r="K407" s="41">
        <f t="shared" si="32"/>
        <v>369</v>
      </c>
      <c r="L407" s="56">
        <f>IFERROR(VLOOKUP(A407,[1]bus_institutions!B:D,2,0),"")</f>
        <v>11</v>
      </c>
      <c r="M407" s="42">
        <f>IFERROR(VLOOKUP(A407,[1]bus_institutions!B:E,4,0),"")</f>
        <v>2.259990759760822</v>
      </c>
      <c r="N407" s="23">
        <f t="shared" si="33"/>
        <v>252</v>
      </c>
      <c r="O407" s="61">
        <f>IFERROR(VLOOKUP(A407,[1]man_institutions!B:E,2,0),"")</f>
        <v>15</v>
      </c>
      <c r="P407" s="62">
        <f>IFERROR(VLOOKUP(A407,[1]man_institutions!B:E,4,0),"")</f>
        <v>6.1718666492589991</v>
      </c>
      <c r="Q407" s="63">
        <f t="shared" si="34"/>
        <v>13</v>
      </c>
    </row>
    <row r="408" spans="1:17" x14ac:dyDescent="0.25">
      <c r="A408" s="6" t="s">
        <v>895</v>
      </c>
      <c r="B408" s="37" t="s">
        <v>1236</v>
      </c>
      <c r="C408" s="72">
        <f>IFERROR(VLOOKUP(A408,[1]eco_bus_institutions!B:E,2,0),"")</f>
        <v>50</v>
      </c>
      <c r="D408" s="72">
        <f>IFERROR(VLOOKUP(A408,[1]eco_bus_institutions!B:E,4,0),"")</f>
        <v>1.734897946597451</v>
      </c>
      <c r="E408" s="73">
        <f t="shared" si="30"/>
        <v>365</v>
      </c>
      <c r="F408" s="40">
        <f>IFERROR(VLOOKUP(A408,[1]eco_institutions!B:D,2,0),"")</f>
        <v>16</v>
      </c>
      <c r="G408" s="40">
        <f>IFERROR(VLOOKUP(A408,[1]eco_institutions!B:E,4,0),"")</f>
        <v>1.2609662936421639</v>
      </c>
      <c r="H408" s="14">
        <f t="shared" si="31"/>
        <v>467</v>
      </c>
      <c r="I408" s="46">
        <f>IFERROR(VLOOKUP(A408,[1]fin_institutions!B:D,2,0),"")</f>
        <v>6</v>
      </c>
      <c r="J408" s="41">
        <f>IFERROR(VLOOKUP(A408,[1]fin_institutions!B:E,4,0),"")</f>
        <v>1.1856537405934939</v>
      </c>
      <c r="K408" s="41">
        <f t="shared" si="32"/>
        <v>479</v>
      </c>
      <c r="L408" s="56">
        <f>IFERROR(VLOOKUP(A408,[1]bus_institutions!B:D,2,0),"")</f>
        <v>16</v>
      </c>
      <c r="M408" s="42">
        <f>IFERROR(VLOOKUP(A408,[1]bus_institutions!B:E,4,0),"")</f>
        <v>1.8240198692737679</v>
      </c>
      <c r="N408" s="23">
        <f t="shared" si="33"/>
        <v>378</v>
      </c>
      <c r="O408" s="61">
        <f>IFERROR(VLOOKUP(A408,[1]man_institutions!B:E,2,0),"")</f>
        <v>20</v>
      </c>
      <c r="P408" s="62">
        <f>IFERROR(VLOOKUP(A408,[1]man_institutions!B:E,4,0),"")</f>
        <v>2.590905507461954</v>
      </c>
      <c r="Q408" s="63">
        <f t="shared" si="34"/>
        <v>255</v>
      </c>
    </row>
    <row r="409" spans="1:17" x14ac:dyDescent="0.25">
      <c r="A409" s="6" t="s">
        <v>945</v>
      </c>
      <c r="B409" s="37" t="s">
        <v>1233</v>
      </c>
      <c r="C409" s="72">
        <f>IFERROR(VLOOKUP(A409,[1]eco_bus_institutions!B:E,2,0),"")</f>
        <v>64</v>
      </c>
      <c r="D409" s="72">
        <f>IFERROR(VLOOKUP(A409,[1]eco_bus_institutions!B:E,4,0),"")</f>
        <v>1.863691828342249</v>
      </c>
      <c r="E409" s="73">
        <f t="shared" si="30"/>
        <v>314</v>
      </c>
      <c r="F409" s="40">
        <f>IFERROR(VLOOKUP(A409,[1]eco_institutions!B:D,2,0),"")</f>
        <v>25</v>
      </c>
      <c r="G409" s="40">
        <f>IFERROR(VLOOKUP(A409,[1]eco_institutions!B:E,4,0),"")</f>
        <v>1.416350211530792</v>
      </c>
      <c r="H409" s="14">
        <f t="shared" si="31"/>
        <v>346</v>
      </c>
      <c r="I409" s="46">
        <f>IFERROR(VLOOKUP(A409,[1]fin_institutions!B:D,2,0),"")</f>
        <v>6</v>
      </c>
      <c r="J409" s="41">
        <f>IFERROR(VLOOKUP(A409,[1]fin_institutions!B:E,4,0),"")</f>
        <v>1.7388919696293901</v>
      </c>
      <c r="K409" s="41">
        <f t="shared" si="32"/>
        <v>204</v>
      </c>
      <c r="L409" s="56">
        <f>IFERROR(VLOOKUP(A409,[1]bus_institutions!B:D,2,0),"")</f>
        <v>16</v>
      </c>
      <c r="M409" s="42">
        <f>IFERROR(VLOOKUP(A409,[1]bus_institutions!B:E,4,0),"")</f>
        <v>2.5310019466511751</v>
      </c>
      <c r="N409" s="23">
        <f t="shared" si="33"/>
        <v>179</v>
      </c>
      <c r="O409" s="61">
        <f>IFERROR(VLOOKUP(A409,[1]man_institutions!B:E,2,0),"")</f>
        <v>32</v>
      </c>
      <c r="P409" s="62">
        <f>IFERROR(VLOOKUP(A409,[1]man_institutions!B:E,4,0),"")</f>
        <v>2.6521156587446599</v>
      </c>
      <c r="Q409" s="63">
        <f t="shared" si="34"/>
        <v>245</v>
      </c>
    </row>
    <row r="410" spans="1:17" x14ac:dyDescent="0.25">
      <c r="A410" s="6" t="s">
        <v>1013</v>
      </c>
      <c r="B410" s="37" t="s">
        <v>1230</v>
      </c>
      <c r="C410" s="72">
        <f>IFERROR(VLOOKUP(A410,[1]eco_bus_institutions!B:E,2,0),"")</f>
        <v>127</v>
      </c>
      <c r="D410" s="72">
        <f>IFERROR(VLOOKUP(A410,[1]eco_bus_institutions!B:E,4,0),"")</f>
        <v>1.696905259322282</v>
      </c>
      <c r="E410" s="73">
        <f t="shared" si="30"/>
        <v>384</v>
      </c>
      <c r="F410" s="40">
        <f>IFERROR(VLOOKUP(A410,[1]eco_institutions!B:D,2,0),"")</f>
        <v>87</v>
      </c>
      <c r="G410" s="40">
        <f>IFERROR(VLOOKUP(A410,[1]eco_institutions!B:E,4,0),"")</f>
        <v>1.7141412665512641</v>
      </c>
      <c r="H410" s="14">
        <f t="shared" si="31"/>
        <v>216</v>
      </c>
      <c r="I410" s="46">
        <f>IFERROR(VLOOKUP(A410,[1]fin_institutions!B:D,2,0),"")</f>
        <v>36</v>
      </c>
      <c r="J410" s="41">
        <f>IFERROR(VLOOKUP(A410,[1]fin_institutions!B:E,4,0),"")</f>
        <v>1.29443746992565</v>
      </c>
      <c r="K410" s="41">
        <f t="shared" si="32"/>
        <v>398</v>
      </c>
      <c r="L410" s="56">
        <f>IFERROR(VLOOKUP(A410,[1]bus_institutions!B:D,2,0),"")</f>
        <v>20</v>
      </c>
      <c r="M410" s="42">
        <f>IFERROR(VLOOKUP(A410,[1]bus_institutions!B:E,4,0),"")</f>
        <v>1.5744388063748589</v>
      </c>
      <c r="N410" s="23">
        <f t="shared" si="33"/>
        <v>464</v>
      </c>
      <c r="O410" s="61">
        <f>IFERROR(VLOOKUP(A410,[1]man_institutions!B:E,2,0),"")</f>
        <v>21</v>
      </c>
      <c r="P410" s="62">
        <f>IFERROR(VLOOKUP(A410,[1]man_institutions!B:E,4,0),"")</f>
        <v>1.660504048963596</v>
      </c>
      <c r="Q410" s="63">
        <f t="shared" si="34"/>
        <v>503</v>
      </c>
    </row>
    <row r="411" spans="1:17" x14ac:dyDescent="0.25">
      <c r="A411" s="6" t="s">
        <v>972</v>
      </c>
      <c r="B411" s="37" t="s">
        <v>1230</v>
      </c>
      <c r="C411" s="72">
        <f>IFERROR(VLOOKUP(A411,[1]eco_bus_institutions!B:E,2,0),"")</f>
        <v>207</v>
      </c>
      <c r="D411" s="72">
        <f>IFERROR(VLOOKUP(A411,[1]eco_bus_institutions!B:E,4,0),"")</f>
        <v>1.67089191984841</v>
      </c>
      <c r="E411" s="73">
        <f t="shared" si="30"/>
        <v>396</v>
      </c>
      <c r="F411" s="40">
        <f>IFERROR(VLOOKUP(A411,[1]eco_institutions!B:D,2,0),"")</f>
        <v>98</v>
      </c>
      <c r="G411" s="40">
        <f>IFERROR(VLOOKUP(A411,[1]eco_institutions!B:E,4,0),"")</f>
        <v>1.466482556028855</v>
      </c>
      <c r="H411" s="14">
        <f t="shared" si="31"/>
        <v>318</v>
      </c>
      <c r="I411" s="46">
        <f>IFERROR(VLOOKUP(A411,[1]fin_institutions!B:D,2,0),"")</f>
        <v>40</v>
      </c>
      <c r="J411" s="41">
        <f>IFERROR(VLOOKUP(A411,[1]fin_institutions!B:E,4,0),"")</f>
        <v>1.3328352363238181</v>
      </c>
      <c r="K411" s="41">
        <f t="shared" si="32"/>
        <v>374</v>
      </c>
      <c r="L411" s="56">
        <f>IFERROR(VLOOKUP(A411,[1]bus_institutions!B:D,2,0),"")</f>
        <v>53</v>
      </c>
      <c r="M411" s="42">
        <f>IFERROR(VLOOKUP(A411,[1]bus_institutions!B:E,4,0),"")</f>
        <v>1.9842313998399259</v>
      </c>
      <c r="N411" s="23">
        <f t="shared" si="33"/>
        <v>322</v>
      </c>
      <c r="O411" s="61">
        <f>IFERROR(VLOOKUP(A411,[1]man_institutions!B:E,2,0),"")</f>
        <v>67</v>
      </c>
      <c r="P411" s="62">
        <f>IFERROR(VLOOKUP(A411,[1]man_institutions!B:E,4,0),"")</f>
        <v>2.1916826194622998</v>
      </c>
      <c r="Q411" s="63">
        <f t="shared" si="34"/>
        <v>354</v>
      </c>
    </row>
    <row r="412" spans="1:17" x14ac:dyDescent="0.25">
      <c r="A412" s="6" t="s">
        <v>965</v>
      </c>
      <c r="B412" s="37" t="s">
        <v>1217</v>
      </c>
      <c r="C412" s="72">
        <f>IFERROR(VLOOKUP(A412,[1]eco_bus_institutions!B:E,2,0),"")</f>
        <v>41</v>
      </c>
      <c r="D412" s="72">
        <f>IFERROR(VLOOKUP(A412,[1]eco_bus_institutions!B:E,4,0),"")</f>
        <v>1.8337105962604721</v>
      </c>
      <c r="E412" s="73">
        <f t="shared" si="30"/>
        <v>327</v>
      </c>
      <c r="F412" s="40">
        <f>IFERROR(VLOOKUP(A412,[1]eco_institutions!B:D,2,0),"")</f>
        <v>12</v>
      </c>
      <c r="G412" s="40">
        <f>IFERROR(VLOOKUP(A412,[1]eco_institutions!B:E,4,0),"")</f>
        <v>1.1223910959601671</v>
      </c>
      <c r="H412" s="14">
        <f t="shared" si="31"/>
        <v>561</v>
      </c>
      <c r="I412" s="46">
        <f>IFERROR(VLOOKUP(A412,[1]fin_institutions!B:D,2,0),"")</f>
        <v>12</v>
      </c>
      <c r="J412" s="41">
        <f>IFERROR(VLOOKUP(A412,[1]fin_institutions!B:E,4,0),"")</f>
        <v>1.194984335934139</v>
      </c>
      <c r="K412" s="41">
        <f t="shared" si="32"/>
        <v>469</v>
      </c>
      <c r="L412" s="56">
        <f>IFERROR(VLOOKUP(A412,[1]bus_institutions!B:D,2,0),"")</f>
        <v>17</v>
      </c>
      <c r="M412" s="42">
        <f>IFERROR(VLOOKUP(A412,[1]bus_institutions!B:E,4,0),"")</f>
        <v>2.480196448060175</v>
      </c>
      <c r="N412" s="23">
        <f t="shared" si="33"/>
        <v>190</v>
      </c>
      <c r="O412" s="61">
        <f>IFERROR(VLOOKUP(A412,[1]man_institutions!B:E,2,0),"")</f>
        <v>11</v>
      </c>
      <c r="P412" s="62">
        <f>IFERROR(VLOOKUP(A412,[1]man_institutions!B:E,4,0),"")</f>
        <v>3.4584221714693362</v>
      </c>
      <c r="Q412" s="63">
        <f t="shared" si="34"/>
        <v>133</v>
      </c>
    </row>
    <row r="413" spans="1:17" x14ac:dyDescent="0.25">
      <c r="A413" s="6" t="s">
        <v>1033</v>
      </c>
      <c r="B413" s="37" t="s">
        <v>1217</v>
      </c>
      <c r="C413" s="72">
        <f>IFERROR(VLOOKUP(A413,[1]eco_bus_institutions!B:E,2,0),"")</f>
        <v>43</v>
      </c>
      <c r="D413" s="72">
        <f>IFERROR(VLOOKUP(A413,[1]eco_bus_institutions!B:E,4,0),"")</f>
        <v>1.751738969285195</v>
      </c>
      <c r="E413" s="73">
        <f t="shared" si="30"/>
        <v>359</v>
      </c>
      <c r="F413" s="40">
        <f>IFERROR(VLOOKUP(A413,[1]eco_institutions!B:D,2,0),"")</f>
        <v>20</v>
      </c>
      <c r="G413" s="40">
        <f>IFERROR(VLOOKUP(A413,[1]eco_institutions!B:E,4,0),"")</f>
        <v>1.29227809426457</v>
      </c>
      <c r="H413" s="14">
        <f t="shared" si="31"/>
        <v>442</v>
      </c>
      <c r="I413" s="46">
        <f>IFERROR(VLOOKUP(A413,[1]fin_institutions!B:D,2,0),"")</f>
        <v>6</v>
      </c>
      <c r="J413" s="41">
        <f>IFERROR(VLOOKUP(A413,[1]fin_institutions!B:E,4,0),"")</f>
        <v>1.627753691428603</v>
      </c>
      <c r="K413" s="41">
        <f t="shared" si="32"/>
        <v>234</v>
      </c>
      <c r="L413" s="56">
        <f>IFERROR(VLOOKUP(A413,[1]bus_institutions!B:D,2,0),"")</f>
        <v>9</v>
      </c>
      <c r="M413" s="42">
        <f>IFERROR(VLOOKUP(A413,[1]bus_institutions!B:E,4,0),"")</f>
        <v>2.1019530113744742</v>
      </c>
      <c r="N413" s="23">
        <f t="shared" si="33"/>
        <v>294</v>
      </c>
      <c r="O413" s="61">
        <f>IFERROR(VLOOKUP(A413,[1]man_institutions!B:E,2,0),"")</f>
        <v>15</v>
      </c>
      <c r="P413" s="62">
        <f>IFERROR(VLOOKUP(A413,[1]man_institutions!B:E,4,0),"")</f>
        <v>3.1584899907081798</v>
      </c>
      <c r="Q413" s="63">
        <f t="shared" si="34"/>
        <v>174</v>
      </c>
    </row>
    <row r="414" spans="1:17" x14ac:dyDescent="0.25">
      <c r="A414" s="6" t="s">
        <v>1089</v>
      </c>
      <c r="B414" s="37" t="s">
        <v>1220</v>
      </c>
      <c r="C414" s="72">
        <f>IFERROR(VLOOKUP(A414,[1]eco_bus_institutions!B:E,2,0),"")</f>
        <v>75</v>
      </c>
      <c r="D414" s="72">
        <f>IFERROR(VLOOKUP(A414,[1]eco_bus_institutions!B:E,4,0),"")</f>
        <v>1.733839951005695</v>
      </c>
      <c r="E414" s="73">
        <f t="shared" si="30"/>
        <v>367</v>
      </c>
      <c r="F414" s="40">
        <f>IFERROR(VLOOKUP(A414,[1]eco_institutions!B:D,2,0),"")</f>
        <v>49</v>
      </c>
      <c r="G414" s="40">
        <f>IFERROR(VLOOKUP(A414,[1]eco_institutions!B:E,4,0),"")</f>
        <v>1.7822430658579369</v>
      </c>
      <c r="H414" s="14">
        <f t="shared" si="31"/>
        <v>198</v>
      </c>
      <c r="I414" s="46">
        <f>IFERROR(VLOOKUP(A414,[1]fin_institutions!B:D,2,0),"")</f>
        <v>8</v>
      </c>
      <c r="J414" s="41">
        <f>IFERROR(VLOOKUP(A414,[1]fin_institutions!B:E,4,0),"")</f>
        <v>1.0861715976658179</v>
      </c>
      <c r="K414" s="41">
        <f t="shared" si="32"/>
        <v>536</v>
      </c>
      <c r="L414" s="56">
        <f>IFERROR(VLOOKUP(A414,[1]bus_institutions!B:D,2,0),"")</f>
        <v>13</v>
      </c>
      <c r="M414" s="42">
        <f>IFERROR(VLOOKUP(A414,[1]bus_institutions!B:E,4,0),"")</f>
        <v>1.6773860414496931</v>
      </c>
      <c r="N414" s="23">
        <f t="shared" si="33"/>
        <v>431</v>
      </c>
      <c r="O414" s="61">
        <f>IFERROR(VLOOKUP(A414,[1]man_institutions!B:E,2,0),"")</f>
        <v>18</v>
      </c>
      <c r="P414" s="62">
        <f>IFERROR(VLOOKUP(A414,[1]man_institutions!B:E,4,0),"")</f>
        <v>2.0364699925193719</v>
      </c>
      <c r="Q414" s="63">
        <f t="shared" si="34"/>
        <v>398</v>
      </c>
    </row>
    <row r="415" spans="1:17" x14ac:dyDescent="0.25">
      <c r="A415" s="6" t="s">
        <v>1021</v>
      </c>
      <c r="B415" s="37" t="s">
        <v>1219</v>
      </c>
      <c r="C415" s="72">
        <f>IFERROR(VLOOKUP(A415,[1]eco_bus_institutions!B:E,2,0),"")</f>
        <v>76</v>
      </c>
      <c r="D415" s="72">
        <f>IFERROR(VLOOKUP(A415,[1]eco_bus_institutions!B:E,4,0),"")</f>
        <v>2.009562301201465</v>
      </c>
      <c r="E415" s="73">
        <f t="shared" si="30"/>
        <v>259</v>
      </c>
      <c r="F415" s="40">
        <f>IFERROR(VLOOKUP(A415,[1]eco_institutions!B:D,2,0),"")</f>
        <v>50</v>
      </c>
      <c r="G415" s="40">
        <f>IFERROR(VLOOKUP(A415,[1]eco_institutions!B:E,4,0),"")</f>
        <v>2.064941525836363</v>
      </c>
      <c r="H415" s="14">
        <f t="shared" si="31"/>
        <v>134</v>
      </c>
      <c r="I415" s="46">
        <f>IFERROR(VLOOKUP(A415,[1]fin_institutions!B:D,2,0),"")</f>
        <v>12</v>
      </c>
      <c r="J415" s="41">
        <f>IFERROR(VLOOKUP(A415,[1]fin_institutions!B:E,4,0),"")</f>
        <v>2.098954936514152</v>
      </c>
      <c r="K415" s="41">
        <f t="shared" si="32"/>
        <v>139</v>
      </c>
      <c r="L415" s="56">
        <f>IFERROR(VLOOKUP(A415,[1]bus_institutions!B:D,2,0),"")</f>
        <v>10</v>
      </c>
      <c r="M415" s="42">
        <f>IFERROR(VLOOKUP(A415,[1]bus_institutions!B:E,4,0),"")</f>
        <v>1.8402375753871401</v>
      </c>
      <c r="N415" s="23">
        <f t="shared" si="33"/>
        <v>373</v>
      </c>
      <c r="O415" s="61">
        <f>IFERROR(VLOOKUP(A415,[1]man_institutions!B:E,2,0),"")</f>
        <v>19</v>
      </c>
      <c r="P415" s="62">
        <f>IFERROR(VLOOKUP(A415,[1]man_institutions!B:E,4,0),"")</f>
        <v>1.744119582937411</v>
      </c>
      <c r="Q415" s="63">
        <f t="shared" si="34"/>
        <v>479</v>
      </c>
    </row>
    <row r="416" spans="1:17" x14ac:dyDescent="0.25">
      <c r="A416" s="6" t="s">
        <v>1040</v>
      </c>
      <c r="B416" s="37" t="s">
        <v>1237</v>
      </c>
      <c r="C416" s="72">
        <f>IFERROR(VLOOKUP(A416,[1]eco_bus_institutions!B:E,2,0),"")</f>
        <v>110</v>
      </c>
      <c r="D416" s="72">
        <f>IFERROR(VLOOKUP(A416,[1]eco_bus_institutions!B:E,4,0),"")</f>
        <v>1.6316192043821101</v>
      </c>
      <c r="E416" s="73">
        <f t="shared" si="30"/>
        <v>411</v>
      </c>
      <c r="F416" s="40">
        <f>IFERROR(VLOOKUP(A416,[1]eco_institutions!B:D,2,0),"")</f>
        <v>42</v>
      </c>
      <c r="G416" s="40">
        <f>IFERROR(VLOOKUP(A416,[1]eco_institutions!B:E,4,0),"")</f>
        <v>1.5313528907438121</v>
      </c>
      <c r="H416" s="14">
        <f t="shared" si="31"/>
        <v>287</v>
      </c>
      <c r="I416" s="46">
        <f>IFERROR(VLOOKUP(A416,[1]fin_institutions!B:D,2,0),"")</f>
        <v>25</v>
      </c>
      <c r="J416" s="41">
        <f>IFERROR(VLOOKUP(A416,[1]fin_institutions!B:E,4,0),"")</f>
        <v>1.5473567330246469</v>
      </c>
      <c r="K416" s="41">
        <f t="shared" si="32"/>
        <v>265</v>
      </c>
      <c r="L416" s="56">
        <f>IFERROR(VLOOKUP(A416,[1]bus_institutions!B:D,2,0),"")</f>
        <v>31</v>
      </c>
      <c r="M416" s="42">
        <f>IFERROR(VLOOKUP(A416,[1]bus_institutions!B:E,4,0),"")</f>
        <v>1.851794964726869</v>
      </c>
      <c r="N416" s="23">
        <f t="shared" si="33"/>
        <v>366</v>
      </c>
      <c r="O416" s="61">
        <f>IFERROR(VLOOKUP(A416,[1]man_institutions!B:E,2,0),"")</f>
        <v>35</v>
      </c>
      <c r="P416" s="62">
        <f>IFERROR(VLOOKUP(A416,[1]man_institutions!B:E,4,0),"")</f>
        <v>1.5991397425450991</v>
      </c>
      <c r="Q416" s="63">
        <f t="shared" si="34"/>
        <v>509</v>
      </c>
    </row>
    <row r="417" spans="1:17" x14ac:dyDescent="0.25">
      <c r="A417" s="6" t="s">
        <v>997</v>
      </c>
      <c r="B417" s="37" t="s">
        <v>1218</v>
      </c>
      <c r="C417" s="72">
        <f>IFERROR(VLOOKUP(A417,[1]eco_bus_institutions!B:E,2,0),"")</f>
        <v>68</v>
      </c>
      <c r="D417" s="72">
        <f>IFERROR(VLOOKUP(A417,[1]eco_bus_institutions!B:E,4,0),"")</f>
        <v>1.490762233995371</v>
      </c>
      <c r="E417" s="73">
        <f t="shared" si="30"/>
        <v>477</v>
      </c>
      <c r="F417" s="40">
        <f>IFERROR(VLOOKUP(A417,[1]eco_institutions!B:D,2,0),"")</f>
        <v>40</v>
      </c>
      <c r="G417" s="40">
        <f>IFERROR(VLOOKUP(A417,[1]eco_institutions!B:E,4,0),"")</f>
        <v>1.292580834246797</v>
      </c>
      <c r="H417" s="14">
        <f t="shared" si="31"/>
        <v>441</v>
      </c>
      <c r="I417" s="46">
        <f>IFERROR(VLOOKUP(A417,[1]fin_institutions!B:D,2,0),"")</f>
        <v>16</v>
      </c>
      <c r="J417" s="41">
        <f>IFERROR(VLOOKUP(A417,[1]fin_institutions!B:E,4,0),"")</f>
        <v>1.3700629569105409</v>
      </c>
      <c r="K417" s="41">
        <f t="shared" si="32"/>
        <v>350</v>
      </c>
      <c r="L417" s="56">
        <f>IFERROR(VLOOKUP(A417,[1]bus_institutions!B:D,2,0),"")</f>
        <v>13</v>
      </c>
      <c r="M417" s="42">
        <f>IFERROR(VLOOKUP(A417,[1]bus_institutions!B:E,4,0),"")</f>
        <v>1.745657568093214</v>
      </c>
      <c r="N417" s="23">
        <f t="shared" si="33"/>
        <v>407</v>
      </c>
      <c r="O417" s="61">
        <f>IFERROR(VLOOKUP(A417,[1]man_institutions!B:E,2,0),"")</f>
        <v>17</v>
      </c>
      <c r="P417" s="62">
        <f>IFERROR(VLOOKUP(A417,[1]man_institutions!B:E,4,0),"")</f>
        <v>1.6549193612825099</v>
      </c>
      <c r="Q417" s="63">
        <f t="shared" si="34"/>
        <v>504</v>
      </c>
    </row>
    <row r="418" spans="1:17" x14ac:dyDescent="0.25">
      <c r="A418" s="6" t="s">
        <v>1057</v>
      </c>
      <c r="B418" s="37" t="s">
        <v>1230</v>
      </c>
      <c r="C418" s="72">
        <f>IFERROR(VLOOKUP(A418,[1]eco_bus_institutions!B:E,2,0),"")</f>
        <v>54</v>
      </c>
      <c r="D418" s="72">
        <f>IFERROR(VLOOKUP(A418,[1]eco_bus_institutions!B:E,4,0),"")</f>
        <v>1.387270363946272</v>
      </c>
      <c r="E418" s="73">
        <f t="shared" si="30"/>
        <v>528</v>
      </c>
      <c r="F418" s="40">
        <f>IFERROR(VLOOKUP(A418,[1]eco_institutions!B:D,2,0),"")</f>
        <v>17</v>
      </c>
      <c r="G418" s="40">
        <f>IFERROR(VLOOKUP(A418,[1]eco_institutions!B:E,4,0),"")</f>
        <v>1.259962788190589</v>
      </c>
      <c r="H418" s="14">
        <f t="shared" si="31"/>
        <v>468</v>
      </c>
      <c r="I418" s="46">
        <f>IFERROR(VLOOKUP(A418,[1]fin_institutions!B:D,2,0),"")</f>
        <v>11</v>
      </c>
      <c r="J418" s="41">
        <f>IFERROR(VLOOKUP(A418,[1]fin_institutions!B:E,4,0),"")</f>
        <v>1.143419372338826</v>
      </c>
      <c r="K418" s="41">
        <f t="shared" si="32"/>
        <v>507</v>
      </c>
      <c r="L418" s="56">
        <f>IFERROR(VLOOKUP(A418,[1]bus_institutions!B:D,2,0),"")</f>
        <v>25</v>
      </c>
      <c r="M418" s="42">
        <f>IFERROR(VLOOKUP(A418,[1]bus_institutions!B:E,4,0),"")</f>
        <v>1.367300234018004</v>
      </c>
      <c r="N418" s="23">
        <f t="shared" si="33"/>
        <v>516</v>
      </c>
      <c r="O418" s="61">
        <f>IFERROR(VLOOKUP(A418,[1]man_institutions!B:E,2,0),"")</f>
        <v>19</v>
      </c>
      <c r="P418" s="62">
        <f>IFERROR(VLOOKUP(A418,[1]man_institutions!B:E,4,0),"")</f>
        <v>1.705191008284217</v>
      </c>
      <c r="Q418" s="63">
        <f t="shared" si="34"/>
        <v>491</v>
      </c>
    </row>
    <row r="419" spans="1:17" x14ac:dyDescent="0.25">
      <c r="A419" s="6" t="s">
        <v>1009</v>
      </c>
      <c r="B419" s="37" t="s">
        <v>1216</v>
      </c>
      <c r="C419" s="72">
        <f>IFERROR(VLOOKUP(A419,[1]eco_bus_institutions!B:E,2,0),"")</f>
        <v>101</v>
      </c>
      <c r="D419" s="72">
        <f>IFERROR(VLOOKUP(A419,[1]eco_bus_institutions!B:E,4,0),"")</f>
        <v>1.54721962507046</v>
      </c>
      <c r="E419" s="73">
        <f t="shared" si="30"/>
        <v>457</v>
      </c>
      <c r="F419" s="40">
        <f>IFERROR(VLOOKUP(A419,[1]eco_institutions!B:D,2,0),"")</f>
        <v>29</v>
      </c>
      <c r="G419" s="40">
        <f>IFERROR(VLOOKUP(A419,[1]eco_institutions!B:E,4,0),"")</f>
        <v>1.1847598224258979</v>
      </c>
      <c r="H419" s="14">
        <f t="shared" si="31"/>
        <v>526</v>
      </c>
      <c r="I419" s="46">
        <f>IFERROR(VLOOKUP(A419,[1]fin_institutions!B:D,2,0),"")</f>
        <v>32</v>
      </c>
      <c r="J419" s="41">
        <f>IFERROR(VLOOKUP(A419,[1]fin_institutions!B:E,4,0),"")</f>
        <v>1.16265173300571</v>
      </c>
      <c r="K419" s="41">
        <f t="shared" si="32"/>
        <v>490</v>
      </c>
      <c r="L419" s="56">
        <f>IFERROR(VLOOKUP(A419,[1]bus_institutions!B:D,2,0),"")</f>
        <v>38</v>
      </c>
      <c r="M419" s="42">
        <f>IFERROR(VLOOKUP(A419,[1]bus_institutions!B:E,4,0),"")</f>
        <v>1.832977907087233</v>
      </c>
      <c r="N419" s="23">
        <f t="shared" si="33"/>
        <v>376</v>
      </c>
      <c r="O419" s="61">
        <f>IFERROR(VLOOKUP(A419,[1]man_institutions!B:E,2,0),"")</f>
        <v>29</v>
      </c>
      <c r="P419" s="62">
        <f>IFERROR(VLOOKUP(A419,[1]man_institutions!B:E,4,0),"")</f>
        <v>2.5452157132610669</v>
      </c>
      <c r="Q419" s="63">
        <f t="shared" si="34"/>
        <v>264</v>
      </c>
    </row>
    <row r="420" spans="1:17" x14ac:dyDescent="0.25">
      <c r="A420" s="6" t="s">
        <v>995</v>
      </c>
      <c r="B420" s="37" t="s">
        <v>1230</v>
      </c>
      <c r="C420" s="72">
        <f>IFERROR(VLOOKUP(A420,[1]eco_bus_institutions!B:E,2,0),"")</f>
        <v>66</v>
      </c>
      <c r="D420" s="72">
        <f>IFERROR(VLOOKUP(A420,[1]eco_bus_institutions!B:E,4,0),"")</f>
        <v>1.570212628552627</v>
      </c>
      <c r="E420" s="73">
        <f t="shared" si="30"/>
        <v>438</v>
      </c>
      <c r="F420" s="40">
        <f>IFERROR(VLOOKUP(A420,[1]eco_institutions!B:D,2,0),"")</f>
        <v>27</v>
      </c>
      <c r="G420" s="40">
        <f>IFERROR(VLOOKUP(A420,[1]eco_institutions!B:E,4,0),"")</f>
        <v>1.18518961998397</v>
      </c>
      <c r="H420" s="14">
        <f t="shared" si="31"/>
        <v>525</v>
      </c>
      <c r="I420" s="46">
        <f>IFERROR(VLOOKUP(A420,[1]fin_institutions!B:D,2,0),"")</f>
        <v>13</v>
      </c>
      <c r="J420" s="41">
        <f>IFERROR(VLOOKUP(A420,[1]fin_institutions!B:E,4,0),"")</f>
        <v>1.431888519811255</v>
      </c>
      <c r="K420" s="41">
        <f t="shared" si="32"/>
        <v>318</v>
      </c>
      <c r="L420" s="56">
        <f>IFERROR(VLOOKUP(A420,[1]bus_institutions!B:D,2,0),"")</f>
        <v>23</v>
      </c>
      <c r="M420" s="42">
        <f>IFERROR(VLOOKUP(A420,[1]bus_institutions!B:E,4,0),"")</f>
        <v>1.604520042456749</v>
      </c>
      <c r="N420" s="23">
        <f t="shared" si="33"/>
        <v>458</v>
      </c>
      <c r="O420" s="61">
        <f>IFERROR(VLOOKUP(A420,[1]man_institutions!B:E,2,0),"")</f>
        <v>27</v>
      </c>
      <c r="P420" s="62">
        <f>IFERROR(VLOOKUP(A420,[1]man_institutions!B:E,4,0),"")</f>
        <v>1.94391110371266</v>
      </c>
      <c r="Q420" s="63">
        <f t="shared" si="34"/>
        <v>420</v>
      </c>
    </row>
    <row r="421" spans="1:17" x14ac:dyDescent="0.25">
      <c r="A421" s="6" t="s">
        <v>889</v>
      </c>
      <c r="B421" s="37" t="s">
        <v>1216</v>
      </c>
      <c r="C421" s="72">
        <f>IFERROR(VLOOKUP(A421,[1]eco_bus_institutions!B:E,2,0),"")</f>
        <v>54</v>
      </c>
      <c r="D421" s="72">
        <f>IFERROR(VLOOKUP(A421,[1]eco_bus_institutions!B:E,4,0),"")</f>
        <v>1.876540233155972</v>
      </c>
      <c r="E421" s="73">
        <f t="shared" si="30"/>
        <v>308</v>
      </c>
      <c r="F421" s="40">
        <f>IFERROR(VLOOKUP(A421,[1]eco_institutions!B:D,2,0),"")</f>
        <v>15</v>
      </c>
      <c r="G421" s="40">
        <f>IFERROR(VLOOKUP(A421,[1]eco_institutions!B:E,4,0),"")</f>
        <v>1.400612855512726</v>
      </c>
      <c r="H421" s="14">
        <f t="shared" si="31"/>
        <v>362</v>
      </c>
      <c r="I421" s="46">
        <f>IFERROR(VLOOKUP(A421,[1]fin_institutions!B:D,2,0),"")</f>
        <v>5</v>
      </c>
      <c r="J421" s="41">
        <f>IFERROR(VLOOKUP(A421,[1]fin_institutions!B:E,4,0),"")</f>
        <v>1.182745668936491</v>
      </c>
      <c r="K421" s="41">
        <f t="shared" si="32"/>
        <v>480</v>
      </c>
      <c r="L421" s="56">
        <f>IFERROR(VLOOKUP(A421,[1]bus_institutions!B:D,2,0),"")</f>
        <v>17</v>
      </c>
      <c r="M421" s="42">
        <f>IFERROR(VLOOKUP(A421,[1]bus_institutions!B:E,4,0),"")</f>
        <v>2.0773267626986569</v>
      </c>
      <c r="N421" s="23">
        <f t="shared" si="33"/>
        <v>305</v>
      </c>
      <c r="O421" s="61">
        <f>IFERROR(VLOOKUP(A421,[1]man_institutions!B:E,2,0),"")</f>
        <v>31</v>
      </c>
      <c r="P421" s="62">
        <f>IFERROR(VLOOKUP(A421,[1]man_institutions!B:E,4,0),"")</f>
        <v>2.7570124665805809</v>
      </c>
      <c r="Q421" s="63">
        <f t="shared" si="34"/>
        <v>227</v>
      </c>
    </row>
    <row r="422" spans="1:17" x14ac:dyDescent="0.25">
      <c r="A422" s="6" t="s">
        <v>1061</v>
      </c>
      <c r="B422" s="37" t="s">
        <v>1230</v>
      </c>
      <c r="C422" s="72">
        <f>IFERROR(VLOOKUP(A422,[1]eco_bus_institutions!B:E,2,0),"")</f>
        <v>61</v>
      </c>
      <c r="D422" s="72">
        <f>IFERROR(VLOOKUP(A422,[1]eco_bus_institutions!B:E,4,0),"")</f>
        <v>1.4179681388051839</v>
      </c>
      <c r="E422" s="73">
        <f t="shared" si="30"/>
        <v>518</v>
      </c>
      <c r="F422" s="40">
        <f>IFERROR(VLOOKUP(A422,[1]eco_institutions!B:D,2,0),"")</f>
        <v>45</v>
      </c>
      <c r="G422" s="40">
        <f>IFERROR(VLOOKUP(A422,[1]eco_institutions!B:E,4,0),"")</f>
        <v>1.406642971475017</v>
      </c>
      <c r="H422" s="14">
        <f t="shared" si="31"/>
        <v>355</v>
      </c>
      <c r="I422" s="46">
        <f>IFERROR(VLOOKUP(A422,[1]fin_institutions!B:D,2,0),"")</f>
        <v>21</v>
      </c>
      <c r="J422" s="41">
        <f>IFERROR(VLOOKUP(A422,[1]fin_institutions!B:E,4,0),"")</f>
        <v>1.187506329837513</v>
      </c>
      <c r="K422" s="41">
        <f t="shared" si="32"/>
        <v>476</v>
      </c>
      <c r="L422" s="56">
        <f>IFERROR(VLOOKUP(A422,[1]bus_institutions!B:D,2,0),"")</f>
        <v>6</v>
      </c>
      <c r="M422" s="42">
        <f>IFERROR(VLOOKUP(A422,[1]bus_institutions!B:E,4,0),"")</f>
        <v>1.390526432815856</v>
      </c>
      <c r="N422" s="23">
        <f t="shared" si="33"/>
        <v>511</v>
      </c>
      <c r="O422" s="61">
        <f>IFERROR(VLOOKUP(A422,[1]man_institutions!B:E,2,0),"")</f>
        <v>7</v>
      </c>
      <c r="P422" s="62">
        <f>IFERROR(VLOOKUP(A422,[1]man_institutions!B:E,4,0),"")</f>
        <v>1.5324642472275261</v>
      </c>
      <c r="Q422" s="63">
        <f t="shared" si="34"/>
        <v>526</v>
      </c>
    </row>
    <row r="423" spans="1:17" x14ac:dyDescent="0.25">
      <c r="A423" s="6" t="s">
        <v>1034</v>
      </c>
      <c r="B423" s="37" t="s">
        <v>1224</v>
      </c>
      <c r="C423" s="72">
        <f>IFERROR(VLOOKUP(A423,[1]eco_bus_institutions!B:E,2,0),"")</f>
        <v>41</v>
      </c>
      <c r="D423" s="72">
        <f>IFERROR(VLOOKUP(A423,[1]eco_bus_institutions!B:E,4,0),"")</f>
        <v>1.5686342256858981</v>
      </c>
      <c r="E423" s="73">
        <f t="shared" si="30"/>
        <v>441</v>
      </c>
      <c r="F423" s="40">
        <f>IFERROR(VLOOKUP(A423,[1]eco_institutions!B:D,2,0),"")</f>
        <v>7</v>
      </c>
      <c r="G423" s="40">
        <f>IFERROR(VLOOKUP(A423,[1]eco_institutions!B:E,4,0),"")</f>
        <v>1.0541705904418439</v>
      </c>
      <c r="H423" s="14">
        <f t="shared" si="31"/>
        <v>584</v>
      </c>
      <c r="I423" s="46">
        <f>IFERROR(VLOOKUP(A423,[1]fin_institutions!B:D,2,0),"")</f>
        <v>5</v>
      </c>
      <c r="J423" s="41">
        <f>IFERROR(VLOOKUP(A423,[1]fin_institutions!B:E,4,0),"")</f>
        <v>1.0974396426102579</v>
      </c>
      <c r="K423" s="41">
        <f t="shared" si="32"/>
        <v>527</v>
      </c>
      <c r="L423" s="56">
        <f>IFERROR(VLOOKUP(A423,[1]bus_institutions!B:D,2,0),"")</f>
        <v>24</v>
      </c>
      <c r="M423" s="42">
        <f>IFERROR(VLOOKUP(A423,[1]bus_institutions!B:E,4,0),"")</f>
        <v>1.726365057934292</v>
      </c>
      <c r="N423" s="23">
        <f t="shared" si="33"/>
        <v>415</v>
      </c>
      <c r="O423" s="61">
        <f>IFERROR(VLOOKUP(A423,[1]man_institutions!B:E,2,0),"")</f>
        <v>18</v>
      </c>
      <c r="P423" s="62">
        <f>IFERROR(VLOOKUP(A423,[1]man_institutions!B:E,4,0),"")</f>
        <v>2.1604443758543161</v>
      </c>
      <c r="Q423" s="63">
        <f t="shared" si="34"/>
        <v>363</v>
      </c>
    </row>
    <row r="424" spans="1:17" x14ac:dyDescent="0.25">
      <c r="A424" s="6" t="s">
        <v>1025</v>
      </c>
      <c r="B424" s="37" t="s">
        <v>1220</v>
      </c>
      <c r="C424" s="72">
        <f>IFERROR(VLOOKUP(A424,[1]eco_bus_institutions!B:E,2,0),"")</f>
        <v>93</v>
      </c>
      <c r="D424" s="72">
        <f>IFERROR(VLOOKUP(A424,[1]eco_bus_institutions!B:E,4,0),"")</f>
        <v>1.601524352276829</v>
      </c>
      <c r="E424" s="73">
        <f t="shared" si="30"/>
        <v>423</v>
      </c>
      <c r="F424" s="40">
        <f>IFERROR(VLOOKUP(A424,[1]eco_institutions!B:D,2,0),"")</f>
        <v>43</v>
      </c>
      <c r="G424" s="40">
        <f>IFERROR(VLOOKUP(A424,[1]eco_institutions!B:E,4,0),"")</f>
        <v>2.2021431207618871</v>
      </c>
      <c r="H424" s="14">
        <f t="shared" si="31"/>
        <v>111</v>
      </c>
      <c r="I424" s="46">
        <f>IFERROR(VLOOKUP(A424,[1]fin_institutions!B:D,2,0),"")</f>
        <v>16</v>
      </c>
      <c r="J424" s="41">
        <f>IFERROR(VLOOKUP(A424,[1]fin_institutions!B:E,4,0),"")</f>
        <v>1.1377112702342469</v>
      </c>
      <c r="K424" s="41">
        <f t="shared" si="32"/>
        <v>514</v>
      </c>
      <c r="L424" s="56">
        <f>IFERROR(VLOOKUP(A424,[1]bus_institutions!B:D,2,0),"")</f>
        <v>32</v>
      </c>
      <c r="M424" s="42">
        <f>IFERROR(VLOOKUP(A424,[1]bus_institutions!B:E,4,0),"")</f>
        <v>2.1701131749085518</v>
      </c>
      <c r="N424" s="23">
        <f t="shared" si="33"/>
        <v>279</v>
      </c>
      <c r="O424" s="61">
        <f>IFERROR(VLOOKUP(A424,[1]man_institutions!B:E,2,0),"")</f>
        <v>29</v>
      </c>
      <c r="P424" s="62">
        <f>IFERROR(VLOOKUP(A424,[1]man_institutions!B:E,4,0),"")</f>
        <v>2.38513929617584</v>
      </c>
      <c r="Q424" s="63">
        <f t="shared" si="34"/>
        <v>301</v>
      </c>
    </row>
    <row r="425" spans="1:17" x14ac:dyDescent="0.25">
      <c r="A425" s="6" t="s">
        <v>948</v>
      </c>
      <c r="B425" s="37" t="s">
        <v>1237</v>
      </c>
      <c r="C425" s="72">
        <f>IFERROR(VLOOKUP(A425,[1]eco_bus_institutions!B:E,2,0),"")</f>
        <v>82</v>
      </c>
      <c r="D425" s="72">
        <f>IFERROR(VLOOKUP(A425,[1]eco_bus_institutions!B:E,4,0),"")</f>
        <v>1.7136457092006949</v>
      </c>
      <c r="E425" s="73">
        <f t="shared" si="30"/>
        <v>377</v>
      </c>
      <c r="F425" s="40">
        <f>IFERROR(VLOOKUP(A425,[1]eco_institutions!B:D,2,0),"")</f>
        <v>6</v>
      </c>
      <c r="G425" s="40">
        <f>IFERROR(VLOOKUP(A425,[1]eco_institutions!B:E,4,0),"")</f>
        <v>1.0516136166039189</v>
      </c>
      <c r="H425" s="14">
        <f t="shared" si="31"/>
        <v>585</v>
      </c>
      <c r="I425" s="46">
        <f>IFERROR(VLOOKUP(A425,[1]fin_institutions!B:D,2,0),"")</f>
        <v>12</v>
      </c>
      <c r="J425" s="41">
        <f>IFERROR(VLOOKUP(A425,[1]fin_institutions!B:E,4,0),"")</f>
        <v>1.2572686782469611</v>
      </c>
      <c r="K425" s="41">
        <f t="shared" si="32"/>
        <v>421</v>
      </c>
      <c r="L425" s="56">
        <f>IFERROR(VLOOKUP(A425,[1]bus_institutions!B:D,2,0),"")</f>
        <v>44</v>
      </c>
      <c r="M425" s="42">
        <f>IFERROR(VLOOKUP(A425,[1]bus_institutions!B:E,4,0),"")</f>
        <v>2.2863542751978869</v>
      </c>
      <c r="N425" s="23">
        <f t="shared" si="33"/>
        <v>244</v>
      </c>
      <c r="O425" s="61">
        <f>IFERROR(VLOOKUP(A425,[1]man_institutions!B:E,2,0),"")</f>
        <v>42</v>
      </c>
      <c r="P425" s="62">
        <f>IFERROR(VLOOKUP(A425,[1]man_institutions!B:E,4,0),"")</f>
        <v>1.883030027590364</v>
      </c>
      <c r="Q425" s="63">
        <f t="shared" si="34"/>
        <v>436</v>
      </c>
    </row>
    <row r="426" spans="1:17" x14ac:dyDescent="0.25">
      <c r="A426" s="6" t="s">
        <v>893</v>
      </c>
      <c r="B426" s="37" t="s">
        <v>1227</v>
      </c>
      <c r="C426" s="72">
        <f>IFERROR(VLOOKUP(A426,[1]eco_bus_institutions!B:E,2,0),"")</f>
        <v>63</v>
      </c>
      <c r="D426" s="72">
        <f>IFERROR(VLOOKUP(A426,[1]eco_bus_institutions!B:E,4,0),"")</f>
        <v>1.819499254587021</v>
      </c>
      <c r="E426" s="73">
        <f t="shared" si="30"/>
        <v>337</v>
      </c>
      <c r="F426" s="40">
        <f>IFERROR(VLOOKUP(A426,[1]eco_institutions!B:D,2,0),"")</f>
        <v>25</v>
      </c>
      <c r="G426" s="40">
        <f>IFERROR(VLOOKUP(A426,[1]eco_institutions!B:E,4,0),"")</f>
        <v>1.400015947248654</v>
      </c>
      <c r="H426" s="14">
        <f t="shared" si="31"/>
        <v>363</v>
      </c>
      <c r="I426" s="46">
        <f>IFERROR(VLOOKUP(A426,[1]fin_institutions!B:D,2,0),"")</f>
        <v>7</v>
      </c>
      <c r="J426" s="41">
        <f>IFERROR(VLOOKUP(A426,[1]fin_institutions!B:E,4,0),"")</f>
        <v>1.218789195038763</v>
      </c>
      <c r="K426" s="41">
        <f t="shared" si="32"/>
        <v>451</v>
      </c>
      <c r="L426" s="56">
        <f>IFERROR(VLOOKUP(A426,[1]bus_institutions!B:D,2,0),"")</f>
        <v>21</v>
      </c>
      <c r="M426" s="42">
        <f>IFERROR(VLOOKUP(A426,[1]bus_institutions!B:E,4,0),"")</f>
        <v>2.4780080516547351</v>
      </c>
      <c r="N426" s="23">
        <f t="shared" si="33"/>
        <v>192</v>
      </c>
      <c r="O426" s="61">
        <f>IFERROR(VLOOKUP(A426,[1]man_institutions!B:E,2,0),"")</f>
        <v>27</v>
      </c>
      <c r="P426" s="62">
        <f>IFERROR(VLOOKUP(A426,[1]man_institutions!B:E,4,0),"")</f>
        <v>2.7877500530329842</v>
      </c>
      <c r="Q426" s="63">
        <f t="shared" si="34"/>
        <v>219</v>
      </c>
    </row>
    <row r="427" spans="1:17" x14ac:dyDescent="0.25">
      <c r="A427" s="6" t="s">
        <v>1037</v>
      </c>
      <c r="B427" s="37" t="s">
        <v>1251</v>
      </c>
      <c r="C427" s="72">
        <f>IFERROR(VLOOKUP(A427,[1]eco_bus_institutions!B:E,2,0),"")</f>
        <v>40</v>
      </c>
      <c r="D427" s="72">
        <f>IFERROR(VLOOKUP(A427,[1]eco_bus_institutions!B:E,4,0),"")</f>
        <v>1.481648895765749</v>
      </c>
      <c r="E427" s="73">
        <f t="shared" si="30"/>
        <v>481</v>
      </c>
      <c r="F427" s="40">
        <f>IFERROR(VLOOKUP(A427,[1]eco_institutions!B:D,2,0),"")</f>
        <v>18</v>
      </c>
      <c r="G427" s="40">
        <f>IFERROR(VLOOKUP(A427,[1]eco_institutions!B:E,4,0),"")</f>
        <v>1.1416604064040989</v>
      </c>
      <c r="H427" s="14">
        <f t="shared" si="31"/>
        <v>551</v>
      </c>
      <c r="I427" s="46">
        <f>IFERROR(VLOOKUP(A427,[1]fin_institutions!B:D,2,0),"")</f>
        <v>6</v>
      </c>
      <c r="J427" s="41">
        <f>IFERROR(VLOOKUP(A427,[1]fin_institutions!B:E,4,0),"")</f>
        <v>1.118341205087525</v>
      </c>
      <c r="K427" s="41">
        <f t="shared" si="32"/>
        <v>523</v>
      </c>
      <c r="L427" s="56">
        <f>IFERROR(VLOOKUP(A427,[1]bus_institutions!B:D,2,0),"")</f>
        <v>18</v>
      </c>
      <c r="M427" s="42">
        <f>IFERROR(VLOOKUP(A427,[1]bus_institutions!B:E,4,0),"")</f>
        <v>1.939285004780724</v>
      </c>
      <c r="N427" s="23">
        <f t="shared" si="33"/>
        <v>339</v>
      </c>
      <c r="O427" s="61">
        <f>IFERROR(VLOOKUP(A427,[1]man_institutions!B:E,2,0),"")</f>
        <v>18</v>
      </c>
      <c r="P427" s="62">
        <f>IFERROR(VLOOKUP(A427,[1]man_institutions!B:E,4,0),"")</f>
        <v>1.9591496082711031</v>
      </c>
      <c r="Q427" s="63">
        <f t="shared" si="34"/>
        <v>416</v>
      </c>
    </row>
    <row r="428" spans="1:17" x14ac:dyDescent="0.25">
      <c r="A428" s="6" t="s">
        <v>1059</v>
      </c>
      <c r="B428" s="37" t="s">
        <v>1217</v>
      </c>
      <c r="C428" s="72">
        <f>IFERROR(VLOOKUP(A428,[1]eco_bus_institutions!B:E,2,0),"")</f>
        <v>44</v>
      </c>
      <c r="D428" s="72">
        <f>IFERROR(VLOOKUP(A428,[1]eco_bus_institutions!B:E,4,0),"")</f>
        <v>1.5572591495535719</v>
      </c>
      <c r="E428" s="73">
        <f t="shared" si="30"/>
        <v>449</v>
      </c>
      <c r="F428" s="40">
        <f>IFERROR(VLOOKUP(A428,[1]eco_institutions!B:D,2,0),"")</f>
        <v>17</v>
      </c>
      <c r="G428" s="40">
        <f>IFERROR(VLOOKUP(A428,[1]eco_institutions!B:E,4,0),"")</f>
        <v>1.2663983085449171</v>
      </c>
      <c r="H428" s="14">
        <f t="shared" si="31"/>
        <v>462</v>
      </c>
      <c r="I428" s="46">
        <f>IFERROR(VLOOKUP(A428,[1]fin_institutions!B:D,2,0),"")</f>
        <v>12</v>
      </c>
      <c r="J428" s="41">
        <f>IFERROR(VLOOKUP(A428,[1]fin_institutions!B:E,4,0),"")</f>
        <v>1.2972115259624311</v>
      </c>
      <c r="K428" s="41">
        <f t="shared" si="32"/>
        <v>397</v>
      </c>
      <c r="L428" s="56">
        <f>IFERROR(VLOOKUP(A428,[1]bus_institutions!B:D,2,0),"")</f>
        <v>12</v>
      </c>
      <c r="M428" s="42">
        <f>IFERROR(VLOOKUP(A428,[1]bus_institutions!B:E,4,0),"")</f>
        <v>1.8566182530896289</v>
      </c>
      <c r="N428" s="23">
        <f t="shared" si="33"/>
        <v>365</v>
      </c>
      <c r="O428" s="61">
        <f>IFERROR(VLOOKUP(A428,[1]man_institutions!B:E,2,0),"")</f>
        <v>17</v>
      </c>
      <c r="P428" s="62">
        <f>IFERROR(VLOOKUP(A428,[1]man_institutions!B:E,4,0),"")</f>
        <v>1.752011570014248</v>
      </c>
      <c r="Q428" s="63">
        <f t="shared" si="34"/>
        <v>475</v>
      </c>
    </row>
    <row r="429" spans="1:17" x14ac:dyDescent="0.25">
      <c r="A429" s="6" t="s">
        <v>1020</v>
      </c>
      <c r="B429" s="37" t="s">
        <v>1222</v>
      </c>
      <c r="C429" s="72">
        <f>IFERROR(VLOOKUP(A429,[1]eco_bus_institutions!B:E,2,0),"")</f>
        <v>80</v>
      </c>
      <c r="D429" s="72">
        <f>IFERROR(VLOOKUP(A429,[1]eco_bus_institutions!B:E,4,0),"")</f>
        <v>1.672534664930462</v>
      </c>
      <c r="E429" s="73">
        <f t="shared" si="30"/>
        <v>394</v>
      </c>
      <c r="F429" s="40">
        <f>IFERROR(VLOOKUP(A429,[1]eco_institutions!B:D,2,0),"")</f>
        <v>51</v>
      </c>
      <c r="G429" s="40">
        <f>IFERROR(VLOOKUP(A429,[1]eco_institutions!B:E,4,0),"")</f>
        <v>1.4732971101952039</v>
      </c>
      <c r="H429" s="14">
        <f t="shared" si="31"/>
        <v>315</v>
      </c>
      <c r="I429" s="46">
        <f>IFERROR(VLOOKUP(A429,[1]fin_institutions!B:D,2,0),"")</f>
        <v>10</v>
      </c>
      <c r="J429" s="41">
        <f>IFERROR(VLOOKUP(A429,[1]fin_institutions!B:E,4,0),"")</f>
        <v>1.2631604569131629</v>
      </c>
      <c r="K429" s="41">
        <f t="shared" si="32"/>
        <v>416</v>
      </c>
      <c r="L429" s="56">
        <f>IFERROR(VLOOKUP(A429,[1]bus_institutions!B:D,2,0),"")</f>
        <v>21</v>
      </c>
      <c r="M429" s="42">
        <f>IFERROR(VLOOKUP(A429,[1]bus_institutions!B:E,4,0),"")</f>
        <v>1.8670016024825931</v>
      </c>
      <c r="N429" s="23">
        <f t="shared" si="33"/>
        <v>360</v>
      </c>
      <c r="O429" s="61">
        <f>IFERROR(VLOOKUP(A429,[1]man_institutions!B:E,2,0),"")</f>
        <v>25</v>
      </c>
      <c r="P429" s="62">
        <f>IFERROR(VLOOKUP(A429,[1]man_institutions!B:E,4,0),"")</f>
        <v>4.4268994334419816</v>
      </c>
      <c r="Q429" s="63">
        <f t="shared" si="34"/>
        <v>57</v>
      </c>
    </row>
    <row r="430" spans="1:17" x14ac:dyDescent="0.25">
      <c r="A430" s="6" t="s">
        <v>1049</v>
      </c>
      <c r="B430" s="37" t="s">
        <v>1230</v>
      </c>
      <c r="C430" s="72">
        <f>IFERROR(VLOOKUP(A430,[1]eco_bus_institutions!B:E,2,0),"")</f>
        <v>44</v>
      </c>
      <c r="D430" s="72">
        <f>IFERROR(VLOOKUP(A430,[1]eco_bus_institutions!B:E,4,0),"")</f>
        <v>1.463134028553291</v>
      </c>
      <c r="E430" s="73">
        <f t="shared" si="30"/>
        <v>490</v>
      </c>
      <c r="F430" s="40">
        <f>IFERROR(VLOOKUP(A430,[1]eco_institutions!B:D,2,0),"")</f>
        <v>26</v>
      </c>
      <c r="G430" s="40">
        <f>IFERROR(VLOOKUP(A430,[1]eco_institutions!B:E,4,0),"")</f>
        <v>1.2059000806345199</v>
      </c>
      <c r="H430" s="14">
        <f t="shared" si="31"/>
        <v>511</v>
      </c>
      <c r="I430" s="46">
        <f>IFERROR(VLOOKUP(A430,[1]fin_institutions!B:D,2,0),"")</f>
        <v>7</v>
      </c>
      <c r="J430" s="41">
        <f>IFERROR(VLOOKUP(A430,[1]fin_institutions!B:E,4,0),"")</f>
        <v>1.4075556390218891</v>
      </c>
      <c r="K430" s="41">
        <f t="shared" si="32"/>
        <v>331</v>
      </c>
      <c r="L430" s="56">
        <f>IFERROR(VLOOKUP(A430,[1]bus_institutions!B:D,2,0),"")</f>
        <v>9</v>
      </c>
      <c r="M430" s="42">
        <f>IFERROR(VLOOKUP(A430,[1]bus_institutions!B:E,4,0),"")</f>
        <v>1.6152183081813321</v>
      </c>
      <c r="N430" s="23">
        <f t="shared" si="33"/>
        <v>452</v>
      </c>
      <c r="O430" s="61">
        <f>IFERROR(VLOOKUP(A430,[1]man_institutions!B:E,2,0),"")</f>
        <v>13</v>
      </c>
      <c r="P430" s="62">
        <f>IFERROR(VLOOKUP(A430,[1]man_institutions!B:E,4,0),"")</f>
        <v>1.702977908788299</v>
      </c>
      <c r="Q430" s="63">
        <f t="shared" si="34"/>
        <v>492</v>
      </c>
    </row>
    <row r="431" spans="1:17" x14ac:dyDescent="0.25">
      <c r="A431" s="6" t="s">
        <v>999</v>
      </c>
      <c r="B431" s="37" t="s">
        <v>1237</v>
      </c>
      <c r="C431" s="72">
        <f>IFERROR(VLOOKUP(A431,[1]eco_bus_institutions!B:E,2,0),"")</f>
        <v>80</v>
      </c>
      <c r="D431" s="72">
        <f>IFERROR(VLOOKUP(A431,[1]eco_bus_institutions!B:E,4,0),"")</f>
        <v>1.5491930596081309</v>
      </c>
      <c r="E431" s="73">
        <f t="shared" si="30"/>
        <v>456</v>
      </c>
      <c r="F431" s="40">
        <f>IFERROR(VLOOKUP(A431,[1]eco_institutions!B:D,2,0),"")</f>
        <v>20</v>
      </c>
      <c r="G431" s="40">
        <f>IFERROR(VLOOKUP(A431,[1]eco_institutions!B:E,4,0),"")</f>
        <v>1.4104687545311829</v>
      </c>
      <c r="H431" s="14">
        <f t="shared" si="31"/>
        <v>350</v>
      </c>
      <c r="I431" s="46">
        <f>IFERROR(VLOOKUP(A431,[1]fin_institutions!B:D,2,0),"")</f>
        <v>38</v>
      </c>
      <c r="J431" s="41">
        <f>IFERROR(VLOOKUP(A431,[1]fin_institutions!B:E,4,0),"")</f>
        <v>1.3575988091223701</v>
      </c>
      <c r="K431" s="41">
        <f t="shared" si="32"/>
        <v>358</v>
      </c>
      <c r="L431" s="56">
        <f>IFERROR(VLOOKUP(A431,[1]bus_institutions!B:D,2,0),"")</f>
        <v>25</v>
      </c>
      <c r="M431" s="42">
        <f>IFERROR(VLOOKUP(A431,[1]bus_institutions!B:E,4,0),"")</f>
        <v>1.7444217777416491</v>
      </c>
      <c r="N431" s="23">
        <f t="shared" si="33"/>
        <v>409</v>
      </c>
      <c r="O431" s="61">
        <f>IFERROR(VLOOKUP(A431,[1]man_institutions!B:E,2,0),"")</f>
        <v>20</v>
      </c>
      <c r="P431" s="62">
        <f>IFERROR(VLOOKUP(A431,[1]man_institutions!B:E,4,0),"")</f>
        <v>1.7653616515966171</v>
      </c>
      <c r="Q431" s="63">
        <f t="shared" si="34"/>
        <v>472</v>
      </c>
    </row>
    <row r="432" spans="1:17" x14ac:dyDescent="0.25">
      <c r="A432" s="6" t="s">
        <v>1062</v>
      </c>
      <c r="B432" s="37" t="s">
        <v>1230</v>
      </c>
      <c r="C432" s="72">
        <f>IFERROR(VLOOKUP(A432,[1]eco_bus_institutions!B:E,2,0),"")</f>
        <v>93</v>
      </c>
      <c r="D432" s="72">
        <f>IFERROR(VLOOKUP(A432,[1]eco_bus_institutions!B:E,4,0),"")</f>
        <v>1.489281386960797</v>
      </c>
      <c r="E432" s="73">
        <f t="shared" si="30"/>
        <v>479</v>
      </c>
      <c r="F432" s="40">
        <f>IFERROR(VLOOKUP(A432,[1]eco_institutions!B:D,2,0),"")</f>
        <v>35</v>
      </c>
      <c r="G432" s="40">
        <f>IFERROR(VLOOKUP(A432,[1]eco_institutions!B:E,4,0),"")</f>
        <v>1.1336911897526101</v>
      </c>
      <c r="H432" s="14">
        <f t="shared" si="31"/>
        <v>555</v>
      </c>
      <c r="I432" s="46">
        <f>IFERROR(VLOOKUP(A432,[1]fin_institutions!B:D,2,0),"")</f>
        <v>16</v>
      </c>
      <c r="J432" s="41">
        <f>IFERROR(VLOOKUP(A432,[1]fin_institutions!B:E,4,0),"")</f>
        <v>1.2263637807285619</v>
      </c>
      <c r="K432" s="41">
        <f t="shared" si="32"/>
        <v>447</v>
      </c>
      <c r="L432" s="56">
        <f>IFERROR(VLOOKUP(A432,[1]bus_institutions!B:D,2,0),"")</f>
        <v>46</v>
      </c>
      <c r="M432" s="42">
        <f>IFERROR(VLOOKUP(A432,[1]bus_institutions!B:E,4,0),"")</f>
        <v>1.60717915433175</v>
      </c>
      <c r="N432" s="23">
        <f t="shared" si="33"/>
        <v>457</v>
      </c>
      <c r="O432" s="61">
        <f>IFERROR(VLOOKUP(A432,[1]man_institutions!B:E,2,0),"")</f>
        <v>31</v>
      </c>
      <c r="P432" s="62">
        <f>IFERROR(VLOOKUP(A432,[1]man_institutions!B:E,4,0),"")</f>
        <v>3.8107850557912131</v>
      </c>
      <c r="Q432" s="63">
        <f t="shared" si="34"/>
        <v>91</v>
      </c>
    </row>
    <row r="433" spans="1:17" x14ac:dyDescent="0.25">
      <c r="A433" s="6" t="s">
        <v>1029</v>
      </c>
      <c r="B433" s="37" t="s">
        <v>1230</v>
      </c>
      <c r="C433" s="72">
        <f>IFERROR(VLOOKUP(A433,[1]eco_bus_institutions!B:E,2,0),"")</f>
        <v>168</v>
      </c>
      <c r="D433" s="72">
        <f>IFERROR(VLOOKUP(A433,[1]eco_bus_institutions!B:E,4,0),"")</f>
        <v>1.523964905553655</v>
      </c>
      <c r="E433" s="73">
        <f t="shared" si="30"/>
        <v>467</v>
      </c>
      <c r="F433" s="40">
        <f>IFERROR(VLOOKUP(A433,[1]eco_institutions!B:D,2,0),"")</f>
        <v>67</v>
      </c>
      <c r="G433" s="40">
        <f>IFERROR(VLOOKUP(A433,[1]eco_institutions!B:E,4,0),"")</f>
        <v>1.030600741083477</v>
      </c>
      <c r="H433" s="14">
        <f t="shared" si="31"/>
        <v>592</v>
      </c>
      <c r="I433" s="46">
        <f>IFERROR(VLOOKUP(A433,[1]fin_institutions!B:D,2,0),"")</f>
        <v>29</v>
      </c>
      <c r="J433" s="41">
        <f>IFERROR(VLOOKUP(A433,[1]fin_institutions!B:E,4,0),"")</f>
        <v>1.3704536628868369</v>
      </c>
      <c r="K433" s="41">
        <f t="shared" si="32"/>
        <v>348</v>
      </c>
      <c r="L433" s="56">
        <f>IFERROR(VLOOKUP(A433,[1]bus_institutions!B:D,2,0),"")</f>
        <v>67</v>
      </c>
      <c r="M433" s="42">
        <f>IFERROR(VLOOKUP(A433,[1]bus_institutions!B:E,4,0),"")</f>
        <v>1.62231097952213</v>
      </c>
      <c r="N433" s="23">
        <f t="shared" si="33"/>
        <v>448</v>
      </c>
      <c r="O433" s="61">
        <f>IFERROR(VLOOKUP(A433,[1]man_institutions!B:E,2,0),"")</f>
        <v>69</v>
      </c>
      <c r="P433" s="62">
        <f>IFERROR(VLOOKUP(A433,[1]man_institutions!B:E,4,0),"")</f>
        <v>1.8356840531553791</v>
      </c>
      <c r="Q433" s="63">
        <f t="shared" si="34"/>
        <v>450</v>
      </c>
    </row>
    <row r="434" spans="1:17" x14ac:dyDescent="0.25">
      <c r="A434" s="6" t="s">
        <v>1024</v>
      </c>
      <c r="B434" s="37" t="s">
        <v>1237</v>
      </c>
      <c r="C434" s="72">
        <f>IFERROR(VLOOKUP(A434,[1]eco_bus_institutions!B:E,2,0),"")</f>
        <v>125</v>
      </c>
      <c r="D434" s="72">
        <f>IFERROR(VLOOKUP(A434,[1]eco_bus_institutions!B:E,4,0),"")</f>
        <v>1.610542129999752</v>
      </c>
      <c r="E434" s="73">
        <f t="shared" si="30"/>
        <v>421</v>
      </c>
      <c r="F434" s="40">
        <f>IFERROR(VLOOKUP(A434,[1]eco_institutions!B:D,2,0),"")</f>
        <v>55</v>
      </c>
      <c r="G434" s="40">
        <f>IFERROR(VLOOKUP(A434,[1]eco_institutions!B:E,4,0),"")</f>
        <v>1.4625124047571161</v>
      </c>
      <c r="H434" s="14">
        <f t="shared" si="31"/>
        <v>323</v>
      </c>
      <c r="I434" s="46">
        <f>IFERROR(VLOOKUP(A434,[1]fin_institutions!B:D,2,0),"")</f>
        <v>31</v>
      </c>
      <c r="J434" s="41">
        <f>IFERROR(VLOOKUP(A434,[1]fin_institutions!B:E,4,0),"")</f>
        <v>1.5026548713791441</v>
      </c>
      <c r="K434" s="41">
        <f t="shared" si="32"/>
        <v>287</v>
      </c>
      <c r="L434" s="56">
        <f>IFERROR(VLOOKUP(A434,[1]bus_institutions!B:D,2,0),"")</f>
        <v>44</v>
      </c>
      <c r="M434" s="42">
        <f>IFERROR(VLOOKUP(A434,[1]bus_institutions!B:E,4,0),"")</f>
        <v>1.636771917927335</v>
      </c>
      <c r="N434" s="23">
        <f t="shared" si="33"/>
        <v>443</v>
      </c>
      <c r="O434" s="61">
        <f>IFERROR(VLOOKUP(A434,[1]man_institutions!B:E,2,0),"")</f>
        <v>34</v>
      </c>
      <c r="P434" s="62">
        <f>IFERROR(VLOOKUP(A434,[1]man_institutions!B:E,4,0),"")</f>
        <v>1.7998527068969521</v>
      </c>
      <c r="Q434" s="63">
        <f t="shared" si="34"/>
        <v>462</v>
      </c>
    </row>
    <row r="435" spans="1:17" x14ac:dyDescent="0.25">
      <c r="A435" s="6" t="s">
        <v>992</v>
      </c>
      <c r="B435" s="37" t="s">
        <v>1230</v>
      </c>
      <c r="C435" s="72">
        <f>IFERROR(VLOOKUP(A435,[1]eco_bus_institutions!B:E,2,0),"")</f>
        <v>166</v>
      </c>
      <c r="D435" s="72">
        <f>IFERROR(VLOOKUP(A435,[1]eco_bus_institutions!B:E,4,0),"")</f>
        <v>1.5700340114512621</v>
      </c>
      <c r="E435" s="73">
        <f t="shared" si="30"/>
        <v>439</v>
      </c>
      <c r="F435" s="40">
        <f>IFERROR(VLOOKUP(A435,[1]eco_institutions!B:D,2,0),"")</f>
        <v>99</v>
      </c>
      <c r="G435" s="40">
        <f>IFERROR(VLOOKUP(A435,[1]eco_institutions!B:E,4,0),"")</f>
        <v>1.3309553302822801</v>
      </c>
      <c r="H435" s="14">
        <f t="shared" si="31"/>
        <v>406</v>
      </c>
      <c r="I435" s="46">
        <f>IFERROR(VLOOKUP(A435,[1]fin_institutions!B:D,2,0),"")</f>
        <v>69</v>
      </c>
      <c r="J435" s="41">
        <f>IFERROR(VLOOKUP(A435,[1]fin_institutions!B:E,4,0),"")</f>
        <v>1.5370254215101351</v>
      </c>
      <c r="K435" s="41">
        <f t="shared" si="32"/>
        <v>269</v>
      </c>
      <c r="L435" s="56">
        <f>IFERROR(VLOOKUP(A435,[1]bus_institutions!B:D,2,0),"")</f>
        <v>15</v>
      </c>
      <c r="M435" s="42">
        <f>IFERROR(VLOOKUP(A435,[1]bus_institutions!B:E,4,0),"")</f>
        <v>1.65599095003981</v>
      </c>
      <c r="N435" s="23">
        <f t="shared" si="33"/>
        <v>440</v>
      </c>
      <c r="O435" s="61">
        <f>IFERROR(VLOOKUP(A435,[1]man_institutions!B:E,2,0),"")</f>
        <v>15</v>
      </c>
      <c r="P435" s="62">
        <f>IFERROR(VLOOKUP(A435,[1]man_institutions!B:E,4,0),"")</f>
        <v>1.8601591609136421</v>
      </c>
      <c r="Q435" s="63">
        <f t="shared" si="34"/>
        <v>444</v>
      </c>
    </row>
    <row r="436" spans="1:17" x14ac:dyDescent="0.25">
      <c r="A436" s="6" t="s">
        <v>1083</v>
      </c>
      <c r="B436" s="37" t="s">
        <v>1222</v>
      </c>
      <c r="C436" s="72">
        <f>IFERROR(VLOOKUP(A436,[1]eco_bus_institutions!B:E,2,0),"")</f>
        <v>55</v>
      </c>
      <c r="D436" s="72">
        <f>IFERROR(VLOOKUP(A436,[1]eco_bus_institutions!B:E,4,0),"")</f>
        <v>1.447030440370159</v>
      </c>
      <c r="E436" s="73">
        <f t="shared" si="30"/>
        <v>495</v>
      </c>
      <c r="F436" s="40">
        <f>IFERROR(VLOOKUP(A436,[1]eco_institutions!B:D,2,0),"")</f>
        <v>42</v>
      </c>
      <c r="G436" s="40">
        <f>IFERROR(VLOOKUP(A436,[1]eco_institutions!B:E,4,0),"")</f>
        <v>1.278790680319134</v>
      </c>
      <c r="H436" s="14">
        <f t="shared" si="31"/>
        <v>452</v>
      </c>
      <c r="I436" s="46">
        <f>IFERROR(VLOOKUP(A436,[1]fin_institutions!B:D,2,0),"")</f>
        <v>6</v>
      </c>
      <c r="J436" s="41">
        <f>IFERROR(VLOOKUP(A436,[1]fin_institutions!B:E,4,0),"")</f>
        <v>1.3085883246115579</v>
      </c>
      <c r="K436" s="41">
        <f t="shared" si="32"/>
        <v>390</v>
      </c>
      <c r="L436" s="56">
        <f>IFERROR(VLOOKUP(A436,[1]bus_institutions!B:D,2,0),"")</f>
        <v>14</v>
      </c>
      <c r="M436" s="42">
        <f>IFERROR(VLOOKUP(A436,[1]bus_institutions!B:E,4,0),"")</f>
        <v>1.911449022425062</v>
      </c>
      <c r="N436" s="23">
        <f t="shared" si="33"/>
        <v>347</v>
      </c>
      <c r="O436" s="61">
        <f>IFERROR(VLOOKUP(A436,[1]man_institutions!B:E,2,0),"")</f>
        <v>14</v>
      </c>
      <c r="P436" s="62">
        <f>IFERROR(VLOOKUP(A436,[1]man_institutions!B:E,4,0),"")</f>
        <v>1.75447270988988</v>
      </c>
      <c r="Q436" s="63">
        <f t="shared" si="34"/>
        <v>474</v>
      </c>
    </row>
    <row r="437" spans="1:17" x14ac:dyDescent="0.25">
      <c r="A437" s="6" t="s">
        <v>1064</v>
      </c>
      <c r="B437" s="37" t="s">
        <v>1230</v>
      </c>
      <c r="C437" s="72">
        <f>IFERROR(VLOOKUP(A437,[1]eco_bus_institutions!B:E,2,0),"")</f>
        <v>72</v>
      </c>
      <c r="D437" s="72">
        <f>IFERROR(VLOOKUP(A437,[1]eco_bus_institutions!B:E,4,0),"")</f>
        <v>1.4723426365070851</v>
      </c>
      <c r="E437" s="73">
        <f t="shared" si="30"/>
        <v>487</v>
      </c>
      <c r="F437" s="40">
        <f>IFERROR(VLOOKUP(A437,[1]eco_institutions!B:D,2,0),"")</f>
        <v>32</v>
      </c>
      <c r="G437" s="40">
        <f>IFERROR(VLOOKUP(A437,[1]eco_institutions!B:E,4,0),"")</f>
        <v>1.14558538704458</v>
      </c>
      <c r="H437" s="14">
        <f t="shared" si="31"/>
        <v>547</v>
      </c>
      <c r="I437" s="46">
        <f>IFERROR(VLOOKUP(A437,[1]fin_institutions!B:D,2,0),"")</f>
        <v>6</v>
      </c>
      <c r="J437" s="41">
        <f>IFERROR(VLOOKUP(A437,[1]fin_institutions!B:E,4,0),"")</f>
        <v>1.5915721354874059</v>
      </c>
      <c r="K437" s="41">
        <f t="shared" si="32"/>
        <v>249</v>
      </c>
      <c r="L437" s="56">
        <f>IFERROR(VLOOKUP(A437,[1]bus_institutions!B:D,2,0),"")</f>
        <v>28</v>
      </c>
      <c r="M437" s="42">
        <f>IFERROR(VLOOKUP(A437,[1]bus_institutions!B:E,4,0),"")</f>
        <v>1.6186375401538391</v>
      </c>
      <c r="N437" s="23">
        <f t="shared" si="33"/>
        <v>451</v>
      </c>
      <c r="O437" s="61">
        <f>IFERROR(VLOOKUP(A437,[1]man_institutions!B:E,2,0),"")</f>
        <v>28</v>
      </c>
      <c r="P437" s="62">
        <f>IFERROR(VLOOKUP(A437,[1]man_institutions!B:E,4,0),"")</f>
        <v>1.5555255513338919</v>
      </c>
      <c r="Q437" s="63">
        <f t="shared" si="34"/>
        <v>517</v>
      </c>
    </row>
    <row r="438" spans="1:17" x14ac:dyDescent="0.25">
      <c r="A438" s="6" t="s">
        <v>1001</v>
      </c>
      <c r="B438" s="37" t="s">
        <v>1216</v>
      </c>
      <c r="C438" s="72">
        <f>IFERROR(VLOOKUP(A438,[1]eco_bus_institutions!B:E,2,0),"")</f>
        <v>47</v>
      </c>
      <c r="D438" s="72">
        <f>IFERROR(VLOOKUP(A438,[1]eco_bus_institutions!B:E,4,0),"")</f>
        <v>1.5617674022302599</v>
      </c>
      <c r="E438" s="73">
        <f t="shared" si="30"/>
        <v>445</v>
      </c>
      <c r="F438" s="40">
        <f>IFERROR(VLOOKUP(A438,[1]eco_institutions!B:D,2,0),"")</f>
        <v>7</v>
      </c>
      <c r="G438" s="40">
        <f>IFERROR(VLOOKUP(A438,[1]eco_institutions!B:E,4,0),"")</f>
        <v>1.318794204466567</v>
      </c>
      <c r="H438" s="14">
        <f t="shared" si="31"/>
        <v>418</v>
      </c>
      <c r="I438" s="46">
        <f>IFERROR(VLOOKUP(A438,[1]fin_institutions!B:D,2,0),"")</f>
        <v>3</v>
      </c>
      <c r="J438" s="41">
        <f>IFERROR(VLOOKUP(A438,[1]fin_institutions!B:E,4,0),"")</f>
        <v>1.071104102288869</v>
      </c>
      <c r="K438" s="41">
        <f t="shared" si="32"/>
        <v>543</v>
      </c>
      <c r="L438" s="56">
        <f>IFERROR(VLOOKUP(A438,[1]bus_institutions!B:D,2,0),"")</f>
        <v>26</v>
      </c>
      <c r="M438" s="42">
        <f>IFERROR(VLOOKUP(A438,[1]bus_institutions!B:E,4,0),"")</f>
        <v>1.7495781334353111</v>
      </c>
      <c r="N438" s="23">
        <f t="shared" si="33"/>
        <v>402</v>
      </c>
      <c r="O438" s="61">
        <f>IFERROR(VLOOKUP(A438,[1]man_institutions!B:E,2,0),"")</f>
        <v>29</v>
      </c>
      <c r="P438" s="62">
        <f>IFERROR(VLOOKUP(A438,[1]man_institutions!B:E,4,0),"")</f>
        <v>1.810354485576283</v>
      </c>
      <c r="Q438" s="63">
        <f t="shared" si="34"/>
        <v>457</v>
      </c>
    </row>
    <row r="439" spans="1:17" x14ac:dyDescent="0.25">
      <c r="A439" s="6" t="s">
        <v>1067</v>
      </c>
      <c r="B439" s="37" t="s">
        <v>1271</v>
      </c>
      <c r="C439" s="72">
        <f>IFERROR(VLOOKUP(A439,[1]eco_bus_institutions!B:E,2,0),"")</f>
        <v>123</v>
      </c>
      <c r="D439" s="72">
        <f>IFERROR(VLOOKUP(A439,[1]eco_bus_institutions!B:E,4,0),"")</f>
        <v>1.687489408169736</v>
      </c>
      <c r="E439" s="73">
        <f t="shared" si="30"/>
        <v>389</v>
      </c>
      <c r="F439" s="40">
        <f>IFERROR(VLOOKUP(A439,[1]eco_institutions!B:D,2,0),"")</f>
        <v>98</v>
      </c>
      <c r="G439" s="40">
        <f>IFERROR(VLOOKUP(A439,[1]eco_institutions!B:E,4,0),"")</f>
        <v>1.4338101163225569</v>
      </c>
      <c r="H439" s="14">
        <f t="shared" si="31"/>
        <v>336</v>
      </c>
      <c r="I439" s="46">
        <f>IFERROR(VLOOKUP(A439,[1]fin_institutions!B:D,2,0),"")</f>
        <v>12</v>
      </c>
      <c r="J439" s="41">
        <f>IFERROR(VLOOKUP(A439,[1]fin_institutions!B:E,4,0),"")</f>
        <v>1.145234721824149</v>
      </c>
      <c r="K439" s="41">
        <f t="shared" si="32"/>
        <v>506</v>
      </c>
      <c r="L439" s="56">
        <f>IFERROR(VLOOKUP(A439,[1]bus_institutions!B:D,2,0),"")</f>
        <v>19</v>
      </c>
      <c r="M439" s="42">
        <f>IFERROR(VLOOKUP(A439,[1]bus_institutions!B:E,4,0),"")</f>
        <v>2.6544187274204418</v>
      </c>
      <c r="N439" s="23">
        <f t="shared" si="33"/>
        <v>163</v>
      </c>
      <c r="O439" s="61">
        <f>IFERROR(VLOOKUP(A439,[1]man_institutions!B:E,2,0),"")</f>
        <v>15</v>
      </c>
      <c r="P439" s="62">
        <f>IFERROR(VLOOKUP(A439,[1]man_institutions!B:E,4,0),"")</f>
        <v>4.3105945464843192</v>
      </c>
      <c r="Q439" s="63">
        <f t="shared" si="34"/>
        <v>63</v>
      </c>
    </row>
    <row r="440" spans="1:17" x14ac:dyDescent="0.25">
      <c r="A440" s="6" t="s">
        <v>989</v>
      </c>
      <c r="B440" s="37" t="s">
        <v>1217</v>
      </c>
      <c r="C440" s="72">
        <f>IFERROR(VLOOKUP(A440,[1]eco_bus_institutions!B:E,2,0),"")</f>
        <v>40</v>
      </c>
      <c r="D440" s="72">
        <f>IFERROR(VLOOKUP(A440,[1]eco_bus_institutions!B:E,4,0),"")</f>
        <v>1.7556036771045569</v>
      </c>
      <c r="E440" s="73">
        <f t="shared" si="30"/>
        <v>358</v>
      </c>
      <c r="F440" s="40">
        <f>IFERROR(VLOOKUP(A440,[1]eco_institutions!B:D,2,0),"")</f>
        <v>22</v>
      </c>
      <c r="G440" s="40">
        <f>IFERROR(VLOOKUP(A440,[1]eco_institutions!B:E,4,0),"")</f>
        <v>1.566592593844661</v>
      </c>
      <c r="H440" s="14">
        <f t="shared" si="31"/>
        <v>272</v>
      </c>
      <c r="I440" s="46">
        <f>IFERROR(VLOOKUP(A440,[1]fin_institutions!B:D,2,0),"")</f>
        <v>4</v>
      </c>
      <c r="J440" s="41">
        <f>IFERROR(VLOOKUP(A440,[1]fin_institutions!B:E,4,0),"")</f>
        <v>1.231333554609306</v>
      </c>
      <c r="K440" s="41">
        <f t="shared" si="32"/>
        <v>443</v>
      </c>
      <c r="L440" s="56">
        <f>IFERROR(VLOOKUP(A440,[1]bus_institutions!B:D,2,0),"")</f>
        <v>19</v>
      </c>
      <c r="M440" s="42">
        <f>IFERROR(VLOOKUP(A440,[1]bus_institutions!B:E,4,0),"")</f>
        <v>1.99718687592051</v>
      </c>
      <c r="N440" s="23">
        <f t="shared" si="33"/>
        <v>320</v>
      </c>
      <c r="O440" s="61" t="str">
        <f>IFERROR(VLOOKUP(A440,[1]man_institutions!B:E,2,0),"")</f>
        <v/>
      </c>
      <c r="P440" s="62" t="str">
        <f>IFERROR(VLOOKUP(A440,[1]man_institutions!B:E,4,0),"")</f>
        <v/>
      </c>
      <c r="Q440" s="63" t="str">
        <f t="shared" si="34"/>
        <v/>
      </c>
    </row>
    <row r="441" spans="1:17" x14ac:dyDescent="0.25">
      <c r="A441" s="6" t="s">
        <v>1104</v>
      </c>
      <c r="B441" s="37" t="s">
        <v>1222</v>
      </c>
      <c r="C441" s="72">
        <f>IFERROR(VLOOKUP(A441,[1]eco_bus_institutions!B:E,2,0),"")</f>
        <v>53</v>
      </c>
      <c r="D441" s="72">
        <f>IFERROR(VLOOKUP(A441,[1]eco_bus_institutions!B:E,4,0),"")</f>
        <v>1.429770521653043</v>
      </c>
      <c r="E441" s="73">
        <f t="shared" si="30"/>
        <v>509</v>
      </c>
      <c r="F441" s="40">
        <f>IFERROR(VLOOKUP(A441,[1]eco_institutions!B:D,2,0),"")</f>
        <v>25</v>
      </c>
      <c r="G441" s="40">
        <f>IFERROR(VLOOKUP(A441,[1]eco_institutions!B:E,4,0),"")</f>
        <v>1.3319891829033099</v>
      </c>
      <c r="H441" s="14">
        <f t="shared" si="31"/>
        <v>404</v>
      </c>
      <c r="I441" s="46">
        <f>IFERROR(VLOOKUP(A441,[1]fin_institutions!B:D,2,0),"")</f>
        <v>5</v>
      </c>
      <c r="J441" s="41">
        <f>IFERROR(VLOOKUP(A441,[1]fin_institutions!B:E,4,0),"")</f>
        <v>1.1264635424641329</v>
      </c>
      <c r="K441" s="41">
        <f t="shared" si="32"/>
        <v>518</v>
      </c>
      <c r="L441" s="56">
        <f>IFERROR(VLOOKUP(A441,[1]bus_institutions!B:D,2,0),"")</f>
        <v>24</v>
      </c>
      <c r="M441" s="42">
        <f>IFERROR(VLOOKUP(A441,[1]bus_institutions!B:E,4,0),"")</f>
        <v>1.4880347564755829</v>
      </c>
      <c r="N441" s="23">
        <f t="shared" si="33"/>
        <v>483</v>
      </c>
      <c r="O441" s="61">
        <f>IFERROR(VLOOKUP(A441,[1]man_institutions!B:E,2,0),"")</f>
        <v>20</v>
      </c>
      <c r="P441" s="62">
        <f>IFERROR(VLOOKUP(A441,[1]man_institutions!B:E,4,0),"")</f>
        <v>1.708078555729406</v>
      </c>
      <c r="Q441" s="63">
        <f t="shared" si="34"/>
        <v>489</v>
      </c>
    </row>
    <row r="442" spans="1:17" x14ac:dyDescent="0.25">
      <c r="A442" s="6" t="s">
        <v>1038</v>
      </c>
      <c r="B442" s="37" t="s">
        <v>1224</v>
      </c>
      <c r="C442" s="72">
        <f>IFERROR(VLOOKUP(A442,[1]eco_bus_institutions!B:E,2,0),"")</f>
        <v>62</v>
      </c>
      <c r="D442" s="72">
        <f>IFERROR(VLOOKUP(A442,[1]eco_bus_institutions!B:E,4,0),"")</f>
        <v>1.5721661035172529</v>
      </c>
      <c r="E442" s="73">
        <f t="shared" si="30"/>
        <v>437</v>
      </c>
      <c r="F442" s="40">
        <f>IFERROR(VLOOKUP(A442,[1]eco_institutions!B:D,2,0),"")</f>
        <v>23</v>
      </c>
      <c r="G442" s="40">
        <f>IFERROR(VLOOKUP(A442,[1]eco_institutions!B:E,4,0),"")</f>
        <v>1.1823438081581681</v>
      </c>
      <c r="H442" s="14">
        <f t="shared" si="31"/>
        <v>529</v>
      </c>
      <c r="I442" s="46">
        <f>IFERROR(VLOOKUP(A442,[1]fin_institutions!B:D,2,0),"")</f>
        <v>16</v>
      </c>
      <c r="J442" s="41">
        <f>IFERROR(VLOOKUP(A442,[1]fin_institutions!B:E,4,0),"")</f>
        <v>1.2015260934441621</v>
      </c>
      <c r="K442" s="41">
        <f t="shared" si="32"/>
        <v>465</v>
      </c>
      <c r="L442" s="56">
        <f>IFERROR(VLOOKUP(A442,[1]bus_institutions!B:D,2,0),"")</f>
        <v>28</v>
      </c>
      <c r="M442" s="42">
        <f>IFERROR(VLOOKUP(A442,[1]bus_institutions!B:E,4,0),"")</f>
        <v>1.647062189538121</v>
      </c>
      <c r="N442" s="23">
        <f t="shared" si="33"/>
        <v>441</v>
      </c>
      <c r="O442" s="61">
        <f>IFERROR(VLOOKUP(A442,[1]man_institutions!B:E,2,0),"")</f>
        <v>25</v>
      </c>
      <c r="P442" s="62">
        <f>IFERROR(VLOOKUP(A442,[1]man_institutions!B:E,4,0),"")</f>
        <v>2.1569155514722089</v>
      </c>
      <c r="Q442" s="63">
        <f t="shared" si="34"/>
        <v>366</v>
      </c>
    </row>
    <row r="443" spans="1:17" x14ac:dyDescent="0.25">
      <c r="A443" s="6" t="s">
        <v>1127</v>
      </c>
      <c r="B443" s="37" t="s">
        <v>1233</v>
      </c>
      <c r="C443" s="72">
        <f>IFERROR(VLOOKUP(A443,[1]eco_bus_institutions!B:E,2,0),"")</f>
        <v>82</v>
      </c>
      <c r="D443" s="72">
        <f>IFERROR(VLOOKUP(A443,[1]eco_bus_institutions!B:E,4,0),"")</f>
        <v>1.707311563760916</v>
      </c>
      <c r="E443" s="73">
        <f t="shared" si="30"/>
        <v>379</v>
      </c>
      <c r="F443" s="40">
        <f>IFERROR(VLOOKUP(A443,[1]eco_institutions!B:D,2,0),"")</f>
        <v>73</v>
      </c>
      <c r="G443" s="40">
        <f>IFERROR(VLOOKUP(A443,[1]eco_institutions!B:E,4,0),"")</f>
        <v>1.6242528499826321</v>
      </c>
      <c r="H443" s="14">
        <f t="shared" si="31"/>
        <v>254</v>
      </c>
      <c r="I443" s="46">
        <f>IFERROR(VLOOKUP(A443,[1]fin_institutions!B:D,2,0),"")</f>
        <v>11</v>
      </c>
      <c r="J443" s="41">
        <f>IFERROR(VLOOKUP(A443,[1]fin_institutions!B:E,4,0),"")</f>
        <v>1.3097240583409111</v>
      </c>
      <c r="K443" s="41">
        <f t="shared" si="32"/>
        <v>387</v>
      </c>
      <c r="L443" s="56">
        <f>IFERROR(VLOOKUP(A443,[1]bus_institutions!B:D,2,0),"")</f>
        <v>3</v>
      </c>
      <c r="M443" s="42">
        <f>IFERROR(VLOOKUP(A443,[1]bus_institutions!B:E,4,0),"")</f>
        <v>2.1151225730516519</v>
      </c>
      <c r="N443" s="23">
        <f t="shared" si="33"/>
        <v>291</v>
      </c>
      <c r="O443" s="61">
        <f>IFERROR(VLOOKUP(A443,[1]man_institutions!B:E,2,0),"")</f>
        <v>7</v>
      </c>
      <c r="P443" s="62">
        <f>IFERROR(VLOOKUP(A443,[1]man_institutions!B:E,4,0),"")</f>
        <v>2.1958429507136761</v>
      </c>
      <c r="Q443" s="63">
        <f t="shared" si="34"/>
        <v>353</v>
      </c>
    </row>
    <row r="444" spans="1:17" x14ac:dyDescent="0.25">
      <c r="A444" s="6" t="s">
        <v>1055</v>
      </c>
      <c r="B444" s="37" t="s">
        <v>1230</v>
      </c>
      <c r="C444" s="72">
        <f>IFERROR(VLOOKUP(A444,[1]eco_bus_institutions!B:E,2,0),"")</f>
        <v>84</v>
      </c>
      <c r="D444" s="72">
        <f>IFERROR(VLOOKUP(A444,[1]eco_bus_institutions!B:E,4,0),"")</f>
        <v>1.566882533358865</v>
      </c>
      <c r="E444" s="73">
        <f t="shared" si="30"/>
        <v>442</v>
      </c>
      <c r="F444" s="40">
        <f>IFERROR(VLOOKUP(A444,[1]eco_institutions!B:D,2,0),"")</f>
        <v>50</v>
      </c>
      <c r="G444" s="40">
        <f>IFERROR(VLOOKUP(A444,[1]eco_institutions!B:E,4,0),"")</f>
        <v>1.5085541810752801</v>
      </c>
      <c r="H444" s="14">
        <f t="shared" si="31"/>
        <v>300</v>
      </c>
      <c r="I444" s="46">
        <f>IFERROR(VLOOKUP(A444,[1]fin_institutions!B:D,2,0),"")</f>
        <v>19</v>
      </c>
      <c r="J444" s="41">
        <f>IFERROR(VLOOKUP(A444,[1]fin_institutions!B:E,4,0),"")</f>
        <v>1.285117129755263</v>
      </c>
      <c r="K444" s="41">
        <f t="shared" si="32"/>
        <v>403</v>
      </c>
      <c r="L444" s="56">
        <f>IFERROR(VLOOKUP(A444,[1]bus_institutions!B:D,2,0),"")</f>
        <v>13</v>
      </c>
      <c r="M444" s="42">
        <f>IFERROR(VLOOKUP(A444,[1]bus_institutions!B:E,4,0),"")</f>
        <v>1.7132320293824761</v>
      </c>
      <c r="N444" s="23">
        <f t="shared" si="33"/>
        <v>418</v>
      </c>
      <c r="O444" s="61">
        <f>IFERROR(VLOOKUP(A444,[1]man_institutions!B:E,2,0),"")</f>
        <v>20</v>
      </c>
      <c r="P444" s="62">
        <f>IFERROR(VLOOKUP(A444,[1]man_institutions!B:E,4,0),"")</f>
        <v>1.838734181581231</v>
      </c>
      <c r="Q444" s="63">
        <f t="shared" si="34"/>
        <v>448</v>
      </c>
    </row>
    <row r="445" spans="1:17" x14ac:dyDescent="0.25">
      <c r="A445" s="6" t="s">
        <v>1026</v>
      </c>
      <c r="B445" s="37" t="s">
        <v>1217</v>
      </c>
      <c r="C445" s="72">
        <f>IFERROR(VLOOKUP(A445,[1]eco_bus_institutions!B:E,2,0),"")</f>
        <v>40</v>
      </c>
      <c r="D445" s="72">
        <f>IFERROR(VLOOKUP(A445,[1]eco_bus_institutions!B:E,4,0),"")</f>
        <v>1.6721226231175279</v>
      </c>
      <c r="E445" s="73">
        <f t="shared" si="30"/>
        <v>395</v>
      </c>
      <c r="F445" s="40">
        <f>IFERROR(VLOOKUP(A445,[1]eco_institutions!B:D,2,0),"")</f>
        <v>6</v>
      </c>
      <c r="G445" s="40">
        <f>IFERROR(VLOOKUP(A445,[1]eco_institutions!B:E,4,0),"")</f>
        <v>1.833183183463637</v>
      </c>
      <c r="H445" s="14">
        <f t="shared" si="31"/>
        <v>184</v>
      </c>
      <c r="I445" s="46">
        <f>IFERROR(VLOOKUP(A445,[1]fin_institutions!B:D,2,0),"")</f>
        <v>10</v>
      </c>
      <c r="J445" s="41">
        <f>IFERROR(VLOOKUP(A445,[1]fin_institutions!B:E,4,0),"")</f>
        <v>1.6683004476655721</v>
      </c>
      <c r="K445" s="41">
        <f t="shared" si="32"/>
        <v>226</v>
      </c>
      <c r="L445" s="56">
        <f>IFERROR(VLOOKUP(A445,[1]bus_institutions!B:D,2,0),"")</f>
        <v>16</v>
      </c>
      <c r="M445" s="42">
        <f>IFERROR(VLOOKUP(A445,[1]bus_institutions!B:E,4,0),"")</f>
        <v>1.5955505954812521</v>
      </c>
      <c r="N445" s="23">
        <f t="shared" si="33"/>
        <v>460</v>
      </c>
      <c r="O445" s="61">
        <f>IFERROR(VLOOKUP(A445,[1]man_institutions!B:E,2,0),"")</f>
        <v>22</v>
      </c>
      <c r="P445" s="62">
        <f>IFERROR(VLOOKUP(A445,[1]man_institutions!B:E,4,0),"")</f>
        <v>2.1161373429632562</v>
      </c>
      <c r="Q445" s="63">
        <f t="shared" si="34"/>
        <v>372</v>
      </c>
    </row>
    <row r="446" spans="1:17" x14ac:dyDescent="0.25">
      <c r="A446" s="6" t="s">
        <v>1030</v>
      </c>
      <c r="B446" s="37" t="s">
        <v>1230</v>
      </c>
      <c r="C446" s="72">
        <f>IFERROR(VLOOKUP(A446,[1]eco_bus_institutions!B:E,2,0),"")</f>
        <v>47</v>
      </c>
      <c r="D446" s="72">
        <f>IFERROR(VLOOKUP(A446,[1]eco_bus_institutions!B:E,4,0),"")</f>
        <v>1.509770779533387</v>
      </c>
      <c r="E446" s="73">
        <f t="shared" si="30"/>
        <v>472</v>
      </c>
      <c r="F446" s="40">
        <f>IFERROR(VLOOKUP(A446,[1]eco_institutions!B:D,2,0),"")</f>
        <v>18</v>
      </c>
      <c r="G446" s="40">
        <f>IFERROR(VLOOKUP(A446,[1]eco_institutions!B:E,4,0),"")</f>
        <v>1.1631609847910349</v>
      </c>
      <c r="H446" s="14">
        <f t="shared" si="31"/>
        <v>537</v>
      </c>
      <c r="I446" s="46">
        <f>IFERROR(VLOOKUP(A446,[1]fin_institutions!B:D,2,0),"")</f>
        <v>11</v>
      </c>
      <c r="J446" s="41">
        <f>IFERROR(VLOOKUP(A446,[1]fin_institutions!B:E,4,0),"")</f>
        <v>1.1491777073744129</v>
      </c>
      <c r="K446" s="41">
        <f t="shared" si="32"/>
        <v>503</v>
      </c>
      <c r="L446" s="56">
        <f>IFERROR(VLOOKUP(A446,[1]bus_institutions!B:D,2,0),"")</f>
        <v>14</v>
      </c>
      <c r="M446" s="42">
        <f>IFERROR(VLOOKUP(A446,[1]bus_institutions!B:E,4,0),"")</f>
        <v>1.7713001263717341</v>
      </c>
      <c r="N446" s="23">
        <f t="shared" si="33"/>
        <v>393</v>
      </c>
      <c r="O446" s="61">
        <f>IFERROR(VLOOKUP(A446,[1]man_institutions!B:E,2,0),"")</f>
        <v>14</v>
      </c>
      <c r="P446" s="62">
        <f>IFERROR(VLOOKUP(A446,[1]man_institutions!B:E,4,0),"")</f>
        <v>2.2008468782935409</v>
      </c>
      <c r="Q446" s="63">
        <f t="shared" si="34"/>
        <v>352</v>
      </c>
    </row>
    <row r="447" spans="1:17" x14ac:dyDescent="0.25">
      <c r="A447" s="6" t="s">
        <v>1063</v>
      </c>
      <c r="B447" s="37" t="s">
        <v>1230</v>
      </c>
      <c r="C447" s="72">
        <f>IFERROR(VLOOKUP(A447,[1]eco_bus_institutions!B:E,2,0),"")</f>
        <v>75</v>
      </c>
      <c r="D447" s="72">
        <f>IFERROR(VLOOKUP(A447,[1]eco_bus_institutions!B:E,4,0),"")</f>
        <v>1.4608035276600171</v>
      </c>
      <c r="E447" s="73">
        <f t="shared" si="30"/>
        <v>491</v>
      </c>
      <c r="F447" s="40">
        <f>IFERROR(VLOOKUP(A447,[1]eco_institutions!B:D,2,0),"")</f>
        <v>30</v>
      </c>
      <c r="G447" s="40">
        <f>IFERROR(VLOOKUP(A447,[1]eco_institutions!B:E,4,0),"")</f>
        <v>1.2621550372856489</v>
      </c>
      <c r="H447" s="14">
        <f t="shared" si="31"/>
        <v>466</v>
      </c>
      <c r="I447" s="46">
        <f>IFERROR(VLOOKUP(A447,[1]fin_institutions!B:D,2,0),"")</f>
        <v>19</v>
      </c>
      <c r="J447" s="41">
        <f>IFERROR(VLOOKUP(A447,[1]fin_institutions!B:E,4,0),"")</f>
        <v>1.3080516898401491</v>
      </c>
      <c r="K447" s="41">
        <f t="shared" si="32"/>
        <v>391</v>
      </c>
      <c r="L447" s="56">
        <f>IFERROR(VLOOKUP(A447,[1]bus_institutions!B:D,2,0),"")</f>
        <v>21</v>
      </c>
      <c r="M447" s="42">
        <f>IFERROR(VLOOKUP(A447,[1]bus_institutions!B:E,4,0),"")</f>
        <v>1.766386230257514</v>
      </c>
      <c r="N447" s="23">
        <f t="shared" si="33"/>
        <v>395</v>
      </c>
      <c r="O447" s="61">
        <f>IFERROR(VLOOKUP(A447,[1]man_institutions!B:E,2,0),"")</f>
        <v>25</v>
      </c>
      <c r="P447" s="62">
        <f>IFERROR(VLOOKUP(A447,[1]man_institutions!B:E,4,0),"")</f>
        <v>1.7460331737636119</v>
      </c>
      <c r="Q447" s="63">
        <f t="shared" si="34"/>
        <v>478</v>
      </c>
    </row>
    <row r="448" spans="1:17" x14ac:dyDescent="0.25">
      <c r="A448" s="6" t="s">
        <v>1115</v>
      </c>
      <c r="B448" s="37" t="s">
        <v>1222</v>
      </c>
      <c r="C448" s="72">
        <f>IFERROR(VLOOKUP(A448,[1]eco_bus_institutions!B:E,2,0),"")</f>
        <v>42</v>
      </c>
      <c r="D448" s="72">
        <f>IFERROR(VLOOKUP(A448,[1]eco_bus_institutions!B:E,4,0),"")</f>
        <v>1.6372557693238301</v>
      </c>
      <c r="E448" s="73">
        <f t="shared" si="30"/>
        <v>408</v>
      </c>
      <c r="F448" s="40">
        <f>IFERROR(VLOOKUP(A448,[1]eco_institutions!B:D,2,0),"")</f>
        <v>31</v>
      </c>
      <c r="G448" s="40">
        <f>IFERROR(VLOOKUP(A448,[1]eco_institutions!B:E,4,0),"")</f>
        <v>1.629614832397507</v>
      </c>
      <c r="H448" s="14">
        <f t="shared" si="31"/>
        <v>250</v>
      </c>
      <c r="I448" s="46" t="str">
        <f>IFERROR(VLOOKUP(A448,[1]fin_institutions!B:D,2,0),"")</f>
        <v/>
      </c>
      <c r="J448" s="41" t="str">
        <f>IFERROR(VLOOKUP(A448,[1]fin_institutions!B:E,4,0),"")</f>
        <v/>
      </c>
      <c r="K448" s="41" t="str">
        <f t="shared" si="32"/>
        <v/>
      </c>
      <c r="L448" s="56">
        <f>IFERROR(VLOOKUP(A448,[1]bus_institutions!B:D,2,0),"")</f>
        <v>9</v>
      </c>
      <c r="M448" s="42">
        <f>IFERROR(VLOOKUP(A448,[1]bus_institutions!B:E,4,0),"")</f>
        <v>1.844224790864424</v>
      </c>
      <c r="N448" s="23">
        <f t="shared" si="33"/>
        <v>371</v>
      </c>
      <c r="O448" s="61">
        <f>IFERROR(VLOOKUP(A448,[1]man_institutions!B:E,2,0),"")</f>
        <v>10</v>
      </c>
      <c r="P448" s="62">
        <f>IFERROR(VLOOKUP(A448,[1]man_institutions!B:E,4,0),"")</f>
        <v>1.876071489196822</v>
      </c>
      <c r="Q448" s="63">
        <f t="shared" si="34"/>
        <v>437</v>
      </c>
    </row>
    <row r="449" spans="1:17" x14ac:dyDescent="0.25">
      <c r="A449" s="6" t="s">
        <v>1031</v>
      </c>
      <c r="B449" s="37" t="s">
        <v>1228</v>
      </c>
      <c r="C449" s="72">
        <f>IFERROR(VLOOKUP(A449,[1]eco_bus_institutions!B:E,2,0),"")</f>
        <v>50</v>
      </c>
      <c r="D449" s="72">
        <f>IFERROR(VLOOKUP(A449,[1]eco_bus_institutions!B:E,4,0),"")</f>
        <v>1.557608326805102</v>
      </c>
      <c r="E449" s="73">
        <f t="shared" si="30"/>
        <v>448</v>
      </c>
      <c r="F449" s="40">
        <f>IFERROR(VLOOKUP(A449,[1]eco_institutions!B:D,2,0),"")</f>
        <v>16</v>
      </c>
      <c r="G449" s="40">
        <f>IFERROR(VLOOKUP(A449,[1]eco_institutions!B:E,4,0),"")</f>
        <v>1.292628184500707</v>
      </c>
      <c r="H449" s="14">
        <f t="shared" si="31"/>
        <v>440</v>
      </c>
      <c r="I449" s="46">
        <f>IFERROR(VLOOKUP(A449,[1]fin_institutions!B:D,2,0),"")</f>
        <v>8</v>
      </c>
      <c r="J449" s="41">
        <f>IFERROR(VLOOKUP(A449,[1]fin_institutions!B:E,4,0),"")</f>
        <v>1.285573073235212</v>
      </c>
      <c r="K449" s="41">
        <f t="shared" si="32"/>
        <v>402</v>
      </c>
      <c r="L449" s="56">
        <f>IFERROR(VLOOKUP(A449,[1]bus_institutions!B:D,2,0),"")</f>
        <v>17</v>
      </c>
      <c r="M449" s="42">
        <f>IFERROR(VLOOKUP(A449,[1]bus_institutions!B:E,4,0),"")</f>
        <v>1.7749488445229631</v>
      </c>
      <c r="N449" s="23">
        <f t="shared" si="33"/>
        <v>391</v>
      </c>
      <c r="O449" s="61">
        <f>IFERROR(VLOOKUP(A449,[1]man_institutions!B:E,2,0),"")</f>
        <v>30</v>
      </c>
      <c r="P449" s="62">
        <f>IFERROR(VLOOKUP(A449,[1]man_institutions!B:E,4,0),"")</f>
        <v>1.9218800267339571</v>
      </c>
      <c r="Q449" s="63">
        <f t="shared" si="34"/>
        <v>423</v>
      </c>
    </row>
    <row r="450" spans="1:17" x14ac:dyDescent="0.25">
      <c r="A450" s="6" t="s">
        <v>1100</v>
      </c>
      <c r="B450" s="37" t="s">
        <v>1229</v>
      </c>
      <c r="C450" s="72">
        <f>IFERROR(VLOOKUP(A450,[1]eco_bus_institutions!B:E,2,0),"")</f>
        <v>96</v>
      </c>
      <c r="D450" s="72">
        <f>IFERROR(VLOOKUP(A450,[1]eco_bus_institutions!B:E,4,0),"")</f>
        <v>1.8052381529496579</v>
      </c>
      <c r="E450" s="73">
        <f t="shared" si="30"/>
        <v>341</v>
      </c>
      <c r="F450" s="40">
        <f>IFERROR(VLOOKUP(A450,[1]eco_institutions!B:D,2,0),"")</f>
        <v>60</v>
      </c>
      <c r="G450" s="40">
        <f>IFERROR(VLOOKUP(A450,[1]eco_institutions!B:E,4,0),"")</f>
        <v>1.883246681197231</v>
      </c>
      <c r="H450" s="14">
        <f t="shared" si="31"/>
        <v>174</v>
      </c>
      <c r="I450" s="46">
        <f>IFERROR(VLOOKUP(A450,[1]fin_institutions!B:D,2,0),"")</f>
        <v>9</v>
      </c>
      <c r="J450" s="41">
        <f>IFERROR(VLOOKUP(A450,[1]fin_institutions!B:E,4,0),"")</f>
        <v>1.488257421836682</v>
      </c>
      <c r="K450" s="41">
        <f t="shared" si="32"/>
        <v>295</v>
      </c>
      <c r="L450" s="56">
        <f>IFERROR(VLOOKUP(A450,[1]bus_institutions!B:D,2,0),"")</f>
        <v>18</v>
      </c>
      <c r="M450" s="42">
        <f>IFERROR(VLOOKUP(A450,[1]bus_institutions!B:E,4,0),"")</f>
        <v>1.5180891064466471</v>
      </c>
      <c r="N450" s="23">
        <f t="shared" si="33"/>
        <v>479</v>
      </c>
      <c r="O450" s="61">
        <f>IFERROR(VLOOKUP(A450,[1]man_institutions!B:E,2,0),"")</f>
        <v>32</v>
      </c>
      <c r="P450" s="62">
        <f>IFERROR(VLOOKUP(A450,[1]man_institutions!B:E,4,0),"")</f>
        <v>1.7808762061026411</v>
      </c>
      <c r="Q450" s="63">
        <f t="shared" si="34"/>
        <v>468</v>
      </c>
    </row>
    <row r="451" spans="1:17" x14ac:dyDescent="0.25">
      <c r="A451" s="6" t="s">
        <v>979</v>
      </c>
      <c r="B451" s="37" t="s">
        <v>1250</v>
      </c>
      <c r="C451" s="72">
        <f>IFERROR(VLOOKUP(A451,[1]eco_bus_institutions!B:E,2,0),"")</f>
        <v>51</v>
      </c>
      <c r="D451" s="72">
        <f>IFERROR(VLOOKUP(A451,[1]eco_bus_institutions!B:E,4,0),"")</f>
        <v>1.831307246692897</v>
      </c>
      <c r="E451" s="73">
        <f t="shared" ref="E451:E514" si="35">_xlfn.RANK.EQ(D451,D:D)</f>
        <v>328</v>
      </c>
      <c r="F451" s="40">
        <f>IFERROR(VLOOKUP(A451,[1]eco_institutions!B:D,2,0),"")</f>
        <v>29</v>
      </c>
      <c r="G451" s="40">
        <f>IFERROR(VLOOKUP(A451,[1]eco_institutions!B:E,4,0),"")</f>
        <v>1.760270833202608</v>
      </c>
      <c r="H451" s="14">
        <f t="shared" ref="H451:H514" si="36">IFERROR(_xlfn.RANK.EQ(G451,G:G),"")</f>
        <v>201</v>
      </c>
      <c r="I451" s="46">
        <f>IFERROR(VLOOKUP(A451,[1]fin_institutions!B:D,2,0),"")</f>
        <v>10</v>
      </c>
      <c r="J451" s="41">
        <f>IFERROR(VLOOKUP(A451,[1]fin_institutions!B:E,4,0),"")</f>
        <v>1.262216704619328</v>
      </c>
      <c r="K451" s="41">
        <f t="shared" ref="K451:K514" si="37">IFERROR(_xlfn.RANK.EQ(J451,J:J),"")</f>
        <v>417</v>
      </c>
      <c r="L451" s="56">
        <f>IFERROR(VLOOKUP(A451,[1]bus_institutions!B:D,2,0),"")</f>
        <v>8</v>
      </c>
      <c r="M451" s="42">
        <f>IFERROR(VLOOKUP(A451,[1]bus_institutions!B:E,4,0),"")</f>
        <v>1.7218004986658191</v>
      </c>
      <c r="N451" s="23">
        <f t="shared" ref="N451:N514" si="38">IFERROR(_xlfn.RANK.EQ(M451,M:M),"")</f>
        <v>417</v>
      </c>
      <c r="O451" s="61">
        <f>IFERROR(VLOOKUP(A451,[1]man_institutions!B:E,2,0),"")</f>
        <v>9</v>
      </c>
      <c r="P451" s="62">
        <f>IFERROR(VLOOKUP(A451,[1]man_institutions!B:E,4,0),"")</f>
        <v>3.1839848731326388</v>
      </c>
      <c r="Q451" s="63">
        <f t="shared" ref="Q451:Q514" si="39">IFERROR(_xlfn.RANK.EQ(P451,P:P),"")</f>
        <v>170</v>
      </c>
    </row>
    <row r="452" spans="1:17" x14ac:dyDescent="0.25">
      <c r="A452" s="6" t="s">
        <v>1087</v>
      </c>
      <c r="B452" s="37" t="s">
        <v>1220</v>
      </c>
      <c r="C452" s="72">
        <f>IFERROR(VLOOKUP(A452,[1]eco_bus_institutions!B:E,2,0),"")</f>
        <v>50</v>
      </c>
      <c r="D452" s="72">
        <f>IFERROR(VLOOKUP(A452,[1]eco_bus_institutions!B:E,4,0),"")</f>
        <v>1.411291814613715</v>
      </c>
      <c r="E452" s="73">
        <f t="shared" si="35"/>
        <v>521</v>
      </c>
      <c r="F452" s="40">
        <f>IFERROR(VLOOKUP(A452,[1]eco_institutions!B:D,2,0),"")</f>
        <v>20</v>
      </c>
      <c r="G452" s="40">
        <f>IFERROR(VLOOKUP(A452,[1]eco_institutions!B:E,4,0),"")</f>
        <v>1.0790299143060851</v>
      </c>
      <c r="H452" s="14">
        <f t="shared" si="36"/>
        <v>581</v>
      </c>
      <c r="I452" s="46" t="str">
        <f>IFERROR(VLOOKUP(A452,[1]fin_institutions!B:D,2,0),"")</f>
        <v/>
      </c>
      <c r="J452" s="41" t="str">
        <f>IFERROR(VLOOKUP(A452,[1]fin_institutions!B:E,4,0),"")</f>
        <v/>
      </c>
      <c r="K452" s="41" t="str">
        <f t="shared" si="37"/>
        <v/>
      </c>
      <c r="L452" s="56">
        <f>IFERROR(VLOOKUP(A452,[1]bus_institutions!B:D,2,0),"")</f>
        <v>21</v>
      </c>
      <c r="M452" s="42">
        <f>IFERROR(VLOOKUP(A452,[1]bus_institutions!B:E,4,0),"")</f>
        <v>1.668321092032041</v>
      </c>
      <c r="N452" s="23">
        <f t="shared" si="38"/>
        <v>434</v>
      </c>
      <c r="O452" s="61">
        <f>IFERROR(VLOOKUP(A452,[1]man_institutions!B:E,2,0),"")</f>
        <v>26</v>
      </c>
      <c r="P452" s="62">
        <f>IFERROR(VLOOKUP(A452,[1]man_institutions!B:E,4,0),"")</f>
        <v>1.883500839697966</v>
      </c>
      <c r="Q452" s="63">
        <f t="shared" si="39"/>
        <v>435</v>
      </c>
    </row>
    <row r="453" spans="1:17" x14ac:dyDescent="0.25">
      <c r="A453" s="6" t="s">
        <v>987</v>
      </c>
      <c r="B453" s="37" t="s">
        <v>1216</v>
      </c>
      <c r="C453" s="72">
        <f>IFERROR(VLOOKUP(A453,[1]eco_bus_institutions!B:E,2,0),"")</f>
        <v>125</v>
      </c>
      <c r="D453" s="72">
        <f>IFERROR(VLOOKUP(A453,[1]eco_bus_institutions!B:E,4,0),"")</f>
        <v>1.66653958135687</v>
      </c>
      <c r="E453" s="73">
        <f t="shared" si="35"/>
        <v>398</v>
      </c>
      <c r="F453" s="40">
        <f>IFERROR(VLOOKUP(A453,[1]eco_institutions!B:D,2,0),"")</f>
        <v>63</v>
      </c>
      <c r="G453" s="40">
        <f>IFERROR(VLOOKUP(A453,[1]eco_institutions!B:E,4,0),"")</f>
        <v>1.5120226387997691</v>
      </c>
      <c r="H453" s="14">
        <f t="shared" si="36"/>
        <v>298</v>
      </c>
      <c r="I453" s="46">
        <f>IFERROR(VLOOKUP(A453,[1]fin_institutions!B:D,2,0),"")</f>
        <v>25</v>
      </c>
      <c r="J453" s="41">
        <f>IFERROR(VLOOKUP(A453,[1]fin_institutions!B:E,4,0),"")</f>
        <v>1.2603420565857351</v>
      </c>
      <c r="K453" s="41">
        <f t="shared" si="37"/>
        <v>418</v>
      </c>
      <c r="L453" s="56">
        <f>IFERROR(VLOOKUP(A453,[1]bus_institutions!B:D,2,0),"")</f>
        <v>23</v>
      </c>
      <c r="M453" s="42">
        <f>IFERROR(VLOOKUP(A453,[1]bus_institutions!B:E,4,0),"")</f>
        <v>2.1645048380979821</v>
      </c>
      <c r="N453" s="23">
        <f t="shared" si="38"/>
        <v>280</v>
      </c>
      <c r="O453" s="61">
        <f>IFERROR(VLOOKUP(A453,[1]man_institutions!B:E,2,0),"")</f>
        <v>28</v>
      </c>
      <c r="P453" s="62">
        <f>IFERROR(VLOOKUP(A453,[1]man_institutions!B:E,4,0),"")</f>
        <v>2.2667429708505948</v>
      </c>
      <c r="Q453" s="63">
        <f t="shared" si="39"/>
        <v>327</v>
      </c>
    </row>
    <row r="454" spans="1:17" x14ac:dyDescent="0.25">
      <c r="A454" s="6" t="s">
        <v>1054</v>
      </c>
      <c r="B454" s="37" t="s">
        <v>1216</v>
      </c>
      <c r="C454" s="72">
        <f>IFERROR(VLOOKUP(A454,[1]eco_bus_institutions!B:E,2,0),"")</f>
        <v>70</v>
      </c>
      <c r="D454" s="72">
        <f>IFERROR(VLOOKUP(A454,[1]eco_bus_institutions!B:E,4,0),"")</f>
        <v>1.6765404474251431</v>
      </c>
      <c r="E454" s="73">
        <f t="shared" si="35"/>
        <v>393</v>
      </c>
      <c r="F454" s="40">
        <f>IFERROR(VLOOKUP(A454,[1]eco_institutions!B:D,2,0),"")</f>
        <v>30</v>
      </c>
      <c r="G454" s="40">
        <f>IFERROR(VLOOKUP(A454,[1]eco_institutions!B:E,4,0),"")</f>
        <v>1.6471644102362619</v>
      </c>
      <c r="H454" s="14">
        <f t="shared" si="36"/>
        <v>245</v>
      </c>
      <c r="I454" s="46">
        <f>IFERROR(VLOOKUP(A454,[1]fin_institutions!B:D,2,0),"")</f>
        <v>17</v>
      </c>
      <c r="J454" s="41">
        <f>IFERROR(VLOOKUP(A454,[1]fin_institutions!B:E,4,0),"")</f>
        <v>1.205905223429723</v>
      </c>
      <c r="K454" s="41">
        <f t="shared" si="37"/>
        <v>460</v>
      </c>
      <c r="L454" s="56">
        <f>IFERROR(VLOOKUP(A454,[1]bus_institutions!B:D,2,0),"")</f>
        <v>14</v>
      </c>
      <c r="M454" s="42">
        <f>IFERROR(VLOOKUP(A454,[1]bus_institutions!B:E,4,0),"")</f>
        <v>1.6308691064712759</v>
      </c>
      <c r="N454" s="23">
        <f t="shared" si="38"/>
        <v>444</v>
      </c>
      <c r="O454" s="61">
        <f>IFERROR(VLOOKUP(A454,[1]man_institutions!B:E,2,0),"")</f>
        <v>19</v>
      </c>
      <c r="P454" s="62">
        <f>IFERROR(VLOOKUP(A454,[1]man_institutions!B:E,4,0),"")</f>
        <v>3.376749238154408</v>
      </c>
      <c r="Q454" s="63">
        <f t="shared" si="39"/>
        <v>144</v>
      </c>
    </row>
    <row r="455" spans="1:17" x14ac:dyDescent="0.25">
      <c r="A455" s="6" t="s">
        <v>1050</v>
      </c>
      <c r="B455" s="37" t="s">
        <v>1254</v>
      </c>
      <c r="C455" s="72">
        <f>IFERROR(VLOOKUP(A455,[1]eco_bus_institutions!B:E,2,0),"")</f>
        <v>57</v>
      </c>
      <c r="D455" s="72">
        <f>IFERROR(VLOOKUP(A455,[1]eco_bus_institutions!B:E,4,0),"")</f>
        <v>1.498136198005523</v>
      </c>
      <c r="E455" s="73">
        <f t="shared" si="35"/>
        <v>473</v>
      </c>
      <c r="F455" s="40">
        <f>IFERROR(VLOOKUP(A455,[1]eco_institutions!B:D,2,0),"")</f>
        <v>19</v>
      </c>
      <c r="G455" s="40">
        <f>IFERROR(VLOOKUP(A455,[1]eco_institutions!B:E,4,0),"")</f>
        <v>1.295223556331091</v>
      </c>
      <c r="H455" s="14">
        <f t="shared" si="36"/>
        <v>438</v>
      </c>
      <c r="I455" s="46">
        <f>IFERROR(VLOOKUP(A455,[1]fin_institutions!B:D,2,0),"")</f>
        <v>5</v>
      </c>
      <c r="J455" s="41">
        <f>IFERROR(VLOOKUP(A455,[1]fin_institutions!B:E,4,0),"")</f>
        <v>1.225110042037679</v>
      </c>
      <c r="K455" s="41">
        <f t="shared" si="37"/>
        <v>448</v>
      </c>
      <c r="L455" s="56">
        <f>IFERROR(VLOOKUP(A455,[1]bus_institutions!B:D,2,0),"")</f>
        <v>27</v>
      </c>
      <c r="M455" s="42">
        <f>IFERROR(VLOOKUP(A455,[1]bus_institutions!B:E,4,0),"")</f>
        <v>1.7848144533242249</v>
      </c>
      <c r="N455" s="23">
        <f t="shared" si="38"/>
        <v>386</v>
      </c>
      <c r="O455" s="61">
        <f>IFERROR(VLOOKUP(A455,[1]man_institutions!B:E,2,0),"")</f>
        <v>19</v>
      </c>
      <c r="P455" s="62">
        <f>IFERROR(VLOOKUP(A455,[1]man_institutions!B:E,4,0),"")</f>
        <v>1.5738545376069419</v>
      </c>
      <c r="Q455" s="63">
        <f t="shared" si="39"/>
        <v>513</v>
      </c>
    </row>
    <row r="456" spans="1:17" x14ac:dyDescent="0.25">
      <c r="A456" s="6" t="s">
        <v>1052</v>
      </c>
      <c r="B456" s="37" t="s">
        <v>1217</v>
      </c>
      <c r="C456" s="72">
        <f>IFERROR(VLOOKUP(A456,[1]eco_bus_institutions!B:E,2,0),"")</f>
        <v>84</v>
      </c>
      <c r="D456" s="72">
        <f>IFERROR(VLOOKUP(A456,[1]eco_bus_institutions!B:E,4,0),"")</f>
        <v>1.615575497757455</v>
      </c>
      <c r="E456" s="73">
        <f t="shared" si="35"/>
        <v>416</v>
      </c>
      <c r="F456" s="40">
        <f>IFERROR(VLOOKUP(A456,[1]eco_institutions!B:D,2,0),"")</f>
        <v>33</v>
      </c>
      <c r="G456" s="40">
        <f>IFERROR(VLOOKUP(A456,[1]eco_institutions!B:E,4,0),"")</f>
        <v>1.4049629047326579</v>
      </c>
      <c r="H456" s="14">
        <f t="shared" si="36"/>
        <v>359</v>
      </c>
      <c r="I456" s="46">
        <f>IFERROR(VLOOKUP(A456,[1]fin_institutions!B:D,2,0),"")</f>
        <v>14</v>
      </c>
      <c r="J456" s="41">
        <f>IFERROR(VLOOKUP(A456,[1]fin_institutions!B:E,4,0),"")</f>
        <v>1.4065250379105081</v>
      </c>
      <c r="K456" s="41">
        <f t="shared" si="37"/>
        <v>334</v>
      </c>
      <c r="L456" s="56">
        <f>IFERROR(VLOOKUP(A456,[1]bus_institutions!B:D,2,0),"")</f>
        <v>34</v>
      </c>
      <c r="M456" s="42">
        <f>IFERROR(VLOOKUP(A456,[1]bus_institutions!B:E,4,0),"")</f>
        <v>1.8986406907650679</v>
      </c>
      <c r="N456" s="23">
        <f t="shared" si="38"/>
        <v>353</v>
      </c>
      <c r="O456" s="61">
        <f>IFERROR(VLOOKUP(A456,[1]man_institutions!B:E,2,0),"")</f>
        <v>25</v>
      </c>
      <c r="P456" s="62">
        <f>IFERROR(VLOOKUP(A456,[1]man_institutions!B:E,4,0),"")</f>
        <v>2.0761480296837842</v>
      </c>
      <c r="Q456" s="63">
        <f t="shared" si="39"/>
        <v>385</v>
      </c>
    </row>
    <row r="457" spans="1:17" x14ac:dyDescent="0.25">
      <c r="A457" s="6" t="s">
        <v>1086</v>
      </c>
      <c r="B457" s="37" t="s">
        <v>1220</v>
      </c>
      <c r="C457" s="72">
        <f>IFERROR(VLOOKUP(A457,[1]eco_bus_institutions!B:E,2,0),"")</f>
        <v>47</v>
      </c>
      <c r="D457" s="72">
        <f>IFERROR(VLOOKUP(A457,[1]eco_bus_institutions!B:E,4,0),"")</f>
        <v>1.550867554166335</v>
      </c>
      <c r="E457" s="73">
        <f t="shared" si="35"/>
        <v>455</v>
      </c>
      <c r="F457" s="40">
        <f>IFERROR(VLOOKUP(A457,[1]eco_institutions!B:D,2,0),"")</f>
        <v>19</v>
      </c>
      <c r="G457" s="40">
        <f>IFERROR(VLOOKUP(A457,[1]eco_institutions!B:E,4,0),"")</f>
        <v>1.381808755486311</v>
      </c>
      <c r="H457" s="14">
        <f t="shared" si="36"/>
        <v>381</v>
      </c>
      <c r="I457" s="46" t="str">
        <f>IFERROR(VLOOKUP(A457,[1]fin_institutions!B:D,2,0),"")</f>
        <v/>
      </c>
      <c r="J457" s="41" t="str">
        <f>IFERROR(VLOOKUP(A457,[1]fin_institutions!B:E,4,0),"")</f>
        <v/>
      </c>
      <c r="K457" s="41" t="str">
        <f t="shared" si="37"/>
        <v/>
      </c>
      <c r="L457" s="56">
        <f>IFERROR(VLOOKUP(A457,[1]bus_institutions!B:D,2,0),"")</f>
        <v>19</v>
      </c>
      <c r="M457" s="42">
        <f>IFERROR(VLOOKUP(A457,[1]bus_institutions!B:E,4,0),"")</f>
        <v>1.618858526666737</v>
      </c>
      <c r="N457" s="23">
        <f t="shared" si="38"/>
        <v>450</v>
      </c>
      <c r="O457" s="61">
        <f>IFERROR(VLOOKUP(A457,[1]man_institutions!B:E,2,0),"")</f>
        <v>28</v>
      </c>
      <c r="P457" s="62">
        <f>IFERROR(VLOOKUP(A457,[1]man_institutions!B:E,4,0),"")</f>
        <v>2.0686430703000269</v>
      </c>
      <c r="Q457" s="63">
        <f t="shared" si="39"/>
        <v>388</v>
      </c>
    </row>
    <row r="458" spans="1:17" x14ac:dyDescent="0.25">
      <c r="A458" s="6" t="s">
        <v>1073</v>
      </c>
      <c r="B458" s="37" t="s">
        <v>1230</v>
      </c>
      <c r="C458" s="72">
        <f>IFERROR(VLOOKUP(A458,[1]eco_bus_institutions!B:E,2,0),"")</f>
        <v>98</v>
      </c>
      <c r="D458" s="72">
        <f>IFERROR(VLOOKUP(A458,[1]eco_bus_institutions!B:E,4,0),"")</f>
        <v>1.5331296545297191</v>
      </c>
      <c r="E458" s="73">
        <f t="shared" si="35"/>
        <v>464</v>
      </c>
      <c r="F458" s="40">
        <f>IFERROR(VLOOKUP(A458,[1]eco_institutions!B:D,2,0),"")</f>
        <v>79</v>
      </c>
      <c r="G458" s="40">
        <f>IFERROR(VLOOKUP(A458,[1]eco_institutions!B:E,4,0),"")</f>
        <v>1.402227081334986</v>
      </c>
      <c r="H458" s="14">
        <f t="shared" si="36"/>
        <v>360</v>
      </c>
      <c r="I458" s="46">
        <f>IFERROR(VLOOKUP(A458,[1]fin_institutions!B:D,2,0),"")</f>
        <v>22</v>
      </c>
      <c r="J458" s="41">
        <f>IFERROR(VLOOKUP(A458,[1]fin_institutions!B:E,4,0),"")</f>
        <v>1.363519291123179</v>
      </c>
      <c r="K458" s="41">
        <f t="shared" si="37"/>
        <v>355</v>
      </c>
      <c r="L458" s="56">
        <f>IFERROR(VLOOKUP(A458,[1]bus_institutions!B:D,2,0),"")</f>
        <v>15</v>
      </c>
      <c r="M458" s="42">
        <f>IFERROR(VLOOKUP(A458,[1]bus_institutions!B:E,4,0),"")</f>
        <v>1.3035938913461149</v>
      </c>
      <c r="N458" s="23">
        <f t="shared" si="38"/>
        <v>529</v>
      </c>
      <c r="O458" s="61">
        <f>IFERROR(VLOOKUP(A458,[1]man_institutions!B:E,2,0),"")</f>
        <v>20</v>
      </c>
      <c r="P458" s="62">
        <f>IFERROR(VLOOKUP(A458,[1]man_institutions!B:E,4,0),"")</f>
        <v>1.695012238197398</v>
      </c>
      <c r="Q458" s="63">
        <f t="shared" si="39"/>
        <v>496</v>
      </c>
    </row>
    <row r="459" spans="1:17" x14ac:dyDescent="0.25">
      <c r="A459" s="6" t="s">
        <v>1091</v>
      </c>
      <c r="B459" s="37" t="s">
        <v>1216</v>
      </c>
      <c r="C459" s="72">
        <f>IFERROR(VLOOKUP(A459,[1]eco_bus_institutions!B:E,2,0),"")</f>
        <v>80</v>
      </c>
      <c r="D459" s="72">
        <f>IFERROR(VLOOKUP(A459,[1]eco_bus_institutions!B:E,4,0),"")</f>
        <v>1.4858274604865369</v>
      </c>
      <c r="E459" s="73">
        <f t="shared" si="35"/>
        <v>480</v>
      </c>
      <c r="F459" s="40">
        <f>IFERROR(VLOOKUP(A459,[1]eco_institutions!B:D,2,0),"")</f>
        <v>50</v>
      </c>
      <c r="G459" s="40">
        <f>IFERROR(VLOOKUP(A459,[1]eco_institutions!B:E,4,0),"")</f>
        <v>1.307031947900074</v>
      </c>
      <c r="H459" s="14">
        <f t="shared" si="36"/>
        <v>427</v>
      </c>
      <c r="I459" s="46">
        <f>IFERROR(VLOOKUP(A459,[1]fin_institutions!B:D,2,0),"")</f>
        <v>12</v>
      </c>
      <c r="J459" s="41">
        <f>IFERROR(VLOOKUP(A459,[1]fin_institutions!B:E,4,0),"")</f>
        <v>1.078867610965025</v>
      </c>
      <c r="K459" s="41">
        <f t="shared" si="37"/>
        <v>539</v>
      </c>
      <c r="L459" s="56">
        <f>IFERROR(VLOOKUP(A459,[1]bus_institutions!B:D,2,0),"")</f>
        <v>16</v>
      </c>
      <c r="M459" s="42">
        <f>IFERROR(VLOOKUP(A459,[1]bus_institutions!B:E,4,0),"")</f>
        <v>2.0724564016943741</v>
      </c>
      <c r="N459" s="23">
        <f t="shared" si="38"/>
        <v>307</v>
      </c>
      <c r="O459" s="61">
        <f>IFERROR(VLOOKUP(A459,[1]man_institutions!B:E,2,0),"")</f>
        <v>18</v>
      </c>
      <c r="P459" s="62">
        <f>IFERROR(VLOOKUP(A459,[1]man_institutions!B:E,4,0),"")</f>
        <v>1.946992183132497</v>
      </c>
      <c r="Q459" s="63">
        <f t="shared" si="39"/>
        <v>419</v>
      </c>
    </row>
    <row r="460" spans="1:17" x14ac:dyDescent="0.25">
      <c r="A460" s="6" t="s">
        <v>1068</v>
      </c>
      <c r="B460" s="37" t="s">
        <v>1240</v>
      </c>
      <c r="C460" s="72">
        <f>IFERROR(VLOOKUP(A460,[1]eco_bus_institutions!B:E,2,0),"")</f>
        <v>40</v>
      </c>
      <c r="D460" s="72">
        <f>IFERROR(VLOOKUP(A460,[1]eco_bus_institutions!B:E,4,0),"")</f>
        <v>1.7380767275443061</v>
      </c>
      <c r="E460" s="73">
        <f t="shared" si="35"/>
        <v>360</v>
      </c>
      <c r="F460" s="40">
        <f>IFERROR(VLOOKUP(A460,[1]eco_institutions!B:D,2,0),"")</f>
        <v>29</v>
      </c>
      <c r="G460" s="40">
        <f>IFERROR(VLOOKUP(A460,[1]eco_institutions!B:E,4,0),"")</f>
        <v>1.6267533839001651</v>
      </c>
      <c r="H460" s="14">
        <f t="shared" si="36"/>
        <v>252</v>
      </c>
      <c r="I460" s="46">
        <f>IFERROR(VLOOKUP(A460,[1]fin_institutions!B:D,2,0),"")</f>
        <v>5</v>
      </c>
      <c r="J460" s="41">
        <f>IFERROR(VLOOKUP(A460,[1]fin_institutions!B:E,4,0),"")</f>
        <v>2.0384611139654258</v>
      </c>
      <c r="K460" s="41">
        <f t="shared" si="37"/>
        <v>151</v>
      </c>
      <c r="L460" s="56" t="str">
        <f>IFERROR(VLOOKUP(A460,[1]bus_institutions!B:D,2,0),"")</f>
        <v/>
      </c>
      <c r="M460" s="42" t="str">
        <f>IFERROR(VLOOKUP(A460,[1]bus_institutions!B:E,4,0),"")</f>
        <v/>
      </c>
      <c r="N460" s="23" t="str">
        <f t="shared" si="38"/>
        <v/>
      </c>
      <c r="O460" s="61">
        <f>IFERROR(VLOOKUP(A460,[1]man_institutions!B:E,2,0),"")</f>
        <v>9</v>
      </c>
      <c r="P460" s="62">
        <f>IFERROR(VLOOKUP(A460,[1]man_institutions!B:E,4,0),"")</f>
        <v>2.7249883128264041</v>
      </c>
      <c r="Q460" s="63">
        <f t="shared" si="39"/>
        <v>231</v>
      </c>
    </row>
    <row r="461" spans="1:17" x14ac:dyDescent="0.25">
      <c r="A461" s="6" t="s">
        <v>1096</v>
      </c>
      <c r="B461" s="37" t="s">
        <v>1243</v>
      </c>
      <c r="C461" s="72">
        <f>IFERROR(VLOOKUP(A461,[1]eco_bus_institutions!B:E,2,0),"")</f>
        <v>43</v>
      </c>
      <c r="D461" s="72">
        <f>IFERROR(VLOOKUP(A461,[1]eco_bus_institutions!B:E,4,0),"")</f>
        <v>1.3811727068453561</v>
      </c>
      <c r="E461" s="73">
        <f t="shared" si="35"/>
        <v>529</v>
      </c>
      <c r="F461" s="40">
        <f>IFERROR(VLOOKUP(A461,[1]eco_institutions!B:D,2,0),"")</f>
        <v>21</v>
      </c>
      <c r="G461" s="40">
        <f>IFERROR(VLOOKUP(A461,[1]eco_institutions!B:E,4,0),"")</f>
        <v>1.11098835882701</v>
      </c>
      <c r="H461" s="14">
        <f t="shared" si="36"/>
        <v>566</v>
      </c>
      <c r="I461" s="46">
        <f>IFERROR(VLOOKUP(A461,[1]fin_institutions!B:D,2,0),"")</f>
        <v>13</v>
      </c>
      <c r="J461" s="41">
        <f>IFERROR(VLOOKUP(A461,[1]fin_institutions!B:E,4,0),"")</f>
        <v>1.208003940861065</v>
      </c>
      <c r="K461" s="41">
        <f t="shared" si="37"/>
        <v>457</v>
      </c>
      <c r="L461" s="56">
        <f>IFERROR(VLOOKUP(A461,[1]bus_institutions!B:D,2,0),"")</f>
        <v>12</v>
      </c>
      <c r="M461" s="42">
        <f>IFERROR(VLOOKUP(A461,[1]bus_institutions!B:E,4,0),"")</f>
        <v>1.7547989708565011</v>
      </c>
      <c r="N461" s="23">
        <f t="shared" si="38"/>
        <v>399</v>
      </c>
      <c r="O461" s="61">
        <f>IFERROR(VLOOKUP(A461,[1]man_institutions!B:E,2,0),"")</f>
        <v>12</v>
      </c>
      <c r="P461" s="62">
        <f>IFERROR(VLOOKUP(A461,[1]man_institutions!B:E,4,0),"")</f>
        <v>1.885072819077056</v>
      </c>
      <c r="Q461" s="63">
        <f t="shared" si="39"/>
        <v>433</v>
      </c>
    </row>
    <row r="462" spans="1:17" x14ac:dyDescent="0.25">
      <c r="A462" s="6" t="s">
        <v>1126</v>
      </c>
      <c r="B462" s="37" t="s">
        <v>1258</v>
      </c>
      <c r="C462" s="72">
        <f>IFERROR(VLOOKUP(A462,[1]eco_bus_institutions!B:E,2,0),"")</f>
        <v>51</v>
      </c>
      <c r="D462" s="72">
        <f>IFERROR(VLOOKUP(A462,[1]eco_bus_institutions!B:E,4,0),"")</f>
        <v>1.7283800093368471</v>
      </c>
      <c r="E462" s="73">
        <f t="shared" si="35"/>
        <v>370</v>
      </c>
      <c r="F462" s="40">
        <f>IFERROR(VLOOKUP(A462,[1]eco_institutions!B:D,2,0),"")</f>
        <v>35</v>
      </c>
      <c r="G462" s="40">
        <f>IFERROR(VLOOKUP(A462,[1]eco_institutions!B:E,4,0),"")</f>
        <v>2.0315118669419969</v>
      </c>
      <c r="H462" s="14">
        <f t="shared" si="36"/>
        <v>142</v>
      </c>
      <c r="I462" s="46">
        <f>IFERROR(VLOOKUP(A462,[1]fin_institutions!B:D,2,0),"")</f>
        <v>8</v>
      </c>
      <c r="J462" s="41">
        <f>IFERROR(VLOOKUP(A462,[1]fin_institutions!B:E,4,0),"")</f>
        <v>1.0910486819818781</v>
      </c>
      <c r="K462" s="41">
        <f t="shared" si="37"/>
        <v>532</v>
      </c>
      <c r="L462" s="56">
        <f>IFERROR(VLOOKUP(A462,[1]bus_institutions!B:D,2,0),"")</f>
        <v>9</v>
      </c>
      <c r="M462" s="42">
        <f>IFERROR(VLOOKUP(A462,[1]bus_institutions!B:E,4,0),"")</f>
        <v>1.027150692805074</v>
      </c>
      <c r="N462" s="23">
        <f t="shared" si="38"/>
        <v>564</v>
      </c>
      <c r="O462" s="61">
        <f>IFERROR(VLOOKUP(A462,[1]man_institutions!B:E,2,0),"")</f>
        <v>16</v>
      </c>
      <c r="P462" s="62">
        <f>IFERROR(VLOOKUP(A462,[1]man_institutions!B:E,4,0),"")</f>
        <v>1.081073987260958</v>
      </c>
      <c r="Q462" s="63">
        <f t="shared" si="39"/>
        <v>573</v>
      </c>
    </row>
    <row r="463" spans="1:17" x14ac:dyDescent="0.25">
      <c r="A463" s="6" t="s">
        <v>1022</v>
      </c>
      <c r="B463" s="37" t="s">
        <v>1271</v>
      </c>
      <c r="C463" s="72">
        <f>IFERROR(VLOOKUP(A463,[1]eco_bus_institutions!B:E,2,0),"")</f>
        <v>59</v>
      </c>
      <c r="D463" s="72">
        <f>IFERROR(VLOOKUP(A463,[1]eco_bus_institutions!B:E,4,0),"")</f>
        <v>1.870672996386423</v>
      </c>
      <c r="E463" s="73">
        <f t="shared" si="35"/>
        <v>311</v>
      </c>
      <c r="F463" s="40">
        <f>IFERROR(VLOOKUP(A463,[1]eco_institutions!B:D,2,0),"")</f>
        <v>40</v>
      </c>
      <c r="G463" s="40">
        <f>IFERROR(VLOOKUP(A463,[1]eco_institutions!B:E,4,0),"")</f>
        <v>1.587159681369565</v>
      </c>
      <c r="H463" s="14">
        <f t="shared" si="36"/>
        <v>265</v>
      </c>
      <c r="I463" s="46">
        <f>IFERROR(VLOOKUP(A463,[1]fin_institutions!B:D,2,0),"")</f>
        <v>7</v>
      </c>
      <c r="J463" s="41">
        <f>IFERROR(VLOOKUP(A463,[1]fin_institutions!B:E,4,0),"")</f>
        <v>3.0506549345511171</v>
      </c>
      <c r="K463" s="41">
        <f t="shared" si="37"/>
        <v>70</v>
      </c>
      <c r="L463" s="56">
        <f>IFERROR(VLOOKUP(A463,[1]bus_institutions!B:D,2,0),"")</f>
        <v>9</v>
      </c>
      <c r="M463" s="42">
        <f>IFERROR(VLOOKUP(A463,[1]bus_institutions!B:E,4,0),"")</f>
        <v>1.972101992129691</v>
      </c>
      <c r="N463" s="23">
        <f t="shared" si="38"/>
        <v>327</v>
      </c>
      <c r="O463" s="61">
        <f>IFERROR(VLOOKUP(A463,[1]man_institutions!B:E,2,0),"")</f>
        <v>15</v>
      </c>
      <c r="P463" s="62">
        <f>IFERROR(VLOOKUP(A463,[1]man_institutions!B:E,4,0),"")</f>
        <v>2.8469591836586812</v>
      </c>
      <c r="Q463" s="63">
        <f t="shared" si="39"/>
        <v>210</v>
      </c>
    </row>
    <row r="464" spans="1:17" x14ac:dyDescent="0.25">
      <c r="A464" s="6" t="s">
        <v>1094</v>
      </c>
      <c r="B464" s="37" t="s">
        <v>1245</v>
      </c>
      <c r="C464" s="72">
        <f>IFERROR(VLOOKUP(A464,[1]eco_bus_institutions!B:E,2,0),"")</f>
        <v>124</v>
      </c>
      <c r="D464" s="72">
        <f>IFERROR(VLOOKUP(A464,[1]eco_bus_institutions!B:E,4,0),"")</f>
        <v>1.3999214407892919</v>
      </c>
      <c r="E464" s="73">
        <f t="shared" si="35"/>
        <v>525</v>
      </c>
      <c r="F464" s="40">
        <f>IFERROR(VLOOKUP(A464,[1]eco_institutions!B:D,2,0),"")</f>
        <v>85</v>
      </c>
      <c r="G464" s="40">
        <f>IFERROR(VLOOKUP(A464,[1]eco_institutions!B:E,4,0),"")</f>
        <v>1.215107946268366</v>
      </c>
      <c r="H464" s="14">
        <f t="shared" si="36"/>
        <v>501</v>
      </c>
      <c r="I464" s="46">
        <f>IFERROR(VLOOKUP(A464,[1]fin_institutions!B:D,2,0),"")</f>
        <v>13</v>
      </c>
      <c r="J464" s="41">
        <f>IFERROR(VLOOKUP(A464,[1]fin_institutions!B:E,4,0),"")</f>
        <v>1.9709506404380519</v>
      </c>
      <c r="K464" s="41">
        <f t="shared" si="37"/>
        <v>159</v>
      </c>
      <c r="L464" s="56">
        <f>IFERROR(VLOOKUP(A464,[1]bus_institutions!B:D,2,0),"")</f>
        <v>28</v>
      </c>
      <c r="M464" s="42">
        <f>IFERROR(VLOOKUP(A464,[1]bus_institutions!B:E,4,0),"")</f>
        <v>1.5450160608846899</v>
      </c>
      <c r="N464" s="23">
        <f t="shared" si="38"/>
        <v>473</v>
      </c>
      <c r="O464" s="61">
        <f>IFERROR(VLOOKUP(A464,[1]man_institutions!B:E,2,0),"")</f>
        <v>36</v>
      </c>
      <c r="P464" s="62">
        <f>IFERROR(VLOOKUP(A464,[1]man_institutions!B:E,4,0),"")</f>
        <v>1.346039295161648</v>
      </c>
      <c r="Q464" s="63">
        <f t="shared" si="39"/>
        <v>555</v>
      </c>
    </row>
    <row r="465" spans="1:17" x14ac:dyDescent="0.25">
      <c r="A465" s="6" t="s">
        <v>1016</v>
      </c>
      <c r="B465" s="37" t="s">
        <v>1230</v>
      </c>
      <c r="C465" s="72">
        <f>IFERROR(VLOOKUP(A465,[1]eco_bus_institutions!B:E,2,0),"")</f>
        <v>39</v>
      </c>
      <c r="D465" s="72">
        <f>IFERROR(VLOOKUP(A465,[1]eco_bus_institutions!B:E,4,0),"")</f>
        <v>1.540475999467817</v>
      </c>
      <c r="E465" s="73">
        <f t="shared" si="35"/>
        <v>461</v>
      </c>
      <c r="F465" s="40">
        <f>IFERROR(VLOOKUP(A465,[1]eco_institutions!B:D,2,0),"")</f>
        <v>18</v>
      </c>
      <c r="G465" s="40">
        <f>IFERROR(VLOOKUP(A465,[1]eco_institutions!B:E,4,0),"")</f>
        <v>1.205259242536197</v>
      </c>
      <c r="H465" s="14">
        <f t="shared" si="36"/>
        <v>512</v>
      </c>
      <c r="I465" s="46">
        <f>IFERROR(VLOOKUP(A465,[1]fin_institutions!B:D,2,0),"")</f>
        <v>9</v>
      </c>
      <c r="J465" s="41">
        <f>IFERROR(VLOOKUP(A465,[1]fin_institutions!B:E,4,0),"")</f>
        <v>1.394420679523924</v>
      </c>
      <c r="K465" s="41">
        <f t="shared" si="37"/>
        <v>340</v>
      </c>
      <c r="L465" s="56">
        <f>IFERROR(VLOOKUP(A465,[1]bus_institutions!B:D,2,0),"")</f>
        <v>9</v>
      </c>
      <c r="M465" s="42">
        <f>IFERROR(VLOOKUP(A465,[1]bus_institutions!B:E,4,0),"")</f>
        <v>2.4327048826914499</v>
      </c>
      <c r="N465" s="23">
        <f t="shared" si="38"/>
        <v>213</v>
      </c>
      <c r="O465" s="61">
        <f>IFERROR(VLOOKUP(A465,[1]man_institutions!B:E,2,0),"")</f>
        <v>12</v>
      </c>
      <c r="P465" s="62">
        <f>IFERROR(VLOOKUP(A465,[1]man_institutions!B:E,4,0),"")</f>
        <v>1.853349189650269</v>
      </c>
      <c r="Q465" s="63">
        <f t="shared" si="39"/>
        <v>447</v>
      </c>
    </row>
    <row r="466" spans="1:17" x14ac:dyDescent="0.25">
      <c r="A466" s="6" t="s">
        <v>1093</v>
      </c>
      <c r="B466" s="37" t="s">
        <v>1248</v>
      </c>
      <c r="C466" s="72">
        <f>IFERROR(VLOOKUP(A466,[1]eco_bus_institutions!B:E,2,0),"")</f>
        <v>59</v>
      </c>
      <c r="D466" s="72">
        <f>IFERROR(VLOOKUP(A466,[1]eco_bus_institutions!B:E,4,0),"")</f>
        <v>1.430081627503615</v>
      </c>
      <c r="E466" s="73">
        <f t="shared" si="35"/>
        <v>508</v>
      </c>
      <c r="F466" s="40">
        <f>IFERROR(VLOOKUP(A466,[1]eco_institutions!B:D,2,0),"")</f>
        <v>21</v>
      </c>
      <c r="G466" s="40">
        <f>IFERROR(VLOOKUP(A466,[1]eco_institutions!B:E,4,0),"")</f>
        <v>1.3253933748989091</v>
      </c>
      <c r="H466" s="14">
        <f t="shared" si="36"/>
        <v>414</v>
      </c>
      <c r="I466" s="46">
        <f>IFERROR(VLOOKUP(A466,[1]fin_institutions!B:D,2,0),"")</f>
        <v>15</v>
      </c>
      <c r="J466" s="41">
        <f>IFERROR(VLOOKUP(A466,[1]fin_institutions!B:E,4,0),"")</f>
        <v>1.2706992209651291</v>
      </c>
      <c r="K466" s="41">
        <f t="shared" si="37"/>
        <v>410</v>
      </c>
      <c r="L466" s="56">
        <f>IFERROR(VLOOKUP(A466,[1]bus_institutions!B:D,2,0),"")</f>
        <v>20</v>
      </c>
      <c r="M466" s="42">
        <f>IFERROR(VLOOKUP(A466,[1]bus_institutions!B:E,4,0),"")</f>
        <v>1.748862557791623</v>
      </c>
      <c r="N466" s="23">
        <f t="shared" si="38"/>
        <v>403</v>
      </c>
      <c r="O466" s="61">
        <f>IFERROR(VLOOKUP(A466,[1]man_institutions!B:E,2,0),"")</f>
        <v>21</v>
      </c>
      <c r="P466" s="62">
        <f>IFERROR(VLOOKUP(A466,[1]man_institutions!B:E,4,0),"")</f>
        <v>1.552566101052123</v>
      </c>
      <c r="Q466" s="63">
        <f t="shared" si="39"/>
        <v>521</v>
      </c>
    </row>
    <row r="467" spans="1:17" x14ac:dyDescent="0.25">
      <c r="A467" s="6" t="s">
        <v>1103</v>
      </c>
      <c r="B467" s="37" t="s">
        <v>1258</v>
      </c>
      <c r="C467" s="72">
        <f>IFERROR(VLOOKUP(A467,[1]eco_bus_institutions!B:E,2,0),"")</f>
        <v>125</v>
      </c>
      <c r="D467" s="72">
        <f>IFERROR(VLOOKUP(A467,[1]eco_bus_institutions!B:E,4,0),"")</f>
        <v>1.396064771642628</v>
      </c>
      <c r="E467" s="73">
        <f t="shared" si="35"/>
        <v>526</v>
      </c>
      <c r="F467" s="40">
        <f>IFERROR(VLOOKUP(A467,[1]eco_institutions!B:D,2,0),"")</f>
        <v>70</v>
      </c>
      <c r="G467" s="40">
        <f>IFERROR(VLOOKUP(A467,[1]eco_institutions!B:E,4,0),"")</f>
        <v>1.264904650314518</v>
      </c>
      <c r="H467" s="14">
        <f t="shared" si="36"/>
        <v>464</v>
      </c>
      <c r="I467" s="46">
        <f>IFERROR(VLOOKUP(A467,[1]fin_institutions!B:D,2,0),"")</f>
        <v>43</v>
      </c>
      <c r="J467" s="41">
        <f>IFERROR(VLOOKUP(A467,[1]fin_institutions!B:E,4,0),"")</f>
        <v>1.293543216876621</v>
      </c>
      <c r="K467" s="41">
        <f t="shared" si="37"/>
        <v>399</v>
      </c>
      <c r="L467" s="56">
        <f>IFERROR(VLOOKUP(A467,[1]bus_institutions!B:D,2,0),"")</f>
        <v>28</v>
      </c>
      <c r="M467" s="42">
        <f>IFERROR(VLOOKUP(A467,[1]bus_institutions!B:E,4,0),"")</f>
        <v>1.5450160608846899</v>
      </c>
      <c r="N467" s="23">
        <f t="shared" si="38"/>
        <v>473</v>
      </c>
      <c r="O467" s="61">
        <f>IFERROR(VLOOKUP(A467,[1]man_institutions!B:E,2,0),"")</f>
        <v>24</v>
      </c>
      <c r="P467" s="62">
        <f>IFERROR(VLOOKUP(A467,[1]man_institutions!B:E,4,0),"")</f>
        <v>1.5304580436874089</v>
      </c>
      <c r="Q467" s="63">
        <f t="shared" si="39"/>
        <v>527</v>
      </c>
    </row>
    <row r="468" spans="1:17" x14ac:dyDescent="0.25">
      <c r="A468" s="6" t="s">
        <v>1072</v>
      </c>
      <c r="B468" s="37" t="s">
        <v>1255</v>
      </c>
      <c r="C468" s="72">
        <f>IFERROR(VLOOKUP(A468,[1]eco_bus_institutions!B:E,2,0),"")</f>
        <v>86</v>
      </c>
      <c r="D468" s="72">
        <f>IFERROR(VLOOKUP(A468,[1]eco_bus_institutions!B:E,4,0),"")</f>
        <v>1.5362316044330759</v>
      </c>
      <c r="E468" s="73">
        <f t="shared" si="35"/>
        <v>462</v>
      </c>
      <c r="F468" s="40">
        <f>IFERROR(VLOOKUP(A468,[1]eco_institutions!B:D,2,0),"")</f>
        <v>35</v>
      </c>
      <c r="G468" s="40">
        <f>IFERROR(VLOOKUP(A468,[1]eco_institutions!B:E,4,0),"")</f>
        <v>1.4934904513473359</v>
      </c>
      <c r="H468" s="14">
        <f t="shared" si="36"/>
        <v>308</v>
      </c>
      <c r="I468" s="46">
        <f>IFERROR(VLOOKUP(A468,[1]fin_institutions!B:D,2,0),"")</f>
        <v>17</v>
      </c>
      <c r="J468" s="41">
        <f>IFERROR(VLOOKUP(A468,[1]fin_institutions!B:E,4,0),"")</f>
        <v>1.4464811570313589</v>
      </c>
      <c r="K468" s="41">
        <f t="shared" si="37"/>
        <v>312</v>
      </c>
      <c r="L468" s="56">
        <f>IFERROR(VLOOKUP(A468,[1]bus_institutions!B:D,2,0),"")</f>
        <v>34</v>
      </c>
      <c r="M468" s="42">
        <f>IFERROR(VLOOKUP(A468,[1]bus_institutions!B:E,4,0),"")</f>
        <v>1.6255806957146191</v>
      </c>
      <c r="N468" s="23">
        <f t="shared" si="38"/>
        <v>447</v>
      </c>
      <c r="O468" s="61">
        <f>IFERROR(VLOOKUP(A468,[1]man_institutions!B:E,2,0),"")</f>
        <v>34</v>
      </c>
      <c r="P468" s="62">
        <f>IFERROR(VLOOKUP(A468,[1]man_institutions!B:E,4,0),"")</f>
        <v>1.7697097735446381</v>
      </c>
      <c r="Q468" s="63">
        <f t="shared" si="39"/>
        <v>471</v>
      </c>
    </row>
    <row r="469" spans="1:17" x14ac:dyDescent="0.25">
      <c r="A469" s="6" t="s">
        <v>1044</v>
      </c>
      <c r="B469" s="37" t="s">
        <v>1233</v>
      </c>
      <c r="C469" s="72">
        <f>IFERROR(VLOOKUP(A469,[1]eco_bus_institutions!B:E,2,0),"")</f>
        <v>103</v>
      </c>
      <c r="D469" s="72">
        <f>IFERROR(VLOOKUP(A469,[1]eco_bus_institutions!B:E,4,0),"")</f>
        <v>1.7288508467760419</v>
      </c>
      <c r="E469" s="73">
        <f t="shared" si="35"/>
        <v>369</v>
      </c>
      <c r="F469" s="40">
        <f>IFERROR(VLOOKUP(A469,[1]eco_institutions!B:D,2,0),"")</f>
        <v>60</v>
      </c>
      <c r="G469" s="40">
        <f>IFERROR(VLOOKUP(A469,[1]eco_institutions!B:E,4,0),"")</f>
        <v>1.4617287917694859</v>
      </c>
      <c r="H469" s="14">
        <f t="shared" si="36"/>
        <v>324</v>
      </c>
      <c r="I469" s="46">
        <f>IFERROR(VLOOKUP(A469,[1]fin_institutions!B:D,2,0),"")</f>
        <v>10</v>
      </c>
      <c r="J469" s="41">
        <f>IFERROR(VLOOKUP(A469,[1]fin_institutions!B:E,4,0),"")</f>
        <v>1.443366339711013</v>
      </c>
      <c r="K469" s="41">
        <f t="shared" si="37"/>
        <v>315</v>
      </c>
      <c r="L469" s="56">
        <f>IFERROR(VLOOKUP(A469,[1]bus_institutions!B:D,2,0),"")</f>
        <v>18</v>
      </c>
      <c r="M469" s="42">
        <f>IFERROR(VLOOKUP(A469,[1]bus_institutions!B:E,4,0),"")</f>
        <v>1.9079298896691961</v>
      </c>
      <c r="N469" s="23">
        <f t="shared" si="38"/>
        <v>348</v>
      </c>
      <c r="O469" s="61">
        <f>IFERROR(VLOOKUP(A469,[1]man_institutions!B:E,2,0),"")</f>
        <v>42</v>
      </c>
      <c r="P469" s="62">
        <f>IFERROR(VLOOKUP(A469,[1]man_institutions!B:E,4,0),"")</f>
        <v>2.5276601677231789</v>
      </c>
      <c r="Q469" s="63">
        <f t="shared" si="39"/>
        <v>268</v>
      </c>
    </row>
    <row r="470" spans="1:17" x14ac:dyDescent="0.25">
      <c r="A470" s="6" t="s">
        <v>1074</v>
      </c>
      <c r="B470" s="37" t="s">
        <v>1243</v>
      </c>
      <c r="C470" s="72">
        <f>IFERROR(VLOOKUP(A470,[1]eco_bus_institutions!B:E,2,0),"")</f>
        <v>91</v>
      </c>
      <c r="D470" s="72">
        <f>IFERROR(VLOOKUP(A470,[1]eco_bus_institutions!B:E,4,0),"")</f>
        <v>1.4791540870808579</v>
      </c>
      <c r="E470" s="73">
        <f t="shared" si="35"/>
        <v>482</v>
      </c>
      <c r="F470" s="40">
        <f>IFERROR(VLOOKUP(A470,[1]eco_institutions!B:D,2,0),"")</f>
        <v>50</v>
      </c>
      <c r="G470" s="40">
        <f>IFERROR(VLOOKUP(A470,[1]eco_institutions!B:E,4,0),"")</f>
        <v>1.2038175717531601</v>
      </c>
      <c r="H470" s="14">
        <f t="shared" si="36"/>
        <v>515</v>
      </c>
      <c r="I470" s="46">
        <f>IFERROR(VLOOKUP(A470,[1]fin_institutions!B:D,2,0),"")</f>
        <v>36</v>
      </c>
      <c r="J470" s="41">
        <f>IFERROR(VLOOKUP(A470,[1]fin_institutions!B:E,4,0),"")</f>
        <v>1.418812709394369</v>
      </c>
      <c r="K470" s="41">
        <f t="shared" si="37"/>
        <v>328</v>
      </c>
      <c r="L470" s="56">
        <f>IFERROR(VLOOKUP(A470,[1]bus_institutions!B:D,2,0),"")</f>
        <v>20</v>
      </c>
      <c r="M470" s="42">
        <f>IFERROR(VLOOKUP(A470,[1]bus_institutions!B:E,4,0),"")</f>
        <v>1.704937857441984</v>
      </c>
      <c r="N470" s="23">
        <f t="shared" si="38"/>
        <v>421</v>
      </c>
      <c r="O470" s="61">
        <f>IFERROR(VLOOKUP(A470,[1]man_institutions!B:E,2,0),"")</f>
        <v>14</v>
      </c>
      <c r="P470" s="62">
        <f>IFERROR(VLOOKUP(A470,[1]man_institutions!B:E,4,0),"")</f>
        <v>2.0901370541156101</v>
      </c>
      <c r="Q470" s="63">
        <f t="shared" si="39"/>
        <v>380</v>
      </c>
    </row>
    <row r="471" spans="1:17" x14ac:dyDescent="0.25">
      <c r="A471" s="6" t="s">
        <v>1078</v>
      </c>
      <c r="B471" s="37" t="s">
        <v>1230</v>
      </c>
      <c r="C471" s="72">
        <f>IFERROR(VLOOKUP(A471,[1]eco_bus_institutions!B:E,2,0),"")</f>
        <v>144</v>
      </c>
      <c r="D471" s="72">
        <f>IFERROR(VLOOKUP(A471,[1]eco_bus_institutions!B:E,4,0),"")</f>
        <v>1.4467934026631719</v>
      </c>
      <c r="E471" s="73">
        <f t="shared" si="35"/>
        <v>496</v>
      </c>
      <c r="F471" s="40">
        <f>IFERROR(VLOOKUP(A471,[1]eco_institutions!B:D,2,0),"")</f>
        <v>94</v>
      </c>
      <c r="G471" s="40">
        <f>IFERROR(VLOOKUP(A471,[1]eco_institutions!B:E,4,0),"")</f>
        <v>1.3214312512628641</v>
      </c>
      <c r="H471" s="14">
        <f t="shared" si="36"/>
        <v>416</v>
      </c>
      <c r="I471" s="46">
        <f>IFERROR(VLOOKUP(A471,[1]fin_institutions!B:D,2,0),"")</f>
        <v>43</v>
      </c>
      <c r="J471" s="41">
        <f>IFERROR(VLOOKUP(A471,[1]fin_institutions!B:E,4,0),"")</f>
        <v>1.429826369067863</v>
      </c>
      <c r="K471" s="41">
        <f t="shared" si="37"/>
        <v>321</v>
      </c>
      <c r="L471" s="56">
        <f>IFERROR(VLOOKUP(A471,[1]bus_institutions!B:D,2,0),"")</f>
        <v>16</v>
      </c>
      <c r="M471" s="42">
        <f>IFERROR(VLOOKUP(A471,[1]bus_institutions!B:E,4,0),"")</f>
        <v>1.3049747632062849</v>
      </c>
      <c r="N471" s="23">
        <f t="shared" si="38"/>
        <v>528</v>
      </c>
      <c r="O471" s="61">
        <f>IFERROR(VLOOKUP(A471,[1]man_institutions!B:E,2,0),"")</f>
        <v>19</v>
      </c>
      <c r="P471" s="62">
        <f>IFERROR(VLOOKUP(A471,[1]man_institutions!B:E,4,0),"")</f>
        <v>1.7794870472282549</v>
      </c>
      <c r="Q471" s="63">
        <f t="shared" si="39"/>
        <v>470</v>
      </c>
    </row>
    <row r="472" spans="1:17" x14ac:dyDescent="0.25">
      <c r="A472" s="6" t="s">
        <v>1058</v>
      </c>
      <c r="B472" s="37" t="s">
        <v>1223</v>
      </c>
      <c r="C472" s="72">
        <f>IFERROR(VLOOKUP(A472,[1]eco_bus_institutions!B:E,2,0),"")</f>
        <v>43</v>
      </c>
      <c r="D472" s="72">
        <f>IFERROR(VLOOKUP(A472,[1]eco_bus_institutions!B:E,4,0),"")</f>
        <v>1.433683858146104</v>
      </c>
      <c r="E472" s="73">
        <f t="shared" si="35"/>
        <v>505</v>
      </c>
      <c r="F472" s="40">
        <f>IFERROR(VLOOKUP(A472,[1]eco_institutions!B:D,2,0),"")</f>
        <v>15</v>
      </c>
      <c r="G472" s="40">
        <f>IFERROR(VLOOKUP(A472,[1]eco_institutions!B:E,4,0),"")</f>
        <v>1.2045318143363619</v>
      </c>
      <c r="H472" s="14">
        <f t="shared" si="36"/>
        <v>514</v>
      </c>
      <c r="I472" s="46">
        <f>IFERROR(VLOOKUP(A472,[1]fin_institutions!B:D,2,0),"")</f>
        <v>11</v>
      </c>
      <c r="J472" s="41">
        <f>IFERROR(VLOOKUP(A472,[1]fin_institutions!B:E,4,0),"")</f>
        <v>1.280587891257241</v>
      </c>
      <c r="K472" s="41">
        <f t="shared" si="37"/>
        <v>406</v>
      </c>
      <c r="L472" s="56">
        <f>IFERROR(VLOOKUP(A472,[1]bus_institutions!B:D,2,0),"")</f>
        <v>18</v>
      </c>
      <c r="M472" s="42">
        <f>IFERROR(VLOOKUP(A472,[1]bus_institutions!B:E,4,0),"")</f>
        <v>1.661190655875548</v>
      </c>
      <c r="N472" s="23">
        <f t="shared" si="38"/>
        <v>439</v>
      </c>
      <c r="O472" s="61">
        <f>IFERROR(VLOOKUP(A472,[1]man_institutions!B:E,2,0),"")</f>
        <v>12</v>
      </c>
      <c r="P472" s="62">
        <f>IFERROR(VLOOKUP(A472,[1]man_institutions!B:E,4,0),"")</f>
        <v>1.9692222475775181</v>
      </c>
      <c r="Q472" s="63">
        <f t="shared" si="39"/>
        <v>413</v>
      </c>
    </row>
    <row r="473" spans="1:17" x14ac:dyDescent="0.25">
      <c r="A473" s="6" t="s">
        <v>1088</v>
      </c>
      <c r="B473" s="37" t="s">
        <v>1218</v>
      </c>
      <c r="C473" s="72">
        <f>IFERROR(VLOOKUP(A473,[1]eco_bus_institutions!B:E,2,0),"")</f>
        <v>79</v>
      </c>
      <c r="D473" s="72">
        <f>IFERROR(VLOOKUP(A473,[1]eco_bus_institutions!B:E,4,0),"")</f>
        <v>1.474800797554104</v>
      </c>
      <c r="E473" s="73">
        <f t="shared" si="35"/>
        <v>484</v>
      </c>
      <c r="F473" s="40">
        <f>IFERROR(VLOOKUP(A473,[1]eco_institutions!B:D,2,0),"")</f>
        <v>41</v>
      </c>
      <c r="G473" s="40">
        <f>IFERROR(VLOOKUP(A473,[1]eco_institutions!B:E,4,0),"")</f>
        <v>1.331059323089081</v>
      </c>
      <c r="H473" s="14">
        <f t="shared" si="36"/>
        <v>405</v>
      </c>
      <c r="I473" s="46">
        <f>IFERROR(VLOOKUP(A473,[1]fin_institutions!B:D,2,0),"")</f>
        <v>17</v>
      </c>
      <c r="J473" s="41">
        <f>IFERROR(VLOOKUP(A473,[1]fin_institutions!B:E,4,0),"")</f>
        <v>1.0829987925502711</v>
      </c>
      <c r="K473" s="41">
        <f t="shared" si="37"/>
        <v>537</v>
      </c>
      <c r="L473" s="56">
        <f>IFERROR(VLOOKUP(A473,[1]bus_institutions!B:D,2,0),"")</f>
        <v>22</v>
      </c>
      <c r="M473" s="42">
        <f>IFERROR(VLOOKUP(A473,[1]bus_institutions!B:E,4,0),"")</f>
        <v>1.504254748659287</v>
      </c>
      <c r="N473" s="23">
        <f t="shared" si="38"/>
        <v>480</v>
      </c>
      <c r="O473" s="61">
        <f>IFERROR(VLOOKUP(A473,[1]man_institutions!B:E,2,0),"")</f>
        <v>27</v>
      </c>
      <c r="P473" s="62">
        <f>IFERROR(VLOOKUP(A473,[1]man_institutions!B:E,4,0),"")</f>
        <v>2.213855041145286</v>
      </c>
      <c r="Q473" s="63">
        <f t="shared" si="39"/>
        <v>345</v>
      </c>
    </row>
    <row r="474" spans="1:17" x14ac:dyDescent="0.25">
      <c r="A474" s="6" t="s">
        <v>977</v>
      </c>
      <c r="B474" s="37" t="s">
        <v>1237</v>
      </c>
      <c r="C474" s="72">
        <f>IFERROR(VLOOKUP(A474,[1]eco_bus_institutions!B:E,2,0),"")</f>
        <v>44</v>
      </c>
      <c r="D474" s="72">
        <f>IFERROR(VLOOKUP(A474,[1]eco_bus_institutions!B:E,4,0),"")</f>
        <v>1.543308386874555</v>
      </c>
      <c r="E474" s="73">
        <f t="shared" si="35"/>
        <v>459</v>
      </c>
      <c r="F474" s="40">
        <f>IFERROR(VLOOKUP(A474,[1]eco_institutions!B:D,2,0),"")</f>
        <v>6</v>
      </c>
      <c r="G474" s="40">
        <f>IFERROR(VLOOKUP(A474,[1]eco_institutions!B:E,4,0),"")</f>
        <v>1.2137023989543301</v>
      </c>
      <c r="H474" s="14">
        <f t="shared" si="36"/>
        <v>503</v>
      </c>
      <c r="I474" s="46">
        <f>IFERROR(VLOOKUP(A474,[1]fin_institutions!B:D,2,0),"")</f>
        <v>11</v>
      </c>
      <c r="J474" s="41">
        <f>IFERROR(VLOOKUP(A474,[1]fin_institutions!B:E,4,0),"")</f>
        <v>1.3204279461857049</v>
      </c>
      <c r="K474" s="41">
        <f t="shared" si="37"/>
        <v>384</v>
      </c>
      <c r="L474" s="56">
        <f>IFERROR(VLOOKUP(A474,[1]bus_institutions!B:D,2,0),"")</f>
        <v>11</v>
      </c>
      <c r="M474" s="42">
        <f>IFERROR(VLOOKUP(A474,[1]bus_institutions!B:E,4,0),"")</f>
        <v>1.8339552009330109</v>
      </c>
      <c r="N474" s="23">
        <f t="shared" si="38"/>
        <v>374</v>
      </c>
      <c r="O474" s="61">
        <f>IFERROR(VLOOKUP(A474,[1]man_institutions!B:E,2,0),"")</f>
        <v>27</v>
      </c>
      <c r="P474" s="62">
        <f>IFERROR(VLOOKUP(A474,[1]man_institutions!B:E,4,0),"")</f>
        <v>1.779521947444662</v>
      </c>
      <c r="Q474" s="63">
        <f t="shared" si="39"/>
        <v>469</v>
      </c>
    </row>
    <row r="475" spans="1:17" x14ac:dyDescent="0.25">
      <c r="A475" s="6" t="s">
        <v>1124</v>
      </c>
      <c r="B475" s="37" t="s">
        <v>1271</v>
      </c>
      <c r="C475" s="72">
        <f>IFERROR(VLOOKUP(A475,[1]eco_bus_institutions!B:E,2,0),"")</f>
        <v>43</v>
      </c>
      <c r="D475" s="72">
        <f>IFERROR(VLOOKUP(A475,[1]eco_bus_institutions!B:E,4,0),"")</f>
        <v>1.697122985412288</v>
      </c>
      <c r="E475" s="73">
        <f t="shared" si="35"/>
        <v>383</v>
      </c>
      <c r="F475" s="40">
        <f>IFERROR(VLOOKUP(A475,[1]eco_institutions!B:D,2,0),"")</f>
        <v>40</v>
      </c>
      <c r="G475" s="40">
        <f>IFERROR(VLOOKUP(A475,[1]eco_institutions!B:E,4,0),"")</f>
        <v>1.6737575513138589</v>
      </c>
      <c r="H475" s="14">
        <f t="shared" si="36"/>
        <v>232</v>
      </c>
      <c r="I475" s="46" t="str">
        <f>IFERROR(VLOOKUP(A475,[1]fin_institutions!B:D,2,0),"")</f>
        <v/>
      </c>
      <c r="J475" s="41" t="str">
        <f>IFERROR(VLOOKUP(A475,[1]fin_institutions!B:E,4,0),"")</f>
        <v/>
      </c>
      <c r="K475" s="41" t="str">
        <f t="shared" si="37"/>
        <v/>
      </c>
      <c r="L475" s="56" t="str">
        <f>IFERROR(VLOOKUP(A475,[1]bus_institutions!B:D,2,0),"")</f>
        <v/>
      </c>
      <c r="M475" s="42" t="str">
        <f>IFERROR(VLOOKUP(A475,[1]bus_institutions!B:E,4,0),"")</f>
        <v/>
      </c>
      <c r="N475" s="23" t="str">
        <f t="shared" si="38"/>
        <v/>
      </c>
      <c r="O475" s="61" t="str">
        <f>IFERROR(VLOOKUP(A475,[1]man_institutions!B:E,2,0),"")</f>
        <v/>
      </c>
      <c r="P475" s="62" t="str">
        <f>IFERROR(VLOOKUP(A475,[1]man_institutions!B:E,4,0),"")</f>
        <v/>
      </c>
      <c r="Q475" s="63" t="str">
        <f t="shared" si="39"/>
        <v/>
      </c>
    </row>
    <row r="476" spans="1:17" x14ac:dyDescent="0.25">
      <c r="A476" s="6" t="s">
        <v>1079</v>
      </c>
      <c r="B476" s="37" t="s">
        <v>1220</v>
      </c>
      <c r="C476" s="72">
        <f>IFERROR(VLOOKUP(A476,[1]eco_bus_institutions!B:E,2,0),"")</f>
        <v>44</v>
      </c>
      <c r="D476" s="72">
        <f>IFERROR(VLOOKUP(A476,[1]eco_bus_institutions!B:E,4,0),"")</f>
        <v>1.427238877291741</v>
      </c>
      <c r="E476" s="73">
        <f t="shared" si="35"/>
        <v>512</v>
      </c>
      <c r="F476" s="40">
        <f>IFERROR(VLOOKUP(A476,[1]eco_institutions!B:D,2,0),"")</f>
        <v>29</v>
      </c>
      <c r="G476" s="40">
        <f>IFERROR(VLOOKUP(A476,[1]eco_institutions!B:E,4,0),"")</f>
        <v>1.1826542549656489</v>
      </c>
      <c r="H476" s="14">
        <f t="shared" si="36"/>
        <v>528</v>
      </c>
      <c r="I476" s="46">
        <f>IFERROR(VLOOKUP(A476,[1]fin_institutions!B:D,2,0),"")</f>
        <v>5</v>
      </c>
      <c r="J476" s="41">
        <f>IFERROR(VLOOKUP(A476,[1]fin_institutions!B:E,4,0),"")</f>
        <v>1.6467774992275419</v>
      </c>
      <c r="K476" s="41">
        <f t="shared" si="37"/>
        <v>232</v>
      </c>
      <c r="L476" s="56">
        <f>IFERROR(VLOOKUP(A476,[1]bus_institutions!B:D,2,0),"")</f>
        <v>15</v>
      </c>
      <c r="M476" s="42">
        <f>IFERROR(VLOOKUP(A476,[1]bus_institutions!B:E,4,0),"")</f>
        <v>1.72925108039349</v>
      </c>
      <c r="N476" s="23">
        <f t="shared" si="38"/>
        <v>414</v>
      </c>
      <c r="O476" s="61">
        <f>IFERROR(VLOOKUP(A476,[1]man_institutions!B:E,2,0),"")</f>
        <v>11</v>
      </c>
      <c r="P476" s="62">
        <f>IFERROR(VLOOKUP(A476,[1]man_institutions!B:E,4,0),"")</f>
        <v>1.375277250239453</v>
      </c>
      <c r="Q476" s="63">
        <f t="shared" si="39"/>
        <v>552</v>
      </c>
    </row>
    <row r="477" spans="1:17" x14ac:dyDescent="0.25">
      <c r="A477" s="6" t="s">
        <v>1128</v>
      </c>
      <c r="B477" s="37" t="s">
        <v>1261</v>
      </c>
      <c r="C477" s="72">
        <f>IFERROR(VLOOKUP(A477,[1]eco_bus_institutions!B:E,2,0),"")</f>
        <v>42</v>
      </c>
      <c r="D477" s="72">
        <f>IFERROR(VLOOKUP(A477,[1]eco_bus_institutions!B:E,4,0),"")</f>
        <v>1.5991532070544281</v>
      </c>
      <c r="E477" s="73">
        <f t="shared" si="35"/>
        <v>425</v>
      </c>
      <c r="F477" s="40">
        <f>IFERROR(VLOOKUP(A477,[1]eco_institutions!B:D,2,0),"")</f>
        <v>19</v>
      </c>
      <c r="G477" s="40">
        <f>IFERROR(VLOOKUP(A477,[1]eco_institutions!B:E,4,0),"")</f>
        <v>1.93494102755704</v>
      </c>
      <c r="H477" s="14">
        <f t="shared" si="36"/>
        <v>162</v>
      </c>
      <c r="I477" s="46">
        <f>IFERROR(VLOOKUP(A477,[1]fin_institutions!B:D,2,0),"")</f>
        <v>6</v>
      </c>
      <c r="J477" s="41">
        <f>IFERROR(VLOOKUP(A477,[1]fin_institutions!B:E,4,0),"")</f>
        <v>1.1393373834737059</v>
      </c>
      <c r="K477" s="41">
        <f t="shared" si="37"/>
        <v>511</v>
      </c>
      <c r="L477" s="56">
        <f>IFERROR(VLOOKUP(A477,[1]bus_institutions!B:D,2,0),"")</f>
        <v>14</v>
      </c>
      <c r="M477" s="42">
        <f>IFERROR(VLOOKUP(A477,[1]bus_institutions!B:E,4,0),"")</f>
        <v>1.473883554217273</v>
      </c>
      <c r="N477" s="23">
        <f t="shared" si="38"/>
        <v>491</v>
      </c>
      <c r="O477" s="61">
        <f>IFERROR(VLOOKUP(A477,[1]man_institutions!B:E,2,0),"")</f>
        <v>11</v>
      </c>
      <c r="P477" s="62">
        <f>IFERROR(VLOOKUP(A477,[1]man_institutions!B:E,4,0),"")</f>
        <v>1.2887858112098629</v>
      </c>
      <c r="Q477" s="63">
        <f t="shared" si="39"/>
        <v>562</v>
      </c>
    </row>
    <row r="478" spans="1:17" x14ac:dyDescent="0.25">
      <c r="A478" s="6" t="s">
        <v>1066</v>
      </c>
      <c r="B478" s="37" t="s">
        <v>1271</v>
      </c>
      <c r="C478" s="72">
        <f>IFERROR(VLOOKUP(A478,[1]eco_bus_institutions!B:E,2,0),"")</f>
        <v>67</v>
      </c>
      <c r="D478" s="72">
        <f>IFERROR(VLOOKUP(A478,[1]eco_bus_institutions!B:E,4,0),"")</f>
        <v>1.646648022028526</v>
      </c>
      <c r="E478" s="73">
        <f t="shared" si="35"/>
        <v>404</v>
      </c>
      <c r="F478" s="40">
        <f>IFERROR(VLOOKUP(A478,[1]eco_institutions!B:D,2,0),"")</f>
        <v>35</v>
      </c>
      <c r="G478" s="40">
        <f>IFERROR(VLOOKUP(A478,[1]eco_institutions!B:E,4,0),"")</f>
        <v>1.554818343450638</v>
      </c>
      <c r="H478" s="14">
        <f t="shared" si="36"/>
        <v>275</v>
      </c>
      <c r="I478" s="46">
        <f>IFERROR(VLOOKUP(A478,[1]fin_institutions!B:D,2,0),"")</f>
        <v>9</v>
      </c>
      <c r="J478" s="41">
        <f>IFERROR(VLOOKUP(A478,[1]fin_institutions!B:E,4,0),"")</f>
        <v>1.316246341844743</v>
      </c>
      <c r="K478" s="41">
        <f t="shared" si="37"/>
        <v>386</v>
      </c>
      <c r="L478" s="56">
        <f>IFERROR(VLOOKUP(A478,[1]bus_institutions!B:D,2,0),"")</f>
        <v>17</v>
      </c>
      <c r="M478" s="42">
        <f>IFERROR(VLOOKUP(A478,[1]bus_institutions!B:E,4,0),"")</f>
        <v>1.761211667024192</v>
      </c>
      <c r="N478" s="23">
        <f t="shared" si="38"/>
        <v>398</v>
      </c>
      <c r="O478" s="61">
        <f>IFERROR(VLOOKUP(A478,[1]man_institutions!B:E,2,0),"")</f>
        <v>25</v>
      </c>
      <c r="P478" s="62">
        <f>IFERROR(VLOOKUP(A478,[1]man_institutions!B:E,4,0),"")</f>
        <v>2.0907445399514408</v>
      </c>
      <c r="Q478" s="63">
        <f t="shared" si="39"/>
        <v>378</v>
      </c>
    </row>
    <row r="479" spans="1:17" x14ac:dyDescent="0.25">
      <c r="A479" s="6" t="s">
        <v>1118</v>
      </c>
      <c r="B479" s="37" t="s">
        <v>1217</v>
      </c>
      <c r="C479" s="72">
        <f>IFERROR(VLOOKUP(A479,[1]eco_bus_institutions!B:E,2,0),"")</f>
        <v>43</v>
      </c>
      <c r="D479" s="72">
        <f>IFERROR(VLOOKUP(A479,[1]eco_bus_institutions!B:E,4,0),"")</f>
        <v>1.5615621036696901</v>
      </c>
      <c r="E479" s="73">
        <f t="shared" si="35"/>
        <v>446</v>
      </c>
      <c r="F479" s="40">
        <f>IFERROR(VLOOKUP(A479,[1]eco_institutions!B:D,2,0),"")</f>
        <v>29</v>
      </c>
      <c r="G479" s="40">
        <f>IFERROR(VLOOKUP(A479,[1]eco_institutions!B:E,4,0),"")</f>
        <v>1.3197454697925091</v>
      </c>
      <c r="H479" s="14">
        <f t="shared" si="36"/>
        <v>417</v>
      </c>
      <c r="I479" s="46">
        <f>IFERROR(VLOOKUP(A479,[1]fin_institutions!B:D,2,0),"")</f>
        <v>8</v>
      </c>
      <c r="J479" s="41">
        <f>IFERROR(VLOOKUP(A479,[1]fin_institutions!B:E,4,0),"")</f>
        <v>1.3648013492757349</v>
      </c>
      <c r="K479" s="41">
        <f t="shared" si="37"/>
        <v>354</v>
      </c>
      <c r="L479" s="56">
        <f>IFERROR(VLOOKUP(A479,[1]bus_institutions!B:D,2,0),"")</f>
        <v>8</v>
      </c>
      <c r="M479" s="42">
        <f>IFERROR(VLOOKUP(A479,[1]bus_institutions!B:E,4,0),"")</f>
        <v>2.1737470155363718</v>
      </c>
      <c r="N479" s="23">
        <f t="shared" si="38"/>
        <v>277</v>
      </c>
      <c r="O479" s="61">
        <f>IFERROR(VLOOKUP(A479,[1]man_institutions!B:E,2,0),"")</f>
        <v>7</v>
      </c>
      <c r="P479" s="62">
        <f>IFERROR(VLOOKUP(A479,[1]man_institutions!B:E,4,0),"")</f>
        <v>2.039539119914068</v>
      </c>
      <c r="Q479" s="63">
        <f t="shared" si="39"/>
        <v>397</v>
      </c>
    </row>
    <row r="480" spans="1:17" x14ac:dyDescent="0.25">
      <c r="A480" s="6" t="s">
        <v>1085</v>
      </c>
      <c r="B480" s="37" t="s">
        <v>1230</v>
      </c>
      <c r="C480" s="72">
        <f>IFERROR(VLOOKUP(A480,[1]eco_bus_institutions!B:E,2,0),"")</f>
        <v>104</v>
      </c>
      <c r="D480" s="72">
        <f>IFERROR(VLOOKUP(A480,[1]eco_bus_institutions!B:E,4,0),"")</f>
        <v>1.446264263407768</v>
      </c>
      <c r="E480" s="73">
        <f t="shared" si="35"/>
        <v>497</v>
      </c>
      <c r="F480" s="40">
        <f>IFERROR(VLOOKUP(A480,[1]eco_institutions!B:D,2,0),"")</f>
        <v>61</v>
      </c>
      <c r="G480" s="40">
        <f>IFERROR(VLOOKUP(A480,[1]eco_institutions!B:E,4,0),"")</f>
        <v>1.2085832086226891</v>
      </c>
      <c r="H480" s="14">
        <f t="shared" si="36"/>
        <v>508</v>
      </c>
      <c r="I480" s="46">
        <f>IFERROR(VLOOKUP(A480,[1]fin_institutions!B:D,2,0),"")</f>
        <v>10</v>
      </c>
      <c r="J480" s="41">
        <f>IFERROR(VLOOKUP(A480,[1]fin_institutions!B:E,4,0),"")</f>
        <v>1.354915285139207</v>
      </c>
      <c r="K480" s="41">
        <f t="shared" si="37"/>
        <v>360</v>
      </c>
      <c r="L480" s="56">
        <f>IFERROR(VLOOKUP(A480,[1]bus_institutions!B:D,2,0),"")</f>
        <v>23</v>
      </c>
      <c r="M480" s="42">
        <f>IFERROR(VLOOKUP(A480,[1]bus_institutions!B:E,4,0),"")</f>
        <v>2.0668754784991941</v>
      </c>
      <c r="N480" s="23">
        <f t="shared" si="38"/>
        <v>308</v>
      </c>
      <c r="O480" s="61">
        <f>IFERROR(VLOOKUP(A480,[1]man_institutions!B:E,2,0),"")</f>
        <v>34</v>
      </c>
      <c r="P480" s="62">
        <f>IFERROR(VLOOKUP(A480,[1]man_institutions!B:E,4,0),"")</f>
        <v>1.7327304837964339</v>
      </c>
      <c r="Q480" s="63">
        <f t="shared" si="39"/>
        <v>481</v>
      </c>
    </row>
    <row r="481" spans="1:17" x14ac:dyDescent="0.25">
      <c r="A481" s="6" t="s">
        <v>1076</v>
      </c>
      <c r="B481" s="37" t="s">
        <v>1225</v>
      </c>
      <c r="C481" s="72">
        <f>IFERROR(VLOOKUP(A481,[1]eco_bus_institutions!B:E,2,0),"")</f>
        <v>66</v>
      </c>
      <c r="D481" s="72">
        <f>IFERROR(VLOOKUP(A481,[1]eco_bus_institutions!B:E,4,0),"")</f>
        <v>1.560588844015925</v>
      </c>
      <c r="E481" s="73">
        <f t="shared" si="35"/>
        <v>447</v>
      </c>
      <c r="F481" s="40">
        <f>IFERROR(VLOOKUP(A481,[1]eco_institutions!B:D,2,0),"")</f>
        <v>33</v>
      </c>
      <c r="G481" s="40">
        <f>IFERROR(VLOOKUP(A481,[1]eco_institutions!B:E,4,0),"")</f>
        <v>1.303902711333887</v>
      </c>
      <c r="H481" s="14">
        <f t="shared" si="36"/>
        <v>431</v>
      </c>
      <c r="I481" s="46">
        <f>IFERROR(VLOOKUP(A481,[1]fin_institutions!B:D,2,0),"")</f>
        <v>5</v>
      </c>
      <c r="J481" s="41">
        <f>IFERROR(VLOOKUP(A481,[1]fin_institutions!B:E,4,0),"")</f>
        <v>1.2530804061359091</v>
      </c>
      <c r="K481" s="41">
        <f t="shared" si="37"/>
        <v>425</v>
      </c>
      <c r="L481" s="56">
        <f>IFERROR(VLOOKUP(A481,[1]bus_institutions!B:D,2,0),"")</f>
        <v>27</v>
      </c>
      <c r="M481" s="42">
        <f>IFERROR(VLOOKUP(A481,[1]bus_institutions!B:E,4,0),"")</f>
        <v>1.807216911053575</v>
      </c>
      <c r="N481" s="23">
        <f t="shared" si="38"/>
        <v>381</v>
      </c>
      <c r="O481" s="61">
        <f>IFERROR(VLOOKUP(A481,[1]man_institutions!B:E,2,0),"")</f>
        <v>12</v>
      </c>
      <c r="P481" s="62">
        <f>IFERROR(VLOOKUP(A481,[1]man_institutions!B:E,4,0),"")</f>
        <v>2.6809318285116981</v>
      </c>
      <c r="Q481" s="63">
        <f t="shared" si="39"/>
        <v>239</v>
      </c>
    </row>
    <row r="482" spans="1:17" x14ac:dyDescent="0.25">
      <c r="A482" s="6" t="s">
        <v>1092</v>
      </c>
      <c r="B482" s="37" t="s">
        <v>1217</v>
      </c>
      <c r="C482" s="72">
        <f>IFERROR(VLOOKUP(A482,[1]eco_bus_institutions!B:E,2,0),"")</f>
        <v>43</v>
      </c>
      <c r="D482" s="72">
        <f>IFERROR(VLOOKUP(A482,[1]eco_bus_institutions!B:E,4,0),"")</f>
        <v>1.542381688368855</v>
      </c>
      <c r="E482" s="73">
        <f t="shared" si="35"/>
        <v>460</v>
      </c>
      <c r="F482" s="40">
        <f>IFERROR(VLOOKUP(A482,[1]eco_institutions!B:D,2,0),"")</f>
        <v>19</v>
      </c>
      <c r="G482" s="40">
        <f>IFERROR(VLOOKUP(A482,[1]eco_institutions!B:E,4,0),"")</f>
        <v>1.236058708298772</v>
      </c>
      <c r="H482" s="14">
        <f t="shared" si="36"/>
        <v>487</v>
      </c>
      <c r="I482" s="46">
        <f>IFERROR(VLOOKUP(A482,[1]fin_institutions!B:D,2,0),"")</f>
        <v>6</v>
      </c>
      <c r="J482" s="41">
        <f>IFERROR(VLOOKUP(A482,[1]fin_institutions!B:E,4,0),"")</f>
        <v>1.1542635498100919</v>
      </c>
      <c r="K482" s="41">
        <f t="shared" si="37"/>
        <v>499</v>
      </c>
      <c r="L482" s="56">
        <f>IFERROR(VLOOKUP(A482,[1]bus_institutions!B:D,2,0),"")</f>
        <v>14</v>
      </c>
      <c r="M482" s="42">
        <f>IFERROR(VLOOKUP(A482,[1]bus_institutions!B:E,4,0),"")</f>
        <v>1.74693368930948</v>
      </c>
      <c r="N482" s="23">
        <f t="shared" si="38"/>
        <v>406</v>
      </c>
      <c r="O482" s="61">
        <f>IFERROR(VLOOKUP(A482,[1]man_institutions!B:E,2,0),"")</f>
        <v>12</v>
      </c>
      <c r="P482" s="62">
        <f>IFERROR(VLOOKUP(A482,[1]man_institutions!B:E,4,0),"")</f>
        <v>2.436965466644085</v>
      </c>
      <c r="Q482" s="63">
        <f t="shared" si="39"/>
        <v>291</v>
      </c>
    </row>
    <row r="483" spans="1:17" x14ac:dyDescent="0.25">
      <c r="A483" s="6" t="s">
        <v>1036</v>
      </c>
      <c r="B483" s="37" t="s">
        <v>1230</v>
      </c>
      <c r="C483" s="72">
        <f>IFERROR(VLOOKUP(A483,[1]eco_bus_institutions!B:E,2,0),"")</f>
        <v>73</v>
      </c>
      <c r="D483" s="72">
        <f>IFERROR(VLOOKUP(A483,[1]eco_bus_institutions!B:E,4,0),"")</f>
        <v>1.4409792446702581</v>
      </c>
      <c r="E483" s="73">
        <f t="shared" si="35"/>
        <v>499</v>
      </c>
      <c r="F483" s="40">
        <f>IFERROR(VLOOKUP(A483,[1]eco_institutions!B:D,2,0),"")</f>
        <v>19</v>
      </c>
      <c r="G483" s="40">
        <f>IFERROR(VLOOKUP(A483,[1]eco_institutions!B:E,4,0),"")</f>
        <v>1.0903558297185969</v>
      </c>
      <c r="H483" s="14">
        <f t="shared" si="36"/>
        <v>574</v>
      </c>
      <c r="I483" s="46">
        <f>IFERROR(VLOOKUP(A483,[1]fin_institutions!B:D,2,0),"")</f>
        <v>7</v>
      </c>
      <c r="J483" s="41">
        <f>IFERROR(VLOOKUP(A483,[1]fin_institutions!B:E,4,0),"")</f>
        <v>1.090150210570747</v>
      </c>
      <c r="K483" s="41">
        <f t="shared" si="37"/>
        <v>534</v>
      </c>
      <c r="L483" s="56">
        <f>IFERROR(VLOOKUP(A483,[1]bus_institutions!B:D,2,0),"")</f>
        <v>29</v>
      </c>
      <c r="M483" s="42">
        <f>IFERROR(VLOOKUP(A483,[1]bus_institutions!B:E,4,0),"")</f>
        <v>1.752137751587062</v>
      </c>
      <c r="N483" s="23">
        <f t="shared" si="38"/>
        <v>400</v>
      </c>
      <c r="O483" s="61">
        <f>IFERROR(VLOOKUP(A483,[1]man_institutions!B:E,2,0),"")</f>
        <v>36</v>
      </c>
      <c r="P483" s="62">
        <f>IFERROR(VLOOKUP(A483,[1]man_institutions!B:E,4,0),"")</f>
        <v>2.1127380176539599</v>
      </c>
      <c r="Q483" s="63">
        <f t="shared" si="39"/>
        <v>375</v>
      </c>
    </row>
    <row r="484" spans="1:17" x14ac:dyDescent="0.25">
      <c r="A484" s="6" t="s">
        <v>1148</v>
      </c>
      <c r="B484" s="37" t="s">
        <v>1230</v>
      </c>
      <c r="C484" s="72">
        <f>IFERROR(VLOOKUP(A484,[1]eco_bus_institutions!B:E,2,0),"")</f>
        <v>45</v>
      </c>
      <c r="D484" s="72">
        <f>IFERROR(VLOOKUP(A484,[1]eco_bus_institutions!B:E,4,0),"")</f>
        <v>1.307709451900432</v>
      </c>
      <c r="E484" s="73">
        <f t="shared" si="35"/>
        <v>552</v>
      </c>
      <c r="F484" s="40">
        <f>IFERROR(VLOOKUP(A484,[1]eco_institutions!B:D,2,0),"")</f>
        <v>26</v>
      </c>
      <c r="G484" s="40">
        <f>IFERROR(VLOOKUP(A484,[1]eco_institutions!B:E,4,0),"")</f>
        <v>1.2992743114080889</v>
      </c>
      <c r="H484" s="14">
        <f t="shared" si="36"/>
        <v>435</v>
      </c>
      <c r="I484" s="46">
        <f>IFERROR(VLOOKUP(A484,[1]fin_institutions!B:D,2,0),"")</f>
        <v>14</v>
      </c>
      <c r="J484" s="41">
        <f>IFERROR(VLOOKUP(A484,[1]fin_institutions!B:E,4,0),"")</f>
        <v>1.068917714758906</v>
      </c>
      <c r="K484" s="41">
        <f t="shared" si="37"/>
        <v>545</v>
      </c>
      <c r="L484" s="56">
        <f>IFERROR(VLOOKUP(A484,[1]bus_institutions!B:D,2,0),"")</f>
        <v>11</v>
      </c>
      <c r="M484" s="42">
        <f>IFERROR(VLOOKUP(A484,[1]bus_institutions!B:E,4,0),"")</f>
        <v>1.1844652772022151</v>
      </c>
      <c r="N484" s="23">
        <f t="shared" si="38"/>
        <v>552</v>
      </c>
      <c r="O484" s="61">
        <f>IFERROR(VLOOKUP(A484,[1]man_institutions!B:E,2,0),"")</f>
        <v>9</v>
      </c>
      <c r="P484" s="62">
        <f>IFERROR(VLOOKUP(A484,[1]man_institutions!B:E,4,0),"")</f>
        <v>1.702171696588997</v>
      </c>
      <c r="Q484" s="63">
        <f t="shared" si="39"/>
        <v>493</v>
      </c>
    </row>
    <row r="485" spans="1:17" x14ac:dyDescent="0.25">
      <c r="A485" s="6" t="s">
        <v>1080</v>
      </c>
      <c r="B485" s="37" t="s">
        <v>1222</v>
      </c>
      <c r="C485" s="72">
        <f>IFERROR(VLOOKUP(A485,[1]eco_bus_institutions!B:E,2,0),"")</f>
        <v>88</v>
      </c>
      <c r="D485" s="72">
        <f>IFERROR(VLOOKUP(A485,[1]eco_bus_institutions!B:E,4,0),"")</f>
        <v>1.520082451894462</v>
      </c>
      <c r="E485" s="73">
        <f t="shared" si="35"/>
        <v>470</v>
      </c>
      <c r="F485" s="40">
        <f>IFERROR(VLOOKUP(A485,[1]eco_institutions!B:D,2,0),"")</f>
        <v>62</v>
      </c>
      <c r="G485" s="40">
        <f>IFERROR(VLOOKUP(A485,[1]eco_institutions!B:E,4,0),"")</f>
        <v>1.366137162267683</v>
      </c>
      <c r="H485" s="14">
        <f t="shared" si="36"/>
        <v>389</v>
      </c>
      <c r="I485" s="46">
        <f>IFERROR(VLOOKUP(A485,[1]fin_institutions!B:D,2,0),"")</f>
        <v>11</v>
      </c>
      <c r="J485" s="41">
        <f>IFERROR(VLOOKUP(A485,[1]fin_institutions!B:E,4,0),"")</f>
        <v>1.239229722471263</v>
      </c>
      <c r="K485" s="41">
        <f t="shared" si="37"/>
        <v>437</v>
      </c>
      <c r="L485" s="56">
        <f>IFERROR(VLOOKUP(A485,[1]bus_institutions!B:D,2,0),"")</f>
        <v>23</v>
      </c>
      <c r="M485" s="42">
        <f>IFERROR(VLOOKUP(A485,[1]bus_institutions!B:E,4,0),"")</f>
        <v>1.906939738709639</v>
      </c>
      <c r="N485" s="23">
        <f t="shared" si="38"/>
        <v>350</v>
      </c>
      <c r="O485" s="61">
        <f>IFERROR(VLOOKUP(A485,[1]man_institutions!B:E,2,0),"")</f>
        <v>15</v>
      </c>
      <c r="P485" s="62">
        <f>IFERROR(VLOOKUP(A485,[1]man_institutions!B:E,4,0),"")</f>
        <v>1.982801164016522</v>
      </c>
      <c r="Q485" s="63">
        <f t="shared" si="39"/>
        <v>410</v>
      </c>
    </row>
    <row r="486" spans="1:17" x14ac:dyDescent="0.25">
      <c r="A486" s="6" t="s">
        <v>1084</v>
      </c>
      <c r="B486" s="37" t="s">
        <v>1251</v>
      </c>
      <c r="C486" s="72">
        <f>IFERROR(VLOOKUP(A486,[1]eco_bus_institutions!B:E,2,0),"")</f>
        <v>49</v>
      </c>
      <c r="D486" s="72">
        <f>IFERROR(VLOOKUP(A486,[1]eco_bus_institutions!B:E,4,0),"")</f>
        <v>1.347609611215391</v>
      </c>
      <c r="E486" s="73">
        <f t="shared" si="35"/>
        <v>540</v>
      </c>
      <c r="F486" s="40">
        <f>IFERROR(VLOOKUP(A486,[1]eco_institutions!B:D,2,0),"")</f>
        <v>24</v>
      </c>
      <c r="G486" s="40">
        <f>IFERROR(VLOOKUP(A486,[1]eco_institutions!B:E,4,0),"")</f>
        <v>1.1897768922414389</v>
      </c>
      <c r="H486" s="14">
        <f t="shared" si="36"/>
        <v>521</v>
      </c>
      <c r="I486" s="46">
        <f>IFERROR(VLOOKUP(A486,[1]fin_institutions!B:D,2,0),"")</f>
        <v>21</v>
      </c>
      <c r="J486" s="41">
        <f>IFERROR(VLOOKUP(A486,[1]fin_institutions!B:E,4,0),"")</f>
        <v>1.4919296858381019</v>
      </c>
      <c r="K486" s="41">
        <f t="shared" si="37"/>
        <v>292</v>
      </c>
      <c r="L486" s="56">
        <f>IFERROR(VLOOKUP(A486,[1]bus_institutions!B:D,2,0),"")</f>
        <v>10</v>
      </c>
      <c r="M486" s="42">
        <f>IFERROR(VLOOKUP(A486,[1]bus_institutions!B:E,4,0),"")</f>
        <v>1.240618636882753</v>
      </c>
      <c r="N486" s="23">
        <f t="shared" si="38"/>
        <v>541</v>
      </c>
      <c r="O486" s="61">
        <f>IFERROR(VLOOKUP(A486,[1]man_institutions!B:E,2,0),"")</f>
        <v>8</v>
      </c>
      <c r="P486" s="62">
        <f>IFERROR(VLOOKUP(A486,[1]man_institutions!B:E,4,0),"")</f>
        <v>1.242769196526281</v>
      </c>
      <c r="Q486" s="63">
        <f t="shared" si="39"/>
        <v>567</v>
      </c>
    </row>
    <row r="487" spans="1:17" x14ac:dyDescent="0.25">
      <c r="A487" s="6" t="s">
        <v>1116</v>
      </c>
      <c r="B487" s="37" t="s">
        <v>1220</v>
      </c>
      <c r="C487" s="72">
        <f>IFERROR(VLOOKUP(A487,[1]eco_bus_institutions!B:E,2,0),"")</f>
        <v>70</v>
      </c>
      <c r="D487" s="72">
        <f>IFERROR(VLOOKUP(A487,[1]eco_bus_institutions!B:E,4,0),"")</f>
        <v>1.431554449103434</v>
      </c>
      <c r="E487" s="73">
        <f t="shared" si="35"/>
        <v>506</v>
      </c>
      <c r="F487" s="40">
        <f>IFERROR(VLOOKUP(A487,[1]eco_institutions!B:D,2,0),"")</f>
        <v>28</v>
      </c>
      <c r="G487" s="40">
        <f>IFERROR(VLOOKUP(A487,[1]eco_institutions!B:E,4,0),"")</f>
        <v>1.207090590214152</v>
      </c>
      <c r="H487" s="14">
        <f t="shared" si="36"/>
        <v>510</v>
      </c>
      <c r="I487" s="46">
        <f>IFERROR(VLOOKUP(A487,[1]fin_institutions!B:D,2,0),"")</f>
        <v>7</v>
      </c>
      <c r="J487" s="41">
        <f>IFERROR(VLOOKUP(A487,[1]fin_institutions!B:E,4,0),"")</f>
        <v>1.148300111711331</v>
      </c>
      <c r="K487" s="41">
        <f t="shared" si="37"/>
        <v>504</v>
      </c>
      <c r="L487" s="56">
        <f>IFERROR(VLOOKUP(A487,[1]bus_institutions!B:D,2,0),"")</f>
        <v>34</v>
      </c>
      <c r="M487" s="42">
        <f>IFERROR(VLOOKUP(A487,[1]bus_institutions!B:E,4,0),"")</f>
        <v>1.6281732209275299</v>
      </c>
      <c r="N487" s="23">
        <f t="shared" si="38"/>
        <v>446</v>
      </c>
      <c r="O487" s="61">
        <f>IFERROR(VLOOKUP(A487,[1]man_institutions!B:E,2,0),"")</f>
        <v>47</v>
      </c>
      <c r="P487" s="62">
        <f>IFERROR(VLOOKUP(A487,[1]man_institutions!B:E,4,0),"")</f>
        <v>1.9673768818844759</v>
      </c>
      <c r="Q487" s="63">
        <f t="shared" si="39"/>
        <v>414</v>
      </c>
    </row>
    <row r="488" spans="1:17" x14ac:dyDescent="0.25">
      <c r="A488" s="6" t="s">
        <v>1142</v>
      </c>
      <c r="B488" s="37" t="s">
        <v>1222</v>
      </c>
      <c r="C488" s="72">
        <f>IFERROR(VLOOKUP(A488,[1]eco_bus_institutions!B:E,2,0),"")</f>
        <v>45</v>
      </c>
      <c r="D488" s="72">
        <f>IFERROR(VLOOKUP(A488,[1]eco_bus_institutions!B:E,4,0),"")</f>
        <v>1.4349280373186319</v>
      </c>
      <c r="E488" s="73">
        <f t="shared" si="35"/>
        <v>503</v>
      </c>
      <c r="F488" s="40">
        <f>IFERROR(VLOOKUP(A488,[1]eco_institutions!B:D,2,0),"")</f>
        <v>34</v>
      </c>
      <c r="G488" s="40">
        <f>IFERROR(VLOOKUP(A488,[1]eco_institutions!B:E,4,0),"")</f>
        <v>1.33021511016878</v>
      </c>
      <c r="H488" s="14">
        <f t="shared" si="36"/>
        <v>407</v>
      </c>
      <c r="I488" s="46" t="str">
        <f>IFERROR(VLOOKUP(A488,[1]fin_institutions!B:D,2,0),"")</f>
        <v/>
      </c>
      <c r="J488" s="41" t="str">
        <f>IFERROR(VLOOKUP(A488,[1]fin_institutions!B:E,4,0),"")</f>
        <v/>
      </c>
      <c r="K488" s="41" t="str">
        <f t="shared" si="37"/>
        <v/>
      </c>
      <c r="L488" s="56">
        <f>IFERROR(VLOOKUP(A488,[1]bus_institutions!B:D,2,0),"")</f>
        <v>6</v>
      </c>
      <c r="M488" s="42">
        <f>IFERROR(VLOOKUP(A488,[1]bus_institutions!B:E,4,0),"")</f>
        <v>1.845856613819836</v>
      </c>
      <c r="N488" s="23">
        <f t="shared" si="38"/>
        <v>370</v>
      </c>
      <c r="O488" s="61">
        <f>IFERROR(VLOOKUP(A488,[1]man_institutions!B:E,2,0),"")</f>
        <v>8</v>
      </c>
      <c r="P488" s="62">
        <f>IFERROR(VLOOKUP(A488,[1]man_institutions!B:E,4,0),"")</f>
        <v>2.0539064666094999</v>
      </c>
      <c r="Q488" s="63">
        <f t="shared" si="39"/>
        <v>393</v>
      </c>
    </row>
    <row r="489" spans="1:17" x14ac:dyDescent="0.25">
      <c r="A489" s="6" t="s">
        <v>1106</v>
      </c>
      <c r="B489" s="37" t="s">
        <v>1271</v>
      </c>
      <c r="C489" s="72">
        <f>IFERROR(VLOOKUP(A489,[1]eco_bus_institutions!B:E,2,0),"")</f>
        <v>48</v>
      </c>
      <c r="D489" s="72">
        <f>IFERROR(VLOOKUP(A489,[1]eco_bus_institutions!B:E,4,0),"")</f>
        <v>1.7139039047521241</v>
      </c>
      <c r="E489" s="73">
        <f t="shared" si="35"/>
        <v>376</v>
      </c>
      <c r="F489" s="40">
        <f>IFERROR(VLOOKUP(A489,[1]eco_institutions!B:D,2,0),"")</f>
        <v>44</v>
      </c>
      <c r="G489" s="40">
        <f>IFERROR(VLOOKUP(A489,[1]eco_institutions!B:E,4,0),"")</f>
        <v>1.602308619771023</v>
      </c>
      <c r="H489" s="14">
        <f t="shared" si="36"/>
        <v>262</v>
      </c>
      <c r="I489" s="46">
        <f>IFERROR(VLOOKUP(A489,[1]fin_institutions!B:D,2,0),"")</f>
        <v>8</v>
      </c>
      <c r="J489" s="41">
        <f>IFERROR(VLOOKUP(A489,[1]fin_institutions!B:E,4,0),"")</f>
        <v>1.243312877189511</v>
      </c>
      <c r="K489" s="41">
        <f t="shared" si="37"/>
        <v>434</v>
      </c>
      <c r="L489" s="56">
        <f>IFERROR(VLOOKUP(A489,[1]bus_institutions!B:D,2,0),"")</f>
        <v>3</v>
      </c>
      <c r="M489" s="42">
        <f>IFERROR(VLOOKUP(A489,[1]bus_institutions!B:E,4,0),"")</f>
        <v>1.6775737188161319</v>
      </c>
      <c r="N489" s="23">
        <f t="shared" si="38"/>
        <v>430</v>
      </c>
      <c r="O489" s="61">
        <f>IFERROR(VLOOKUP(A489,[1]man_institutions!B:E,2,0),"")</f>
        <v>8</v>
      </c>
      <c r="P489" s="62">
        <f>IFERROR(VLOOKUP(A489,[1]man_institutions!B:E,4,0),"")</f>
        <v>1.5895362152644139</v>
      </c>
      <c r="Q489" s="63">
        <f t="shared" si="39"/>
        <v>511</v>
      </c>
    </row>
    <row r="490" spans="1:17" x14ac:dyDescent="0.25">
      <c r="A490" s="6" t="s">
        <v>1150</v>
      </c>
      <c r="B490" s="37" t="s">
        <v>1227</v>
      </c>
      <c r="C490" s="72">
        <f>IFERROR(VLOOKUP(A490,[1]eco_bus_institutions!B:E,2,0),"")</f>
        <v>61</v>
      </c>
      <c r="D490" s="72">
        <f>IFERROR(VLOOKUP(A490,[1]eco_bus_institutions!B:E,4,0),"")</f>
        <v>1.5510234636737199</v>
      </c>
      <c r="E490" s="73">
        <f t="shared" si="35"/>
        <v>454</v>
      </c>
      <c r="F490" s="40">
        <f>IFERROR(VLOOKUP(A490,[1]eco_institutions!B:D,2,0),"")</f>
        <v>41</v>
      </c>
      <c r="G490" s="40">
        <f>IFERROR(VLOOKUP(A490,[1]eco_institutions!B:E,4,0),"")</f>
        <v>1.432627216740713</v>
      </c>
      <c r="H490" s="14">
        <f t="shared" si="36"/>
        <v>338</v>
      </c>
      <c r="I490" s="46">
        <f>IFERROR(VLOOKUP(A490,[1]fin_institutions!B:D,2,0),"")</f>
        <v>5</v>
      </c>
      <c r="J490" s="41">
        <f>IFERROR(VLOOKUP(A490,[1]fin_institutions!B:E,4,0),"")</f>
        <v>1.240501855213155</v>
      </c>
      <c r="K490" s="41">
        <f t="shared" si="37"/>
        <v>436</v>
      </c>
      <c r="L490" s="56">
        <f>IFERROR(VLOOKUP(A490,[1]bus_institutions!B:D,2,0),"")</f>
        <v>10</v>
      </c>
      <c r="M490" s="42">
        <f>IFERROR(VLOOKUP(A490,[1]bus_institutions!B:E,4,0),"")</f>
        <v>2.059032129904427</v>
      </c>
      <c r="N490" s="23">
        <f t="shared" si="38"/>
        <v>310</v>
      </c>
      <c r="O490" s="61">
        <f>IFERROR(VLOOKUP(A490,[1]man_institutions!B:E,2,0),"")</f>
        <v>12</v>
      </c>
      <c r="P490" s="62">
        <f>IFERROR(VLOOKUP(A490,[1]man_institutions!B:E,4,0),"")</f>
        <v>1.868668797278026</v>
      </c>
      <c r="Q490" s="63">
        <f t="shared" si="39"/>
        <v>440</v>
      </c>
    </row>
    <row r="491" spans="1:17" x14ac:dyDescent="0.25">
      <c r="A491" s="6" t="s">
        <v>1152</v>
      </c>
      <c r="B491" s="37" t="s">
        <v>1271</v>
      </c>
      <c r="C491" s="72">
        <f>IFERROR(VLOOKUP(A491,[1]eco_bus_institutions!B:E,2,0),"")</f>
        <v>52</v>
      </c>
      <c r="D491" s="72">
        <f>IFERROR(VLOOKUP(A491,[1]eco_bus_institutions!B:E,4,0),"")</f>
        <v>1.581978752022922</v>
      </c>
      <c r="E491" s="73">
        <f t="shared" si="35"/>
        <v>431</v>
      </c>
      <c r="F491" s="40">
        <f>IFERROR(VLOOKUP(A491,[1]eco_institutions!B:D,2,0),"")</f>
        <v>35</v>
      </c>
      <c r="G491" s="40">
        <f>IFERROR(VLOOKUP(A491,[1]eco_institutions!B:E,4,0),"")</f>
        <v>1.566852944969068</v>
      </c>
      <c r="H491" s="14">
        <f t="shared" si="36"/>
        <v>271</v>
      </c>
      <c r="I491" s="46">
        <f>IFERROR(VLOOKUP(A491,[1]fin_institutions!B:D,2,0),"")</f>
        <v>6</v>
      </c>
      <c r="J491" s="41">
        <f>IFERROR(VLOOKUP(A491,[1]fin_institutions!B:E,4,0),"")</f>
        <v>1.080426876429359</v>
      </c>
      <c r="K491" s="41">
        <f t="shared" si="37"/>
        <v>538</v>
      </c>
      <c r="L491" s="56">
        <f>IFERROR(VLOOKUP(A491,[1]bus_institutions!B:D,2,0),"")</f>
        <v>12</v>
      </c>
      <c r="M491" s="42">
        <f>IFERROR(VLOOKUP(A491,[1]bus_institutions!B:E,4,0),"")</f>
        <v>1.4711528396036271</v>
      </c>
      <c r="N491" s="23">
        <f t="shared" si="38"/>
        <v>493</v>
      </c>
      <c r="O491" s="61">
        <f>IFERROR(VLOOKUP(A491,[1]man_institutions!B:E,2,0),"")</f>
        <v>8</v>
      </c>
      <c r="P491" s="62">
        <f>IFERROR(VLOOKUP(A491,[1]man_institutions!B:E,4,0),"")</f>
        <v>1.6277456221635731</v>
      </c>
      <c r="Q491" s="63">
        <f t="shared" si="39"/>
        <v>506</v>
      </c>
    </row>
    <row r="492" spans="1:17" x14ac:dyDescent="0.25">
      <c r="A492" s="6" t="s">
        <v>1132</v>
      </c>
      <c r="B492" s="37" t="s">
        <v>1218</v>
      </c>
      <c r="C492" s="72">
        <f>IFERROR(VLOOKUP(A492,[1]eco_bus_institutions!B:E,2,0),"")</f>
        <v>386</v>
      </c>
      <c r="D492" s="72">
        <f>IFERROR(VLOOKUP(A492,[1]eco_bus_institutions!B:E,4,0),"")</f>
        <v>1.580407771757937</v>
      </c>
      <c r="E492" s="73">
        <f t="shared" si="35"/>
        <v>433</v>
      </c>
      <c r="F492" s="40">
        <f>IFERROR(VLOOKUP(A492,[1]eco_institutions!B:D,2,0),"")</f>
        <v>313</v>
      </c>
      <c r="G492" s="40">
        <f>IFERROR(VLOOKUP(A492,[1]eco_institutions!B:E,4,0),"")</f>
        <v>1.4651913504135869</v>
      </c>
      <c r="H492" s="14">
        <f t="shared" si="36"/>
        <v>319</v>
      </c>
      <c r="I492" s="46">
        <f>IFERROR(VLOOKUP(A492,[1]fin_institutions!B:D,2,0),"")</f>
        <v>34</v>
      </c>
      <c r="J492" s="41">
        <f>IFERROR(VLOOKUP(A492,[1]fin_institutions!B:E,4,0),"")</f>
        <v>1.195100565800969</v>
      </c>
      <c r="K492" s="41">
        <f t="shared" si="37"/>
        <v>468</v>
      </c>
      <c r="L492" s="56">
        <f>IFERROR(VLOOKUP(A492,[1]bus_institutions!B:D,2,0),"")</f>
        <v>33</v>
      </c>
      <c r="M492" s="42">
        <f>IFERROR(VLOOKUP(A492,[1]bus_institutions!B:E,4,0),"")</f>
        <v>2.0151980940610348</v>
      </c>
      <c r="N492" s="23">
        <f t="shared" si="38"/>
        <v>315</v>
      </c>
      <c r="O492" s="61">
        <f>IFERROR(VLOOKUP(A492,[1]man_institutions!B:E,2,0),"")</f>
        <v>61</v>
      </c>
      <c r="P492" s="62">
        <f>IFERROR(VLOOKUP(A492,[1]man_institutions!B:E,4,0),"")</f>
        <v>2.1275486478765111</v>
      </c>
      <c r="Q492" s="63">
        <f t="shared" si="39"/>
        <v>371</v>
      </c>
    </row>
    <row r="493" spans="1:17" x14ac:dyDescent="0.25">
      <c r="A493" s="6" t="s">
        <v>1129</v>
      </c>
      <c r="B493" s="37" t="s">
        <v>1218</v>
      </c>
      <c r="C493" s="72">
        <f>IFERROR(VLOOKUP(A493,[1]eco_bus_institutions!B:E,2,0),"")</f>
        <v>53</v>
      </c>
      <c r="D493" s="72">
        <f>IFERROR(VLOOKUP(A493,[1]eco_bus_institutions!B:E,4,0),"")</f>
        <v>1.5233515958173449</v>
      </c>
      <c r="E493" s="73">
        <f t="shared" si="35"/>
        <v>468</v>
      </c>
      <c r="F493" s="40">
        <f>IFERROR(VLOOKUP(A493,[1]eco_institutions!B:D,2,0),"")</f>
        <v>36</v>
      </c>
      <c r="G493" s="40">
        <f>IFERROR(VLOOKUP(A493,[1]eco_institutions!B:E,4,0),"")</f>
        <v>1.3498807753614439</v>
      </c>
      <c r="H493" s="14">
        <f t="shared" si="36"/>
        <v>393</v>
      </c>
      <c r="I493" s="46">
        <f>IFERROR(VLOOKUP(A493,[1]fin_institutions!B:D,2,0),"")</f>
        <v>6</v>
      </c>
      <c r="J493" s="41">
        <f>IFERROR(VLOOKUP(A493,[1]fin_institutions!B:E,4,0),"")</f>
        <v>1.466161293668315</v>
      </c>
      <c r="K493" s="41">
        <f t="shared" si="37"/>
        <v>306</v>
      </c>
      <c r="L493" s="56">
        <f>IFERROR(VLOOKUP(A493,[1]bus_institutions!B:D,2,0),"")</f>
        <v>9</v>
      </c>
      <c r="M493" s="42">
        <f>IFERROR(VLOOKUP(A493,[1]bus_institutions!B:E,4,0),"")</f>
        <v>1.703470241730852</v>
      </c>
      <c r="N493" s="23">
        <f t="shared" si="38"/>
        <v>422</v>
      </c>
      <c r="O493" s="61">
        <f>IFERROR(VLOOKUP(A493,[1]man_institutions!B:E,2,0),"")</f>
        <v>8</v>
      </c>
      <c r="P493" s="62">
        <f>IFERROR(VLOOKUP(A493,[1]man_institutions!B:E,4,0),"")</f>
        <v>2.9336647174144059</v>
      </c>
      <c r="Q493" s="63">
        <f t="shared" si="39"/>
        <v>198</v>
      </c>
    </row>
    <row r="494" spans="1:17" x14ac:dyDescent="0.25">
      <c r="A494" s="6" t="s">
        <v>1130</v>
      </c>
      <c r="B494" s="37" t="s">
        <v>1271</v>
      </c>
      <c r="C494" s="72">
        <f>IFERROR(VLOOKUP(A494,[1]eco_bus_institutions!B:E,2,0),"")</f>
        <v>39</v>
      </c>
      <c r="D494" s="72">
        <f>IFERROR(VLOOKUP(A494,[1]eco_bus_institutions!B:E,4,0),"")</f>
        <v>1.734587376012108</v>
      </c>
      <c r="E494" s="73">
        <f t="shared" si="35"/>
        <v>366</v>
      </c>
      <c r="F494" s="40">
        <f>IFERROR(VLOOKUP(A494,[1]eco_institutions!B:D,2,0),"")</f>
        <v>31</v>
      </c>
      <c r="G494" s="40">
        <f>IFERROR(VLOOKUP(A494,[1]eco_institutions!B:E,4,0),"")</f>
        <v>1.629456773582151</v>
      </c>
      <c r="H494" s="14">
        <f t="shared" si="36"/>
        <v>251</v>
      </c>
      <c r="I494" s="46">
        <f>IFERROR(VLOOKUP(A494,[1]fin_institutions!B:D,2,0),"")</f>
        <v>8</v>
      </c>
      <c r="J494" s="41">
        <f>IFERROR(VLOOKUP(A494,[1]fin_institutions!B:E,4,0),"")</f>
        <v>2.0558619134363112</v>
      </c>
      <c r="K494" s="41">
        <f t="shared" si="37"/>
        <v>147</v>
      </c>
      <c r="L494" s="56">
        <f>IFERROR(VLOOKUP(A494,[1]bus_institutions!B:D,2,0),"")</f>
        <v>6</v>
      </c>
      <c r="M494" s="42">
        <f>IFERROR(VLOOKUP(A494,[1]bus_institutions!B:E,4,0),"")</f>
        <v>1.612739140192184</v>
      </c>
      <c r="N494" s="23">
        <f t="shared" si="38"/>
        <v>453</v>
      </c>
      <c r="O494" s="61">
        <f>IFERROR(VLOOKUP(A494,[1]man_institutions!B:E,2,0),"")</f>
        <v>5</v>
      </c>
      <c r="P494" s="62">
        <f>IFERROR(VLOOKUP(A494,[1]man_institutions!B:E,4,0),"")</f>
        <v>2.445623978167426</v>
      </c>
      <c r="Q494" s="63">
        <f t="shared" si="39"/>
        <v>289</v>
      </c>
    </row>
    <row r="495" spans="1:17" x14ac:dyDescent="0.25">
      <c r="A495" s="6" t="s">
        <v>1119</v>
      </c>
      <c r="B495" s="37" t="s">
        <v>1216</v>
      </c>
      <c r="C495" s="72">
        <f>IFERROR(VLOOKUP(A495,[1]eco_bus_institutions!B:E,2,0),"")</f>
        <v>119</v>
      </c>
      <c r="D495" s="72">
        <f>IFERROR(VLOOKUP(A495,[1]eco_bus_institutions!B:E,4,0),"")</f>
        <v>1.696588710271117</v>
      </c>
      <c r="E495" s="73">
        <f t="shared" si="35"/>
        <v>385</v>
      </c>
      <c r="F495" s="40">
        <f>IFERROR(VLOOKUP(A495,[1]eco_institutions!B:D,2,0),"")</f>
        <v>76</v>
      </c>
      <c r="G495" s="40">
        <f>IFERROR(VLOOKUP(A495,[1]eco_institutions!B:E,4,0),"")</f>
        <v>1.72393243785504</v>
      </c>
      <c r="H495" s="14">
        <f t="shared" si="36"/>
        <v>214</v>
      </c>
      <c r="I495" s="46">
        <f>IFERROR(VLOOKUP(A495,[1]fin_institutions!B:D,2,0),"")</f>
        <v>16</v>
      </c>
      <c r="J495" s="41">
        <f>IFERROR(VLOOKUP(A495,[1]fin_institutions!B:E,4,0),"")</f>
        <v>1.406594394963359</v>
      </c>
      <c r="K495" s="41">
        <f t="shared" si="37"/>
        <v>333</v>
      </c>
      <c r="L495" s="56">
        <f>IFERROR(VLOOKUP(A495,[1]bus_institutions!B:D,2,0),"")</f>
        <v>27</v>
      </c>
      <c r="M495" s="42">
        <f>IFERROR(VLOOKUP(A495,[1]bus_institutions!B:E,4,0),"")</f>
        <v>1.630839292167364</v>
      </c>
      <c r="N495" s="23">
        <f t="shared" si="38"/>
        <v>445</v>
      </c>
      <c r="O495" s="61">
        <f>IFERROR(VLOOKUP(A495,[1]man_institutions!B:E,2,0),"")</f>
        <v>21</v>
      </c>
      <c r="P495" s="62">
        <f>IFERROR(VLOOKUP(A495,[1]man_institutions!B:E,4,0),"")</f>
        <v>1.934783326054307</v>
      </c>
      <c r="Q495" s="63">
        <f t="shared" si="39"/>
        <v>421</v>
      </c>
    </row>
    <row r="496" spans="1:17" x14ac:dyDescent="0.25">
      <c r="A496" s="6" t="s">
        <v>1077</v>
      </c>
      <c r="B496" s="37" t="s">
        <v>1234</v>
      </c>
      <c r="C496" s="72">
        <f>IFERROR(VLOOKUP(A496,[1]eco_bus_institutions!B:E,2,0),"")</f>
        <v>42</v>
      </c>
      <c r="D496" s="72">
        <f>IFERROR(VLOOKUP(A496,[1]eco_bus_institutions!B:E,4,0),"")</f>
        <v>1.5997109244424881</v>
      </c>
      <c r="E496" s="73">
        <f t="shared" si="35"/>
        <v>424</v>
      </c>
      <c r="F496" s="40">
        <f>IFERROR(VLOOKUP(A496,[1]eco_institutions!B:D,2,0),"")</f>
        <v>17</v>
      </c>
      <c r="G496" s="40">
        <f>IFERROR(VLOOKUP(A496,[1]eco_institutions!B:E,4,0),"")</f>
        <v>1.4747641785048711</v>
      </c>
      <c r="H496" s="14">
        <f t="shared" si="36"/>
        <v>314</v>
      </c>
      <c r="I496" s="46">
        <f>IFERROR(VLOOKUP(A496,[1]fin_institutions!B:D,2,0),"")</f>
        <v>8</v>
      </c>
      <c r="J496" s="41">
        <f>IFERROR(VLOOKUP(A496,[1]fin_institutions!B:E,4,0),"")</f>
        <v>1.1581728096963171</v>
      </c>
      <c r="K496" s="41">
        <f t="shared" si="37"/>
        <v>496</v>
      </c>
      <c r="L496" s="56">
        <f>IFERROR(VLOOKUP(A496,[1]bus_institutions!B:D,2,0),"")</f>
        <v>15</v>
      </c>
      <c r="M496" s="42">
        <f>IFERROR(VLOOKUP(A496,[1]bus_institutions!B:E,4,0),"")</f>
        <v>1.7477782041947789</v>
      </c>
      <c r="N496" s="23">
        <f t="shared" si="38"/>
        <v>405</v>
      </c>
      <c r="O496" s="61">
        <f>IFERROR(VLOOKUP(A496,[1]man_institutions!B:E,2,0),"")</f>
        <v>8</v>
      </c>
      <c r="P496" s="62">
        <f>IFERROR(VLOOKUP(A496,[1]man_institutions!B:E,4,0),"")</f>
        <v>3.1884021836921912</v>
      </c>
      <c r="Q496" s="63">
        <f t="shared" si="39"/>
        <v>169</v>
      </c>
    </row>
    <row r="497" spans="1:17" x14ac:dyDescent="0.25">
      <c r="A497" s="6" t="s">
        <v>1133</v>
      </c>
      <c r="B497" s="37" t="s">
        <v>1233</v>
      </c>
      <c r="C497" s="72">
        <f>IFERROR(VLOOKUP(A497,[1]eco_bus_institutions!B:E,2,0),"")</f>
        <v>46</v>
      </c>
      <c r="D497" s="72">
        <f>IFERROR(VLOOKUP(A497,[1]eco_bus_institutions!B:E,4,0),"")</f>
        <v>1.3476934470140709</v>
      </c>
      <c r="E497" s="73">
        <f t="shared" si="35"/>
        <v>539</v>
      </c>
      <c r="F497" s="40">
        <f>IFERROR(VLOOKUP(A497,[1]eco_institutions!B:D,2,0),"")</f>
        <v>19</v>
      </c>
      <c r="G497" s="40">
        <f>IFERROR(VLOOKUP(A497,[1]eco_institutions!B:E,4,0),"")</f>
        <v>1.110877203915497</v>
      </c>
      <c r="H497" s="14">
        <f t="shared" si="36"/>
        <v>567</v>
      </c>
      <c r="I497" s="46">
        <f>IFERROR(VLOOKUP(A497,[1]fin_institutions!B:D,2,0),"")</f>
        <v>4</v>
      </c>
      <c r="J497" s="41">
        <f>IFERROR(VLOOKUP(A497,[1]fin_institutions!B:E,4,0),"")</f>
        <v>1.054899311883897</v>
      </c>
      <c r="K497" s="41">
        <f t="shared" si="37"/>
        <v>553</v>
      </c>
      <c r="L497" s="56">
        <f>IFERROR(VLOOKUP(A497,[1]bus_institutions!B:D,2,0),"")</f>
        <v>14</v>
      </c>
      <c r="M497" s="42">
        <f>IFERROR(VLOOKUP(A497,[1]bus_institutions!B:E,4,0),"")</f>
        <v>1.7349048078482769</v>
      </c>
      <c r="N497" s="23">
        <f t="shared" si="38"/>
        <v>412</v>
      </c>
      <c r="O497" s="61">
        <f>IFERROR(VLOOKUP(A497,[1]man_institutions!B:E,2,0),"")</f>
        <v>21</v>
      </c>
      <c r="P497" s="62">
        <f>IFERROR(VLOOKUP(A497,[1]man_institutions!B:E,4,0),"")</f>
        <v>1.8363381741748861</v>
      </c>
      <c r="Q497" s="63">
        <f t="shared" si="39"/>
        <v>449</v>
      </c>
    </row>
    <row r="498" spans="1:17" x14ac:dyDescent="0.25">
      <c r="A498" s="6" t="s">
        <v>1110</v>
      </c>
      <c r="B498" s="37" t="s">
        <v>1243</v>
      </c>
      <c r="C498" s="72">
        <f>IFERROR(VLOOKUP(A498,[1]eco_bus_institutions!B:E,2,0),"")</f>
        <v>65</v>
      </c>
      <c r="D498" s="72">
        <f>IFERROR(VLOOKUP(A498,[1]eco_bus_institutions!B:E,4,0),"")</f>
        <v>1.37215529951798</v>
      </c>
      <c r="E498" s="73">
        <f t="shared" si="35"/>
        <v>534</v>
      </c>
      <c r="F498" s="40">
        <f>IFERROR(VLOOKUP(A498,[1]eco_institutions!B:D,2,0),"")</f>
        <v>26</v>
      </c>
      <c r="G498" s="40">
        <f>IFERROR(VLOOKUP(A498,[1]eco_institutions!B:E,4,0),"")</f>
        <v>1.2209513016547731</v>
      </c>
      <c r="H498" s="14">
        <f t="shared" si="36"/>
        <v>497</v>
      </c>
      <c r="I498" s="46">
        <f>IFERROR(VLOOKUP(A498,[1]fin_institutions!B:D,2,0),"")</f>
        <v>20</v>
      </c>
      <c r="J498" s="41">
        <f>IFERROR(VLOOKUP(A498,[1]fin_institutions!B:E,4,0),"")</f>
        <v>1.153361017257986</v>
      </c>
      <c r="K498" s="41">
        <f t="shared" si="37"/>
        <v>500</v>
      </c>
      <c r="L498" s="56">
        <f>IFERROR(VLOOKUP(A498,[1]bus_institutions!B:D,2,0),"")</f>
        <v>19</v>
      </c>
      <c r="M498" s="42">
        <f>IFERROR(VLOOKUP(A498,[1]bus_institutions!B:E,4,0),"")</f>
        <v>1.829987382710907</v>
      </c>
      <c r="N498" s="23">
        <f t="shared" si="38"/>
        <v>377</v>
      </c>
      <c r="O498" s="61">
        <f>IFERROR(VLOOKUP(A498,[1]man_institutions!B:E,2,0),"")</f>
        <v>19</v>
      </c>
      <c r="P498" s="62">
        <f>IFERROR(VLOOKUP(A498,[1]man_institutions!B:E,4,0),"")</f>
        <v>1.6518312788701139</v>
      </c>
      <c r="Q498" s="63">
        <f t="shared" si="39"/>
        <v>505</v>
      </c>
    </row>
    <row r="499" spans="1:17" x14ac:dyDescent="0.25">
      <c r="A499" s="6" t="s">
        <v>1131</v>
      </c>
      <c r="B499" s="37" t="s">
        <v>1218</v>
      </c>
      <c r="C499" s="72">
        <f>IFERROR(VLOOKUP(A499,[1]eco_bus_institutions!B:E,2,0),"")</f>
        <v>80</v>
      </c>
      <c r="D499" s="72">
        <f>IFERROR(VLOOKUP(A499,[1]eco_bus_institutions!B:E,4,0),"")</f>
        <v>1.521006772889028</v>
      </c>
      <c r="E499" s="73">
        <f t="shared" si="35"/>
        <v>469</v>
      </c>
      <c r="F499" s="40">
        <f>IFERROR(VLOOKUP(A499,[1]eco_institutions!B:D,2,0),"")</f>
        <v>58</v>
      </c>
      <c r="G499" s="40">
        <f>IFERROR(VLOOKUP(A499,[1]eco_institutions!B:E,4,0),"")</f>
        <v>1.4731024955744769</v>
      </c>
      <c r="H499" s="14">
        <f t="shared" si="36"/>
        <v>316</v>
      </c>
      <c r="I499" s="46">
        <f>IFERROR(VLOOKUP(A499,[1]fin_institutions!B:D,2,0),"")</f>
        <v>7</v>
      </c>
      <c r="J499" s="41">
        <f>IFERROR(VLOOKUP(A499,[1]fin_institutions!B:E,4,0),"")</f>
        <v>1.1592978342796361</v>
      </c>
      <c r="K499" s="41">
        <f t="shared" si="37"/>
        <v>494</v>
      </c>
      <c r="L499" s="56">
        <f>IFERROR(VLOOKUP(A499,[1]bus_institutions!B:D,2,0),"")</f>
        <v>16</v>
      </c>
      <c r="M499" s="42">
        <f>IFERROR(VLOOKUP(A499,[1]bus_institutions!B:E,4,0),"")</f>
        <v>1.4820899189137939</v>
      </c>
      <c r="N499" s="23">
        <f t="shared" si="38"/>
        <v>487</v>
      </c>
      <c r="O499" s="61">
        <f>IFERROR(VLOOKUP(A499,[1]man_institutions!B:E,2,0),"")</f>
        <v>16</v>
      </c>
      <c r="P499" s="62">
        <f>IFERROR(VLOOKUP(A499,[1]man_institutions!B:E,4,0),"")</f>
        <v>2.0296944937371921</v>
      </c>
      <c r="Q499" s="63">
        <f t="shared" si="39"/>
        <v>402</v>
      </c>
    </row>
    <row r="500" spans="1:17" x14ac:dyDescent="0.25">
      <c r="A500" s="6" t="s">
        <v>1134</v>
      </c>
      <c r="B500" s="37" t="s">
        <v>1254</v>
      </c>
      <c r="C500" s="72">
        <f>IFERROR(VLOOKUP(A500,[1]eco_bus_institutions!B:E,2,0),"")</f>
        <v>68</v>
      </c>
      <c r="D500" s="72">
        <f>IFERROR(VLOOKUP(A500,[1]eco_bus_institutions!B:E,4,0),"")</f>
        <v>1.4217821789412839</v>
      </c>
      <c r="E500" s="73">
        <f t="shared" si="35"/>
        <v>513</v>
      </c>
      <c r="F500" s="40">
        <f>IFERROR(VLOOKUP(A500,[1]eco_institutions!B:D,2,0),"")</f>
        <v>33</v>
      </c>
      <c r="G500" s="40">
        <f>IFERROR(VLOOKUP(A500,[1]eco_institutions!B:E,4,0),"")</f>
        <v>1.339925602314199</v>
      </c>
      <c r="H500" s="14">
        <f t="shared" si="36"/>
        <v>398</v>
      </c>
      <c r="I500" s="46">
        <f>IFERROR(VLOOKUP(A500,[1]fin_institutions!B:D,2,0),"")</f>
        <v>27</v>
      </c>
      <c r="J500" s="41">
        <f>IFERROR(VLOOKUP(A500,[1]fin_institutions!B:E,4,0),"")</f>
        <v>1.729346945998061</v>
      </c>
      <c r="K500" s="41">
        <f t="shared" si="37"/>
        <v>211</v>
      </c>
      <c r="L500" s="56">
        <f>IFERROR(VLOOKUP(A500,[1]bus_institutions!B:D,2,0),"")</f>
        <v>17</v>
      </c>
      <c r="M500" s="42">
        <f>IFERROR(VLOOKUP(A500,[1]bus_institutions!B:E,4,0),"")</f>
        <v>1.2529745981608791</v>
      </c>
      <c r="N500" s="23">
        <f t="shared" si="38"/>
        <v>539</v>
      </c>
      <c r="O500" s="61">
        <f>IFERROR(VLOOKUP(A500,[1]man_institutions!B:E,2,0),"")</f>
        <v>14</v>
      </c>
      <c r="P500" s="62">
        <f>IFERROR(VLOOKUP(A500,[1]man_institutions!B:E,4,0),"")</f>
        <v>1.3577357928691109</v>
      </c>
      <c r="Q500" s="63">
        <f t="shared" si="39"/>
        <v>554</v>
      </c>
    </row>
    <row r="501" spans="1:17" x14ac:dyDescent="0.25">
      <c r="A501" s="6" t="s">
        <v>1113</v>
      </c>
      <c r="B501" s="37" t="s">
        <v>1254</v>
      </c>
      <c r="C501" s="72">
        <f>IFERROR(VLOOKUP(A501,[1]eco_bus_institutions!B:E,2,0),"")</f>
        <v>85</v>
      </c>
      <c r="D501" s="72">
        <f>IFERROR(VLOOKUP(A501,[1]eco_bus_institutions!B:E,4,0),"")</f>
        <v>1.434553055603937</v>
      </c>
      <c r="E501" s="73">
        <f t="shared" si="35"/>
        <v>504</v>
      </c>
      <c r="F501" s="40">
        <f>IFERROR(VLOOKUP(A501,[1]eco_institutions!B:D,2,0),"")</f>
        <v>41</v>
      </c>
      <c r="G501" s="40">
        <f>IFERROR(VLOOKUP(A501,[1]eco_institutions!B:E,4,0),"")</f>
        <v>1.2699468827654059</v>
      </c>
      <c r="H501" s="14">
        <f t="shared" si="36"/>
        <v>459</v>
      </c>
      <c r="I501" s="46">
        <f>IFERROR(VLOOKUP(A501,[1]fin_institutions!B:D,2,0),"")</f>
        <v>21</v>
      </c>
      <c r="J501" s="41">
        <f>IFERROR(VLOOKUP(A501,[1]fin_institutions!B:E,4,0),"")</f>
        <v>1.4697631914066549</v>
      </c>
      <c r="K501" s="41">
        <f t="shared" si="37"/>
        <v>305</v>
      </c>
      <c r="L501" s="56">
        <f>IFERROR(VLOOKUP(A501,[1]bus_institutions!B:D,2,0),"")</f>
        <v>29</v>
      </c>
      <c r="M501" s="42">
        <f>IFERROR(VLOOKUP(A501,[1]bus_institutions!B:E,4,0),"")</f>
        <v>1.3481919359395911</v>
      </c>
      <c r="N501" s="23">
        <f t="shared" si="38"/>
        <v>520</v>
      </c>
      <c r="O501" s="61">
        <f>IFERROR(VLOOKUP(A501,[1]man_institutions!B:E,2,0),"")</f>
        <v>15</v>
      </c>
      <c r="P501" s="62">
        <f>IFERROR(VLOOKUP(A501,[1]man_institutions!B:E,4,0),"")</f>
        <v>2.0695072088059612</v>
      </c>
      <c r="Q501" s="63">
        <f t="shared" si="39"/>
        <v>387</v>
      </c>
    </row>
    <row r="502" spans="1:17" x14ac:dyDescent="0.25">
      <c r="A502" s="6" t="s">
        <v>1082</v>
      </c>
      <c r="B502" s="37" t="s">
        <v>1220</v>
      </c>
      <c r="C502" s="72">
        <f>IFERROR(VLOOKUP(A502,[1]eco_bus_institutions!B:E,2,0),"")</f>
        <v>38</v>
      </c>
      <c r="D502" s="72">
        <f>IFERROR(VLOOKUP(A502,[1]eco_bus_institutions!B:E,4,0),"")</f>
        <v>1.5099328120816711</v>
      </c>
      <c r="E502" s="73">
        <f t="shared" si="35"/>
        <v>471</v>
      </c>
      <c r="F502" s="40">
        <f>IFERROR(VLOOKUP(A502,[1]eco_institutions!B:D,2,0),"")</f>
        <v>23</v>
      </c>
      <c r="G502" s="40">
        <f>IFERROR(VLOOKUP(A502,[1]eco_institutions!B:E,4,0),"")</f>
        <v>1.4218000314001999</v>
      </c>
      <c r="H502" s="14">
        <f t="shared" si="36"/>
        <v>344</v>
      </c>
      <c r="I502" s="46" t="str">
        <f>IFERROR(VLOOKUP(A502,[1]fin_institutions!B:D,2,0),"")</f>
        <v/>
      </c>
      <c r="J502" s="41" t="str">
        <f>IFERROR(VLOOKUP(A502,[1]fin_institutions!B:E,4,0),"")</f>
        <v/>
      </c>
      <c r="K502" s="41" t="str">
        <f t="shared" si="37"/>
        <v/>
      </c>
      <c r="L502" s="56" t="str">
        <f>IFERROR(VLOOKUP(A502,[1]bus_institutions!B:D,2,0),"")</f>
        <v/>
      </c>
      <c r="M502" s="42" t="str">
        <f>IFERROR(VLOOKUP(A502,[1]bus_institutions!B:E,4,0),"")</f>
        <v/>
      </c>
      <c r="N502" s="23" t="str">
        <f t="shared" si="38"/>
        <v/>
      </c>
      <c r="O502" s="61">
        <f>IFERROR(VLOOKUP(A502,[1]man_institutions!B:E,2,0),"")</f>
        <v>16</v>
      </c>
      <c r="P502" s="62">
        <f>IFERROR(VLOOKUP(A502,[1]man_institutions!B:E,4,0),"")</f>
        <v>2.2183660102782512</v>
      </c>
      <c r="Q502" s="63">
        <f t="shared" si="39"/>
        <v>344</v>
      </c>
    </row>
    <row r="503" spans="1:17" x14ac:dyDescent="0.25">
      <c r="A503" s="6" t="s">
        <v>1105</v>
      </c>
      <c r="B503" s="37" t="s">
        <v>1237</v>
      </c>
      <c r="C503" s="72">
        <f>IFERROR(VLOOKUP(A503,[1]eco_bus_institutions!B:E,2,0),"")</f>
        <v>53</v>
      </c>
      <c r="D503" s="72">
        <f>IFERROR(VLOOKUP(A503,[1]eco_bus_institutions!B:E,4,0),"")</f>
        <v>1.4583094526678519</v>
      </c>
      <c r="E503" s="73">
        <f t="shared" si="35"/>
        <v>493</v>
      </c>
      <c r="F503" s="40">
        <f>IFERROR(VLOOKUP(A503,[1]eco_institutions!B:D,2,0),"")</f>
        <v>25</v>
      </c>
      <c r="G503" s="40">
        <f>IFERROR(VLOOKUP(A503,[1]eco_institutions!B:E,4,0),"")</f>
        <v>1.207251751745835</v>
      </c>
      <c r="H503" s="14">
        <f t="shared" si="36"/>
        <v>509</v>
      </c>
      <c r="I503" s="46">
        <f>IFERROR(VLOOKUP(A503,[1]fin_institutions!B:D,2,0),"")</f>
        <v>15</v>
      </c>
      <c r="J503" s="41">
        <f>IFERROR(VLOOKUP(A503,[1]fin_institutions!B:E,4,0),"")</f>
        <v>1.585830814407134</v>
      </c>
      <c r="K503" s="41">
        <f t="shared" si="37"/>
        <v>253</v>
      </c>
      <c r="L503" s="56">
        <f>IFERROR(VLOOKUP(A503,[1]bus_institutions!B:D,2,0),"")</f>
        <v>14</v>
      </c>
      <c r="M503" s="42">
        <f>IFERROR(VLOOKUP(A503,[1]bus_institutions!B:E,4,0),"")</f>
        <v>1.477176466754504</v>
      </c>
      <c r="N503" s="23">
        <f t="shared" si="38"/>
        <v>490</v>
      </c>
      <c r="O503" s="61">
        <f>IFERROR(VLOOKUP(A503,[1]man_institutions!B:E,2,0),"")</f>
        <v>13</v>
      </c>
      <c r="P503" s="62">
        <f>IFERROR(VLOOKUP(A503,[1]man_institutions!B:E,4,0),"")</f>
        <v>1.7199406814696829</v>
      </c>
      <c r="Q503" s="63">
        <f t="shared" si="39"/>
        <v>484</v>
      </c>
    </row>
    <row r="504" spans="1:17" x14ac:dyDescent="0.25">
      <c r="A504" s="6" t="s">
        <v>1070</v>
      </c>
      <c r="B504" s="37" t="s">
        <v>1216</v>
      </c>
      <c r="C504" s="72">
        <f>IFERROR(VLOOKUP(A504,[1]eco_bus_institutions!B:E,2,0),"")</f>
        <v>42</v>
      </c>
      <c r="D504" s="72">
        <f>IFERROR(VLOOKUP(A504,[1]eco_bus_institutions!B:E,4,0),"")</f>
        <v>1.641071439792593</v>
      </c>
      <c r="E504" s="73">
        <f t="shared" si="35"/>
        <v>407</v>
      </c>
      <c r="F504" s="40">
        <f>IFERROR(VLOOKUP(A504,[1]eco_institutions!B:D,2,0),"")</f>
        <v>11</v>
      </c>
      <c r="G504" s="40">
        <f>IFERROR(VLOOKUP(A504,[1]eco_institutions!B:E,4,0),"")</f>
        <v>1.2822781760170019</v>
      </c>
      <c r="H504" s="14">
        <f t="shared" si="36"/>
        <v>449</v>
      </c>
      <c r="I504" s="46" t="str">
        <f>IFERROR(VLOOKUP(A504,[1]fin_institutions!B:D,2,0),"")</f>
        <v/>
      </c>
      <c r="J504" s="41" t="str">
        <f>IFERROR(VLOOKUP(A504,[1]fin_institutions!B:E,4,0),"")</f>
        <v/>
      </c>
      <c r="K504" s="41" t="str">
        <f t="shared" si="37"/>
        <v/>
      </c>
      <c r="L504" s="56">
        <f>IFERROR(VLOOKUP(A504,[1]bus_institutions!B:D,2,0),"")</f>
        <v>15</v>
      </c>
      <c r="M504" s="42">
        <f>IFERROR(VLOOKUP(A504,[1]bus_institutions!B:E,4,0),"")</f>
        <v>1.782026898443164</v>
      </c>
      <c r="N504" s="23">
        <f t="shared" si="38"/>
        <v>388</v>
      </c>
      <c r="O504" s="61">
        <f>IFERROR(VLOOKUP(A504,[1]man_institutions!B:E,2,0),"")</f>
        <v>25</v>
      </c>
      <c r="P504" s="62">
        <f>IFERROR(VLOOKUP(A504,[1]man_institutions!B:E,4,0),"")</f>
        <v>2.2599464615651579</v>
      </c>
      <c r="Q504" s="63">
        <f t="shared" si="39"/>
        <v>334</v>
      </c>
    </row>
    <row r="505" spans="1:17" x14ac:dyDescent="0.25">
      <c r="A505" s="6" t="s">
        <v>1117</v>
      </c>
      <c r="B505" s="37" t="s">
        <v>1224</v>
      </c>
      <c r="C505" s="72">
        <f>IFERROR(VLOOKUP(A505,[1]eco_bus_institutions!B:E,2,0),"")</f>
        <v>84</v>
      </c>
      <c r="D505" s="72">
        <f>IFERROR(VLOOKUP(A505,[1]eco_bus_institutions!B:E,4,0),"")</f>
        <v>1.6698972819774709</v>
      </c>
      <c r="E505" s="73">
        <f t="shared" si="35"/>
        <v>397</v>
      </c>
      <c r="F505" s="40">
        <f>IFERROR(VLOOKUP(A505,[1]eco_institutions!B:D,2,0),"")</f>
        <v>48</v>
      </c>
      <c r="G505" s="40">
        <f>IFERROR(VLOOKUP(A505,[1]eco_institutions!B:E,4,0),"")</f>
        <v>1.393389297504094</v>
      </c>
      <c r="H505" s="14">
        <f t="shared" si="36"/>
        <v>369</v>
      </c>
      <c r="I505" s="46">
        <f>IFERROR(VLOOKUP(A505,[1]fin_institutions!B:D,2,0),"")</f>
        <v>22</v>
      </c>
      <c r="J505" s="41">
        <f>IFERROR(VLOOKUP(A505,[1]fin_institutions!B:E,4,0),"")</f>
        <v>2.2905243683693279</v>
      </c>
      <c r="K505" s="41">
        <f t="shared" si="37"/>
        <v>121</v>
      </c>
      <c r="L505" s="56">
        <f>IFERROR(VLOOKUP(A505,[1]bus_institutions!B:D,2,0),"")</f>
        <v>12</v>
      </c>
      <c r="M505" s="42">
        <f>IFERROR(VLOOKUP(A505,[1]bus_institutions!B:E,4,0),"")</f>
        <v>1.4673444840801371</v>
      </c>
      <c r="N505" s="23">
        <f t="shared" si="38"/>
        <v>494</v>
      </c>
      <c r="O505" s="61">
        <f>IFERROR(VLOOKUP(A505,[1]man_institutions!B:E,2,0),"")</f>
        <v>18</v>
      </c>
      <c r="P505" s="62">
        <f>IFERROR(VLOOKUP(A505,[1]man_institutions!B:E,4,0),"")</f>
        <v>1.792114434536126</v>
      </c>
      <c r="Q505" s="63">
        <f t="shared" si="39"/>
        <v>463</v>
      </c>
    </row>
    <row r="506" spans="1:17" x14ac:dyDescent="0.25">
      <c r="A506" s="6" t="s">
        <v>1114</v>
      </c>
      <c r="B506" s="37" t="s">
        <v>1259</v>
      </c>
      <c r="C506" s="72">
        <f>IFERROR(VLOOKUP(A506,[1]eco_bus_institutions!B:E,2,0),"")</f>
        <v>69</v>
      </c>
      <c r="D506" s="72">
        <f>IFERROR(VLOOKUP(A506,[1]eco_bus_institutions!B:E,4,0),"")</f>
        <v>1.374820765225828</v>
      </c>
      <c r="E506" s="73">
        <f t="shared" si="35"/>
        <v>533</v>
      </c>
      <c r="F506" s="40">
        <f>IFERROR(VLOOKUP(A506,[1]eco_institutions!B:D,2,0),"")</f>
        <v>32</v>
      </c>
      <c r="G506" s="40">
        <f>IFERROR(VLOOKUP(A506,[1]eco_institutions!B:E,4,0),"")</f>
        <v>1.150705933672346</v>
      </c>
      <c r="H506" s="14">
        <f t="shared" si="36"/>
        <v>542</v>
      </c>
      <c r="I506" s="46">
        <f>IFERROR(VLOOKUP(A506,[1]fin_institutions!B:D,2,0),"")</f>
        <v>20</v>
      </c>
      <c r="J506" s="41">
        <f>IFERROR(VLOOKUP(A506,[1]fin_institutions!B:E,4,0),"")</f>
        <v>1.1717254735682741</v>
      </c>
      <c r="K506" s="41">
        <f t="shared" si="37"/>
        <v>487</v>
      </c>
      <c r="L506" s="56">
        <f>IFERROR(VLOOKUP(A506,[1]bus_institutions!B:D,2,0),"")</f>
        <v>18</v>
      </c>
      <c r="M506" s="42">
        <f>IFERROR(VLOOKUP(A506,[1]bus_institutions!B:E,4,0),"")</f>
        <v>1.846187880613126</v>
      </c>
      <c r="N506" s="23">
        <f t="shared" si="38"/>
        <v>369</v>
      </c>
      <c r="O506" s="61">
        <f>IFERROR(VLOOKUP(A506,[1]man_institutions!B:E,2,0),"")</f>
        <v>14</v>
      </c>
      <c r="P506" s="62">
        <f>IFERROR(VLOOKUP(A506,[1]man_institutions!B:E,4,0),"")</f>
        <v>2.0894369125975691</v>
      </c>
      <c r="Q506" s="63">
        <f t="shared" si="39"/>
        <v>381</v>
      </c>
    </row>
    <row r="507" spans="1:17" x14ac:dyDescent="0.25">
      <c r="A507" s="6" t="s">
        <v>1111</v>
      </c>
      <c r="B507" s="37" t="s">
        <v>1222</v>
      </c>
      <c r="C507" s="72">
        <f>IFERROR(VLOOKUP(A507,[1]eco_bus_institutions!B:E,2,0),"")</f>
        <v>114</v>
      </c>
      <c r="D507" s="72">
        <f>IFERROR(VLOOKUP(A507,[1]eco_bus_institutions!B:E,4,0),"")</f>
        <v>1.427675795473802</v>
      </c>
      <c r="E507" s="73">
        <f t="shared" si="35"/>
        <v>510</v>
      </c>
      <c r="F507" s="40">
        <f>IFERROR(VLOOKUP(A507,[1]eco_institutions!B:D,2,0),"")</f>
        <v>73</v>
      </c>
      <c r="G507" s="40">
        <f>IFERROR(VLOOKUP(A507,[1]eco_institutions!B:E,4,0),"")</f>
        <v>1.317177455009606</v>
      </c>
      <c r="H507" s="14">
        <f t="shared" si="36"/>
        <v>420</v>
      </c>
      <c r="I507" s="46">
        <f>IFERROR(VLOOKUP(A507,[1]fin_institutions!B:D,2,0),"")</f>
        <v>17</v>
      </c>
      <c r="J507" s="41">
        <f>IFERROR(VLOOKUP(A507,[1]fin_institutions!B:E,4,0),"")</f>
        <v>1.324871975772026</v>
      </c>
      <c r="K507" s="41">
        <f t="shared" si="37"/>
        <v>382</v>
      </c>
      <c r="L507" s="56">
        <f>IFERROR(VLOOKUP(A507,[1]bus_institutions!B:D,2,0),"")</f>
        <v>33</v>
      </c>
      <c r="M507" s="42">
        <f>IFERROR(VLOOKUP(A507,[1]bus_institutions!B:E,4,0),"")</f>
        <v>1.669696803501808</v>
      </c>
      <c r="N507" s="23">
        <f t="shared" si="38"/>
        <v>432</v>
      </c>
      <c r="O507" s="61">
        <f>IFERROR(VLOOKUP(A507,[1]man_institutions!B:E,2,0),"")</f>
        <v>35</v>
      </c>
      <c r="P507" s="62">
        <f>IFERROR(VLOOKUP(A507,[1]man_institutions!B:E,4,0),"")</f>
        <v>2.1502499342303492</v>
      </c>
      <c r="Q507" s="63">
        <f t="shared" si="39"/>
        <v>368</v>
      </c>
    </row>
    <row r="508" spans="1:17" x14ac:dyDescent="0.25">
      <c r="A508" s="6" t="s">
        <v>1060</v>
      </c>
      <c r="B508" s="37" t="s">
        <v>1230</v>
      </c>
      <c r="C508" s="72">
        <f>IFERROR(VLOOKUP(A508,[1]eco_bus_institutions!B:E,2,0),"")</f>
        <v>66</v>
      </c>
      <c r="D508" s="72">
        <f>IFERROR(VLOOKUP(A508,[1]eco_bus_institutions!B:E,4,0),"")</f>
        <v>1.3655492481562821</v>
      </c>
      <c r="E508" s="73">
        <f t="shared" si="35"/>
        <v>538</v>
      </c>
      <c r="F508" s="40">
        <f>IFERROR(VLOOKUP(A508,[1]eco_institutions!B:D,2,0),"")</f>
        <v>34</v>
      </c>
      <c r="G508" s="40">
        <f>IFERROR(VLOOKUP(A508,[1]eco_institutions!B:E,4,0),"")</f>
        <v>1.219100546525111</v>
      </c>
      <c r="H508" s="14">
        <f t="shared" si="36"/>
        <v>499</v>
      </c>
      <c r="I508" s="46">
        <f>IFERROR(VLOOKUP(A508,[1]fin_institutions!B:D,2,0),"")</f>
        <v>25</v>
      </c>
      <c r="J508" s="41">
        <f>IFERROR(VLOOKUP(A508,[1]fin_institutions!B:E,4,0),"")</f>
        <v>1.3674830236121001</v>
      </c>
      <c r="K508" s="41">
        <f t="shared" si="37"/>
        <v>351</v>
      </c>
      <c r="L508" s="56">
        <f>IFERROR(VLOOKUP(A508,[1]bus_institutions!B:D,2,0),"")</f>
        <v>11</v>
      </c>
      <c r="M508" s="42">
        <f>IFERROR(VLOOKUP(A508,[1]bus_institutions!B:E,4,0),"")</f>
        <v>1.072268490077638</v>
      </c>
      <c r="N508" s="23">
        <f t="shared" si="38"/>
        <v>563</v>
      </c>
      <c r="O508" s="61">
        <f>IFERROR(VLOOKUP(A508,[1]man_institutions!B:E,2,0),"")</f>
        <v>11</v>
      </c>
      <c r="P508" s="62">
        <f>IFERROR(VLOOKUP(A508,[1]man_institutions!B:E,4,0),"")</f>
        <v>1.481955659963859</v>
      </c>
      <c r="Q508" s="63">
        <f t="shared" si="39"/>
        <v>537</v>
      </c>
    </row>
    <row r="509" spans="1:17" x14ac:dyDescent="0.25">
      <c r="A509" s="6" t="s">
        <v>1099</v>
      </c>
      <c r="B509" s="37" t="s">
        <v>1222</v>
      </c>
      <c r="C509" s="72">
        <f>IFERROR(VLOOKUP(A509,[1]eco_bus_institutions!B:E,2,0),"")</f>
        <v>43</v>
      </c>
      <c r="D509" s="72">
        <f>IFERROR(VLOOKUP(A509,[1]eco_bus_institutions!B:E,4,0),"")</f>
        <v>1.472975048794829</v>
      </c>
      <c r="E509" s="73">
        <f t="shared" si="35"/>
        <v>485</v>
      </c>
      <c r="F509" s="40">
        <f>IFERROR(VLOOKUP(A509,[1]eco_institutions!B:D,2,0),"")</f>
        <v>30</v>
      </c>
      <c r="G509" s="40">
        <f>IFERROR(VLOOKUP(A509,[1]eco_institutions!B:E,4,0),"")</f>
        <v>1.212305061405422</v>
      </c>
      <c r="H509" s="14">
        <f t="shared" si="36"/>
        <v>505</v>
      </c>
      <c r="I509" s="46">
        <f>IFERROR(VLOOKUP(A509,[1]fin_institutions!B:D,2,0),"")</f>
        <v>5</v>
      </c>
      <c r="J509" s="41">
        <f>IFERROR(VLOOKUP(A509,[1]fin_institutions!B:E,4,0),"")</f>
        <v>1.1878969334119049</v>
      </c>
      <c r="K509" s="41">
        <f t="shared" si="37"/>
        <v>475</v>
      </c>
      <c r="L509" s="56">
        <f>IFERROR(VLOOKUP(A509,[1]bus_institutions!B:D,2,0),"")</f>
        <v>10</v>
      </c>
      <c r="M509" s="42">
        <f>IFERROR(VLOOKUP(A509,[1]bus_institutions!B:E,4,0),"")</f>
        <v>1.642600373718951</v>
      </c>
      <c r="N509" s="23">
        <f t="shared" si="38"/>
        <v>442</v>
      </c>
      <c r="O509" s="61">
        <f>IFERROR(VLOOKUP(A509,[1]man_institutions!B:E,2,0),"")</f>
        <v>10</v>
      </c>
      <c r="P509" s="62">
        <f>IFERROR(VLOOKUP(A509,[1]man_institutions!B:E,4,0),"")</f>
        <v>1.907570800822934</v>
      </c>
      <c r="Q509" s="63">
        <f t="shared" si="39"/>
        <v>425</v>
      </c>
    </row>
    <row r="510" spans="1:17" x14ac:dyDescent="0.25">
      <c r="A510" s="6" t="s">
        <v>1065</v>
      </c>
      <c r="B510" s="37" t="s">
        <v>1231</v>
      </c>
      <c r="C510" s="72">
        <f>IFERROR(VLOOKUP(A510,[1]eco_bus_institutions!B:E,2,0),"")</f>
        <v>81</v>
      </c>
      <c r="D510" s="72">
        <f>IFERROR(VLOOKUP(A510,[1]eco_bus_institutions!B:E,4,0),"")</f>
        <v>1.6471481571007749</v>
      </c>
      <c r="E510" s="73">
        <f t="shared" si="35"/>
        <v>403</v>
      </c>
      <c r="F510" s="40">
        <f>IFERROR(VLOOKUP(A510,[1]eco_institutions!B:D,2,0),"")</f>
        <v>48</v>
      </c>
      <c r="G510" s="40">
        <f>IFERROR(VLOOKUP(A510,[1]eco_institutions!B:E,4,0),"")</f>
        <v>1.6480959069491841</v>
      </c>
      <c r="H510" s="14">
        <f t="shared" si="36"/>
        <v>244</v>
      </c>
      <c r="I510" s="46">
        <f>IFERROR(VLOOKUP(A510,[1]fin_institutions!B:D,2,0),"")</f>
        <v>16</v>
      </c>
      <c r="J510" s="41">
        <f>IFERROR(VLOOKUP(A510,[1]fin_institutions!B:E,4,0),"")</f>
        <v>1.3274097916308021</v>
      </c>
      <c r="K510" s="41">
        <f t="shared" si="37"/>
        <v>378</v>
      </c>
      <c r="L510" s="56">
        <f>IFERROR(VLOOKUP(A510,[1]bus_institutions!B:D,2,0),"")</f>
        <v>15</v>
      </c>
      <c r="M510" s="42">
        <f>IFERROR(VLOOKUP(A510,[1]bus_institutions!B:E,4,0),"")</f>
        <v>1.6618830230398911</v>
      </c>
      <c r="N510" s="23">
        <f t="shared" si="38"/>
        <v>438</v>
      </c>
      <c r="O510" s="61">
        <f>IFERROR(VLOOKUP(A510,[1]man_institutions!B:E,2,0),"")</f>
        <v>25</v>
      </c>
      <c r="P510" s="62">
        <f>IFERROR(VLOOKUP(A510,[1]man_institutions!B:E,4,0),"")</f>
        <v>1.863931692783984</v>
      </c>
      <c r="Q510" s="63">
        <f t="shared" si="39"/>
        <v>442</v>
      </c>
    </row>
    <row r="511" spans="1:17" x14ac:dyDescent="0.25">
      <c r="A511" s="6" t="s">
        <v>1102</v>
      </c>
      <c r="B511" s="37" t="s">
        <v>1222</v>
      </c>
      <c r="C511" s="72">
        <f>IFERROR(VLOOKUP(A511,[1]eco_bus_institutions!B:E,2,0),"")</f>
        <v>44</v>
      </c>
      <c r="D511" s="72">
        <f>IFERROR(VLOOKUP(A511,[1]eco_bus_institutions!B:E,4,0),"")</f>
        <v>1.686789739844027</v>
      </c>
      <c r="E511" s="73">
        <f t="shared" si="35"/>
        <v>390</v>
      </c>
      <c r="F511" s="40">
        <f>IFERROR(VLOOKUP(A511,[1]eco_institutions!B:D,2,0),"")</f>
        <v>35</v>
      </c>
      <c r="G511" s="40">
        <f>IFERROR(VLOOKUP(A511,[1]eco_institutions!B:E,4,0),"")</f>
        <v>1.617257938461214</v>
      </c>
      <c r="H511" s="14">
        <f t="shared" si="36"/>
        <v>258</v>
      </c>
      <c r="I511" s="46">
        <f>IFERROR(VLOOKUP(A511,[1]fin_institutions!B:D,2,0),"")</f>
        <v>4</v>
      </c>
      <c r="J511" s="41">
        <f>IFERROR(VLOOKUP(A511,[1]fin_institutions!B:E,4,0),"")</f>
        <v>1.689124415792266</v>
      </c>
      <c r="K511" s="41">
        <f t="shared" si="37"/>
        <v>225</v>
      </c>
      <c r="L511" s="56">
        <f>IFERROR(VLOOKUP(A511,[1]bus_institutions!B:D,2,0),"")</f>
        <v>6</v>
      </c>
      <c r="M511" s="42">
        <f>IFERROR(VLOOKUP(A511,[1]bus_institutions!B:E,4,0),"")</f>
        <v>1.685496271595901</v>
      </c>
      <c r="N511" s="23">
        <f t="shared" si="38"/>
        <v>428</v>
      </c>
      <c r="O511" s="61">
        <f>IFERROR(VLOOKUP(A511,[1]man_institutions!B:E,2,0),"")</f>
        <v>6</v>
      </c>
      <c r="P511" s="62">
        <f>IFERROR(VLOOKUP(A511,[1]man_institutions!B:E,4,0),"")</f>
        <v>2.209504049602506</v>
      </c>
      <c r="Q511" s="63">
        <f t="shared" si="39"/>
        <v>348</v>
      </c>
    </row>
    <row r="512" spans="1:17" x14ac:dyDescent="0.25">
      <c r="A512" s="6" t="s">
        <v>1107</v>
      </c>
      <c r="B512" s="37" t="s">
        <v>1244</v>
      </c>
      <c r="C512" s="72">
        <f>IFERROR(VLOOKUP(A512,[1]eco_bus_institutions!B:E,2,0),"")</f>
        <v>93</v>
      </c>
      <c r="D512" s="72">
        <f>IFERROR(VLOOKUP(A512,[1]eco_bus_institutions!B:E,4,0),"")</f>
        <v>1.3914428214297281</v>
      </c>
      <c r="E512" s="73">
        <f t="shared" si="35"/>
        <v>527</v>
      </c>
      <c r="F512" s="40">
        <f>IFERROR(VLOOKUP(A512,[1]eco_institutions!B:D,2,0),"")</f>
        <v>31</v>
      </c>
      <c r="G512" s="40">
        <f>IFERROR(VLOOKUP(A512,[1]eco_institutions!B:E,4,0),"")</f>
        <v>1.234703061613843</v>
      </c>
      <c r="H512" s="14">
        <f t="shared" si="36"/>
        <v>488</v>
      </c>
      <c r="I512" s="46">
        <f>IFERROR(VLOOKUP(A512,[1]fin_institutions!B:D,2,0),"")</f>
        <v>20</v>
      </c>
      <c r="J512" s="41">
        <f>IFERROR(VLOOKUP(A512,[1]fin_institutions!B:E,4,0),"")</f>
        <v>1.124156931884827</v>
      </c>
      <c r="K512" s="41">
        <f t="shared" si="37"/>
        <v>521</v>
      </c>
      <c r="L512" s="56">
        <f>IFERROR(VLOOKUP(A512,[1]bus_institutions!B:D,2,0),"")</f>
        <v>31</v>
      </c>
      <c r="M512" s="42">
        <f>IFERROR(VLOOKUP(A512,[1]bus_institutions!B:E,4,0),"")</f>
        <v>1.4711753769455289</v>
      </c>
      <c r="N512" s="23">
        <f t="shared" si="38"/>
        <v>492</v>
      </c>
      <c r="O512" s="61">
        <f>IFERROR(VLOOKUP(A512,[1]man_institutions!B:E,2,0),"")</f>
        <v>51</v>
      </c>
      <c r="P512" s="62">
        <f>IFERROR(VLOOKUP(A512,[1]man_institutions!B:E,4,0),"")</f>
        <v>1.969749241715371</v>
      </c>
      <c r="Q512" s="63">
        <f t="shared" si="39"/>
        <v>412</v>
      </c>
    </row>
    <row r="513" spans="1:17" x14ac:dyDescent="0.25">
      <c r="A513" s="6" t="s">
        <v>1161</v>
      </c>
      <c r="B513" s="37" t="s">
        <v>1246</v>
      </c>
      <c r="C513" s="72">
        <f>IFERROR(VLOOKUP(A513,[1]eco_bus_institutions!B:E,2,0),"")</f>
        <v>60</v>
      </c>
      <c r="D513" s="72">
        <f>IFERROR(VLOOKUP(A513,[1]eco_bus_institutions!B:E,4,0),"")</f>
        <v>1.553173375483536</v>
      </c>
      <c r="E513" s="73">
        <f t="shared" si="35"/>
        <v>453</v>
      </c>
      <c r="F513" s="40">
        <f>IFERROR(VLOOKUP(A513,[1]eco_institutions!B:D,2,0),"")</f>
        <v>50</v>
      </c>
      <c r="G513" s="40">
        <f>IFERROR(VLOOKUP(A513,[1]eco_institutions!B:E,4,0),"")</f>
        <v>1.383367219339408</v>
      </c>
      <c r="H513" s="14">
        <f t="shared" si="36"/>
        <v>380</v>
      </c>
      <c r="I513" s="46">
        <f>IFERROR(VLOOKUP(A513,[1]fin_institutions!B:D,2,0),"")</f>
        <v>10</v>
      </c>
      <c r="J513" s="41">
        <f>IFERROR(VLOOKUP(A513,[1]fin_institutions!B:E,4,0),"")</f>
        <v>1.4919197122980301</v>
      </c>
      <c r="K513" s="41">
        <f t="shared" si="37"/>
        <v>293</v>
      </c>
      <c r="L513" s="56">
        <f>IFERROR(VLOOKUP(A513,[1]bus_institutions!B:D,2,0),"")</f>
        <v>8</v>
      </c>
      <c r="M513" s="42">
        <f>IFERROR(VLOOKUP(A513,[1]bus_institutions!B:E,4,0),"")</f>
        <v>1.8335108272068179</v>
      </c>
      <c r="N513" s="23">
        <f t="shared" si="38"/>
        <v>375</v>
      </c>
      <c r="O513" s="61">
        <f>IFERROR(VLOOKUP(A513,[1]man_institutions!B:E,2,0),"")</f>
        <v>6</v>
      </c>
      <c r="P513" s="62">
        <f>IFERROR(VLOOKUP(A513,[1]man_institutions!B:E,4,0),"")</f>
        <v>3.296918186432221</v>
      </c>
      <c r="Q513" s="63">
        <f t="shared" si="39"/>
        <v>159</v>
      </c>
    </row>
    <row r="514" spans="1:17" x14ac:dyDescent="0.25">
      <c r="A514" s="6" t="s">
        <v>1081</v>
      </c>
      <c r="B514" s="37" t="s">
        <v>1230</v>
      </c>
      <c r="C514" s="72">
        <f>IFERROR(VLOOKUP(A514,[1]eco_bus_institutions!B:E,2,0),"")</f>
        <v>70</v>
      </c>
      <c r="D514" s="72">
        <f>IFERROR(VLOOKUP(A514,[1]eco_bus_institutions!B:E,4,0),"")</f>
        <v>1.4027923287043429</v>
      </c>
      <c r="E514" s="73">
        <f t="shared" si="35"/>
        <v>523</v>
      </c>
      <c r="F514" s="40">
        <f>IFERROR(VLOOKUP(A514,[1]eco_institutions!B:D,2,0),"")</f>
        <v>26</v>
      </c>
      <c r="G514" s="40">
        <f>IFERROR(VLOOKUP(A514,[1]eco_institutions!B:E,4,0),"")</f>
        <v>1.1278169023302209</v>
      </c>
      <c r="H514" s="14">
        <f t="shared" si="36"/>
        <v>558</v>
      </c>
      <c r="I514" s="46">
        <f>IFERROR(VLOOKUP(A514,[1]fin_institutions!B:D,2,0),"")</f>
        <v>18</v>
      </c>
      <c r="J514" s="41">
        <f>IFERROR(VLOOKUP(A514,[1]fin_institutions!B:E,4,0),"")</f>
        <v>1.5165375514468</v>
      </c>
      <c r="K514" s="41">
        <f t="shared" si="37"/>
        <v>280</v>
      </c>
      <c r="L514" s="56">
        <f>IFERROR(VLOOKUP(A514,[1]bus_institutions!B:D,2,0),"")</f>
        <v>13</v>
      </c>
      <c r="M514" s="42">
        <f>IFERROR(VLOOKUP(A514,[1]bus_institutions!B:E,4,0),"")</f>
        <v>1.1683721103996101</v>
      </c>
      <c r="N514" s="23">
        <f t="shared" si="38"/>
        <v>556</v>
      </c>
      <c r="O514" s="61">
        <f>IFERROR(VLOOKUP(A514,[1]man_institutions!B:E,2,0),"")</f>
        <v>28</v>
      </c>
      <c r="P514" s="62">
        <f>IFERROR(VLOOKUP(A514,[1]man_institutions!B:E,4,0),"")</f>
        <v>1.7893848830278809</v>
      </c>
      <c r="Q514" s="63">
        <f t="shared" si="39"/>
        <v>464</v>
      </c>
    </row>
    <row r="515" spans="1:17" x14ac:dyDescent="0.25">
      <c r="A515" s="6" t="s">
        <v>1098</v>
      </c>
      <c r="B515" s="37" t="s">
        <v>1218</v>
      </c>
      <c r="C515" s="72">
        <f>IFERROR(VLOOKUP(A515,[1]eco_bus_institutions!B:E,2,0),"")</f>
        <v>46</v>
      </c>
      <c r="D515" s="72">
        <f>IFERROR(VLOOKUP(A515,[1]eco_bus_institutions!B:E,4,0),"")</f>
        <v>1.636429224509983</v>
      </c>
      <c r="E515" s="73">
        <f t="shared" ref="E515:E578" si="40">_xlfn.RANK.EQ(D515,D:D)</f>
        <v>409</v>
      </c>
      <c r="F515" s="40">
        <f>IFERROR(VLOOKUP(A515,[1]eco_institutions!B:D,2,0),"")</f>
        <v>39</v>
      </c>
      <c r="G515" s="40">
        <f>IFERROR(VLOOKUP(A515,[1]eco_institutions!B:E,4,0),"")</f>
        <v>1.6188778345551389</v>
      </c>
      <c r="H515" s="14">
        <f t="shared" ref="H515:H578" si="41">IFERROR(_xlfn.RANK.EQ(G515,G:G),"")</f>
        <v>257</v>
      </c>
      <c r="I515" s="46">
        <f>IFERROR(VLOOKUP(A515,[1]fin_institutions!B:D,2,0),"")</f>
        <v>10</v>
      </c>
      <c r="J515" s="41">
        <f>IFERROR(VLOOKUP(A515,[1]fin_institutions!B:E,4,0),"")</f>
        <v>1.1318553916878891</v>
      </c>
      <c r="K515" s="41">
        <f t="shared" ref="K515:K578" si="42">IFERROR(_xlfn.RANK.EQ(J515,J:J),"")</f>
        <v>515</v>
      </c>
      <c r="L515" s="56" t="str">
        <f>IFERROR(VLOOKUP(A515,[1]bus_institutions!B:D,2,0),"")</f>
        <v/>
      </c>
      <c r="M515" s="42" t="str">
        <f>IFERROR(VLOOKUP(A515,[1]bus_institutions!B:E,4,0),"")</f>
        <v/>
      </c>
      <c r="N515" s="23" t="str">
        <f t="shared" ref="N515:N578" si="43">IFERROR(_xlfn.RANK.EQ(M515,M:M),"")</f>
        <v/>
      </c>
      <c r="O515" s="61">
        <f>IFERROR(VLOOKUP(A515,[1]man_institutions!B:E,2,0),"")</f>
        <v>7</v>
      </c>
      <c r="P515" s="62">
        <f>IFERROR(VLOOKUP(A515,[1]man_institutions!B:E,4,0),"")</f>
        <v>1.251370073887307</v>
      </c>
      <c r="Q515" s="63">
        <f t="shared" ref="Q515:Q578" si="44">IFERROR(_xlfn.RANK.EQ(P515,P:P),"")</f>
        <v>565</v>
      </c>
    </row>
    <row r="516" spans="1:17" x14ac:dyDescent="0.25">
      <c r="A516" s="6" t="s">
        <v>1090</v>
      </c>
      <c r="B516" s="37" t="s">
        <v>1258</v>
      </c>
      <c r="C516" s="72">
        <f>IFERROR(VLOOKUP(A516,[1]eco_bus_institutions!B:E,2,0),"")</f>
        <v>62</v>
      </c>
      <c r="D516" s="72">
        <f>IFERROR(VLOOKUP(A516,[1]eco_bus_institutions!B:E,4,0),"")</f>
        <v>1.4903049566424069</v>
      </c>
      <c r="E516" s="73">
        <f t="shared" si="40"/>
        <v>478</v>
      </c>
      <c r="F516" s="40">
        <f>IFERROR(VLOOKUP(A516,[1]eco_institutions!B:D,2,0),"")</f>
        <v>34</v>
      </c>
      <c r="G516" s="40">
        <f>IFERROR(VLOOKUP(A516,[1]eco_institutions!B:E,4,0),"")</f>
        <v>1.312393537141916</v>
      </c>
      <c r="H516" s="14">
        <f t="shared" si="41"/>
        <v>423</v>
      </c>
      <c r="I516" s="46">
        <f>IFERROR(VLOOKUP(A516,[1]fin_institutions!B:D,2,0),"")</f>
        <v>15</v>
      </c>
      <c r="J516" s="41">
        <f>IFERROR(VLOOKUP(A516,[1]fin_institutions!B:E,4,0),"")</f>
        <v>1.138653298081753</v>
      </c>
      <c r="K516" s="41">
        <f t="shared" si="42"/>
        <v>512</v>
      </c>
      <c r="L516" s="56">
        <f>IFERROR(VLOOKUP(A516,[1]bus_institutions!B:D,2,0),"")</f>
        <v>12</v>
      </c>
      <c r="M516" s="42">
        <f>IFERROR(VLOOKUP(A516,[1]bus_institutions!B:E,4,0),"")</f>
        <v>2.6317550934066811</v>
      </c>
      <c r="N516" s="23">
        <f t="shared" si="43"/>
        <v>170</v>
      </c>
      <c r="O516" s="61">
        <f>IFERROR(VLOOKUP(A516,[1]man_institutions!B:E,2,0),"")</f>
        <v>15</v>
      </c>
      <c r="P516" s="62">
        <f>IFERROR(VLOOKUP(A516,[1]man_institutions!B:E,4,0),"")</f>
        <v>1.328435458090623</v>
      </c>
      <c r="Q516" s="63">
        <f t="shared" si="44"/>
        <v>557</v>
      </c>
    </row>
    <row r="517" spans="1:17" x14ac:dyDescent="0.25">
      <c r="A517" s="6" t="s">
        <v>1097</v>
      </c>
      <c r="B517" s="37" t="s">
        <v>1217</v>
      </c>
      <c r="C517" s="72">
        <f>IFERROR(VLOOKUP(A517,[1]eco_bus_institutions!B:E,2,0),"")</f>
        <v>59</v>
      </c>
      <c r="D517" s="72">
        <f>IFERROR(VLOOKUP(A517,[1]eco_bus_institutions!B:E,4,0),"")</f>
        <v>1.4637965441320919</v>
      </c>
      <c r="E517" s="73">
        <f t="shared" si="40"/>
        <v>489</v>
      </c>
      <c r="F517" s="40">
        <f>IFERROR(VLOOKUP(A517,[1]eco_institutions!B:D,2,0),"")</f>
        <v>16</v>
      </c>
      <c r="G517" s="40">
        <f>IFERROR(VLOOKUP(A517,[1]eco_institutions!B:E,4,0),"")</f>
        <v>1.150307317267159</v>
      </c>
      <c r="H517" s="14">
        <f t="shared" si="41"/>
        <v>543</v>
      </c>
      <c r="I517" s="46">
        <f>IFERROR(VLOOKUP(A517,[1]fin_institutions!B:D,2,0),"")</f>
        <v>17</v>
      </c>
      <c r="J517" s="41">
        <f>IFERROR(VLOOKUP(A517,[1]fin_institutions!B:E,4,0),"")</f>
        <v>1.330100119944569</v>
      </c>
      <c r="K517" s="41">
        <f t="shared" si="42"/>
        <v>376</v>
      </c>
      <c r="L517" s="56">
        <f>IFERROR(VLOOKUP(A517,[1]bus_institutions!B:D,2,0),"")</f>
        <v>17</v>
      </c>
      <c r="M517" s="42">
        <f>IFERROR(VLOOKUP(A517,[1]bus_institutions!B:E,4,0),"")</f>
        <v>1.667992643598402</v>
      </c>
      <c r="N517" s="23">
        <f t="shared" si="43"/>
        <v>435</v>
      </c>
      <c r="O517" s="61">
        <f>IFERROR(VLOOKUP(A517,[1]man_institutions!B:E,2,0),"")</f>
        <v>27</v>
      </c>
      <c r="P517" s="62">
        <f>IFERROR(VLOOKUP(A517,[1]man_institutions!B:E,4,0),"")</f>
        <v>2.0554726605124891</v>
      </c>
      <c r="Q517" s="63">
        <f t="shared" si="44"/>
        <v>391</v>
      </c>
    </row>
    <row r="518" spans="1:17" x14ac:dyDescent="0.25">
      <c r="A518" s="6" t="s">
        <v>1075</v>
      </c>
      <c r="B518" s="37" t="s">
        <v>1230</v>
      </c>
      <c r="C518" s="72">
        <f>IFERROR(VLOOKUP(A518,[1]eco_bus_institutions!B:E,2,0),"")</f>
        <v>123</v>
      </c>
      <c r="D518" s="72">
        <f>IFERROR(VLOOKUP(A518,[1]eco_bus_institutions!B:E,4,0),"")</f>
        <v>1.3774573946479409</v>
      </c>
      <c r="E518" s="73">
        <f t="shared" si="40"/>
        <v>531</v>
      </c>
      <c r="F518" s="40">
        <f>IFERROR(VLOOKUP(A518,[1]eco_institutions!B:D,2,0),"")</f>
        <v>45</v>
      </c>
      <c r="G518" s="40">
        <f>IFERROR(VLOOKUP(A518,[1]eco_institutions!B:E,4,0),"")</f>
        <v>1.111527127511748</v>
      </c>
      <c r="H518" s="14">
        <f t="shared" si="41"/>
        <v>565</v>
      </c>
      <c r="I518" s="46">
        <f>IFERROR(VLOOKUP(A518,[1]fin_institutions!B:D,2,0),"")</f>
        <v>42</v>
      </c>
      <c r="J518" s="41">
        <f>IFERROR(VLOOKUP(A518,[1]fin_institutions!B:E,4,0),"")</f>
        <v>1.2757533042880751</v>
      </c>
      <c r="K518" s="41">
        <f t="shared" si="42"/>
        <v>409</v>
      </c>
      <c r="L518" s="56">
        <f>IFERROR(VLOOKUP(A518,[1]bus_institutions!B:D,2,0),"")</f>
        <v>21</v>
      </c>
      <c r="M518" s="42">
        <f>IFERROR(VLOOKUP(A518,[1]bus_institutions!B:E,4,0),"")</f>
        <v>1.5469217606592021</v>
      </c>
      <c r="N518" s="23">
        <f t="shared" si="43"/>
        <v>472</v>
      </c>
      <c r="O518" s="61">
        <f>IFERROR(VLOOKUP(A518,[1]man_institutions!B:E,2,0),"")</f>
        <v>45</v>
      </c>
      <c r="P518" s="62">
        <f>IFERROR(VLOOKUP(A518,[1]man_institutions!B:E,4,0),"")</f>
        <v>1.8187236319587321</v>
      </c>
      <c r="Q518" s="63">
        <f t="shared" si="44"/>
        <v>455</v>
      </c>
    </row>
    <row r="519" spans="1:17" x14ac:dyDescent="0.25">
      <c r="A519" s="6" t="s">
        <v>1151</v>
      </c>
      <c r="B519" s="37" t="s">
        <v>1262</v>
      </c>
      <c r="C519" s="72">
        <f>IFERROR(VLOOKUP(A519,[1]eco_bus_institutions!B:E,2,0),"")</f>
        <v>44</v>
      </c>
      <c r="D519" s="72">
        <f>IFERROR(VLOOKUP(A519,[1]eco_bus_institutions!B:E,4,0),"")</f>
        <v>1.3191074309160169</v>
      </c>
      <c r="E519" s="73">
        <f t="shared" si="40"/>
        <v>547</v>
      </c>
      <c r="F519" s="40">
        <f>IFERROR(VLOOKUP(A519,[1]eco_institutions!B:D,2,0),"")</f>
        <v>16</v>
      </c>
      <c r="G519" s="40">
        <f>IFERROR(VLOOKUP(A519,[1]eco_institutions!B:E,4,0),"")</f>
        <v>1.2235091092182391</v>
      </c>
      <c r="H519" s="14">
        <f t="shared" si="41"/>
        <v>494</v>
      </c>
      <c r="I519" s="46">
        <f>IFERROR(VLOOKUP(A519,[1]fin_institutions!B:D,2,0),"")</f>
        <v>4</v>
      </c>
      <c r="J519" s="41">
        <f>IFERROR(VLOOKUP(A519,[1]fin_institutions!B:E,4,0),"")</f>
        <v>1.090960898860335</v>
      </c>
      <c r="K519" s="41">
        <f t="shared" si="42"/>
        <v>533</v>
      </c>
      <c r="L519" s="56">
        <f>IFERROR(VLOOKUP(A519,[1]bus_institutions!B:D,2,0),"")</f>
        <v>25</v>
      </c>
      <c r="M519" s="42">
        <f>IFERROR(VLOOKUP(A519,[1]bus_institutions!B:E,4,0),"")</f>
        <v>1.483942137334485</v>
      </c>
      <c r="N519" s="23">
        <f t="shared" si="43"/>
        <v>486</v>
      </c>
      <c r="O519" s="61">
        <f>IFERROR(VLOOKUP(A519,[1]man_institutions!B:E,2,0),"")</f>
        <v>18</v>
      </c>
      <c r="P519" s="62">
        <f>IFERROR(VLOOKUP(A519,[1]man_institutions!B:E,4,0),"")</f>
        <v>1.5019098022275079</v>
      </c>
      <c r="Q519" s="63">
        <f t="shared" si="44"/>
        <v>532</v>
      </c>
    </row>
    <row r="520" spans="1:17" x14ac:dyDescent="0.25">
      <c r="A520" s="6" t="s">
        <v>1139</v>
      </c>
      <c r="B520" s="37" t="s">
        <v>1262</v>
      </c>
      <c r="C520" s="72">
        <f>IFERROR(VLOOKUP(A520,[1]eco_bus_institutions!B:E,2,0),"")</f>
        <v>49</v>
      </c>
      <c r="D520" s="72">
        <f>IFERROR(VLOOKUP(A520,[1]eco_bus_institutions!B:E,4,0),"")</f>
        <v>1.3676096220937259</v>
      </c>
      <c r="E520" s="73">
        <f t="shared" si="40"/>
        <v>537</v>
      </c>
      <c r="F520" s="40">
        <f>IFERROR(VLOOKUP(A520,[1]eco_institutions!B:D,2,0),"")</f>
        <v>22</v>
      </c>
      <c r="G520" s="40">
        <f>IFERROR(VLOOKUP(A520,[1]eco_institutions!B:E,4,0),"")</f>
        <v>1.164642039472727</v>
      </c>
      <c r="H520" s="14">
        <f t="shared" si="41"/>
        <v>536</v>
      </c>
      <c r="I520" s="46">
        <f>IFERROR(VLOOKUP(A520,[1]fin_institutions!B:D,2,0),"")</f>
        <v>13</v>
      </c>
      <c r="J520" s="41">
        <f>IFERROR(VLOOKUP(A520,[1]fin_institutions!B:E,4,0),"")</f>
        <v>1.1530617960228151</v>
      </c>
      <c r="K520" s="41">
        <f t="shared" si="42"/>
        <v>501</v>
      </c>
      <c r="L520" s="56">
        <f>IFERROR(VLOOKUP(A520,[1]bus_institutions!B:D,2,0),"")</f>
        <v>14</v>
      </c>
      <c r="M520" s="42">
        <f>IFERROR(VLOOKUP(A520,[1]bus_institutions!B:E,4,0),"")</f>
        <v>1.4809790484524059</v>
      </c>
      <c r="N520" s="23">
        <f t="shared" si="43"/>
        <v>488</v>
      </c>
      <c r="O520" s="61">
        <f>IFERROR(VLOOKUP(A520,[1]man_institutions!B:E,2,0),"")</f>
        <v>24</v>
      </c>
      <c r="P520" s="62">
        <f>IFERROR(VLOOKUP(A520,[1]man_institutions!B:E,4,0),"")</f>
        <v>1.903452055758583</v>
      </c>
      <c r="Q520" s="63">
        <f t="shared" si="44"/>
        <v>428</v>
      </c>
    </row>
    <row r="521" spans="1:17" x14ac:dyDescent="0.25">
      <c r="A521" s="6" t="s">
        <v>1135</v>
      </c>
      <c r="B521" s="37" t="s">
        <v>1254</v>
      </c>
      <c r="C521" s="72">
        <f>IFERROR(VLOOKUP(A521,[1]eco_bus_institutions!B:E,2,0),"")</f>
        <v>57</v>
      </c>
      <c r="D521" s="72">
        <f>IFERROR(VLOOKUP(A521,[1]eco_bus_institutions!B:E,4,0),"")</f>
        <v>1.3190768867204441</v>
      </c>
      <c r="E521" s="73">
        <f t="shared" si="40"/>
        <v>548</v>
      </c>
      <c r="F521" s="40">
        <f>IFERROR(VLOOKUP(A521,[1]eco_institutions!B:D,2,0),"")</f>
        <v>20</v>
      </c>
      <c r="G521" s="40">
        <f>IFERROR(VLOOKUP(A521,[1]eco_institutions!B:E,4,0),"")</f>
        <v>1.1399634018402689</v>
      </c>
      <c r="H521" s="14">
        <f t="shared" si="41"/>
        <v>553</v>
      </c>
      <c r="I521" s="46">
        <f>IFERROR(VLOOKUP(A521,[1]fin_institutions!B:D,2,0),"")</f>
        <v>10</v>
      </c>
      <c r="J521" s="41">
        <f>IFERROR(VLOOKUP(A521,[1]fin_institutions!B:E,4,0),"")</f>
        <v>1.355722634444684</v>
      </c>
      <c r="K521" s="41">
        <f t="shared" si="42"/>
        <v>359</v>
      </c>
      <c r="L521" s="56">
        <f>IFERROR(VLOOKUP(A521,[1]bus_institutions!B:D,2,0),"")</f>
        <v>21</v>
      </c>
      <c r="M521" s="42">
        <f>IFERROR(VLOOKUP(A521,[1]bus_institutions!B:E,4,0),"")</f>
        <v>1.486057511049631</v>
      </c>
      <c r="N521" s="23">
        <f t="shared" si="43"/>
        <v>485</v>
      </c>
      <c r="O521" s="61">
        <f>IFERROR(VLOOKUP(A521,[1]man_institutions!B:E,2,0),"")</f>
        <v>20</v>
      </c>
      <c r="P521" s="62">
        <f>IFERROR(VLOOKUP(A521,[1]man_institutions!B:E,4,0),"")</f>
        <v>1.5662768719932281</v>
      </c>
      <c r="Q521" s="63">
        <f t="shared" si="44"/>
        <v>515</v>
      </c>
    </row>
    <row r="522" spans="1:17" x14ac:dyDescent="0.25">
      <c r="A522" s="6" t="s">
        <v>1125</v>
      </c>
      <c r="B522" s="37" t="s">
        <v>1254</v>
      </c>
      <c r="C522" s="72">
        <f>IFERROR(VLOOKUP(A522,[1]eco_bus_institutions!B:E,2,0),"")</f>
        <v>131</v>
      </c>
      <c r="D522" s="72">
        <f>IFERROR(VLOOKUP(A522,[1]eco_bus_institutions!B:E,4,0),"")</f>
        <v>1.451947538970175</v>
      </c>
      <c r="E522" s="73">
        <f t="shared" si="40"/>
        <v>494</v>
      </c>
      <c r="F522" s="40">
        <f>IFERROR(VLOOKUP(A522,[1]eco_institutions!B:D,2,0),"")</f>
        <v>66</v>
      </c>
      <c r="G522" s="40">
        <f>IFERROR(VLOOKUP(A522,[1]eco_institutions!B:E,4,0),"")</f>
        <v>1.339811784195964</v>
      </c>
      <c r="H522" s="14">
        <f t="shared" si="41"/>
        <v>399</v>
      </c>
      <c r="I522" s="46">
        <f>IFERROR(VLOOKUP(A522,[1]fin_institutions!B:D,2,0),"")</f>
        <v>23</v>
      </c>
      <c r="J522" s="41">
        <f>IFERROR(VLOOKUP(A522,[1]fin_institutions!B:E,4,0),"")</f>
        <v>1.734985719193793</v>
      </c>
      <c r="K522" s="41">
        <f t="shared" si="42"/>
        <v>208</v>
      </c>
      <c r="L522" s="56">
        <f>IFERROR(VLOOKUP(A522,[1]bus_institutions!B:D,2,0),"")</f>
        <v>35</v>
      </c>
      <c r="M522" s="42">
        <f>IFERROR(VLOOKUP(A522,[1]bus_institutions!B:E,4,0),"")</f>
        <v>1.5642319517136529</v>
      </c>
      <c r="N522" s="23">
        <f t="shared" si="43"/>
        <v>467</v>
      </c>
      <c r="O522" s="61">
        <f>IFERROR(VLOOKUP(A522,[1]man_institutions!B:E,2,0),"")</f>
        <v>35</v>
      </c>
      <c r="P522" s="62">
        <f>IFERROR(VLOOKUP(A522,[1]man_institutions!B:E,4,0),"")</f>
        <v>1.8648797659217451</v>
      </c>
      <c r="Q522" s="63">
        <f t="shared" si="44"/>
        <v>441</v>
      </c>
    </row>
    <row r="523" spans="1:17" x14ac:dyDescent="0.25">
      <c r="A523" s="6" t="s">
        <v>1154</v>
      </c>
      <c r="B523" s="37" t="s">
        <v>1251</v>
      </c>
      <c r="C523" s="72">
        <f>IFERROR(VLOOKUP(A523,[1]eco_bus_institutions!B:E,2,0),"")</f>
        <v>60</v>
      </c>
      <c r="D523" s="72">
        <f>IFERROR(VLOOKUP(A523,[1]eco_bus_institutions!B:E,4,0),"")</f>
        <v>1.3369911558988909</v>
      </c>
      <c r="E523" s="73">
        <f t="shared" si="40"/>
        <v>543</v>
      </c>
      <c r="F523" s="40">
        <f>IFERROR(VLOOKUP(A523,[1]eco_institutions!B:D,2,0),"")</f>
        <v>45</v>
      </c>
      <c r="G523" s="40">
        <f>IFERROR(VLOOKUP(A523,[1]eco_institutions!B:E,4,0),"")</f>
        <v>1.1743174016517981</v>
      </c>
      <c r="H523" s="14">
        <f t="shared" si="41"/>
        <v>531</v>
      </c>
      <c r="I523" s="46">
        <f>IFERROR(VLOOKUP(A523,[1]fin_institutions!B:D,2,0),"")</f>
        <v>4</v>
      </c>
      <c r="J523" s="41">
        <f>IFERROR(VLOOKUP(A523,[1]fin_institutions!B:E,4,0),"")</f>
        <v>1.190705072968544</v>
      </c>
      <c r="K523" s="41">
        <f t="shared" si="42"/>
        <v>473</v>
      </c>
      <c r="L523" s="56">
        <f>IFERROR(VLOOKUP(A523,[1]bus_institutions!B:D,2,0),"")</f>
        <v>13</v>
      </c>
      <c r="M523" s="42">
        <f>IFERROR(VLOOKUP(A523,[1]bus_institutions!B:E,4,0),"")</f>
        <v>1.933961045684502</v>
      </c>
      <c r="N523" s="23">
        <f t="shared" si="43"/>
        <v>341</v>
      </c>
      <c r="O523" s="61">
        <f>IFERROR(VLOOKUP(A523,[1]man_institutions!B:E,2,0),"")</f>
        <v>8</v>
      </c>
      <c r="P523" s="62">
        <f>IFERROR(VLOOKUP(A523,[1]man_institutions!B:E,4,0),"")</f>
        <v>1.389197094616506</v>
      </c>
      <c r="Q523" s="63">
        <f t="shared" si="44"/>
        <v>549</v>
      </c>
    </row>
    <row r="524" spans="1:17" x14ac:dyDescent="0.25">
      <c r="A524" s="6" t="s">
        <v>1121</v>
      </c>
      <c r="B524" s="37" t="s">
        <v>1260</v>
      </c>
      <c r="C524" s="72">
        <f>IFERROR(VLOOKUP(A524,[1]eco_bus_institutions!B:E,2,0),"")</f>
        <v>83</v>
      </c>
      <c r="D524" s="72">
        <f>IFERROR(VLOOKUP(A524,[1]eco_bus_institutions!B:E,4,0),"")</f>
        <v>1.380175015298363</v>
      </c>
      <c r="E524" s="73">
        <f t="shared" si="40"/>
        <v>530</v>
      </c>
      <c r="F524" s="40">
        <f>IFERROR(VLOOKUP(A524,[1]eco_institutions!B:D,2,0),"")</f>
        <v>44</v>
      </c>
      <c r="G524" s="40">
        <f>IFERROR(VLOOKUP(A524,[1]eco_institutions!B:E,4,0),"")</f>
        <v>1.202112841958014</v>
      </c>
      <c r="H524" s="14">
        <f t="shared" si="41"/>
        <v>516</v>
      </c>
      <c r="I524" s="46">
        <f>IFERROR(VLOOKUP(A524,[1]fin_institutions!B:D,2,0),"")</f>
        <v>18</v>
      </c>
      <c r="J524" s="41">
        <f>IFERROR(VLOOKUP(A524,[1]fin_institutions!B:E,4,0),"")</f>
        <v>1.259821328101929</v>
      </c>
      <c r="K524" s="41">
        <f t="shared" si="42"/>
        <v>420</v>
      </c>
      <c r="L524" s="56">
        <f>IFERROR(VLOOKUP(A524,[1]bus_institutions!B:D,2,0),"")</f>
        <v>22</v>
      </c>
      <c r="M524" s="42">
        <f>IFERROR(VLOOKUP(A524,[1]bus_institutions!B:E,4,0),"")</f>
        <v>1.4483946132151191</v>
      </c>
      <c r="N524" s="23">
        <f t="shared" si="43"/>
        <v>497</v>
      </c>
      <c r="O524" s="61">
        <f>IFERROR(VLOOKUP(A524,[1]man_institutions!B:E,2,0),"")</f>
        <v>19</v>
      </c>
      <c r="P524" s="62">
        <f>IFERROR(VLOOKUP(A524,[1]man_institutions!B:E,4,0),"")</f>
        <v>1.9883617350730849</v>
      </c>
      <c r="Q524" s="63">
        <f t="shared" si="44"/>
        <v>409</v>
      </c>
    </row>
    <row r="525" spans="1:17" x14ac:dyDescent="0.25">
      <c r="A525" s="6" t="s">
        <v>1165</v>
      </c>
      <c r="B525" s="37" t="s">
        <v>1218</v>
      </c>
      <c r="C525" s="72">
        <f>IFERROR(VLOOKUP(A525,[1]eco_bus_institutions!B:E,2,0),"")</f>
        <v>71</v>
      </c>
      <c r="D525" s="72">
        <f>IFERROR(VLOOKUP(A525,[1]eco_bus_institutions!B:E,4,0),"")</f>
        <v>1.4642183764169421</v>
      </c>
      <c r="E525" s="73">
        <f t="shared" si="40"/>
        <v>488</v>
      </c>
      <c r="F525" s="40">
        <f>IFERROR(VLOOKUP(A525,[1]eco_institutions!B:D,2,0),"")</f>
        <v>51</v>
      </c>
      <c r="G525" s="40">
        <f>IFERROR(VLOOKUP(A525,[1]eco_institutions!B:E,4,0),"")</f>
        <v>1.2723244649040879</v>
      </c>
      <c r="H525" s="14">
        <f t="shared" si="41"/>
        <v>456</v>
      </c>
      <c r="I525" s="46">
        <f>IFERROR(VLOOKUP(A525,[1]fin_institutions!B:D,2,0),"")</f>
        <v>12</v>
      </c>
      <c r="J525" s="41">
        <f>IFERROR(VLOOKUP(A525,[1]fin_institutions!B:E,4,0),"")</f>
        <v>1.3465146171512421</v>
      </c>
      <c r="K525" s="41">
        <f t="shared" si="42"/>
        <v>366</v>
      </c>
      <c r="L525" s="56">
        <f>IFERROR(VLOOKUP(A525,[1]bus_institutions!B:D,2,0),"")</f>
        <v>8</v>
      </c>
      <c r="M525" s="42">
        <f>IFERROR(VLOOKUP(A525,[1]bus_institutions!B:E,4,0),"")</f>
        <v>1.3974763620328541</v>
      </c>
      <c r="N525" s="23">
        <f t="shared" si="43"/>
        <v>508</v>
      </c>
      <c r="O525" s="61">
        <f>IFERROR(VLOOKUP(A525,[1]man_institutions!B:E,2,0),"")</f>
        <v>15</v>
      </c>
      <c r="P525" s="62">
        <f>IFERROR(VLOOKUP(A525,[1]man_institutions!B:E,4,0),"")</f>
        <v>2.3528646817316941</v>
      </c>
      <c r="Q525" s="63">
        <f t="shared" si="44"/>
        <v>308</v>
      </c>
    </row>
    <row r="526" spans="1:17" x14ac:dyDescent="0.25">
      <c r="A526" s="6" t="s">
        <v>1101</v>
      </c>
      <c r="B526" s="37" t="s">
        <v>1258</v>
      </c>
      <c r="C526" s="72">
        <f>IFERROR(VLOOKUP(A526,[1]eco_bus_institutions!B:E,2,0),"")</f>
        <v>74</v>
      </c>
      <c r="D526" s="72">
        <f>IFERROR(VLOOKUP(A526,[1]eco_bus_institutions!B:E,4,0),"")</f>
        <v>1.438481428490276</v>
      </c>
      <c r="E526" s="73">
        <f t="shared" si="40"/>
        <v>501</v>
      </c>
      <c r="F526" s="40">
        <f>IFERROR(VLOOKUP(A526,[1]eco_institutions!B:D,2,0),"")</f>
        <v>38</v>
      </c>
      <c r="G526" s="40">
        <f>IFERROR(VLOOKUP(A526,[1]eco_institutions!B:E,4,0),"")</f>
        <v>1.270082434044105</v>
      </c>
      <c r="H526" s="14">
        <f t="shared" si="41"/>
        <v>457</v>
      </c>
      <c r="I526" s="46">
        <f>IFERROR(VLOOKUP(A526,[1]fin_institutions!B:D,2,0),"")</f>
        <v>6</v>
      </c>
      <c r="J526" s="41">
        <f>IFERROR(VLOOKUP(A526,[1]fin_institutions!B:E,4,0),"")</f>
        <v>1.095783430674623</v>
      </c>
      <c r="K526" s="41">
        <f t="shared" si="42"/>
        <v>529</v>
      </c>
      <c r="L526" s="56">
        <f>IFERROR(VLOOKUP(A526,[1]bus_institutions!B:D,2,0),"")</f>
        <v>26</v>
      </c>
      <c r="M526" s="42">
        <f>IFERROR(VLOOKUP(A526,[1]bus_institutions!B:E,4,0),"")</f>
        <v>1.7098204408218101</v>
      </c>
      <c r="N526" s="23">
        <f t="shared" si="43"/>
        <v>420</v>
      </c>
      <c r="O526" s="61">
        <f>IFERROR(VLOOKUP(A526,[1]man_institutions!B:E,2,0),"")</f>
        <v>31</v>
      </c>
      <c r="P526" s="62">
        <f>IFERROR(VLOOKUP(A526,[1]man_institutions!B:E,4,0),"")</f>
        <v>1.692378555484402</v>
      </c>
      <c r="Q526" s="63">
        <f t="shared" si="44"/>
        <v>497</v>
      </c>
    </row>
    <row r="527" spans="1:17" x14ac:dyDescent="0.25">
      <c r="A527" s="6" t="s">
        <v>1163</v>
      </c>
      <c r="B527" s="37" t="s">
        <v>1220</v>
      </c>
      <c r="C527" s="72">
        <f>IFERROR(VLOOKUP(A527,[1]eco_bus_institutions!B:E,2,0),"")</f>
        <v>54</v>
      </c>
      <c r="D527" s="72">
        <f>IFERROR(VLOOKUP(A527,[1]eco_bus_institutions!B:E,4,0),"")</f>
        <v>1.2874179329558399</v>
      </c>
      <c r="E527" s="73">
        <f t="shared" si="40"/>
        <v>559</v>
      </c>
      <c r="F527" s="40">
        <f>IFERROR(VLOOKUP(A527,[1]eco_institutions!B:D,2,0),"")</f>
        <v>26</v>
      </c>
      <c r="G527" s="40">
        <f>IFERROR(VLOOKUP(A527,[1]eco_institutions!B:E,4,0),"")</f>
        <v>1.2169784161108199</v>
      </c>
      <c r="H527" s="14">
        <f t="shared" si="41"/>
        <v>500</v>
      </c>
      <c r="I527" s="46">
        <f>IFERROR(VLOOKUP(A527,[1]fin_institutions!B:D,2,0),"")</f>
        <v>12</v>
      </c>
      <c r="J527" s="41">
        <f>IFERROR(VLOOKUP(A527,[1]fin_institutions!B:E,4,0),"")</f>
        <v>1.1970380597966079</v>
      </c>
      <c r="K527" s="41">
        <f t="shared" si="42"/>
        <v>467</v>
      </c>
      <c r="L527" s="56">
        <f>IFERROR(VLOOKUP(A527,[1]bus_institutions!B:D,2,0),"")</f>
        <v>17</v>
      </c>
      <c r="M527" s="42">
        <f>IFERROR(VLOOKUP(A527,[1]bus_institutions!B:E,4,0),"")</f>
        <v>1.429638779094786</v>
      </c>
      <c r="N527" s="23">
        <f t="shared" si="43"/>
        <v>499</v>
      </c>
      <c r="O527" s="61">
        <f>IFERROR(VLOOKUP(A527,[1]man_institutions!B:E,2,0),"")</f>
        <v>17</v>
      </c>
      <c r="P527" s="62">
        <f>IFERROR(VLOOKUP(A527,[1]man_institutions!B:E,4,0),"")</f>
        <v>1.6748235126543769</v>
      </c>
      <c r="Q527" s="63">
        <f t="shared" si="44"/>
        <v>500</v>
      </c>
    </row>
    <row r="528" spans="1:17" x14ac:dyDescent="0.25">
      <c r="A528" s="6" t="s">
        <v>1153</v>
      </c>
      <c r="B528" s="37" t="s">
        <v>1263</v>
      </c>
      <c r="C528" s="72">
        <f>IFERROR(VLOOKUP(A528,[1]eco_bus_institutions!B:E,2,0),"")</f>
        <v>46</v>
      </c>
      <c r="D528" s="72">
        <f>IFERROR(VLOOKUP(A528,[1]eco_bus_institutions!B:E,4,0),"")</f>
        <v>1.4033217985718009</v>
      </c>
      <c r="E528" s="73">
        <f t="shared" si="40"/>
        <v>522</v>
      </c>
      <c r="F528" s="40">
        <f>IFERROR(VLOOKUP(A528,[1]eco_institutions!B:D,2,0),"")</f>
        <v>35</v>
      </c>
      <c r="G528" s="40">
        <f>IFERROR(VLOOKUP(A528,[1]eco_institutions!B:E,4,0),"")</f>
        <v>1.291571390300553</v>
      </c>
      <c r="H528" s="14">
        <f t="shared" si="41"/>
        <v>443</v>
      </c>
      <c r="I528" s="46">
        <f>IFERROR(VLOOKUP(A528,[1]fin_institutions!B:D,2,0),"")</f>
        <v>8</v>
      </c>
      <c r="J528" s="41">
        <f>IFERROR(VLOOKUP(A528,[1]fin_institutions!B:E,4,0),"")</f>
        <v>1.4655959733827451</v>
      </c>
      <c r="K528" s="41">
        <f t="shared" si="42"/>
        <v>307</v>
      </c>
      <c r="L528" s="56">
        <f>IFERROR(VLOOKUP(A528,[1]bus_institutions!B:D,2,0),"")</f>
        <v>7</v>
      </c>
      <c r="M528" s="42">
        <f>IFERROR(VLOOKUP(A528,[1]bus_institutions!B:E,4,0),"")</f>
        <v>1.3093683167277519</v>
      </c>
      <c r="N528" s="23">
        <f t="shared" si="43"/>
        <v>526</v>
      </c>
      <c r="O528" s="61">
        <f>IFERROR(VLOOKUP(A528,[1]man_institutions!B:E,2,0),"")</f>
        <v>13</v>
      </c>
      <c r="P528" s="62">
        <f>IFERROR(VLOOKUP(A528,[1]man_institutions!B:E,4,0),"")</f>
        <v>1.5437672332513399</v>
      </c>
      <c r="Q528" s="63">
        <f t="shared" si="44"/>
        <v>524</v>
      </c>
    </row>
    <row r="529" spans="1:17" x14ac:dyDescent="0.25">
      <c r="A529" s="6" t="s">
        <v>1171</v>
      </c>
      <c r="B529" s="37" t="s">
        <v>1243</v>
      </c>
      <c r="C529" s="72">
        <f>IFERROR(VLOOKUP(A529,[1]eco_bus_institutions!B:E,2,0),"")</f>
        <v>58</v>
      </c>
      <c r="D529" s="72">
        <f>IFERROR(VLOOKUP(A529,[1]eco_bus_institutions!B:E,4,0),"")</f>
        <v>1.295643591920453</v>
      </c>
      <c r="E529" s="73">
        <f t="shared" si="40"/>
        <v>556</v>
      </c>
      <c r="F529" s="40">
        <f>IFERROR(VLOOKUP(A529,[1]eco_institutions!B:D,2,0),"")</f>
        <v>33</v>
      </c>
      <c r="G529" s="40">
        <f>IFERROR(VLOOKUP(A529,[1]eco_institutions!B:E,4,0),"")</f>
        <v>1.249000325557639</v>
      </c>
      <c r="H529" s="14">
        <f t="shared" si="41"/>
        <v>478</v>
      </c>
      <c r="I529" s="46">
        <f>IFERROR(VLOOKUP(A529,[1]fin_institutions!B:D,2,0),"")</f>
        <v>18</v>
      </c>
      <c r="J529" s="41">
        <f>IFERROR(VLOOKUP(A529,[1]fin_institutions!B:E,4,0),"")</f>
        <v>1.2247818664771619</v>
      </c>
      <c r="K529" s="41">
        <f t="shared" si="42"/>
        <v>449</v>
      </c>
      <c r="L529" s="56">
        <f>IFERROR(VLOOKUP(A529,[1]bus_institutions!B:D,2,0),"")</f>
        <v>13</v>
      </c>
      <c r="M529" s="42">
        <f>IFERROR(VLOOKUP(A529,[1]bus_institutions!B:E,4,0),"")</f>
        <v>1.2808192134585481</v>
      </c>
      <c r="N529" s="23">
        <f t="shared" si="43"/>
        <v>534</v>
      </c>
      <c r="O529" s="61">
        <f>IFERROR(VLOOKUP(A529,[1]man_institutions!B:E,2,0),"")</f>
        <v>12</v>
      </c>
      <c r="P529" s="62">
        <f>IFERROR(VLOOKUP(A529,[1]man_institutions!B:E,4,0),"")</f>
        <v>1.3293449525118199</v>
      </c>
      <c r="Q529" s="63">
        <f t="shared" si="44"/>
        <v>556</v>
      </c>
    </row>
    <row r="530" spans="1:17" x14ac:dyDescent="0.25">
      <c r="A530" s="6" t="s">
        <v>1164</v>
      </c>
      <c r="B530" s="37" t="s">
        <v>1239</v>
      </c>
      <c r="C530" s="72">
        <f>IFERROR(VLOOKUP(A530,[1]eco_bus_institutions!B:E,2,0),"")</f>
        <v>48</v>
      </c>
      <c r="D530" s="72">
        <f>IFERROR(VLOOKUP(A530,[1]eco_bus_institutions!B:E,4,0),"")</f>
        <v>1.419602729307808</v>
      </c>
      <c r="E530" s="73">
        <f t="shared" si="40"/>
        <v>516</v>
      </c>
      <c r="F530" s="40">
        <f>IFERROR(VLOOKUP(A530,[1]eco_institutions!B:D,2,0),"")</f>
        <v>30</v>
      </c>
      <c r="G530" s="40">
        <f>IFERROR(VLOOKUP(A530,[1]eco_institutions!B:E,4,0),"")</f>
        <v>1.2213579700518269</v>
      </c>
      <c r="H530" s="14">
        <f t="shared" si="41"/>
        <v>496</v>
      </c>
      <c r="I530" s="46">
        <f>IFERROR(VLOOKUP(A530,[1]fin_institutions!B:D,2,0),"")</f>
        <v>7</v>
      </c>
      <c r="J530" s="41">
        <f>IFERROR(VLOOKUP(A530,[1]fin_institutions!B:E,4,0),"")</f>
        <v>1.594167645338973</v>
      </c>
      <c r="K530" s="41">
        <f t="shared" si="42"/>
        <v>246</v>
      </c>
      <c r="L530" s="56">
        <f>IFERROR(VLOOKUP(A530,[1]bus_institutions!B:D,2,0),"")</f>
        <v>8</v>
      </c>
      <c r="M530" s="42">
        <f>IFERROR(VLOOKUP(A530,[1]bus_institutions!B:E,4,0),"")</f>
        <v>1.275226693872975</v>
      </c>
      <c r="N530" s="23">
        <f t="shared" si="43"/>
        <v>536</v>
      </c>
      <c r="O530" s="61">
        <f>IFERROR(VLOOKUP(A530,[1]man_institutions!B:E,2,0),"")</f>
        <v>14</v>
      </c>
      <c r="P530" s="62">
        <f>IFERROR(VLOOKUP(A530,[1]man_institutions!B:E,4,0),"")</f>
        <v>2.3184275554220921</v>
      </c>
      <c r="Q530" s="63">
        <f t="shared" si="44"/>
        <v>319</v>
      </c>
    </row>
    <row r="531" spans="1:17" x14ac:dyDescent="0.25">
      <c r="A531" s="6" t="s">
        <v>1109</v>
      </c>
      <c r="B531" s="37" t="s">
        <v>1271</v>
      </c>
      <c r="C531" s="72">
        <f>IFERROR(VLOOKUP(A531,[1]eco_bus_institutions!B:E,2,0),"")</f>
        <v>56</v>
      </c>
      <c r="D531" s="72">
        <f>IFERROR(VLOOKUP(A531,[1]eco_bus_institutions!B:E,4,0),"")</f>
        <v>1.435908905388946</v>
      </c>
      <c r="E531" s="73">
        <f t="shared" si="40"/>
        <v>502</v>
      </c>
      <c r="F531" s="40">
        <f>IFERROR(VLOOKUP(A531,[1]eco_institutions!B:D,2,0),"")</f>
        <v>40</v>
      </c>
      <c r="G531" s="40">
        <f>IFERROR(VLOOKUP(A531,[1]eco_institutions!B:E,4,0),"")</f>
        <v>1.2952144876859999</v>
      </c>
      <c r="H531" s="14">
        <f t="shared" si="41"/>
        <v>439</v>
      </c>
      <c r="I531" s="46">
        <f>IFERROR(VLOOKUP(A531,[1]fin_institutions!B:D,2,0),"")</f>
        <v>11</v>
      </c>
      <c r="J531" s="41">
        <f>IFERROR(VLOOKUP(A531,[1]fin_institutions!B:E,4,0),"")</f>
        <v>1.284437573324728</v>
      </c>
      <c r="K531" s="41">
        <f t="shared" si="42"/>
        <v>404</v>
      </c>
      <c r="L531" s="56">
        <f>IFERROR(VLOOKUP(A531,[1]bus_institutions!B:D,2,0),"")</f>
        <v>10</v>
      </c>
      <c r="M531" s="42">
        <f>IFERROR(VLOOKUP(A531,[1]bus_institutions!B:E,4,0),"")</f>
        <v>2.1244543934404692</v>
      </c>
      <c r="N531" s="23">
        <f t="shared" si="43"/>
        <v>286</v>
      </c>
      <c r="O531" s="61">
        <f>IFERROR(VLOOKUP(A531,[1]man_institutions!B:E,2,0),"")</f>
        <v>9</v>
      </c>
      <c r="P531" s="62">
        <f>IFERROR(VLOOKUP(A531,[1]man_institutions!B:E,4,0),"")</f>
        <v>2.462470215376364</v>
      </c>
      <c r="Q531" s="63">
        <f t="shared" si="44"/>
        <v>283</v>
      </c>
    </row>
    <row r="532" spans="1:17" x14ac:dyDescent="0.25">
      <c r="A532" s="6" t="s">
        <v>1173</v>
      </c>
      <c r="B532" s="37" t="s">
        <v>1247</v>
      </c>
      <c r="C532" s="72">
        <f>IFERROR(VLOOKUP(A532,[1]eco_bus_institutions!B:E,2,0),"")</f>
        <v>43</v>
      </c>
      <c r="D532" s="72">
        <f>IFERROR(VLOOKUP(A532,[1]eco_bus_institutions!B:E,4,0),"")</f>
        <v>1.258034638569195</v>
      </c>
      <c r="E532" s="73">
        <f t="shared" si="40"/>
        <v>570</v>
      </c>
      <c r="F532" s="40">
        <f>IFERROR(VLOOKUP(A532,[1]eco_institutions!B:D,2,0),"")</f>
        <v>23</v>
      </c>
      <c r="G532" s="40">
        <f>IFERROR(VLOOKUP(A532,[1]eco_institutions!B:E,4,0),"")</f>
        <v>1.1704186119914159</v>
      </c>
      <c r="H532" s="14">
        <f t="shared" si="41"/>
        <v>534</v>
      </c>
      <c r="I532" s="46">
        <f>IFERROR(VLOOKUP(A532,[1]fin_institutions!B:D,2,0),"")</f>
        <v>18</v>
      </c>
      <c r="J532" s="41">
        <f>IFERROR(VLOOKUP(A532,[1]fin_institutions!B:E,4,0),"")</f>
        <v>1.1722059545893131</v>
      </c>
      <c r="K532" s="41">
        <f t="shared" si="42"/>
        <v>486</v>
      </c>
      <c r="L532" s="56">
        <f>IFERROR(VLOOKUP(A532,[1]bus_institutions!B:D,2,0),"")</f>
        <v>6</v>
      </c>
      <c r="M532" s="42">
        <f>IFERROR(VLOOKUP(A532,[1]bus_institutions!B:E,4,0),"")</f>
        <v>1.4286489529616231</v>
      </c>
      <c r="N532" s="23">
        <f t="shared" si="43"/>
        <v>500</v>
      </c>
      <c r="O532" s="61">
        <f>IFERROR(VLOOKUP(A532,[1]man_institutions!B:E,2,0),"")</f>
        <v>7</v>
      </c>
      <c r="P532" s="62">
        <f>IFERROR(VLOOKUP(A532,[1]man_institutions!B:E,4,0),"")</f>
        <v>1.467051264507603</v>
      </c>
      <c r="Q532" s="63">
        <f t="shared" si="44"/>
        <v>542</v>
      </c>
    </row>
    <row r="533" spans="1:17" x14ac:dyDescent="0.25">
      <c r="A533" s="6" t="s">
        <v>1166</v>
      </c>
      <c r="B533" s="37" t="s">
        <v>1218</v>
      </c>
      <c r="C533" s="72">
        <f>IFERROR(VLOOKUP(A533,[1]eco_bus_institutions!B:E,2,0),"")</f>
        <v>55</v>
      </c>
      <c r="D533" s="72">
        <f>IFERROR(VLOOKUP(A533,[1]eco_bus_institutions!B:E,4,0),"")</f>
        <v>1.4303231993569041</v>
      </c>
      <c r="E533" s="73">
        <f t="shared" si="40"/>
        <v>507</v>
      </c>
      <c r="F533" s="40">
        <f>IFERROR(VLOOKUP(A533,[1]eco_institutions!B:D,2,0),"")</f>
        <v>37</v>
      </c>
      <c r="G533" s="40">
        <f>IFERROR(VLOOKUP(A533,[1]eco_institutions!B:E,4,0),"")</f>
        <v>1.3703305389871421</v>
      </c>
      <c r="H533" s="14">
        <f t="shared" si="41"/>
        <v>386</v>
      </c>
      <c r="I533" s="46">
        <f>IFERROR(VLOOKUP(A533,[1]fin_institutions!B:D,2,0),"")</f>
        <v>9</v>
      </c>
      <c r="J533" s="41">
        <f>IFERROR(VLOOKUP(A533,[1]fin_institutions!B:E,4,0),"")</f>
        <v>1.0445636274067569</v>
      </c>
      <c r="K533" s="41">
        <f t="shared" si="42"/>
        <v>558</v>
      </c>
      <c r="L533" s="56">
        <f>IFERROR(VLOOKUP(A533,[1]bus_institutions!B:D,2,0),"")</f>
        <v>9</v>
      </c>
      <c r="M533" s="42">
        <f>IFERROR(VLOOKUP(A533,[1]bus_institutions!B:E,4,0),"")</f>
        <v>1.8700564063271929</v>
      </c>
      <c r="N533" s="23">
        <f t="shared" si="43"/>
        <v>359</v>
      </c>
      <c r="O533" s="61">
        <f>IFERROR(VLOOKUP(A533,[1]man_institutions!B:E,2,0),"")</f>
        <v>9</v>
      </c>
      <c r="P533" s="62">
        <f>IFERROR(VLOOKUP(A533,[1]man_institutions!B:E,4,0),"")</f>
        <v>1.7468049338830109</v>
      </c>
      <c r="Q533" s="63">
        <f t="shared" si="44"/>
        <v>477</v>
      </c>
    </row>
    <row r="534" spans="1:17" x14ac:dyDescent="0.25">
      <c r="A534" s="6" t="s">
        <v>1112</v>
      </c>
      <c r="B534" s="37" t="s">
        <v>1230</v>
      </c>
      <c r="C534" s="72">
        <f>IFERROR(VLOOKUP(A534,[1]eco_bus_institutions!B:E,2,0),"")</f>
        <v>52</v>
      </c>
      <c r="D534" s="72">
        <f>IFERROR(VLOOKUP(A534,[1]eco_bus_institutions!B:E,4,0),"")</f>
        <v>1.3144140774514801</v>
      </c>
      <c r="E534" s="73">
        <f t="shared" si="40"/>
        <v>550</v>
      </c>
      <c r="F534" s="40">
        <f>IFERROR(VLOOKUP(A534,[1]eco_institutions!B:D,2,0),"")</f>
        <v>23</v>
      </c>
      <c r="G534" s="40">
        <f>IFERROR(VLOOKUP(A534,[1]eco_institutions!B:E,4,0),"")</f>
        <v>1.250665681189751</v>
      </c>
      <c r="H534" s="14">
        <f t="shared" si="41"/>
        <v>477</v>
      </c>
      <c r="I534" s="46">
        <f>IFERROR(VLOOKUP(A534,[1]fin_institutions!B:D,2,0),"")</f>
        <v>9</v>
      </c>
      <c r="J534" s="41">
        <f>IFERROR(VLOOKUP(A534,[1]fin_institutions!B:E,4,0),"")</f>
        <v>1.231674706737137</v>
      </c>
      <c r="K534" s="41">
        <f t="shared" si="42"/>
        <v>442</v>
      </c>
      <c r="L534" s="56">
        <f>IFERROR(VLOOKUP(A534,[1]bus_institutions!B:D,2,0),"")</f>
        <v>13</v>
      </c>
      <c r="M534" s="42">
        <f>IFERROR(VLOOKUP(A534,[1]bus_institutions!B:E,4,0),"")</f>
        <v>1.3922859674928161</v>
      </c>
      <c r="N534" s="23">
        <f t="shared" si="43"/>
        <v>510</v>
      </c>
      <c r="O534" s="61">
        <f>IFERROR(VLOOKUP(A534,[1]man_institutions!B:E,2,0),"")</f>
        <v>25</v>
      </c>
      <c r="P534" s="62">
        <f>IFERROR(VLOOKUP(A534,[1]man_institutions!B:E,4,0),"")</f>
        <v>1.480301307385965</v>
      </c>
      <c r="Q534" s="63">
        <f t="shared" si="44"/>
        <v>539</v>
      </c>
    </row>
    <row r="535" spans="1:17" x14ac:dyDescent="0.25">
      <c r="A535" s="6" t="s">
        <v>1156</v>
      </c>
      <c r="B535" s="37" t="s">
        <v>1230</v>
      </c>
      <c r="C535" s="72">
        <f>IFERROR(VLOOKUP(A535,[1]eco_bus_institutions!B:E,2,0),"")</f>
        <v>57</v>
      </c>
      <c r="D535" s="72">
        <f>IFERROR(VLOOKUP(A535,[1]eco_bus_institutions!B:E,4,0),"")</f>
        <v>1.230041282100109</v>
      </c>
      <c r="E535" s="73">
        <f t="shared" si="40"/>
        <v>578</v>
      </c>
      <c r="F535" s="40">
        <f>IFERROR(VLOOKUP(A535,[1]eco_institutions!B:D,2,0),"")</f>
        <v>33</v>
      </c>
      <c r="G535" s="40">
        <f>IFERROR(VLOOKUP(A535,[1]eco_institutions!B:E,4,0),"")</f>
        <v>1.1024284614597031</v>
      </c>
      <c r="H535" s="14">
        <f t="shared" si="41"/>
        <v>572</v>
      </c>
      <c r="I535" s="46">
        <f>IFERROR(VLOOKUP(A535,[1]fin_institutions!B:D,2,0),"")</f>
        <v>5</v>
      </c>
      <c r="J535" s="41">
        <f>IFERROR(VLOOKUP(A535,[1]fin_institutions!B:E,4,0),"")</f>
        <v>1.1911902969870729</v>
      </c>
      <c r="K535" s="41">
        <f t="shared" si="42"/>
        <v>472</v>
      </c>
      <c r="L535" s="56">
        <f>IFERROR(VLOOKUP(A535,[1]bus_institutions!B:D,2,0),"")</f>
        <v>20</v>
      </c>
      <c r="M535" s="42">
        <f>IFERROR(VLOOKUP(A535,[1]bus_institutions!B:E,4,0),"")</f>
        <v>1.398380853184511</v>
      </c>
      <c r="N535" s="23">
        <f t="shared" si="43"/>
        <v>507</v>
      </c>
      <c r="O535" s="61">
        <f>IFERROR(VLOOKUP(A535,[1]man_institutions!B:E,2,0),"")</f>
        <v>15</v>
      </c>
      <c r="P535" s="62">
        <f>IFERROR(VLOOKUP(A535,[1]man_institutions!B:E,4,0),"")</f>
        <v>1.535934914575642</v>
      </c>
      <c r="Q535" s="63">
        <f t="shared" si="44"/>
        <v>525</v>
      </c>
    </row>
    <row r="536" spans="1:17" x14ac:dyDescent="0.25">
      <c r="A536" s="6" t="s">
        <v>1140</v>
      </c>
      <c r="B536" s="37" t="s">
        <v>1222</v>
      </c>
      <c r="C536" s="72">
        <f>IFERROR(VLOOKUP(A536,[1]eco_bus_institutions!B:E,2,0),"")</f>
        <v>54</v>
      </c>
      <c r="D536" s="72">
        <f>IFERROR(VLOOKUP(A536,[1]eco_bus_institutions!B:E,4,0),"")</f>
        <v>1.418743802396929</v>
      </c>
      <c r="E536" s="73">
        <f t="shared" si="40"/>
        <v>517</v>
      </c>
      <c r="F536" s="40">
        <f>IFERROR(VLOOKUP(A536,[1]eco_institutions!B:D,2,0),"")</f>
        <v>32</v>
      </c>
      <c r="G536" s="40">
        <f>IFERROR(VLOOKUP(A536,[1]eco_institutions!B:E,4,0),"")</f>
        <v>1.286743238842863</v>
      </c>
      <c r="H536" s="14">
        <f t="shared" si="41"/>
        <v>448</v>
      </c>
      <c r="I536" s="46">
        <f>IFERROR(VLOOKUP(A536,[1]fin_institutions!B:D,2,0),"")</f>
        <v>18</v>
      </c>
      <c r="J536" s="41">
        <f>IFERROR(VLOOKUP(A536,[1]fin_institutions!B:E,4,0),"")</f>
        <v>1.308811126613018</v>
      </c>
      <c r="K536" s="41">
        <f t="shared" si="42"/>
        <v>389</v>
      </c>
      <c r="L536" s="56">
        <f>IFERROR(VLOOKUP(A536,[1]bus_institutions!B:D,2,0),"")</f>
        <v>7</v>
      </c>
      <c r="M536" s="42">
        <f>IFERROR(VLOOKUP(A536,[1]bus_institutions!B:E,4,0),"")</f>
        <v>1.5676307643853311</v>
      </c>
      <c r="N536" s="23">
        <f t="shared" si="43"/>
        <v>466</v>
      </c>
      <c r="O536" s="61">
        <f>IFERROR(VLOOKUP(A536,[1]man_institutions!B:E,2,0),"")</f>
        <v>12</v>
      </c>
      <c r="P536" s="62">
        <f>IFERROR(VLOOKUP(A536,[1]man_institutions!B:E,4,0),"")</f>
        <v>2.2653043033744491</v>
      </c>
      <c r="Q536" s="63">
        <f t="shared" si="44"/>
        <v>330</v>
      </c>
    </row>
    <row r="537" spans="1:17" x14ac:dyDescent="0.25">
      <c r="A537" s="6" t="s">
        <v>1123</v>
      </c>
      <c r="B537" s="37" t="s">
        <v>1254</v>
      </c>
      <c r="C537" s="72">
        <f>IFERROR(VLOOKUP(A537,[1]eco_bus_institutions!B:E,2,0),"")</f>
        <v>41</v>
      </c>
      <c r="D537" s="72">
        <f>IFERROR(VLOOKUP(A537,[1]eco_bus_institutions!B:E,4,0),"")</f>
        <v>1.268658331444708</v>
      </c>
      <c r="E537" s="73">
        <f t="shared" si="40"/>
        <v>565</v>
      </c>
      <c r="F537" s="40">
        <f>IFERROR(VLOOKUP(A537,[1]eco_institutions!B:D,2,0),"")</f>
        <v>24</v>
      </c>
      <c r="G537" s="40">
        <f>IFERROR(VLOOKUP(A537,[1]eco_institutions!B:E,4,0),"")</f>
        <v>1.2107646137316359</v>
      </c>
      <c r="H537" s="14">
        <f t="shared" si="41"/>
        <v>507</v>
      </c>
      <c r="I537" s="46">
        <f>IFERROR(VLOOKUP(A537,[1]fin_institutions!B:D,2,0),"")</f>
        <v>16</v>
      </c>
      <c r="J537" s="41">
        <f>IFERROR(VLOOKUP(A537,[1]fin_institutions!B:E,4,0),"")</f>
        <v>1.303191326055479</v>
      </c>
      <c r="K537" s="41">
        <f t="shared" si="42"/>
        <v>393</v>
      </c>
      <c r="L537" s="56">
        <f>IFERROR(VLOOKUP(A537,[1]bus_institutions!B:D,2,0),"")</f>
        <v>6</v>
      </c>
      <c r="M537" s="42">
        <f>IFERROR(VLOOKUP(A537,[1]bus_institutions!B:E,4,0),"")</f>
        <v>1.4537502980686541</v>
      </c>
      <c r="N537" s="23">
        <f t="shared" si="43"/>
        <v>495</v>
      </c>
      <c r="O537" s="61">
        <f>IFERROR(VLOOKUP(A537,[1]man_institutions!B:E,2,0),"")</f>
        <v>10</v>
      </c>
      <c r="P537" s="62">
        <f>IFERROR(VLOOKUP(A537,[1]man_institutions!B:E,4,0),"")</f>
        <v>1.3051585129005321</v>
      </c>
      <c r="Q537" s="63">
        <f t="shared" si="44"/>
        <v>559</v>
      </c>
    </row>
    <row r="538" spans="1:17" x14ac:dyDescent="0.25">
      <c r="A538" s="6" t="s">
        <v>1120</v>
      </c>
      <c r="B538" s="37" t="s">
        <v>1233</v>
      </c>
      <c r="C538" s="72">
        <f>IFERROR(VLOOKUP(A538,[1]eco_bus_institutions!B:E,2,0),"")</f>
        <v>76</v>
      </c>
      <c r="D538" s="72">
        <f>IFERROR(VLOOKUP(A538,[1]eco_bus_institutions!B:E,4,0),"")</f>
        <v>1.629195560410952</v>
      </c>
      <c r="E538" s="73">
        <f t="shared" si="40"/>
        <v>412</v>
      </c>
      <c r="F538" s="40">
        <f>IFERROR(VLOOKUP(A538,[1]eco_institutions!B:D,2,0),"")</f>
        <v>57</v>
      </c>
      <c r="G538" s="40">
        <f>IFERROR(VLOOKUP(A538,[1]eco_institutions!B:E,4,0),"")</f>
        <v>1.435366942425027</v>
      </c>
      <c r="H538" s="14">
        <f t="shared" si="41"/>
        <v>335</v>
      </c>
      <c r="I538" s="46" t="str">
        <f>IFERROR(VLOOKUP(A538,[1]fin_institutions!B:D,2,0),"")</f>
        <v/>
      </c>
      <c r="J538" s="41" t="str">
        <f>IFERROR(VLOOKUP(A538,[1]fin_institutions!B:E,4,0),"")</f>
        <v/>
      </c>
      <c r="K538" s="41" t="str">
        <f t="shared" si="42"/>
        <v/>
      </c>
      <c r="L538" s="56">
        <f>IFERROR(VLOOKUP(A538,[1]bus_institutions!B:D,2,0),"")</f>
        <v>13</v>
      </c>
      <c r="M538" s="42">
        <f>IFERROR(VLOOKUP(A538,[1]bus_institutions!B:E,4,0),"")</f>
        <v>2.361274300128358</v>
      </c>
      <c r="N538" s="23">
        <f t="shared" si="43"/>
        <v>231</v>
      </c>
      <c r="O538" s="61">
        <f>IFERROR(VLOOKUP(A538,[1]man_institutions!B:E,2,0),"")</f>
        <v>13</v>
      </c>
      <c r="P538" s="62">
        <f>IFERROR(VLOOKUP(A538,[1]man_institutions!B:E,4,0),"")</f>
        <v>2.1530426025489451</v>
      </c>
      <c r="Q538" s="63">
        <f t="shared" si="44"/>
        <v>367</v>
      </c>
    </row>
    <row r="539" spans="1:17" x14ac:dyDescent="0.25">
      <c r="A539" s="6" t="s">
        <v>1167</v>
      </c>
      <c r="B539" s="37" t="s">
        <v>1220</v>
      </c>
      <c r="C539" s="72">
        <f>IFERROR(VLOOKUP(A539,[1]eco_bus_institutions!B:E,2,0),"")</f>
        <v>82</v>
      </c>
      <c r="D539" s="72">
        <f>IFERROR(VLOOKUP(A539,[1]eco_bus_institutions!B:E,4,0),"")</f>
        <v>1.4939658843519581</v>
      </c>
      <c r="E539" s="73">
        <f t="shared" si="40"/>
        <v>474</v>
      </c>
      <c r="F539" s="40">
        <f>IFERROR(VLOOKUP(A539,[1]eco_institutions!B:D,2,0),"")</f>
        <v>58</v>
      </c>
      <c r="G539" s="40">
        <f>IFERROR(VLOOKUP(A539,[1]eco_institutions!B:E,4,0),"")</f>
        <v>1.368622815933118</v>
      </c>
      <c r="H539" s="14">
        <f t="shared" si="41"/>
        <v>387</v>
      </c>
      <c r="I539" s="46">
        <f>IFERROR(VLOOKUP(A539,[1]fin_institutions!B:D,2,0),"")</f>
        <v>7</v>
      </c>
      <c r="J539" s="41">
        <f>IFERROR(VLOOKUP(A539,[1]fin_institutions!B:E,4,0),"")</f>
        <v>1.162542747288104</v>
      </c>
      <c r="K539" s="41">
        <f t="shared" si="42"/>
        <v>491</v>
      </c>
      <c r="L539" s="56">
        <f>IFERROR(VLOOKUP(A539,[1]bus_institutions!B:D,2,0),"")</f>
        <v>13</v>
      </c>
      <c r="M539" s="42">
        <f>IFERROR(VLOOKUP(A539,[1]bus_institutions!B:E,4,0),"")</f>
        <v>2.0976001112255802</v>
      </c>
      <c r="N539" s="23">
        <f t="shared" si="43"/>
        <v>295</v>
      </c>
      <c r="O539" s="61">
        <f>IFERROR(VLOOKUP(A539,[1]man_institutions!B:E,2,0),"")</f>
        <v>15</v>
      </c>
      <c r="P539" s="62">
        <f>IFERROR(VLOOKUP(A539,[1]man_institutions!B:E,4,0),"")</f>
        <v>2.3320034780407579</v>
      </c>
      <c r="Q539" s="63">
        <f t="shared" si="44"/>
        <v>317</v>
      </c>
    </row>
    <row r="540" spans="1:17" x14ac:dyDescent="0.25">
      <c r="A540" s="6" t="s">
        <v>1147</v>
      </c>
      <c r="B540" s="37" t="s">
        <v>1222</v>
      </c>
      <c r="C540" s="72">
        <f>IFERROR(VLOOKUP(A540,[1]eco_bus_institutions!B:E,2,0),"")</f>
        <v>66</v>
      </c>
      <c r="D540" s="72">
        <f>IFERROR(VLOOKUP(A540,[1]eco_bus_institutions!B:E,4,0),"")</f>
        <v>1.4215794599535569</v>
      </c>
      <c r="E540" s="73">
        <f t="shared" si="40"/>
        <v>514</v>
      </c>
      <c r="F540" s="40">
        <f>IFERROR(VLOOKUP(A540,[1]eco_institutions!B:D,2,0),"")</f>
        <v>45</v>
      </c>
      <c r="G540" s="40">
        <f>IFERROR(VLOOKUP(A540,[1]eco_institutions!B:E,4,0),"")</f>
        <v>1.377432067895656</v>
      </c>
      <c r="H540" s="14">
        <f t="shared" si="41"/>
        <v>382</v>
      </c>
      <c r="I540" s="46">
        <f>IFERROR(VLOOKUP(A540,[1]fin_institutions!B:D,2,0),"")</f>
        <v>8</v>
      </c>
      <c r="J540" s="41">
        <f>IFERROR(VLOOKUP(A540,[1]fin_institutions!B:E,4,0),"")</f>
        <v>1.4021420822953881</v>
      </c>
      <c r="K540" s="41">
        <f t="shared" si="42"/>
        <v>339</v>
      </c>
      <c r="L540" s="56">
        <f>IFERROR(VLOOKUP(A540,[1]bus_institutions!B:D,2,0),"")</f>
        <v>15</v>
      </c>
      <c r="M540" s="42">
        <f>IFERROR(VLOOKUP(A540,[1]bus_institutions!B:E,4,0),"")</f>
        <v>1.3652156168009779</v>
      </c>
      <c r="N540" s="23">
        <f t="shared" si="43"/>
        <v>517</v>
      </c>
      <c r="O540" s="61">
        <f>IFERROR(VLOOKUP(A540,[1]man_institutions!B:E,2,0),"")</f>
        <v>15</v>
      </c>
      <c r="P540" s="62">
        <f>IFERROR(VLOOKUP(A540,[1]man_institutions!B:E,4,0),"")</f>
        <v>1.8226183301169541</v>
      </c>
      <c r="Q540" s="63">
        <f t="shared" si="44"/>
        <v>454</v>
      </c>
    </row>
    <row r="541" spans="1:17" x14ac:dyDescent="0.25">
      <c r="A541" s="6" t="s">
        <v>1143</v>
      </c>
      <c r="B541" s="37" t="s">
        <v>1230</v>
      </c>
      <c r="C541" s="72">
        <f>IFERROR(VLOOKUP(A541,[1]eco_bus_institutions!B:E,2,0),"")</f>
        <v>63</v>
      </c>
      <c r="D541" s="72">
        <f>IFERROR(VLOOKUP(A541,[1]eco_bus_institutions!B:E,4,0),"")</f>
        <v>1.32246498861301</v>
      </c>
      <c r="E541" s="73">
        <f t="shared" si="40"/>
        <v>546</v>
      </c>
      <c r="F541" s="40">
        <f>IFERROR(VLOOKUP(A541,[1]eco_institutions!B:D,2,0),"")</f>
        <v>39</v>
      </c>
      <c r="G541" s="40">
        <f>IFERROR(VLOOKUP(A541,[1]eco_institutions!B:E,4,0),"")</f>
        <v>1.147866036557835</v>
      </c>
      <c r="H541" s="14">
        <f t="shared" si="41"/>
        <v>544</v>
      </c>
      <c r="I541" s="46">
        <f>IFERROR(VLOOKUP(A541,[1]fin_institutions!B:D,2,0),"")</f>
        <v>14</v>
      </c>
      <c r="J541" s="41">
        <f>IFERROR(VLOOKUP(A541,[1]fin_institutions!B:E,4,0),"")</f>
        <v>1.156054774699649</v>
      </c>
      <c r="K541" s="41">
        <f t="shared" si="42"/>
        <v>498</v>
      </c>
      <c r="L541" s="56">
        <f>IFERROR(VLOOKUP(A541,[1]bus_institutions!B:D,2,0),"")</f>
        <v>17</v>
      </c>
      <c r="M541" s="42">
        <f>IFERROR(VLOOKUP(A541,[1]bus_institutions!B:E,4,0),"")</f>
        <v>1.373084722668847</v>
      </c>
      <c r="N541" s="23">
        <f t="shared" si="43"/>
        <v>512</v>
      </c>
      <c r="O541" s="61">
        <f>IFERROR(VLOOKUP(A541,[1]man_institutions!B:E,2,0),"")</f>
        <v>14</v>
      </c>
      <c r="P541" s="62">
        <f>IFERROR(VLOOKUP(A541,[1]man_institutions!B:E,4,0),"")</f>
        <v>1.9083135077360001</v>
      </c>
      <c r="Q541" s="63">
        <f t="shared" si="44"/>
        <v>424</v>
      </c>
    </row>
    <row r="542" spans="1:17" x14ac:dyDescent="0.25">
      <c r="A542" s="6" t="s">
        <v>1169</v>
      </c>
      <c r="B542" s="37" t="s">
        <v>1218</v>
      </c>
      <c r="C542" s="72">
        <f>IFERROR(VLOOKUP(A542,[1]eco_bus_institutions!B:E,2,0),"")</f>
        <v>113</v>
      </c>
      <c r="D542" s="72">
        <f>IFERROR(VLOOKUP(A542,[1]eco_bus_institutions!B:E,4,0),"")</f>
        <v>1.5308834545530161</v>
      </c>
      <c r="E542" s="73">
        <f t="shared" si="40"/>
        <v>465</v>
      </c>
      <c r="F542" s="40">
        <f>IFERROR(VLOOKUP(A542,[1]eco_institutions!B:D,2,0),"")</f>
        <v>94</v>
      </c>
      <c r="G542" s="40">
        <f>IFERROR(VLOOKUP(A542,[1]eco_institutions!B:E,4,0),"")</f>
        <v>1.5199932485253229</v>
      </c>
      <c r="H542" s="14">
        <f t="shared" si="41"/>
        <v>290</v>
      </c>
      <c r="I542" s="46">
        <f>IFERROR(VLOOKUP(A542,[1]fin_institutions!B:D,2,0),"")</f>
        <v>4</v>
      </c>
      <c r="J542" s="41">
        <f>IFERROR(VLOOKUP(A542,[1]fin_institutions!B:E,4,0),"")</f>
        <v>1.5008291571025669</v>
      </c>
      <c r="K542" s="41">
        <f t="shared" si="42"/>
        <v>289</v>
      </c>
      <c r="L542" s="56">
        <f>IFERROR(VLOOKUP(A542,[1]bus_institutions!B:D,2,0),"")</f>
        <v>10</v>
      </c>
      <c r="M542" s="42">
        <f>IFERROR(VLOOKUP(A542,[1]bus_institutions!B:E,4,0),"")</f>
        <v>1.9201275988821069</v>
      </c>
      <c r="N542" s="23">
        <f t="shared" si="43"/>
        <v>346</v>
      </c>
      <c r="O542" s="61">
        <f>IFERROR(VLOOKUP(A542,[1]man_institutions!B:E,2,0),"")</f>
        <v>13</v>
      </c>
      <c r="P542" s="62">
        <f>IFERROR(VLOOKUP(A542,[1]man_institutions!B:E,4,0),"")</f>
        <v>1.432407747600188</v>
      </c>
      <c r="Q542" s="63">
        <f t="shared" si="44"/>
        <v>547</v>
      </c>
    </row>
    <row r="543" spans="1:17" x14ac:dyDescent="0.25">
      <c r="A543" s="6" t="s">
        <v>1178</v>
      </c>
      <c r="B543" s="37" t="s">
        <v>1264</v>
      </c>
      <c r="C543" s="72">
        <f>IFERROR(VLOOKUP(A543,[1]eco_bus_institutions!B:E,2,0),"")</f>
        <v>42</v>
      </c>
      <c r="D543" s="72">
        <f>IFERROR(VLOOKUP(A543,[1]eco_bus_institutions!B:E,4,0),"")</f>
        <v>1.2145221585157899</v>
      </c>
      <c r="E543" s="73">
        <f t="shared" si="40"/>
        <v>583</v>
      </c>
      <c r="F543" s="40">
        <f>IFERROR(VLOOKUP(A543,[1]eco_institutions!B:D,2,0),"")</f>
        <v>16</v>
      </c>
      <c r="G543" s="40">
        <f>IFERROR(VLOOKUP(A543,[1]eco_institutions!B:E,4,0),"")</f>
        <v>1.0827279042856459</v>
      </c>
      <c r="H543" s="14">
        <f t="shared" si="41"/>
        <v>578</v>
      </c>
      <c r="I543" s="46">
        <f>IFERROR(VLOOKUP(A543,[1]fin_institutions!B:D,2,0),"")</f>
        <v>6</v>
      </c>
      <c r="J543" s="41">
        <f>IFERROR(VLOOKUP(A543,[1]fin_institutions!B:E,4,0),"")</f>
        <v>1.123189862261331</v>
      </c>
      <c r="K543" s="41">
        <f t="shared" si="42"/>
        <v>522</v>
      </c>
      <c r="L543" s="56">
        <f>IFERROR(VLOOKUP(A543,[1]bus_institutions!B:D,2,0),"")</f>
        <v>22</v>
      </c>
      <c r="M543" s="42">
        <f>IFERROR(VLOOKUP(A543,[1]bus_institutions!B:E,4,0),"")</f>
        <v>1.2424757889355409</v>
      </c>
      <c r="N543" s="23">
        <f t="shared" si="43"/>
        <v>540</v>
      </c>
      <c r="O543" s="61">
        <f>IFERROR(VLOOKUP(A543,[1]man_institutions!B:E,2,0),"")</f>
        <v>23</v>
      </c>
      <c r="P543" s="62">
        <f>IFERROR(VLOOKUP(A543,[1]man_institutions!B:E,4,0),"")</f>
        <v>1.612956433399122</v>
      </c>
      <c r="Q543" s="63">
        <f t="shared" si="44"/>
        <v>507</v>
      </c>
    </row>
    <row r="544" spans="1:17" x14ac:dyDescent="0.25">
      <c r="A544" s="6" t="s">
        <v>1136</v>
      </c>
      <c r="B544" s="37" t="s">
        <v>1230</v>
      </c>
      <c r="C544" s="72">
        <f>IFERROR(VLOOKUP(A544,[1]eco_bus_institutions!B:E,2,0),"")</f>
        <v>68</v>
      </c>
      <c r="D544" s="72">
        <f>IFERROR(VLOOKUP(A544,[1]eco_bus_institutions!B:E,4,0),"")</f>
        <v>1.3017667127952579</v>
      </c>
      <c r="E544" s="73">
        <f t="shared" si="40"/>
        <v>555</v>
      </c>
      <c r="F544" s="40">
        <f>IFERROR(VLOOKUP(A544,[1]eco_institutions!B:D,2,0),"")</f>
        <v>42</v>
      </c>
      <c r="G544" s="40">
        <f>IFERROR(VLOOKUP(A544,[1]eco_institutions!B:E,4,0),"")</f>
        <v>1.2888552125276569</v>
      </c>
      <c r="H544" s="14">
        <f t="shared" si="41"/>
        <v>445</v>
      </c>
      <c r="I544" s="46">
        <f>IFERROR(VLOOKUP(A544,[1]fin_institutions!B:D,2,0),"")</f>
        <v>19</v>
      </c>
      <c r="J544" s="41">
        <f>IFERROR(VLOOKUP(A544,[1]fin_institutions!B:E,4,0),"")</f>
        <v>1.190011066416828</v>
      </c>
      <c r="K544" s="41">
        <f t="shared" si="42"/>
        <v>474</v>
      </c>
      <c r="L544" s="56">
        <f>IFERROR(VLOOKUP(A544,[1]bus_institutions!B:D,2,0),"")</f>
        <v>12</v>
      </c>
      <c r="M544" s="42">
        <f>IFERROR(VLOOKUP(A544,[1]bus_institutions!B:E,4,0),"")</f>
        <v>1.2851251041091909</v>
      </c>
      <c r="N544" s="23">
        <f t="shared" si="43"/>
        <v>533</v>
      </c>
      <c r="O544" s="61">
        <f>IFERROR(VLOOKUP(A544,[1]man_institutions!B:E,2,0),"")</f>
        <v>19</v>
      </c>
      <c r="P544" s="62">
        <f>IFERROR(VLOOKUP(A544,[1]man_institutions!B:E,4,0),"")</f>
        <v>1.570725639560405</v>
      </c>
      <c r="Q544" s="63">
        <f t="shared" si="44"/>
        <v>514</v>
      </c>
    </row>
    <row r="545" spans="1:17" x14ac:dyDescent="0.25">
      <c r="A545" s="6" t="s">
        <v>1174</v>
      </c>
      <c r="B545" s="37" t="s">
        <v>1220</v>
      </c>
      <c r="C545" s="72">
        <f>IFERROR(VLOOKUP(A545,[1]eco_bus_institutions!B:E,2,0),"")</f>
        <v>44</v>
      </c>
      <c r="D545" s="72">
        <f>IFERROR(VLOOKUP(A545,[1]eco_bus_institutions!B:E,4,0),"")</f>
        <v>1.242272260342405</v>
      </c>
      <c r="E545" s="73">
        <f t="shared" si="40"/>
        <v>575</v>
      </c>
      <c r="F545" s="40">
        <f>IFERROR(VLOOKUP(A545,[1]eco_institutions!B:D,2,0),"")</f>
        <v>12</v>
      </c>
      <c r="G545" s="40">
        <f>IFERROR(VLOOKUP(A545,[1]eco_institutions!B:E,4,0),"")</f>
        <v>1.1051932130243991</v>
      </c>
      <c r="H545" s="14">
        <f t="shared" si="41"/>
        <v>570</v>
      </c>
      <c r="I545" s="46">
        <f>IFERROR(VLOOKUP(A545,[1]fin_institutions!B:D,2,0),"")</f>
        <v>8</v>
      </c>
      <c r="J545" s="41">
        <f>IFERROR(VLOOKUP(A545,[1]fin_institutions!B:E,4,0),"")</f>
        <v>1.031073991457959</v>
      </c>
      <c r="K545" s="41">
        <f t="shared" si="42"/>
        <v>561</v>
      </c>
      <c r="L545" s="56">
        <f>IFERROR(VLOOKUP(A545,[1]bus_institutions!B:D,2,0),"")</f>
        <v>20</v>
      </c>
      <c r="M545" s="42">
        <f>IFERROR(VLOOKUP(A545,[1]bus_institutions!B:E,4,0),"")</f>
        <v>1.3231495026089699</v>
      </c>
      <c r="N545" s="23">
        <f t="shared" si="43"/>
        <v>523</v>
      </c>
      <c r="O545" s="61">
        <f>IFERROR(VLOOKUP(A545,[1]man_institutions!B:E,2,0),"")</f>
        <v>19</v>
      </c>
      <c r="P545" s="62">
        <f>IFERROR(VLOOKUP(A545,[1]man_institutions!B:E,4,0),"")</f>
        <v>1.4858935834056051</v>
      </c>
      <c r="Q545" s="63">
        <f t="shared" si="44"/>
        <v>534</v>
      </c>
    </row>
    <row r="546" spans="1:17" x14ac:dyDescent="0.25">
      <c r="A546" s="6" t="s">
        <v>1170</v>
      </c>
      <c r="B546" s="37" t="s">
        <v>1254</v>
      </c>
      <c r="C546" s="72">
        <f>IFERROR(VLOOKUP(A546,[1]eco_bus_institutions!B:E,2,0),"")</f>
        <v>99</v>
      </c>
      <c r="D546" s="72">
        <f>IFERROR(VLOOKUP(A546,[1]eco_bus_institutions!B:E,4,0),"")</f>
        <v>1.3123754874446221</v>
      </c>
      <c r="E546" s="73">
        <f t="shared" si="40"/>
        <v>551</v>
      </c>
      <c r="F546" s="40">
        <f>IFERROR(VLOOKUP(A546,[1]eco_institutions!B:D,2,0),"")</f>
        <v>51</v>
      </c>
      <c r="G546" s="40">
        <f>IFERROR(VLOOKUP(A546,[1]eco_institutions!B:E,4,0),"")</f>
        <v>1.1844294920099201</v>
      </c>
      <c r="H546" s="14">
        <f t="shared" si="41"/>
        <v>527</v>
      </c>
      <c r="I546" s="46">
        <f>IFERROR(VLOOKUP(A546,[1]fin_institutions!B:D,2,0),"")</f>
        <v>18</v>
      </c>
      <c r="J546" s="41">
        <f>IFERROR(VLOOKUP(A546,[1]fin_institutions!B:E,4,0),"")</f>
        <v>1.2493930979667811</v>
      </c>
      <c r="K546" s="41">
        <f t="shared" si="42"/>
        <v>428</v>
      </c>
      <c r="L546" s="56">
        <f>IFERROR(VLOOKUP(A546,[1]bus_institutions!B:D,2,0),"")</f>
        <v>25</v>
      </c>
      <c r="M546" s="42">
        <f>IFERROR(VLOOKUP(A546,[1]bus_institutions!B:E,4,0),"")</f>
        <v>1.666812863251264</v>
      </c>
      <c r="N546" s="23">
        <f t="shared" si="43"/>
        <v>437</v>
      </c>
      <c r="O546" s="61">
        <f>IFERROR(VLOOKUP(A546,[1]man_institutions!B:E,2,0),"")</f>
        <v>23</v>
      </c>
      <c r="P546" s="62">
        <f>IFERROR(VLOOKUP(A546,[1]man_institutions!B:E,4,0),"")</f>
        <v>1.6663128217419041</v>
      </c>
      <c r="Q546" s="63">
        <f t="shared" si="44"/>
        <v>502</v>
      </c>
    </row>
    <row r="547" spans="1:17" x14ac:dyDescent="0.25">
      <c r="A547" s="6" t="s">
        <v>1138</v>
      </c>
      <c r="B547" s="37" t="s">
        <v>1231</v>
      </c>
      <c r="C547" s="72">
        <f>IFERROR(VLOOKUP(A547,[1]eco_bus_institutions!B:E,2,0),"")</f>
        <v>71</v>
      </c>
      <c r="D547" s="72">
        <f>IFERROR(VLOOKUP(A547,[1]eco_bus_institutions!B:E,4,0),"")</f>
        <v>1.343749775463049</v>
      </c>
      <c r="E547" s="73">
        <f t="shared" si="40"/>
        <v>541</v>
      </c>
      <c r="F547" s="40">
        <f>IFERROR(VLOOKUP(A547,[1]eco_institutions!B:D,2,0),"")</f>
        <v>30</v>
      </c>
      <c r="G547" s="40">
        <f>IFERROR(VLOOKUP(A547,[1]eco_institutions!B:E,4,0),"")</f>
        <v>1.175635699139423</v>
      </c>
      <c r="H547" s="14">
        <f t="shared" si="41"/>
        <v>530</v>
      </c>
      <c r="I547" s="46">
        <f>IFERROR(VLOOKUP(A547,[1]fin_institutions!B:D,2,0),"")</f>
        <v>10</v>
      </c>
      <c r="J547" s="41">
        <f>IFERROR(VLOOKUP(A547,[1]fin_institutions!B:E,4,0),"")</f>
        <v>1.1642773496176271</v>
      </c>
      <c r="K547" s="41">
        <f t="shared" si="42"/>
        <v>489</v>
      </c>
      <c r="L547" s="56">
        <f>IFERROR(VLOOKUP(A547,[1]bus_institutions!B:D,2,0),"")</f>
        <v>22</v>
      </c>
      <c r="M547" s="42">
        <f>IFERROR(VLOOKUP(A547,[1]bus_institutions!B:E,4,0),"")</f>
        <v>1.8619359908811131</v>
      </c>
      <c r="N547" s="23">
        <f t="shared" si="43"/>
        <v>364</v>
      </c>
      <c r="O547" s="61">
        <f>IFERROR(VLOOKUP(A547,[1]man_institutions!B:E,2,0),"")</f>
        <v>29</v>
      </c>
      <c r="P547" s="62">
        <f>IFERROR(VLOOKUP(A547,[1]man_institutions!B:E,4,0),"")</f>
        <v>1.387963302506414</v>
      </c>
      <c r="Q547" s="63">
        <f t="shared" si="44"/>
        <v>550</v>
      </c>
    </row>
    <row r="548" spans="1:17" x14ac:dyDescent="0.25">
      <c r="A548" s="6" t="s">
        <v>1159</v>
      </c>
      <c r="B548" s="37" t="s">
        <v>1246</v>
      </c>
      <c r="C548" s="72">
        <f>IFERROR(VLOOKUP(A548,[1]eco_bus_institutions!B:E,2,0),"")</f>
        <v>41</v>
      </c>
      <c r="D548" s="72">
        <f>IFERROR(VLOOKUP(A548,[1]eco_bus_institutions!B:E,4,0),"")</f>
        <v>1.2867799495011161</v>
      </c>
      <c r="E548" s="73">
        <f t="shared" si="40"/>
        <v>560</v>
      </c>
      <c r="F548" s="40">
        <f>IFERROR(VLOOKUP(A548,[1]eco_institutions!B:D,2,0),"")</f>
        <v>26</v>
      </c>
      <c r="G548" s="40">
        <f>IFERROR(VLOOKUP(A548,[1]eco_institutions!B:E,4,0),"")</f>
        <v>1.2755659431183091</v>
      </c>
      <c r="H548" s="14">
        <f t="shared" si="41"/>
        <v>455</v>
      </c>
      <c r="I548" s="46">
        <f>IFERROR(VLOOKUP(A548,[1]fin_institutions!B:D,2,0),"")</f>
        <v>4</v>
      </c>
      <c r="J548" s="41">
        <f>IFERROR(VLOOKUP(A548,[1]fin_institutions!B:E,4,0),"")</f>
        <v>1.0161450161726251</v>
      </c>
      <c r="K548" s="41">
        <f t="shared" si="42"/>
        <v>563</v>
      </c>
      <c r="L548" s="56">
        <f>IFERROR(VLOOKUP(A548,[1]bus_institutions!B:D,2,0),"")</f>
        <v>6</v>
      </c>
      <c r="M548" s="42">
        <f>IFERROR(VLOOKUP(A548,[1]bus_institutions!B:E,4,0),"")</f>
        <v>1.156668759262476</v>
      </c>
      <c r="N548" s="23">
        <f t="shared" si="43"/>
        <v>557</v>
      </c>
      <c r="O548" s="61">
        <f>IFERROR(VLOOKUP(A548,[1]man_institutions!B:E,2,0),"")</f>
        <v>8</v>
      </c>
      <c r="P548" s="62">
        <f>IFERROR(VLOOKUP(A548,[1]man_institutions!B:E,4,0),"")</f>
        <v>1.7473374339558461</v>
      </c>
      <c r="Q548" s="63">
        <f t="shared" si="44"/>
        <v>476</v>
      </c>
    </row>
    <row r="549" spans="1:17" x14ac:dyDescent="0.25">
      <c r="A549" s="6" t="s">
        <v>1144</v>
      </c>
      <c r="B549" s="37" t="s">
        <v>1230</v>
      </c>
      <c r="C549" s="72">
        <f>IFERROR(VLOOKUP(A549,[1]eco_bus_institutions!B:E,2,0),"")</f>
        <v>41</v>
      </c>
      <c r="D549" s="72">
        <f>IFERROR(VLOOKUP(A549,[1]eco_bus_institutions!B:E,4,0),"")</f>
        <v>1.427558596598177</v>
      </c>
      <c r="E549" s="73">
        <f t="shared" si="40"/>
        <v>511</v>
      </c>
      <c r="F549" s="40">
        <f>IFERROR(VLOOKUP(A549,[1]eco_institutions!B:D,2,0),"")</f>
        <v>36</v>
      </c>
      <c r="G549" s="40">
        <f>IFERROR(VLOOKUP(A549,[1]eco_institutions!B:E,4,0),"")</f>
        <v>1.399953949300013</v>
      </c>
      <c r="H549" s="14">
        <f t="shared" si="41"/>
        <v>364</v>
      </c>
      <c r="I549" s="46" t="str">
        <f>IFERROR(VLOOKUP(A549,[1]fin_institutions!B:D,2,0),"")</f>
        <v/>
      </c>
      <c r="J549" s="41" t="str">
        <f>IFERROR(VLOOKUP(A549,[1]fin_institutions!B:E,4,0),"")</f>
        <v/>
      </c>
      <c r="K549" s="41" t="str">
        <f t="shared" si="42"/>
        <v/>
      </c>
      <c r="L549" s="56">
        <f>IFERROR(VLOOKUP(A549,[1]bus_institutions!B:D,2,0),"")</f>
        <v>6</v>
      </c>
      <c r="M549" s="42">
        <f>IFERROR(VLOOKUP(A549,[1]bus_institutions!B:E,4,0),"")</f>
        <v>1.4222035912037641</v>
      </c>
      <c r="N549" s="23">
        <f t="shared" si="43"/>
        <v>503</v>
      </c>
      <c r="O549" s="61" t="str">
        <f>IFERROR(VLOOKUP(A549,[1]man_institutions!B:E,2,0),"")</f>
        <v/>
      </c>
      <c r="P549" s="62" t="str">
        <f>IFERROR(VLOOKUP(A549,[1]man_institutions!B:E,4,0),"")</f>
        <v/>
      </c>
      <c r="Q549" s="63" t="str">
        <f t="shared" si="44"/>
        <v/>
      </c>
    </row>
    <row r="550" spans="1:17" x14ac:dyDescent="0.25">
      <c r="A550" s="6" t="s">
        <v>1183</v>
      </c>
      <c r="B550" s="37" t="s">
        <v>1220</v>
      </c>
      <c r="C550" s="72">
        <f>IFERROR(VLOOKUP(A550,[1]eco_bus_institutions!B:E,2,0),"")</f>
        <v>46</v>
      </c>
      <c r="D550" s="72">
        <f>IFERROR(VLOOKUP(A550,[1]eco_bus_institutions!B:E,4,0),"")</f>
        <v>1.279454559510224</v>
      </c>
      <c r="E550" s="73">
        <f t="shared" si="40"/>
        <v>561</v>
      </c>
      <c r="F550" s="40">
        <f>IFERROR(VLOOKUP(A550,[1]eco_institutions!B:D,2,0),"")</f>
        <v>26</v>
      </c>
      <c r="G550" s="40">
        <f>IFERROR(VLOOKUP(A550,[1]eco_institutions!B:E,4,0),"")</f>
        <v>1.158899697564169</v>
      </c>
      <c r="H550" s="14">
        <f t="shared" si="41"/>
        <v>538</v>
      </c>
      <c r="I550" s="46" t="str">
        <f>IFERROR(VLOOKUP(A550,[1]fin_institutions!B:D,2,0),"")</f>
        <v/>
      </c>
      <c r="J550" s="41" t="str">
        <f>IFERROR(VLOOKUP(A550,[1]fin_institutions!B:E,4,0),"")</f>
        <v/>
      </c>
      <c r="K550" s="41" t="str">
        <f t="shared" si="42"/>
        <v/>
      </c>
      <c r="L550" s="56">
        <f>IFERROR(VLOOKUP(A550,[1]bus_institutions!B:D,2,0),"")</f>
        <v>24</v>
      </c>
      <c r="M550" s="42">
        <f>IFERROR(VLOOKUP(A550,[1]bus_institutions!B:E,4,0),"")</f>
        <v>1.291263380136765</v>
      </c>
      <c r="N550" s="23">
        <f t="shared" si="43"/>
        <v>530</v>
      </c>
      <c r="O550" s="61">
        <f>IFERROR(VLOOKUP(A550,[1]man_institutions!B:E,2,0),"")</f>
        <v>15</v>
      </c>
      <c r="P550" s="62">
        <f>IFERROR(VLOOKUP(A550,[1]man_institutions!B:E,4,0),"")</f>
        <v>1.5558045660228159</v>
      </c>
      <c r="Q550" s="63">
        <f t="shared" si="44"/>
        <v>516</v>
      </c>
    </row>
    <row r="551" spans="1:17" x14ac:dyDescent="0.25">
      <c r="A551" s="6" t="s">
        <v>1095</v>
      </c>
      <c r="B551" s="37" t="s">
        <v>1234</v>
      </c>
      <c r="C551" s="72">
        <f>IFERROR(VLOOKUP(A551,[1]eco_bus_institutions!B:E,2,0),"")</f>
        <v>53</v>
      </c>
      <c r="D551" s="72">
        <f>IFERROR(VLOOKUP(A551,[1]eco_bus_institutions!B:E,4,0),"")</f>
        <v>1.5892822722816879</v>
      </c>
      <c r="E551" s="73">
        <f t="shared" si="40"/>
        <v>429</v>
      </c>
      <c r="F551" s="40">
        <f>IFERROR(VLOOKUP(A551,[1]eco_institutions!B:D,2,0),"")</f>
        <v>22</v>
      </c>
      <c r="G551" s="40">
        <f>IFERROR(VLOOKUP(A551,[1]eco_institutions!B:E,4,0),"")</f>
        <v>1.3836790370298491</v>
      </c>
      <c r="H551" s="14">
        <f t="shared" si="41"/>
        <v>379</v>
      </c>
      <c r="I551" s="46">
        <f>IFERROR(VLOOKUP(A551,[1]fin_institutions!B:D,2,0),"")</f>
        <v>13</v>
      </c>
      <c r="J551" s="41">
        <f>IFERROR(VLOOKUP(A551,[1]fin_institutions!B:E,4,0),"")</f>
        <v>1.2547634217194139</v>
      </c>
      <c r="K551" s="41">
        <f t="shared" si="42"/>
        <v>423</v>
      </c>
      <c r="L551" s="56">
        <f>IFERROR(VLOOKUP(A551,[1]bus_institutions!B:D,2,0),"")</f>
        <v>9</v>
      </c>
      <c r="M551" s="42">
        <f>IFERROR(VLOOKUP(A551,[1]bus_institutions!B:E,4,0),"")</f>
        <v>1.574864781335978</v>
      </c>
      <c r="N551" s="23">
        <f t="shared" si="43"/>
        <v>463</v>
      </c>
      <c r="O551" s="61">
        <f>IFERROR(VLOOKUP(A551,[1]man_institutions!B:E,2,0),"")</f>
        <v>18</v>
      </c>
      <c r="P551" s="62">
        <f>IFERROR(VLOOKUP(A551,[1]man_institutions!B:E,4,0),"")</f>
        <v>2.5572824379248411</v>
      </c>
      <c r="Q551" s="63">
        <f t="shared" si="44"/>
        <v>261</v>
      </c>
    </row>
    <row r="552" spans="1:17" x14ac:dyDescent="0.25">
      <c r="A552" s="6" t="s">
        <v>1194</v>
      </c>
      <c r="B552" s="37" t="s">
        <v>1220</v>
      </c>
      <c r="C552" s="72">
        <f>IFERROR(VLOOKUP(A552,[1]eco_bus_institutions!B:E,2,0),"")</f>
        <v>39</v>
      </c>
      <c r="D552" s="72">
        <f>IFERROR(VLOOKUP(A552,[1]eco_bus_institutions!B:E,4,0),"")</f>
        <v>1.26472088541146</v>
      </c>
      <c r="E552" s="73">
        <f t="shared" si="40"/>
        <v>567</v>
      </c>
      <c r="F552" s="40">
        <f>IFERROR(VLOOKUP(A552,[1]eco_institutions!B:D,2,0),"")</f>
        <v>20</v>
      </c>
      <c r="G552" s="40">
        <f>IFERROR(VLOOKUP(A552,[1]eco_institutions!B:E,4,0),"")</f>
        <v>1.1878130540864389</v>
      </c>
      <c r="H552" s="14">
        <f t="shared" si="41"/>
        <v>523</v>
      </c>
      <c r="I552" s="46">
        <f>IFERROR(VLOOKUP(A552,[1]fin_institutions!B:D,2,0),"")</f>
        <v>3</v>
      </c>
      <c r="J552" s="41">
        <f>IFERROR(VLOOKUP(A552,[1]fin_institutions!B:E,4,0),"")</f>
        <v>1.255815779668346</v>
      </c>
      <c r="K552" s="41">
        <f t="shared" si="42"/>
        <v>422</v>
      </c>
      <c r="L552" s="56">
        <f>IFERROR(VLOOKUP(A552,[1]bus_institutions!B:D,2,0),"")</f>
        <v>15</v>
      </c>
      <c r="M552" s="42">
        <f>IFERROR(VLOOKUP(A552,[1]bus_institutions!B:E,4,0),"")</f>
        <v>1.369567199370741</v>
      </c>
      <c r="N552" s="23">
        <f t="shared" si="43"/>
        <v>513</v>
      </c>
      <c r="O552" s="61">
        <f>IFERROR(VLOOKUP(A552,[1]man_institutions!B:E,2,0),"")</f>
        <v>14</v>
      </c>
      <c r="P552" s="62">
        <f>IFERROR(VLOOKUP(A552,[1]man_institutions!B:E,4,0),"")</f>
        <v>1.4818279194250179</v>
      </c>
      <c r="Q552" s="63">
        <f t="shared" si="44"/>
        <v>538</v>
      </c>
    </row>
    <row r="553" spans="1:17" x14ac:dyDescent="0.25">
      <c r="A553" s="6" t="s">
        <v>1122</v>
      </c>
      <c r="B553" s="37" t="s">
        <v>1230</v>
      </c>
      <c r="C553" s="72">
        <f>IFERROR(VLOOKUP(A553,[1]eco_bus_institutions!B:E,2,0),"")</f>
        <v>51</v>
      </c>
      <c r="D553" s="72">
        <f>IFERROR(VLOOKUP(A553,[1]eco_bus_institutions!B:E,4,0),"")</f>
        <v>1.3297757912282711</v>
      </c>
      <c r="E553" s="73">
        <f t="shared" si="40"/>
        <v>545</v>
      </c>
      <c r="F553" s="40">
        <f>IFERROR(VLOOKUP(A553,[1]eco_institutions!B:D,2,0),"")</f>
        <v>19</v>
      </c>
      <c r="G553" s="40">
        <f>IFERROR(VLOOKUP(A553,[1]eco_institutions!B:E,4,0),"")</f>
        <v>1.195878745077477</v>
      </c>
      <c r="H553" s="14">
        <f t="shared" si="41"/>
        <v>519</v>
      </c>
      <c r="I553" s="46">
        <f>IFERROR(VLOOKUP(A553,[1]fin_institutions!B:D,2,0),"")</f>
        <v>7</v>
      </c>
      <c r="J553" s="41">
        <f>IFERROR(VLOOKUP(A553,[1]fin_institutions!B:E,4,0),"")</f>
        <v>1.1516413867423549</v>
      </c>
      <c r="K553" s="41">
        <f t="shared" si="42"/>
        <v>502</v>
      </c>
      <c r="L553" s="56">
        <f>IFERROR(VLOOKUP(A553,[1]bus_institutions!B:D,2,0),"")</f>
        <v>18</v>
      </c>
      <c r="M553" s="42">
        <f>IFERROR(VLOOKUP(A553,[1]bus_institutions!B:E,4,0),"")</f>
        <v>1.6089274013297961</v>
      </c>
      <c r="N553" s="23">
        <f t="shared" si="43"/>
        <v>456</v>
      </c>
      <c r="O553" s="61">
        <f>IFERROR(VLOOKUP(A553,[1]man_institutions!B:E,2,0),"")</f>
        <v>24</v>
      </c>
      <c r="P553" s="62">
        <f>IFERROR(VLOOKUP(A553,[1]man_institutions!B:E,4,0),"")</f>
        <v>1.483690444807175</v>
      </c>
      <c r="Q553" s="63">
        <f t="shared" si="44"/>
        <v>535</v>
      </c>
    </row>
    <row r="554" spans="1:17" x14ac:dyDescent="0.25">
      <c r="A554" s="6" t="s">
        <v>1137</v>
      </c>
      <c r="B554" s="37" t="s">
        <v>1231</v>
      </c>
      <c r="C554" s="72">
        <f>IFERROR(VLOOKUP(A554,[1]eco_bus_institutions!B:E,2,0),"")</f>
        <v>46</v>
      </c>
      <c r="D554" s="72">
        <f>IFERROR(VLOOKUP(A554,[1]eco_bus_institutions!B:E,4,0),"")</f>
        <v>1.2923044628477489</v>
      </c>
      <c r="E554" s="73">
        <f t="shared" si="40"/>
        <v>557</v>
      </c>
      <c r="F554" s="40">
        <f>IFERROR(VLOOKUP(A554,[1]eco_institutions!B:D,2,0),"")</f>
        <v>19</v>
      </c>
      <c r="G554" s="40">
        <f>IFERROR(VLOOKUP(A554,[1]eco_institutions!B:E,4,0),"")</f>
        <v>1.172985353291276</v>
      </c>
      <c r="H554" s="14">
        <f t="shared" si="41"/>
        <v>532</v>
      </c>
      <c r="I554" s="46" t="str">
        <f>IFERROR(VLOOKUP(A554,[1]fin_institutions!B:D,2,0),"")</f>
        <v/>
      </c>
      <c r="J554" s="41" t="str">
        <f>IFERROR(VLOOKUP(A554,[1]fin_institutions!B:E,4,0),"")</f>
        <v/>
      </c>
      <c r="K554" s="41" t="str">
        <f t="shared" si="42"/>
        <v/>
      </c>
      <c r="L554" s="56">
        <f>IFERROR(VLOOKUP(A554,[1]bus_institutions!B:D,2,0),"")</f>
        <v>19</v>
      </c>
      <c r="M554" s="42">
        <f>IFERROR(VLOOKUP(A554,[1]bus_institutions!B:E,4,0),"")</f>
        <v>1.3562141636372149</v>
      </c>
      <c r="N554" s="23">
        <f t="shared" si="43"/>
        <v>518</v>
      </c>
      <c r="O554" s="61">
        <f>IFERROR(VLOOKUP(A554,[1]man_institutions!B:E,2,0),"")</f>
        <v>24</v>
      </c>
      <c r="P554" s="62">
        <f>IFERROR(VLOOKUP(A554,[1]man_institutions!B:E,4,0),"")</f>
        <v>1.6737849565435301</v>
      </c>
      <c r="Q554" s="63">
        <f t="shared" si="44"/>
        <v>501</v>
      </c>
    </row>
    <row r="555" spans="1:17" x14ac:dyDescent="0.25">
      <c r="A555" s="6" t="s">
        <v>1199</v>
      </c>
      <c r="B555" s="37" t="s">
        <v>1242</v>
      </c>
      <c r="C555" s="72">
        <f>IFERROR(VLOOKUP(A555,[1]eco_bus_institutions!B:E,2,0),"")</f>
        <v>42</v>
      </c>
      <c r="D555" s="72">
        <f>IFERROR(VLOOKUP(A555,[1]eco_bus_institutions!B:E,4,0),"")</f>
        <v>1.2772572518462919</v>
      </c>
      <c r="E555" s="73">
        <f t="shared" si="40"/>
        <v>563</v>
      </c>
      <c r="F555" s="40">
        <f>IFERROR(VLOOKUP(A555,[1]eco_institutions!B:D,2,0),"")</f>
        <v>27</v>
      </c>
      <c r="G555" s="40">
        <f>IFERROR(VLOOKUP(A555,[1]eco_institutions!B:E,4,0),"")</f>
        <v>1.247656540315899</v>
      </c>
      <c r="H555" s="14">
        <f t="shared" si="41"/>
        <v>480</v>
      </c>
      <c r="I555" s="46">
        <f>IFERROR(VLOOKUP(A555,[1]fin_institutions!B:D,2,0),"")</f>
        <v>6</v>
      </c>
      <c r="J555" s="41">
        <f>IFERROR(VLOOKUP(A555,[1]fin_institutions!B:E,4,0),"")</f>
        <v>1.0773175963745889</v>
      </c>
      <c r="K555" s="41">
        <f t="shared" si="42"/>
        <v>540</v>
      </c>
      <c r="L555" s="56">
        <f>IFERROR(VLOOKUP(A555,[1]bus_institutions!B:D,2,0),"")</f>
        <v>4</v>
      </c>
      <c r="M555" s="42">
        <f>IFERROR(VLOOKUP(A555,[1]bus_institutions!B:E,4,0),"")</f>
        <v>1.174416358848293</v>
      </c>
      <c r="N555" s="23">
        <f t="shared" si="43"/>
        <v>555</v>
      </c>
      <c r="O555" s="61">
        <f>IFERROR(VLOOKUP(A555,[1]man_institutions!B:E,2,0),"")</f>
        <v>10</v>
      </c>
      <c r="P555" s="62">
        <f>IFERROR(VLOOKUP(A555,[1]man_institutions!B:E,4,0),"")</f>
        <v>1.7298607654407061</v>
      </c>
      <c r="Q555" s="63">
        <f t="shared" si="44"/>
        <v>482</v>
      </c>
    </row>
    <row r="556" spans="1:17" x14ac:dyDescent="0.25">
      <c r="A556" s="6" t="s">
        <v>1176</v>
      </c>
      <c r="B556" s="37" t="s">
        <v>1218</v>
      </c>
      <c r="C556" s="72">
        <f>IFERROR(VLOOKUP(A556,[1]eco_bus_institutions!B:E,2,0),"")</f>
        <v>53</v>
      </c>
      <c r="D556" s="72">
        <f>IFERROR(VLOOKUP(A556,[1]eco_bus_institutions!B:E,4,0),"")</f>
        <v>1.3708964550745439</v>
      </c>
      <c r="E556" s="73">
        <f t="shared" si="40"/>
        <v>535</v>
      </c>
      <c r="F556" s="40">
        <f>IFERROR(VLOOKUP(A556,[1]eco_institutions!B:D,2,0),"")</f>
        <v>36</v>
      </c>
      <c r="G556" s="40">
        <f>IFERROR(VLOOKUP(A556,[1]eco_institutions!B:E,4,0),"")</f>
        <v>1.2990411422875059</v>
      </c>
      <c r="H556" s="14">
        <f t="shared" si="41"/>
        <v>436</v>
      </c>
      <c r="I556" s="46">
        <f>IFERROR(VLOOKUP(A556,[1]fin_institutions!B:D,2,0),"")</f>
        <v>3</v>
      </c>
      <c r="J556" s="41">
        <f>IFERROR(VLOOKUP(A556,[1]fin_institutions!B:E,4,0),"")</f>
        <v>1.2318745148842969</v>
      </c>
      <c r="K556" s="41">
        <f t="shared" si="42"/>
        <v>440</v>
      </c>
      <c r="L556" s="56">
        <f>IFERROR(VLOOKUP(A556,[1]bus_institutions!B:D,2,0),"")</f>
        <v>9</v>
      </c>
      <c r="M556" s="42">
        <f>IFERROR(VLOOKUP(A556,[1]bus_institutions!B:E,4,0),"")</f>
        <v>1.9047797344313211</v>
      </c>
      <c r="N556" s="23">
        <f t="shared" si="43"/>
        <v>351</v>
      </c>
      <c r="O556" s="61">
        <f>IFERROR(VLOOKUP(A556,[1]man_institutions!B:E,2,0),"")</f>
        <v>11</v>
      </c>
      <c r="P556" s="62">
        <f>IFERROR(VLOOKUP(A556,[1]man_institutions!B:E,4,0),"")</f>
        <v>1.7074530024911749</v>
      </c>
      <c r="Q556" s="63">
        <f t="shared" si="44"/>
        <v>490</v>
      </c>
    </row>
    <row r="557" spans="1:17" x14ac:dyDescent="0.25">
      <c r="A557" s="6" t="s">
        <v>1141</v>
      </c>
      <c r="B557" s="37" t="s">
        <v>1222</v>
      </c>
      <c r="C557" s="72">
        <f>IFERROR(VLOOKUP(A557,[1]eco_bus_institutions!B:E,2,0),"")</f>
        <v>53</v>
      </c>
      <c r="D557" s="72">
        <f>IFERROR(VLOOKUP(A557,[1]eco_bus_institutions!B:E,4,0),"")</f>
        <v>1.4428350569234389</v>
      </c>
      <c r="E557" s="73">
        <f t="shared" si="40"/>
        <v>498</v>
      </c>
      <c r="F557" s="40">
        <f>IFERROR(VLOOKUP(A557,[1]eco_institutions!B:D,2,0),"")</f>
        <v>32</v>
      </c>
      <c r="G557" s="40">
        <f>IFERROR(VLOOKUP(A557,[1]eco_institutions!B:E,4,0),"")</f>
        <v>1.3032595913399601</v>
      </c>
      <c r="H557" s="14">
        <f t="shared" si="41"/>
        <v>432</v>
      </c>
      <c r="I557" s="46">
        <f>IFERROR(VLOOKUP(A557,[1]fin_institutions!B:D,2,0),"")</f>
        <v>5</v>
      </c>
      <c r="J557" s="41">
        <f>IFERROR(VLOOKUP(A557,[1]fin_institutions!B:E,4,0),"")</f>
        <v>1.138059435650258</v>
      </c>
      <c r="K557" s="41">
        <f t="shared" si="42"/>
        <v>513</v>
      </c>
      <c r="L557" s="56">
        <f>IFERROR(VLOOKUP(A557,[1]bus_institutions!B:D,2,0),"")</f>
        <v>15</v>
      </c>
      <c r="M557" s="42">
        <f>IFERROR(VLOOKUP(A557,[1]bus_institutions!B:E,4,0),"")</f>
        <v>1.9740911881065999</v>
      </c>
      <c r="N557" s="23">
        <f t="shared" si="43"/>
        <v>325</v>
      </c>
      <c r="O557" s="61">
        <f>IFERROR(VLOOKUP(A557,[1]man_institutions!B:E,2,0),"")</f>
        <v>19</v>
      </c>
      <c r="P557" s="62">
        <f>IFERROR(VLOOKUP(A557,[1]man_institutions!B:E,4,0),"")</f>
        <v>1.7224433303277771</v>
      </c>
      <c r="Q557" s="63">
        <f t="shared" si="44"/>
        <v>483</v>
      </c>
    </row>
    <row r="558" spans="1:17" x14ac:dyDescent="0.25">
      <c r="A558" s="6" t="s">
        <v>1179</v>
      </c>
      <c r="B558" s="37" t="s">
        <v>1246</v>
      </c>
      <c r="C558" s="72">
        <f>IFERROR(VLOOKUP(A558,[1]eco_bus_institutions!B:E,2,0),"")</f>
        <v>90</v>
      </c>
      <c r="D558" s="72">
        <f>IFERROR(VLOOKUP(A558,[1]eco_bus_institutions!B:E,4,0),"")</f>
        <v>1.40100966209932</v>
      </c>
      <c r="E558" s="73">
        <f t="shared" si="40"/>
        <v>524</v>
      </c>
      <c r="F558" s="40">
        <f>IFERROR(VLOOKUP(A558,[1]eco_institutions!B:D,2,0),"")</f>
        <v>67</v>
      </c>
      <c r="G558" s="40">
        <f>IFERROR(VLOOKUP(A558,[1]eco_institutions!B:E,4,0),"")</f>
        <v>1.344121777930223</v>
      </c>
      <c r="H558" s="14">
        <f t="shared" si="41"/>
        <v>397</v>
      </c>
      <c r="I558" s="46">
        <f>IFERROR(VLOOKUP(A558,[1]fin_institutions!B:D,2,0),"")</f>
        <v>13</v>
      </c>
      <c r="J558" s="41">
        <f>IFERROR(VLOOKUP(A558,[1]fin_institutions!B:E,4,0),"")</f>
        <v>1.115249848606056</v>
      </c>
      <c r="K558" s="41">
        <f t="shared" si="42"/>
        <v>524</v>
      </c>
      <c r="L558" s="56">
        <f>IFERROR(VLOOKUP(A558,[1]bus_institutions!B:D,2,0),"")</f>
        <v>13</v>
      </c>
      <c r="M558" s="42">
        <f>IFERROR(VLOOKUP(A558,[1]bus_institutions!B:E,4,0),"")</f>
        <v>1.987978030855774</v>
      </c>
      <c r="N558" s="23">
        <f t="shared" si="43"/>
        <v>321</v>
      </c>
      <c r="O558" s="61">
        <f>IFERROR(VLOOKUP(A558,[1]man_institutions!B:E,2,0),"")</f>
        <v>16</v>
      </c>
      <c r="P558" s="62">
        <f>IFERROR(VLOOKUP(A558,[1]man_institutions!B:E,4,0),"")</f>
        <v>1.7826178509268089</v>
      </c>
      <c r="Q558" s="63">
        <f t="shared" si="44"/>
        <v>467</v>
      </c>
    </row>
    <row r="559" spans="1:17" x14ac:dyDescent="0.25">
      <c r="A559" s="6" t="s">
        <v>1157</v>
      </c>
      <c r="B559" s="37" t="s">
        <v>1220</v>
      </c>
      <c r="C559" s="72">
        <f>IFERROR(VLOOKUP(A559,[1]eco_bus_institutions!B:E,2,0),"")</f>
        <v>79</v>
      </c>
      <c r="D559" s="72">
        <f>IFERROR(VLOOKUP(A559,[1]eco_bus_institutions!B:E,4,0),"")</f>
        <v>1.317006406433622</v>
      </c>
      <c r="E559" s="73">
        <f t="shared" si="40"/>
        <v>549</v>
      </c>
      <c r="F559" s="40">
        <f>IFERROR(VLOOKUP(A559,[1]eco_institutions!B:D,2,0),"")</f>
        <v>51</v>
      </c>
      <c r="G559" s="40">
        <f>IFERROR(VLOOKUP(A559,[1]eco_institutions!B:E,4,0),"")</f>
        <v>1.269105685054849</v>
      </c>
      <c r="H559" s="14">
        <f t="shared" si="41"/>
        <v>461</v>
      </c>
      <c r="I559" s="46">
        <f>IFERROR(VLOOKUP(A559,[1]fin_institutions!B:D,2,0),"")</f>
        <v>13</v>
      </c>
      <c r="J559" s="41">
        <f>IFERROR(VLOOKUP(A559,[1]fin_institutions!B:E,4,0),"")</f>
        <v>1.0611304707025739</v>
      </c>
      <c r="K559" s="41">
        <f t="shared" si="42"/>
        <v>548</v>
      </c>
      <c r="L559" s="56">
        <f>IFERROR(VLOOKUP(A559,[1]bus_institutions!B:D,2,0),"")</f>
        <v>18</v>
      </c>
      <c r="M559" s="42">
        <f>IFERROR(VLOOKUP(A559,[1]bus_institutions!B:E,4,0),"")</f>
        <v>1.5470734018952561</v>
      </c>
      <c r="N559" s="23">
        <f t="shared" si="43"/>
        <v>471</v>
      </c>
      <c r="O559" s="61">
        <f>IFERROR(VLOOKUP(A559,[1]man_institutions!B:E,2,0),"")</f>
        <v>21</v>
      </c>
      <c r="P559" s="62">
        <f>IFERROR(VLOOKUP(A559,[1]man_institutions!B:E,4,0),"")</f>
        <v>1.8095964513403271</v>
      </c>
      <c r="Q559" s="63">
        <f t="shared" si="44"/>
        <v>458</v>
      </c>
    </row>
    <row r="560" spans="1:17" x14ac:dyDescent="0.25">
      <c r="A560" s="6" t="s">
        <v>1108</v>
      </c>
      <c r="B560" s="37" t="s">
        <v>1217</v>
      </c>
      <c r="C560" s="72">
        <f>IFERROR(VLOOKUP(A560,[1]eco_bus_institutions!B:E,2,0),"")</f>
        <v>58</v>
      </c>
      <c r="D560" s="72">
        <f>IFERROR(VLOOKUP(A560,[1]eco_bus_institutions!B:E,4,0),"")</f>
        <v>1.612564842884205</v>
      </c>
      <c r="E560" s="73">
        <f t="shared" si="40"/>
        <v>419</v>
      </c>
      <c r="F560" s="40">
        <f>IFERROR(VLOOKUP(A560,[1]eco_institutions!B:D,2,0),"")</f>
        <v>39</v>
      </c>
      <c r="G560" s="40">
        <f>IFERROR(VLOOKUP(A560,[1]eco_institutions!B:E,4,0),"")</f>
        <v>1.5074758524367851</v>
      </c>
      <c r="H560" s="14">
        <f t="shared" si="41"/>
        <v>301</v>
      </c>
      <c r="I560" s="46">
        <f>IFERROR(VLOOKUP(A560,[1]fin_institutions!B:D,2,0),"")</f>
        <v>10</v>
      </c>
      <c r="J560" s="41">
        <f>IFERROR(VLOOKUP(A560,[1]fin_institutions!B:E,4,0),"")</f>
        <v>1.573628435223605</v>
      </c>
      <c r="K560" s="41">
        <f t="shared" si="42"/>
        <v>260</v>
      </c>
      <c r="L560" s="56">
        <f>IFERROR(VLOOKUP(A560,[1]bus_institutions!B:D,2,0),"")</f>
        <v>13</v>
      </c>
      <c r="M560" s="42">
        <f>IFERROR(VLOOKUP(A560,[1]bus_institutions!B:E,4,0),"")</f>
        <v>2.0120653347817612</v>
      </c>
      <c r="N560" s="23">
        <f t="shared" si="43"/>
        <v>317</v>
      </c>
      <c r="O560" s="61">
        <f>IFERROR(VLOOKUP(A560,[1]man_institutions!B:E,2,0),"")</f>
        <v>9</v>
      </c>
      <c r="P560" s="62">
        <f>IFERROR(VLOOKUP(A560,[1]man_institutions!B:E,4,0),"")</f>
        <v>2.34953510830274</v>
      </c>
      <c r="Q560" s="63">
        <f t="shared" si="44"/>
        <v>310</v>
      </c>
    </row>
    <row r="561" spans="1:17" x14ac:dyDescent="0.25">
      <c r="A561" s="6" t="s">
        <v>1168</v>
      </c>
      <c r="B561" s="37" t="s">
        <v>1222</v>
      </c>
      <c r="C561" s="72">
        <f>IFERROR(VLOOKUP(A561,[1]eco_bus_institutions!B:E,2,0),"")</f>
        <v>44</v>
      </c>
      <c r="D561" s="72">
        <f>IFERROR(VLOOKUP(A561,[1]eco_bus_institutions!B:E,4,0),"")</f>
        <v>1.419976343813905</v>
      </c>
      <c r="E561" s="73">
        <f t="shared" si="40"/>
        <v>515</v>
      </c>
      <c r="F561" s="40">
        <f>IFERROR(VLOOKUP(A561,[1]eco_institutions!B:D,2,0),"")</f>
        <v>33</v>
      </c>
      <c r="G561" s="40">
        <f>IFERROR(VLOOKUP(A561,[1]eco_institutions!B:E,4,0),"")</f>
        <v>1.2783933587454861</v>
      </c>
      <c r="H561" s="14">
        <f t="shared" si="41"/>
        <v>453</v>
      </c>
      <c r="I561" s="46">
        <f>IFERROR(VLOOKUP(A561,[1]fin_institutions!B:D,2,0),"")</f>
        <v>11</v>
      </c>
      <c r="J561" s="41">
        <f>IFERROR(VLOOKUP(A561,[1]fin_institutions!B:E,4,0),"")</f>
        <v>1.34433731627154</v>
      </c>
      <c r="K561" s="41">
        <f t="shared" si="42"/>
        <v>367</v>
      </c>
      <c r="L561" s="56" t="str">
        <f>IFERROR(VLOOKUP(A561,[1]bus_institutions!B:D,2,0),"")</f>
        <v/>
      </c>
      <c r="M561" s="42" t="str">
        <f>IFERROR(VLOOKUP(A561,[1]bus_institutions!B:E,4,0),"")</f>
        <v/>
      </c>
      <c r="N561" s="23" t="str">
        <f t="shared" si="43"/>
        <v/>
      </c>
      <c r="O561" s="61">
        <f>IFERROR(VLOOKUP(A561,[1]man_institutions!B:E,2,0),"")</f>
        <v>7</v>
      </c>
      <c r="P561" s="62">
        <f>IFERROR(VLOOKUP(A561,[1]man_institutions!B:E,4,0),"")</f>
        <v>2.3901583168493139</v>
      </c>
      <c r="Q561" s="63">
        <f t="shared" si="44"/>
        <v>300</v>
      </c>
    </row>
    <row r="562" spans="1:17" x14ac:dyDescent="0.25">
      <c r="A562" s="6" t="s">
        <v>1195</v>
      </c>
      <c r="B562" s="37" t="s">
        <v>1266</v>
      </c>
      <c r="C562" s="72">
        <f>IFERROR(VLOOKUP(A562,[1]eco_bus_institutions!B:E,2,0),"")</f>
        <v>43</v>
      </c>
      <c r="D562" s="72">
        <f>IFERROR(VLOOKUP(A562,[1]eco_bus_institutions!B:E,4,0),"")</f>
        <v>1.152482584760931</v>
      </c>
      <c r="E562" s="73">
        <f t="shared" si="40"/>
        <v>592</v>
      </c>
      <c r="F562" s="40">
        <f>IFERROR(VLOOKUP(A562,[1]eco_institutions!B:D,2,0),"")</f>
        <v>39</v>
      </c>
      <c r="G562" s="40">
        <f>IFERROR(VLOOKUP(A562,[1]eco_institutions!B:E,4,0),"")</f>
        <v>1.109001101508996</v>
      </c>
      <c r="H562" s="14">
        <f t="shared" si="41"/>
        <v>568</v>
      </c>
      <c r="I562" s="46">
        <f>IFERROR(VLOOKUP(A562,[1]fin_institutions!B:D,2,0),"")</f>
        <v>5</v>
      </c>
      <c r="J562" s="41">
        <f>IFERROR(VLOOKUP(A562,[1]fin_institutions!B:E,4,0),"")</f>
        <v>1.247652896688026</v>
      </c>
      <c r="K562" s="41">
        <f t="shared" si="42"/>
        <v>430</v>
      </c>
      <c r="L562" s="56">
        <f>IFERROR(VLOOKUP(A562,[1]bus_institutions!B:D,2,0),"")</f>
        <v>3</v>
      </c>
      <c r="M562" s="42">
        <f>IFERROR(VLOOKUP(A562,[1]bus_institutions!B:E,4,0),"")</f>
        <v>1.005658434759434</v>
      </c>
      <c r="N562" s="23">
        <f t="shared" si="43"/>
        <v>568</v>
      </c>
      <c r="O562" s="61">
        <f>IFERROR(VLOOKUP(A562,[1]man_institutions!B:E,2,0),"")</f>
        <v>6</v>
      </c>
      <c r="P562" s="62">
        <f>IFERROR(VLOOKUP(A562,[1]man_institutions!B:E,4,0),"")</f>
        <v>1</v>
      </c>
      <c r="Q562" s="63">
        <f t="shared" si="44"/>
        <v>576</v>
      </c>
    </row>
    <row r="563" spans="1:17" x14ac:dyDescent="0.25">
      <c r="A563" s="6" t="s">
        <v>1160</v>
      </c>
      <c r="B563" s="37" t="s">
        <v>1243</v>
      </c>
      <c r="C563" s="72">
        <f>IFERROR(VLOOKUP(A563,[1]eco_bus_institutions!B:E,2,0),"")</f>
        <v>41</v>
      </c>
      <c r="D563" s="72">
        <f>IFERROR(VLOOKUP(A563,[1]eco_bus_institutions!B:E,4,0),"")</f>
        <v>1.2783060307374861</v>
      </c>
      <c r="E563" s="73">
        <f t="shared" si="40"/>
        <v>562</v>
      </c>
      <c r="F563" s="40">
        <f>IFERROR(VLOOKUP(A563,[1]eco_institutions!B:D,2,0),"")</f>
        <v>16</v>
      </c>
      <c r="G563" s="40">
        <f>IFERROR(VLOOKUP(A563,[1]eco_institutions!B:E,4,0),"")</f>
        <v>1.0574576891275149</v>
      </c>
      <c r="H563" s="14">
        <f t="shared" si="41"/>
        <v>583</v>
      </c>
      <c r="I563" s="46">
        <f>IFERROR(VLOOKUP(A563,[1]fin_institutions!B:D,2,0),"")</f>
        <v>6</v>
      </c>
      <c r="J563" s="41">
        <f>IFERROR(VLOOKUP(A563,[1]fin_institutions!B:E,4,0),"")</f>
        <v>1.049700704141689</v>
      </c>
      <c r="K563" s="41">
        <f t="shared" si="42"/>
        <v>555</v>
      </c>
      <c r="L563" s="56">
        <f>IFERROR(VLOOKUP(A563,[1]bus_institutions!B:D,2,0),"")</f>
        <v>14</v>
      </c>
      <c r="M563" s="42">
        <f>IFERROR(VLOOKUP(A563,[1]bus_institutions!B:E,4,0),"")</f>
        <v>1.449953019600559</v>
      </c>
      <c r="N563" s="23">
        <f t="shared" si="43"/>
        <v>496</v>
      </c>
      <c r="O563" s="61">
        <f>IFERROR(VLOOKUP(A563,[1]man_institutions!B:E,2,0),"")</f>
        <v>16</v>
      </c>
      <c r="P563" s="62">
        <f>IFERROR(VLOOKUP(A563,[1]man_institutions!B:E,4,0),"")</f>
        <v>1.7360419628021739</v>
      </c>
      <c r="Q563" s="63">
        <f t="shared" si="44"/>
        <v>480</v>
      </c>
    </row>
    <row r="564" spans="1:17" x14ac:dyDescent="0.25">
      <c r="A564" s="6" t="s">
        <v>1146</v>
      </c>
      <c r="B564" s="37" t="s">
        <v>1230</v>
      </c>
      <c r="C564" s="72">
        <f>IFERROR(VLOOKUP(A564,[1]eco_bus_institutions!B:E,2,0),"")</f>
        <v>45</v>
      </c>
      <c r="D564" s="72">
        <f>IFERROR(VLOOKUP(A564,[1]eco_bus_institutions!B:E,4,0),"")</f>
        <v>1.2617982380222661</v>
      </c>
      <c r="E564" s="73">
        <f t="shared" si="40"/>
        <v>569</v>
      </c>
      <c r="F564" s="40">
        <f>IFERROR(VLOOKUP(A564,[1]eco_institutions!B:D,2,0),"")</f>
        <v>24</v>
      </c>
      <c r="G564" s="40">
        <f>IFERROR(VLOOKUP(A564,[1]eco_institutions!B:E,4,0),"")</f>
        <v>1.1408476956275111</v>
      </c>
      <c r="H564" s="14">
        <f t="shared" si="41"/>
        <v>552</v>
      </c>
      <c r="I564" s="46">
        <f>IFERROR(VLOOKUP(A564,[1]fin_institutions!B:D,2,0),"")</f>
        <v>6</v>
      </c>
      <c r="J564" s="41">
        <f>IFERROR(VLOOKUP(A564,[1]fin_institutions!B:E,4,0),"")</f>
        <v>1.2650579385109439</v>
      </c>
      <c r="K564" s="41">
        <f t="shared" si="42"/>
        <v>413</v>
      </c>
      <c r="L564" s="56">
        <f>IFERROR(VLOOKUP(A564,[1]bus_institutions!B:D,2,0),"")</f>
        <v>12</v>
      </c>
      <c r="M564" s="42">
        <f>IFERROR(VLOOKUP(A564,[1]bus_institutions!B:E,4,0),"")</f>
        <v>1.3961606327622249</v>
      </c>
      <c r="N564" s="23">
        <f t="shared" si="43"/>
        <v>509</v>
      </c>
      <c r="O564" s="61">
        <f>IFERROR(VLOOKUP(A564,[1]man_institutions!B:E,2,0),"")</f>
        <v>22</v>
      </c>
      <c r="P564" s="62">
        <f>IFERROR(VLOOKUP(A564,[1]man_institutions!B:E,4,0),"")</f>
        <v>1.4940607131029391</v>
      </c>
      <c r="Q564" s="63">
        <f t="shared" si="44"/>
        <v>533</v>
      </c>
    </row>
    <row r="565" spans="1:17" x14ac:dyDescent="0.25">
      <c r="A565" s="6" t="s">
        <v>1182</v>
      </c>
      <c r="B565" s="37" t="s">
        <v>1249</v>
      </c>
      <c r="C565" s="72">
        <f>IFERROR(VLOOKUP(A565,[1]eco_bus_institutions!B:E,2,0),"")</f>
        <v>73</v>
      </c>
      <c r="D565" s="72">
        <f>IFERROR(VLOOKUP(A565,[1]eco_bus_institutions!B:E,4,0),"")</f>
        <v>1.212260586486904</v>
      </c>
      <c r="E565" s="73">
        <f t="shared" si="40"/>
        <v>585</v>
      </c>
      <c r="F565" s="40">
        <f>IFERROR(VLOOKUP(A565,[1]eco_institutions!B:D,2,0),"")</f>
        <v>50</v>
      </c>
      <c r="G565" s="40">
        <f>IFERROR(VLOOKUP(A565,[1]eco_institutions!B:E,4,0),"")</f>
        <v>1.1051211753859329</v>
      </c>
      <c r="H565" s="14">
        <f t="shared" si="41"/>
        <v>571</v>
      </c>
      <c r="I565" s="46">
        <f>IFERROR(VLOOKUP(A565,[1]fin_institutions!B:D,2,0),"")</f>
        <v>5</v>
      </c>
      <c r="J565" s="41">
        <f>IFERROR(VLOOKUP(A565,[1]fin_institutions!B:E,4,0),"")</f>
        <v>1.2873467797189859</v>
      </c>
      <c r="K565" s="41">
        <f t="shared" si="42"/>
        <v>401</v>
      </c>
      <c r="L565" s="56">
        <f>IFERROR(VLOOKUP(A565,[1]bus_institutions!B:D,2,0),"")</f>
        <v>16</v>
      </c>
      <c r="M565" s="42">
        <f>IFERROR(VLOOKUP(A565,[1]bus_institutions!B:E,4,0),"")</f>
        <v>1.3191961035574871</v>
      </c>
      <c r="N565" s="23">
        <f t="shared" si="43"/>
        <v>525</v>
      </c>
      <c r="O565" s="61">
        <f>IFERROR(VLOOKUP(A565,[1]man_institutions!B:E,2,0),"")</f>
        <v>17</v>
      </c>
      <c r="P565" s="62">
        <f>IFERROR(VLOOKUP(A565,[1]man_institutions!B:E,4,0),"")</f>
        <v>1.2516210558985761</v>
      </c>
      <c r="Q565" s="63">
        <f t="shared" si="44"/>
        <v>564</v>
      </c>
    </row>
    <row r="566" spans="1:17" x14ac:dyDescent="0.25">
      <c r="A566" s="6" t="s">
        <v>1186</v>
      </c>
      <c r="B566" s="37" t="s">
        <v>1243</v>
      </c>
      <c r="C566" s="72">
        <f>IFERROR(VLOOKUP(A566,[1]eco_bus_institutions!B:E,2,0),"")</f>
        <v>42</v>
      </c>
      <c r="D566" s="72">
        <f>IFERROR(VLOOKUP(A566,[1]eco_bus_institutions!B:E,4,0),"")</f>
        <v>1.2229244943261131</v>
      </c>
      <c r="E566" s="73">
        <f t="shared" si="40"/>
        <v>582</v>
      </c>
      <c r="F566" s="40">
        <f>IFERROR(VLOOKUP(A566,[1]eco_institutions!B:D,2,0),"")</f>
        <v>14</v>
      </c>
      <c r="G566" s="40">
        <f>IFERROR(VLOOKUP(A566,[1]eco_institutions!B:E,4,0),"")</f>
        <v>1.0304042783102201</v>
      </c>
      <c r="H566" s="14">
        <f t="shared" si="41"/>
        <v>593</v>
      </c>
      <c r="I566" s="46">
        <f>IFERROR(VLOOKUP(A566,[1]fin_institutions!B:D,2,0),"")</f>
        <v>17</v>
      </c>
      <c r="J566" s="41">
        <f>IFERROR(VLOOKUP(A566,[1]fin_institutions!B:E,4,0),"")</f>
        <v>1.205894481806012</v>
      </c>
      <c r="K566" s="41">
        <f t="shared" si="42"/>
        <v>461</v>
      </c>
      <c r="L566" s="56">
        <f>IFERROR(VLOOKUP(A566,[1]bus_institutions!B:D,2,0),"")</f>
        <v>7</v>
      </c>
      <c r="M566" s="42">
        <f>IFERROR(VLOOKUP(A566,[1]bus_institutions!B:E,4,0),"")</f>
        <v>1.3395481223828249</v>
      </c>
      <c r="N566" s="23">
        <f t="shared" si="43"/>
        <v>521</v>
      </c>
      <c r="O566" s="61">
        <f>IFERROR(VLOOKUP(A566,[1]man_institutions!B:E,2,0),"")</f>
        <v>16</v>
      </c>
      <c r="P566" s="62">
        <f>IFERROR(VLOOKUP(A566,[1]man_institutions!B:E,4,0),"")</f>
        <v>1.4821803392962909</v>
      </c>
      <c r="Q566" s="63">
        <f t="shared" si="44"/>
        <v>536</v>
      </c>
    </row>
    <row r="567" spans="1:17" x14ac:dyDescent="0.25">
      <c r="A567" s="6" t="s">
        <v>1162</v>
      </c>
      <c r="B567" s="37" t="s">
        <v>1220</v>
      </c>
      <c r="C567" s="72">
        <f>IFERROR(VLOOKUP(A567,[1]eco_bus_institutions!B:E,2,0),"")</f>
        <v>43</v>
      </c>
      <c r="D567" s="72">
        <f>IFERROR(VLOOKUP(A567,[1]eco_bus_institutions!B:E,4,0),"")</f>
        <v>1.330732494812487</v>
      </c>
      <c r="E567" s="73">
        <f t="shared" si="40"/>
        <v>544</v>
      </c>
      <c r="F567" s="40">
        <f>IFERROR(VLOOKUP(A567,[1]eco_institutions!B:D,2,0),"")</f>
        <v>17</v>
      </c>
      <c r="G567" s="40">
        <f>IFERROR(VLOOKUP(A567,[1]eco_institutions!B:E,4,0),"")</f>
        <v>1.193333058625953</v>
      </c>
      <c r="H567" s="14">
        <f t="shared" si="41"/>
        <v>520</v>
      </c>
      <c r="I567" s="46">
        <f>IFERROR(VLOOKUP(A567,[1]fin_institutions!B:D,2,0),"")</f>
        <v>7</v>
      </c>
      <c r="J567" s="41">
        <f>IFERROR(VLOOKUP(A567,[1]fin_institutions!B:E,4,0),"")</f>
        <v>1.193705995463862</v>
      </c>
      <c r="K567" s="41">
        <f t="shared" si="42"/>
        <v>471</v>
      </c>
      <c r="L567" s="56">
        <f>IFERROR(VLOOKUP(A567,[1]bus_institutions!B:D,2,0),"")</f>
        <v>13</v>
      </c>
      <c r="M567" s="42">
        <f>IFERROR(VLOOKUP(A567,[1]bus_institutions!B:E,4,0),"")</f>
        <v>1.549976832468823</v>
      </c>
      <c r="N567" s="23">
        <f t="shared" si="43"/>
        <v>470</v>
      </c>
      <c r="O567" s="61">
        <f>IFERROR(VLOOKUP(A567,[1]man_institutions!B:E,2,0),"")</f>
        <v>19</v>
      </c>
      <c r="P567" s="62">
        <f>IFERROR(VLOOKUP(A567,[1]man_institutions!B:E,4,0),"")</f>
        <v>1.8843517518014099</v>
      </c>
      <c r="Q567" s="63">
        <f t="shared" si="44"/>
        <v>434</v>
      </c>
    </row>
    <row r="568" spans="1:17" x14ac:dyDescent="0.25">
      <c r="A568" s="6" t="s">
        <v>1196</v>
      </c>
      <c r="B568" s="37" t="s">
        <v>1242</v>
      </c>
      <c r="C568" s="72">
        <f>IFERROR(VLOOKUP(A568,[1]eco_bus_institutions!B:E,2,0),"")</f>
        <v>47</v>
      </c>
      <c r="D568" s="72">
        <f>IFERROR(VLOOKUP(A568,[1]eco_bus_institutions!B:E,4,0),"")</f>
        <v>1.3432128594907431</v>
      </c>
      <c r="E568" s="73">
        <f t="shared" si="40"/>
        <v>542</v>
      </c>
      <c r="F568" s="40">
        <f>IFERROR(VLOOKUP(A568,[1]eco_institutions!B:D,2,0),"")</f>
        <v>27</v>
      </c>
      <c r="G568" s="40">
        <f>IFERROR(VLOOKUP(A568,[1]eco_institutions!B:E,4,0),"")</f>
        <v>1.441837520344849</v>
      </c>
      <c r="H568" s="14">
        <f t="shared" si="41"/>
        <v>333</v>
      </c>
      <c r="I568" s="46">
        <f>IFERROR(VLOOKUP(A568,[1]fin_institutions!B:D,2,0),"")</f>
        <v>6</v>
      </c>
      <c r="J568" s="41">
        <f>IFERROR(VLOOKUP(A568,[1]fin_institutions!B:E,4,0),"")</f>
        <v>1.0570319350276089</v>
      </c>
      <c r="K568" s="41">
        <f t="shared" si="42"/>
        <v>552</v>
      </c>
      <c r="L568" s="56">
        <f>IFERROR(VLOOKUP(A568,[1]bus_institutions!B:D,2,0),"")</f>
        <v>6</v>
      </c>
      <c r="M568" s="42">
        <f>IFERROR(VLOOKUP(A568,[1]bus_institutions!B:E,4,0),"")</f>
        <v>1.4284513968259089</v>
      </c>
      <c r="N568" s="23">
        <f t="shared" si="43"/>
        <v>501</v>
      </c>
      <c r="O568" s="61">
        <f>IFERROR(VLOOKUP(A568,[1]man_institutions!B:E,2,0),"")</f>
        <v>10</v>
      </c>
      <c r="P568" s="62">
        <f>IFERROR(VLOOKUP(A568,[1]man_institutions!B:E,4,0),"")</f>
        <v>1.4645173443528281</v>
      </c>
      <c r="Q568" s="63">
        <f t="shared" si="44"/>
        <v>543</v>
      </c>
    </row>
    <row r="569" spans="1:17" x14ac:dyDescent="0.25">
      <c r="A569" s="6" t="s">
        <v>1180</v>
      </c>
      <c r="B569" s="37" t="s">
        <v>1238</v>
      </c>
      <c r="C569" s="72">
        <f>IFERROR(VLOOKUP(A569,[1]eco_bus_institutions!B:E,2,0),"")</f>
        <v>52</v>
      </c>
      <c r="D569" s="72">
        <f>IFERROR(VLOOKUP(A569,[1]eco_bus_institutions!B:E,4,0),"")</f>
        <v>1.2483985939698841</v>
      </c>
      <c r="E569" s="73">
        <f t="shared" si="40"/>
        <v>573</v>
      </c>
      <c r="F569" s="40">
        <f>IFERROR(VLOOKUP(A569,[1]eco_institutions!B:D,2,0),"")</f>
        <v>23</v>
      </c>
      <c r="G569" s="40">
        <f>IFERROR(VLOOKUP(A569,[1]eco_institutions!B:E,4,0),"")</f>
        <v>1.146894517608595</v>
      </c>
      <c r="H569" s="14">
        <f t="shared" si="41"/>
        <v>545</v>
      </c>
      <c r="I569" s="46">
        <f>IFERROR(VLOOKUP(A569,[1]fin_institutions!B:D,2,0),"")</f>
        <v>22</v>
      </c>
      <c r="J569" s="41">
        <f>IFERROR(VLOOKUP(A569,[1]fin_institutions!B:E,4,0),"")</f>
        <v>1.102588823437116</v>
      </c>
      <c r="K569" s="41">
        <f t="shared" si="42"/>
        <v>525</v>
      </c>
      <c r="L569" s="56">
        <f>IFERROR(VLOOKUP(A569,[1]bus_institutions!B:D,2,0),"")</f>
        <v>7</v>
      </c>
      <c r="M569" s="42">
        <f>IFERROR(VLOOKUP(A569,[1]bus_institutions!B:E,4,0),"")</f>
        <v>1.563784573885022</v>
      </c>
      <c r="N569" s="23">
        <f t="shared" si="43"/>
        <v>468</v>
      </c>
      <c r="O569" s="61">
        <f>IFERROR(VLOOKUP(A569,[1]man_institutions!B:E,2,0),"")</f>
        <v>17</v>
      </c>
      <c r="P569" s="62">
        <f>IFERROR(VLOOKUP(A569,[1]man_institutions!B:E,4,0),"")</f>
        <v>1.719745326523481</v>
      </c>
      <c r="Q569" s="63">
        <f t="shared" si="44"/>
        <v>485</v>
      </c>
    </row>
    <row r="570" spans="1:17" x14ac:dyDescent="0.25">
      <c r="A570" s="6" t="s">
        <v>1187</v>
      </c>
      <c r="B570" s="37" t="s">
        <v>1231</v>
      </c>
      <c r="C570" s="72">
        <f>IFERROR(VLOOKUP(A570,[1]eco_bus_institutions!B:E,2,0),"")</f>
        <v>102</v>
      </c>
      <c r="D570" s="72">
        <f>IFERROR(VLOOKUP(A570,[1]eco_bus_institutions!B:E,4,0),"")</f>
        <v>1.2630132485404471</v>
      </c>
      <c r="E570" s="73">
        <f t="shared" si="40"/>
        <v>568</v>
      </c>
      <c r="F570" s="40">
        <f>IFERROR(VLOOKUP(A570,[1]eco_institutions!B:D,2,0),"")</f>
        <v>53</v>
      </c>
      <c r="G570" s="40">
        <f>IFERROR(VLOOKUP(A570,[1]eco_institutions!B:E,4,0),"")</f>
        <v>1.2433906838470521</v>
      </c>
      <c r="H570" s="14">
        <f t="shared" si="41"/>
        <v>481</v>
      </c>
      <c r="I570" s="46">
        <f>IFERROR(VLOOKUP(A570,[1]fin_institutions!B:D,2,0),"")</f>
        <v>19</v>
      </c>
      <c r="J570" s="41">
        <f>IFERROR(VLOOKUP(A570,[1]fin_institutions!B:E,4,0),"")</f>
        <v>1.033284655252227</v>
      </c>
      <c r="K570" s="41">
        <f t="shared" si="42"/>
        <v>560</v>
      </c>
      <c r="L570" s="56">
        <f>IFERROR(VLOOKUP(A570,[1]bus_institutions!B:D,2,0),"")</f>
        <v>32</v>
      </c>
      <c r="M570" s="42">
        <f>IFERROR(VLOOKUP(A570,[1]bus_institutions!B:E,4,0),"")</f>
        <v>1.436340806556194</v>
      </c>
      <c r="N570" s="23">
        <f t="shared" si="43"/>
        <v>498</v>
      </c>
      <c r="O570" s="61">
        <f>IFERROR(VLOOKUP(A570,[1]man_institutions!B:E,2,0),"")</f>
        <v>31</v>
      </c>
      <c r="P570" s="62">
        <f>IFERROR(VLOOKUP(A570,[1]man_institutions!B:E,4,0),"")</f>
        <v>1.552953474545298</v>
      </c>
      <c r="Q570" s="63">
        <f t="shared" si="44"/>
        <v>518</v>
      </c>
    </row>
    <row r="571" spans="1:17" x14ac:dyDescent="0.25">
      <c r="A571" s="6" t="s">
        <v>1158</v>
      </c>
      <c r="B571" s="37" t="s">
        <v>1230</v>
      </c>
      <c r="C571" s="72">
        <f>IFERROR(VLOOKUP(A571,[1]eco_bus_institutions!B:E,2,0),"")</f>
        <v>64</v>
      </c>
      <c r="D571" s="72">
        <f>IFERROR(VLOOKUP(A571,[1]eco_bus_institutions!B:E,4,0),"")</f>
        <v>1.2305975682884771</v>
      </c>
      <c r="E571" s="73">
        <f t="shared" si="40"/>
        <v>577</v>
      </c>
      <c r="F571" s="40">
        <f>IFERROR(VLOOKUP(A571,[1]eco_institutions!B:D,2,0),"")</f>
        <v>27</v>
      </c>
      <c r="G571" s="40">
        <f>IFERROR(VLOOKUP(A571,[1]eco_institutions!B:E,4,0),"")</f>
        <v>1.1581402697326559</v>
      </c>
      <c r="H571" s="14">
        <f t="shared" si="41"/>
        <v>540</v>
      </c>
      <c r="I571" s="46">
        <f>IFERROR(VLOOKUP(A571,[1]fin_institutions!B:D,2,0),"")</f>
        <v>9</v>
      </c>
      <c r="J571" s="41">
        <f>IFERROR(VLOOKUP(A571,[1]fin_institutions!B:E,4,0),"")</f>
        <v>1.131473419654538</v>
      </c>
      <c r="K571" s="41">
        <f t="shared" si="42"/>
        <v>516</v>
      </c>
      <c r="L571" s="56">
        <f>IFERROR(VLOOKUP(A571,[1]bus_institutions!B:D,2,0),"")</f>
        <v>17</v>
      </c>
      <c r="M571" s="42">
        <f>IFERROR(VLOOKUP(A571,[1]bus_institutions!B:E,4,0),"")</f>
        <v>1.367998559030668</v>
      </c>
      <c r="N571" s="23">
        <f t="shared" si="43"/>
        <v>515</v>
      </c>
      <c r="O571" s="61">
        <f>IFERROR(VLOOKUP(A571,[1]man_institutions!B:E,2,0),"")</f>
        <v>28</v>
      </c>
      <c r="P571" s="62">
        <f>IFERROR(VLOOKUP(A571,[1]man_institutions!B:E,4,0),"")</f>
        <v>1.55286431418782</v>
      </c>
      <c r="Q571" s="63">
        <f t="shared" si="44"/>
        <v>519</v>
      </c>
    </row>
    <row r="572" spans="1:17" x14ac:dyDescent="0.25">
      <c r="A572" s="6" t="s">
        <v>1172</v>
      </c>
      <c r="B572" s="37" t="s">
        <v>1243</v>
      </c>
      <c r="C572" s="72">
        <f>IFERROR(VLOOKUP(A572,[1]eco_bus_institutions!B:E,2,0),"")</f>
        <v>45</v>
      </c>
      <c r="D572" s="72">
        <f>IFERROR(VLOOKUP(A572,[1]eco_bus_institutions!B:E,4,0),"")</f>
        <v>1.227637290322078</v>
      </c>
      <c r="E572" s="73">
        <f t="shared" si="40"/>
        <v>579</v>
      </c>
      <c r="F572" s="40">
        <f>IFERROR(VLOOKUP(A572,[1]eco_institutions!B:D,2,0),"")</f>
        <v>16</v>
      </c>
      <c r="G572" s="40">
        <f>IFERROR(VLOOKUP(A572,[1]eco_institutions!B:E,4,0),"")</f>
        <v>1.121272871154587</v>
      </c>
      <c r="H572" s="14">
        <f t="shared" si="41"/>
        <v>563</v>
      </c>
      <c r="I572" s="46">
        <f>IFERROR(VLOOKUP(A572,[1]fin_institutions!B:D,2,0),"")</f>
        <v>8</v>
      </c>
      <c r="J572" s="41">
        <f>IFERROR(VLOOKUP(A572,[1]fin_institutions!B:E,4,0),"")</f>
        <v>1.177551935191582</v>
      </c>
      <c r="K572" s="41">
        <f t="shared" si="42"/>
        <v>483</v>
      </c>
      <c r="L572" s="56">
        <f>IFERROR(VLOOKUP(A572,[1]bus_institutions!B:D,2,0),"")</f>
        <v>21</v>
      </c>
      <c r="M572" s="42">
        <f>IFERROR(VLOOKUP(A572,[1]bus_institutions!B:E,4,0),"")</f>
        <v>1.307916533606116</v>
      </c>
      <c r="N572" s="23">
        <f t="shared" si="43"/>
        <v>527</v>
      </c>
      <c r="O572" s="61">
        <f>IFERROR(VLOOKUP(A572,[1]man_institutions!B:E,2,0),"")</f>
        <v>23</v>
      </c>
      <c r="P572" s="62">
        <f>IFERROR(VLOOKUP(A572,[1]man_institutions!B:E,4,0),"")</f>
        <v>1.454038414234758</v>
      </c>
      <c r="Q572" s="63">
        <f t="shared" si="44"/>
        <v>544</v>
      </c>
    </row>
    <row r="573" spans="1:17" x14ac:dyDescent="0.25">
      <c r="A573" s="6" t="s">
        <v>1175</v>
      </c>
      <c r="B573" s="37" t="s">
        <v>1218</v>
      </c>
      <c r="C573" s="72">
        <f>IFERROR(VLOOKUP(A573,[1]eco_bus_institutions!B:E,2,0),"")</f>
        <v>77</v>
      </c>
      <c r="D573" s="72">
        <f>IFERROR(VLOOKUP(A573,[1]eco_bus_institutions!B:E,4,0),"")</f>
        <v>1.4402518195645451</v>
      </c>
      <c r="E573" s="73">
        <f t="shared" si="40"/>
        <v>500</v>
      </c>
      <c r="F573" s="40">
        <f>IFERROR(VLOOKUP(A573,[1]eco_institutions!B:D,2,0),"")</f>
        <v>56</v>
      </c>
      <c r="G573" s="40">
        <f>IFERROR(VLOOKUP(A573,[1]eco_institutions!B:E,4,0),"")</f>
        <v>1.430905043477787</v>
      </c>
      <c r="H573" s="14">
        <f t="shared" si="41"/>
        <v>339</v>
      </c>
      <c r="I573" s="46">
        <f>IFERROR(VLOOKUP(A573,[1]fin_institutions!B:D,2,0),"")</f>
        <v>15</v>
      </c>
      <c r="J573" s="41">
        <f>IFERROR(VLOOKUP(A573,[1]fin_institutions!B:E,4,0),"")</f>
        <v>1.383560845398411</v>
      </c>
      <c r="K573" s="41">
        <f t="shared" si="42"/>
        <v>345</v>
      </c>
      <c r="L573" s="56">
        <f>IFERROR(VLOOKUP(A573,[1]bus_institutions!B:D,2,0),"")</f>
        <v>7</v>
      </c>
      <c r="M573" s="42">
        <f>IFERROR(VLOOKUP(A573,[1]bus_institutions!B:E,4,0),"")</f>
        <v>1.486564347045094</v>
      </c>
      <c r="N573" s="23">
        <f t="shared" si="43"/>
        <v>484</v>
      </c>
      <c r="O573" s="61">
        <f>IFERROR(VLOOKUP(A573,[1]man_institutions!B:E,2,0),"")</f>
        <v>8</v>
      </c>
      <c r="P573" s="62">
        <f>IFERROR(VLOOKUP(A573,[1]man_institutions!B:E,4,0),"")</f>
        <v>2.0762061433863281</v>
      </c>
      <c r="Q573" s="63">
        <f t="shared" si="44"/>
        <v>384</v>
      </c>
    </row>
    <row r="574" spans="1:17" x14ac:dyDescent="0.25">
      <c r="A574" s="6" t="s">
        <v>1155</v>
      </c>
      <c r="B574" s="37" t="s">
        <v>1258</v>
      </c>
      <c r="C574" s="72">
        <f>IFERROR(VLOOKUP(A574,[1]eco_bus_institutions!B:E,2,0),"")</f>
        <v>49</v>
      </c>
      <c r="D574" s="72">
        <f>IFERROR(VLOOKUP(A574,[1]eco_bus_institutions!B:E,4,0),"")</f>
        <v>1.301978704938813</v>
      </c>
      <c r="E574" s="73">
        <f t="shared" si="40"/>
        <v>554</v>
      </c>
      <c r="F574" s="40">
        <f>IFERROR(VLOOKUP(A574,[1]eco_institutions!B:D,2,0),"")</f>
        <v>22</v>
      </c>
      <c r="G574" s="40">
        <f>IFERROR(VLOOKUP(A574,[1]eco_institutions!B:E,4,0),"")</f>
        <v>1.231196209313218</v>
      </c>
      <c r="H574" s="14">
        <f t="shared" si="41"/>
        <v>490</v>
      </c>
      <c r="I574" s="46">
        <f>IFERROR(VLOOKUP(A574,[1]fin_institutions!B:D,2,0),"")</f>
        <v>19</v>
      </c>
      <c r="J574" s="41">
        <f>IFERROR(VLOOKUP(A574,[1]fin_institutions!B:E,4,0),"")</f>
        <v>1.1944614862373779</v>
      </c>
      <c r="K574" s="41">
        <f t="shared" si="42"/>
        <v>470</v>
      </c>
      <c r="L574" s="56">
        <f>IFERROR(VLOOKUP(A574,[1]bus_institutions!B:D,2,0),"")</f>
        <v>8</v>
      </c>
      <c r="M574" s="42">
        <f>IFERROR(VLOOKUP(A574,[1]bus_institutions!B:E,4,0),"")</f>
        <v>1.599871572959265</v>
      </c>
      <c r="N574" s="23">
        <f t="shared" si="43"/>
        <v>459</v>
      </c>
      <c r="O574" s="61">
        <f>IFERROR(VLOOKUP(A574,[1]man_institutions!B:E,2,0),"")</f>
        <v>17</v>
      </c>
      <c r="P574" s="62">
        <f>IFERROR(VLOOKUP(A574,[1]man_institutions!B:E,4,0),"")</f>
        <v>1.544911763984727</v>
      </c>
      <c r="Q574" s="63">
        <f t="shared" si="44"/>
        <v>522</v>
      </c>
    </row>
    <row r="575" spans="1:17" x14ac:dyDescent="0.25">
      <c r="A575" s="6" t="s">
        <v>1181</v>
      </c>
      <c r="B575" s="37" t="s">
        <v>1243</v>
      </c>
      <c r="C575" s="72">
        <f>IFERROR(VLOOKUP(A575,[1]eco_bus_institutions!B:E,2,0),"")</f>
        <v>41</v>
      </c>
      <c r="D575" s="72">
        <f>IFERROR(VLOOKUP(A575,[1]eco_bus_institutions!B:E,4,0),"")</f>
        <v>1.2053665557788309</v>
      </c>
      <c r="E575" s="73">
        <f t="shared" si="40"/>
        <v>587</v>
      </c>
      <c r="F575" s="40">
        <f>IFERROR(VLOOKUP(A575,[1]eco_institutions!B:D,2,0),"")</f>
        <v>10</v>
      </c>
      <c r="G575" s="40">
        <f>IFERROR(VLOOKUP(A575,[1]eco_institutions!B:E,4,0),"")</f>
        <v>1</v>
      </c>
      <c r="H575" s="14">
        <f t="shared" si="41"/>
        <v>598</v>
      </c>
      <c r="I575" s="46">
        <f>IFERROR(VLOOKUP(A575,[1]fin_institutions!B:D,2,0),"")</f>
        <v>9</v>
      </c>
      <c r="J575" s="41">
        <f>IFERROR(VLOOKUP(A575,[1]fin_institutions!B:E,4,0),"")</f>
        <v>1.0303081477418981</v>
      </c>
      <c r="K575" s="41">
        <f t="shared" si="42"/>
        <v>562</v>
      </c>
      <c r="L575" s="56">
        <f>IFERROR(VLOOKUP(A575,[1]bus_institutions!B:D,2,0),"")</f>
        <v>15</v>
      </c>
      <c r="M575" s="42">
        <f>IFERROR(VLOOKUP(A575,[1]bus_institutions!B:E,4,0),"")</f>
        <v>1.4223876044197941</v>
      </c>
      <c r="N575" s="23">
        <f t="shared" si="43"/>
        <v>502</v>
      </c>
      <c r="O575" s="61">
        <f>IFERROR(VLOOKUP(A575,[1]man_institutions!B:E,2,0),"")</f>
        <v>24</v>
      </c>
      <c r="P575" s="62">
        <f>IFERROR(VLOOKUP(A575,[1]man_institutions!B:E,4,0),"")</f>
        <v>1.4499995626084381</v>
      </c>
      <c r="Q575" s="63">
        <f t="shared" si="44"/>
        <v>546</v>
      </c>
    </row>
    <row r="576" spans="1:17" x14ac:dyDescent="0.25">
      <c r="A576" s="6" t="s">
        <v>1191</v>
      </c>
      <c r="B576" s="37" t="s">
        <v>1224</v>
      </c>
      <c r="C576" s="72">
        <f>IFERROR(VLOOKUP(A576,[1]eco_bus_institutions!B:E,2,0),"")</f>
        <v>62</v>
      </c>
      <c r="D576" s="72">
        <f>IFERROR(VLOOKUP(A576,[1]eco_bus_institutions!B:E,4,0),"")</f>
        <v>1.375812918448992</v>
      </c>
      <c r="E576" s="73">
        <f t="shared" si="40"/>
        <v>532</v>
      </c>
      <c r="F576" s="40">
        <f>IFERROR(VLOOKUP(A576,[1]eco_institutions!B:D,2,0),"")</f>
        <v>21</v>
      </c>
      <c r="G576" s="40">
        <f>IFERROR(VLOOKUP(A576,[1]eco_institutions!B:E,4,0),"")</f>
        <v>1.6439837270391</v>
      </c>
      <c r="H576" s="14">
        <f t="shared" si="41"/>
        <v>246</v>
      </c>
      <c r="I576" s="46">
        <f>IFERROR(VLOOKUP(A576,[1]fin_institutions!B:D,2,0),"")</f>
        <v>12</v>
      </c>
      <c r="J576" s="41">
        <f>IFERROR(VLOOKUP(A576,[1]fin_institutions!B:E,4,0),"")</f>
        <v>1.060966313595582</v>
      </c>
      <c r="K576" s="41">
        <f t="shared" si="42"/>
        <v>549</v>
      </c>
      <c r="L576" s="56">
        <f>IFERROR(VLOOKUP(A576,[1]bus_institutions!B:D,2,0),"")</f>
        <v>22</v>
      </c>
      <c r="M576" s="42">
        <f>IFERROR(VLOOKUP(A576,[1]bus_institutions!B:E,4,0),"")</f>
        <v>1.1269532830023881</v>
      </c>
      <c r="N576" s="23">
        <f t="shared" si="43"/>
        <v>559</v>
      </c>
      <c r="O576" s="61">
        <f>IFERROR(VLOOKUP(A576,[1]man_institutions!B:E,2,0),"")</f>
        <v>27</v>
      </c>
      <c r="P576" s="62">
        <f>IFERROR(VLOOKUP(A576,[1]man_institutions!B:E,4,0),"")</f>
        <v>1.5050386939193701</v>
      </c>
      <c r="Q576" s="63">
        <f t="shared" si="44"/>
        <v>531</v>
      </c>
    </row>
    <row r="577" spans="1:17" x14ac:dyDescent="0.25">
      <c r="A577" s="6" t="s">
        <v>1188</v>
      </c>
      <c r="B577" s="37" t="s">
        <v>1265</v>
      </c>
      <c r="C577" s="72">
        <f>IFERROR(VLOOKUP(A577,[1]eco_bus_institutions!B:E,2,0),"")</f>
        <v>47</v>
      </c>
      <c r="D577" s="72">
        <f>IFERROR(VLOOKUP(A577,[1]eco_bus_institutions!B:E,4,0),"")</f>
        <v>1.17826506278992</v>
      </c>
      <c r="E577" s="73">
        <f t="shared" si="40"/>
        <v>589</v>
      </c>
      <c r="F577" s="40">
        <f>IFERROR(VLOOKUP(A577,[1]eco_institutions!B:D,2,0),"")</f>
        <v>30</v>
      </c>
      <c r="G577" s="40">
        <f>IFERROR(VLOOKUP(A577,[1]eco_institutions!B:E,4,0),"")</f>
        <v>1.141833134969809</v>
      </c>
      <c r="H577" s="14">
        <f t="shared" si="41"/>
        <v>550</v>
      </c>
      <c r="I577" s="46">
        <f>IFERROR(VLOOKUP(A577,[1]fin_institutions!B:D,2,0),"")</f>
        <v>16</v>
      </c>
      <c r="J577" s="41">
        <f>IFERROR(VLOOKUP(A577,[1]fin_institutions!B:E,4,0),"")</f>
        <v>1.2368767132322229</v>
      </c>
      <c r="K577" s="41">
        <f t="shared" si="42"/>
        <v>439</v>
      </c>
      <c r="L577" s="56">
        <f>IFERROR(VLOOKUP(A577,[1]bus_institutions!B:D,2,0),"")</f>
        <v>3</v>
      </c>
      <c r="M577" s="42">
        <f>IFERROR(VLOOKUP(A577,[1]bus_institutions!B:E,4,0),"")</f>
        <v>1.1846971645079889</v>
      </c>
      <c r="N577" s="23">
        <f t="shared" si="43"/>
        <v>551</v>
      </c>
      <c r="O577" s="61">
        <f>IFERROR(VLOOKUP(A577,[1]man_institutions!B:E,2,0),"")</f>
        <v>11</v>
      </c>
      <c r="P577" s="62">
        <f>IFERROR(VLOOKUP(A577,[1]man_institutions!B:E,4,0),"")</f>
        <v>1.3176349270647341</v>
      </c>
      <c r="Q577" s="63">
        <f t="shared" si="44"/>
        <v>558</v>
      </c>
    </row>
    <row r="578" spans="1:17" x14ac:dyDescent="0.25">
      <c r="A578" s="6" t="s">
        <v>1200</v>
      </c>
      <c r="B578" s="37" t="s">
        <v>1246</v>
      </c>
      <c r="C578" s="72">
        <f>IFERROR(VLOOKUP(A578,[1]eco_bus_institutions!B:E,2,0),"")</f>
        <v>74</v>
      </c>
      <c r="D578" s="72">
        <f>IFERROR(VLOOKUP(A578,[1]eco_bus_institutions!B:E,4,0),"")</f>
        <v>1.289465988605708</v>
      </c>
      <c r="E578" s="73">
        <f t="shared" si="40"/>
        <v>558</v>
      </c>
      <c r="F578" s="40">
        <f>IFERROR(VLOOKUP(A578,[1]eco_institutions!B:D,2,0),"")</f>
        <v>62</v>
      </c>
      <c r="G578" s="40">
        <f>IFERROR(VLOOKUP(A578,[1]eco_institutions!B:E,4,0),"")</f>
        <v>1.3301961718795281</v>
      </c>
      <c r="H578" s="14">
        <f t="shared" si="41"/>
        <v>408</v>
      </c>
      <c r="I578" s="46">
        <f>IFERROR(VLOOKUP(A578,[1]fin_institutions!B:D,2,0),"")</f>
        <v>10</v>
      </c>
      <c r="J578" s="41">
        <f>IFERROR(VLOOKUP(A578,[1]fin_institutions!B:E,4,0),"")</f>
        <v>1.207756797030775</v>
      </c>
      <c r="K578" s="41">
        <f t="shared" si="42"/>
        <v>458</v>
      </c>
      <c r="L578" s="56">
        <f>IFERROR(VLOOKUP(A578,[1]bus_institutions!B:D,2,0),"")</f>
        <v>4</v>
      </c>
      <c r="M578" s="42">
        <f>IFERROR(VLOOKUP(A578,[1]bus_institutions!B:E,4,0),"")</f>
        <v>1.187570753130387</v>
      </c>
      <c r="N578" s="23">
        <f t="shared" si="43"/>
        <v>550</v>
      </c>
      <c r="O578" s="61">
        <f>IFERROR(VLOOKUP(A578,[1]man_institutions!B:E,2,0),"")</f>
        <v>9</v>
      </c>
      <c r="P578" s="62">
        <f>IFERROR(VLOOKUP(A578,[1]man_institutions!B:E,4,0),"")</f>
        <v>1.450815015611485</v>
      </c>
      <c r="Q578" s="63">
        <f t="shared" si="44"/>
        <v>545</v>
      </c>
    </row>
    <row r="579" spans="1:17" x14ac:dyDescent="0.25">
      <c r="A579" s="6" t="s">
        <v>1177</v>
      </c>
      <c r="B579" s="37" t="s">
        <v>1224</v>
      </c>
      <c r="C579" s="72">
        <f>IFERROR(VLOOKUP(A579,[1]eco_bus_institutions!B:E,2,0),"")</f>
        <v>62</v>
      </c>
      <c r="D579" s="72">
        <f>IFERROR(VLOOKUP(A579,[1]eco_bus_institutions!B:E,4,0),"")</f>
        <v>1.4163426636034191</v>
      </c>
      <c r="E579" s="73">
        <f t="shared" ref="E579:E602" si="45">_xlfn.RANK.EQ(D579,D:D)</f>
        <v>519</v>
      </c>
      <c r="F579" s="40">
        <f>IFERROR(VLOOKUP(A579,[1]eco_institutions!B:D,2,0),"")</f>
        <v>43</v>
      </c>
      <c r="G579" s="40">
        <f>IFERROR(VLOOKUP(A579,[1]eco_institutions!B:E,4,0),"")</f>
        <v>1.391674263115255</v>
      </c>
      <c r="H579" s="14">
        <f t="shared" ref="H579:H602" si="46">IFERROR(_xlfn.RANK.EQ(G579,G:G),"")</f>
        <v>372</v>
      </c>
      <c r="I579" s="46">
        <f>IFERROR(VLOOKUP(A579,[1]fin_institutions!B:D,2,0),"")</f>
        <v>10</v>
      </c>
      <c r="J579" s="41">
        <f>IFERROR(VLOOKUP(A579,[1]fin_institutions!B:E,4,0),"")</f>
        <v>1.2389321169638381</v>
      </c>
      <c r="K579" s="41">
        <f t="shared" ref="K579:K602" si="47">IFERROR(_xlfn.RANK.EQ(J579,J:J),"")</f>
        <v>438</v>
      </c>
      <c r="L579" s="56">
        <f>IFERROR(VLOOKUP(A579,[1]bus_institutions!B:D,2,0),"")</f>
        <v>9</v>
      </c>
      <c r="M579" s="42">
        <f>IFERROR(VLOOKUP(A579,[1]bus_institutions!B:E,4,0),"")</f>
        <v>1.5299039458049299</v>
      </c>
      <c r="N579" s="23">
        <f t="shared" ref="N579:N602" si="48">IFERROR(_xlfn.RANK.EQ(M579,M:M),"")</f>
        <v>478</v>
      </c>
      <c r="O579" s="61">
        <f>IFERROR(VLOOKUP(A579,[1]man_institutions!B:E,2,0),"")</f>
        <v>12</v>
      </c>
      <c r="P579" s="62">
        <f>IFERROR(VLOOKUP(A579,[1]man_institutions!B:E,4,0),"")</f>
        <v>1.8709201653823571</v>
      </c>
      <c r="Q579" s="63">
        <f t="shared" ref="Q579:Q602" si="49">IFERROR(_xlfn.RANK.EQ(P579,P:P),"")</f>
        <v>438</v>
      </c>
    </row>
    <row r="580" spans="1:17" x14ac:dyDescent="0.25">
      <c r="A580" s="6" t="s">
        <v>1185</v>
      </c>
      <c r="B580" s="37" t="s">
        <v>1262</v>
      </c>
      <c r="C580" s="72">
        <f>IFERROR(VLOOKUP(A580,[1]eco_bus_institutions!B:E,2,0),"")</f>
        <v>55</v>
      </c>
      <c r="D580" s="72">
        <f>IFERROR(VLOOKUP(A580,[1]eco_bus_institutions!B:E,4,0),"")</f>
        <v>1.256971500357327</v>
      </c>
      <c r="E580" s="73">
        <f t="shared" si="45"/>
        <v>571</v>
      </c>
      <c r="F580" s="40">
        <f>IFERROR(VLOOKUP(A580,[1]eco_institutions!B:D,2,0),"")</f>
        <v>21</v>
      </c>
      <c r="G580" s="40">
        <f>IFERROR(VLOOKUP(A580,[1]eco_institutions!B:E,4,0),"")</f>
        <v>1.1324997226298319</v>
      </c>
      <c r="H580" s="14">
        <f t="shared" si="46"/>
        <v>557</v>
      </c>
      <c r="I580" s="46">
        <f>IFERROR(VLOOKUP(A580,[1]fin_institutions!B:D,2,0),"")</f>
        <v>9</v>
      </c>
      <c r="J580" s="41">
        <f>IFERROR(VLOOKUP(A580,[1]fin_institutions!B:E,4,0),"")</f>
        <v>1.0744779487149549</v>
      </c>
      <c r="K580" s="41">
        <f t="shared" si="47"/>
        <v>541</v>
      </c>
      <c r="L580" s="56">
        <f>IFERROR(VLOOKUP(A580,[1]bus_institutions!B:D,2,0),"")</f>
        <v>17</v>
      </c>
      <c r="M580" s="42">
        <f>IFERROR(VLOOKUP(A580,[1]bus_institutions!B:E,4,0),"")</f>
        <v>1.286252766417769</v>
      </c>
      <c r="N580" s="23">
        <f t="shared" si="48"/>
        <v>532</v>
      </c>
      <c r="O580" s="61">
        <f>IFERROR(VLOOKUP(A580,[1]man_institutions!B:E,2,0),"")</f>
        <v>25</v>
      </c>
      <c r="P580" s="62">
        <f>IFERROR(VLOOKUP(A580,[1]man_institutions!B:E,4,0),"")</f>
        <v>1.68154173598303</v>
      </c>
      <c r="Q580" s="63">
        <f t="shared" si="49"/>
        <v>499</v>
      </c>
    </row>
    <row r="581" spans="1:17" x14ac:dyDescent="0.25">
      <c r="A581" s="6" t="s">
        <v>1189</v>
      </c>
      <c r="B581" s="37" t="s">
        <v>1271</v>
      </c>
      <c r="C581" s="72">
        <f>IFERROR(VLOOKUP(A581,[1]eco_bus_institutions!B:E,2,0),"")</f>
        <v>46</v>
      </c>
      <c r="D581" s="72">
        <f>IFERROR(VLOOKUP(A581,[1]eco_bus_institutions!B:E,4,0),"")</f>
        <v>1.4151519564368611</v>
      </c>
      <c r="E581" s="73">
        <f t="shared" si="45"/>
        <v>520</v>
      </c>
      <c r="F581" s="40">
        <f>IFERROR(VLOOKUP(A581,[1]eco_institutions!B:D,2,0),"")</f>
        <v>36</v>
      </c>
      <c r="G581" s="40">
        <f>IFERROR(VLOOKUP(A581,[1]eco_institutions!B:E,4,0),"")</f>
        <v>1.455424587010526</v>
      </c>
      <c r="H581" s="14">
        <f t="shared" si="46"/>
        <v>328</v>
      </c>
      <c r="I581" s="46" t="str">
        <f>IFERROR(VLOOKUP(A581,[1]fin_institutions!B:D,2,0),"")</f>
        <v/>
      </c>
      <c r="J581" s="41" t="str">
        <f>IFERROR(VLOOKUP(A581,[1]fin_institutions!B:E,4,0),"")</f>
        <v/>
      </c>
      <c r="K581" s="41" t="str">
        <f t="shared" si="47"/>
        <v/>
      </c>
      <c r="L581" s="56">
        <f>IFERROR(VLOOKUP(A581,[1]bus_institutions!B:D,2,0),"")</f>
        <v>5</v>
      </c>
      <c r="M581" s="42">
        <f>IFERROR(VLOOKUP(A581,[1]bus_institutions!B:E,4,0),"")</f>
        <v>1.3341887938678789</v>
      </c>
      <c r="N581" s="23">
        <f t="shared" si="48"/>
        <v>522</v>
      </c>
      <c r="O581" s="61">
        <f>IFERROR(VLOOKUP(A581,[1]man_institutions!B:E,2,0),"")</f>
        <v>8</v>
      </c>
      <c r="P581" s="62">
        <f>IFERROR(VLOOKUP(A581,[1]man_institutions!B:E,4,0),"")</f>
        <v>1.3860500746208011</v>
      </c>
      <c r="Q581" s="63">
        <f t="shared" si="49"/>
        <v>551</v>
      </c>
    </row>
    <row r="582" spans="1:17" x14ac:dyDescent="0.25">
      <c r="A582" s="6" t="s">
        <v>1203</v>
      </c>
      <c r="B582" s="37" t="s">
        <v>1220</v>
      </c>
      <c r="C582" s="72">
        <f>IFERROR(VLOOKUP(A582,[1]eco_bus_institutions!B:E,2,0),"")</f>
        <v>40</v>
      </c>
      <c r="D582" s="72">
        <f>IFERROR(VLOOKUP(A582,[1]eco_bus_institutions!B:E,4,0),"")</f>
        <v>1.2123033563010279</v>
      </c>
      <c r="E582" s="73">
        <f t="shared" si="45"/>
        <v>584</v>
      </c>
      <c r="F582" s="40">
        <f>IFERROR(VLOOKUP(A582,[1]eco_institutions!B:D,2,0),"")</f>
        <v>22</v>
      </c>
      <c r="G582" s="40">
        <f>IFERROR(VLOOKUP(A582,[1]eco_institutions!B:E,4,0),"")</f>
        <v>1.1373747263626901</v>
      </c>
      <c r="H582" s="14">
        <f t="shared" si="46"/>
        <v>554</v>
      </c>
      <c r="I582" s="46" t="str">
        <f>IFERROR(VLOOKUP(A582,[1]fin_institutions!B:D,2,0),"")</f>
        <v/>
      </c>
      <c r="J582" s="41" t="str">
        <f>IFERROR(VLOOKUP(A582,[1]fin_institutions!B:E,4,0),"")</f>
        <v/>
      </c>
      <c r="K582" s="41" t="str">
        <f t="shared" si="47"/>
        <v/>
      </c>
      <c r="L582" s="56">
        <f>IFERROR(VLOOKUP(A582,[1]bus_institutions!B:D,2,0),"")</f>
        <v>18</v>
      </c>
      <c r="M582" s="42">
        <f>IFERROR(VLOOKUP(A582,[1]bus_institutions!B:E,4,0),"")</f>
        <v>1.15139905802827</v>
      </c>
      <c r="N582" s="23">
        <f t="shared" si="48"/>
        <v>558</v>
      </c>
      <c r="O582" s="61">
        <f>IFERROR(VLOOKUP(A582,[1]man_institutions!B:E,2,0),"")</f>
        <v>12</v>
      </c>
      <c r="P582" s="62">
        <f>IFERROR(VLOOKUP(A582,[1]man_institutions!B:E,4,0),"")</f>
        <v>1.7181986677437471</v>
      </c>
      <c r="Q582" s="63">
        <f t="shared" si="49"/>
        <v>486</v>
      </c>
    </row>
    <row r="583" spans="1:17" x14ac:dyDescent="0.25">
      <c r="A583" s="6" t="s">
        <v>1145</v>
      </c>
      <c r="B583" s="37" t="s">
        <v>1230</v>
      </c>
      <c r="C583" s="72">
        <f>IFERROR(VLOOKUP(A583,[1]eco_bus_institutions!B:E,2,0),"")</f>
        <v>59</v>
      </c>
      <c r="D583" s="72">
        <f>IFERROR(VLOOKUP(A583,[1]eco_bus_institutions!B:E,4,0),"")</f>
        <v>1.2693509371631759</v>
      </c>
      <c r="E583" s="73">
        <f t="shared" si="45"/>
        <v>564</v>
      </c>
      <c r="F583" s="40">
        <f>IFERROR(VLOOKUP(A583,[1]eco_institutions!B:D,2,0),"")</f>
        <v>18</v>
      </c>
      <c r="G583" s="40">
        <f>IFERROR(VLOOKUP(A583,[1]eco_institutions!B:E,4,0),"")</f>
        <v>1.1232506895751651</v>
      </c>
      <c r="H583" s="14">
        <f t="shared" si="46"/>
        <v>560</v>
      </c>
      <c r="I583" s="46">
        <f>IFERROR(VLOOKUP(A583,[1]fin_institutions!B:D,2,0),"")</f>
        <v>11</v>
      </c>
      <c r="J583" s="41">
        <f>IFERROR(VLOOKUP(A583,[1]fin_institutions!B:E,4,0),"")</f>
        <v>1.178258448617439</v>
      </c>
      <c r="K583" s="41">
        <f t="shared" si="47"/>
        <v>482</v>
      </c>
      <c r="L583" s="56">
        <f>IFERROR(VLOOKUP(A583,[1]bus_institutions!B:D,2,0),"")</f>
        <v>15</v>
      </c>
      <c r="M583" s="42">
        <f>IFERROR(VLOOKUP(A583,[1]bus_institutions!B:E,4,0),"")</f>
        <v>1.208356828540798</v>
      </c>
      <c r="N583" s="23">
        <f t="shared" si="48"/>
        <v>547</v>
      </c>
      <c r="O583" s="61">
        <f>IFERROR(VLOOKUP(A583,[1]man_institutions!B:E,2,0),"")</f>
        <v>31</v>
      </c>
      <c r="P583" s="62">
        <f>IFERROR(VLOOKUP(A583,[1]man_institutions!B:E,4,0),"")</f>
        <v>1.57770353566855</v>
      </c>
      <c r="Q583" s="63">
        <f t="shared" si="49"/>
        <v>512</v>
      </c>
    </row>
    <row r="584" spans="1:17" x14ac:dyDescent="0.25">
      <c r="A584" s="6" t="s">
        <v>1197</v>
      </c>
      <c r="B584" s="37" t="s">
        <v>1243</v>
      </c>
      <c r="C584" s="72">
        <f>IFERROR(VLOOKUP(A584,[1]eco_bus_institutions!B:E,2,0),"")</f>
        <v>43</v>
      </c>
      <c r="D584" s="72">
        <f>IFERROR(VLOOKUP(A584,[1]eco_bus_institutions!B:E,4,0),"")</f>
        <v>1.3703838495810441</v>
      </c>
      <c r="E584" s="73">
        <f t="shared" si="45"/>
        <v>536</v>
      </c>
      <c r="F584" s="40">
        <f>IFERROR(VLOOKUP(A584,[1]eco_institutions!B:D,2,0),"")</f>
        <v>37</v>
      </c>
      <c r="G584" s="40">
        <f>IFERROR(VLOOKUP(A584,[1]eco_institutions!B:E,4,0),"")</f>
        <v>1.424527754438484</v>
      </c>
      <c r="H584" s="14">
        <f t="shared" si="46"/>
        <v>342</v>
      </c>
      <c r="I584" s="46">
        <f>IFERROR(VLOOKUP(A584,[1]fin_institutions!B:D,2,0),"")</f>
        <v>5</v>
      </c>
      <c r="J584" s="41">
        <f>IFERROR(VLOOKUP(A584,[1]fin_institutions!B:E,4,0),"")</f>
        <v>1.1395494498656189</v>
      </c>
      <c r="K584" s="41">
        <f t="shared" si="47"/>
        <v>510</v>
      </c>
      <c r="L584" s="56" t="str">
        <f>IFERROR(VLOOKUP(A584,[1]bus_institutions!B:D,2,0),"")</f>
        <v/>
      </c>
      <c r="M584" s="42" t="str">
        <f>IFERROR(VLOOKUP(A584,[1]bus_institutions!B:E,4,0),"")</f>
        <v/>
      </c>
      <c r="N584" s="23" t="str">
        <f t="shared" si="48"/>
        <v/>
      </c>
      <c r="O584" s="61" t="str">
        <f>IFERROR(VLOOKUP(A584,[1]man_institutions!B:E,2,0),"")</f>
        <v/>
      </c>
      <c r="P584" s="62" t="str">
        <f>IFERROR(VLOOKUP(A584,[1]man_institutions!B:E,4,0),"")</f>
        <v/>
      </c>
      <c r="Q584" s="63" t="str">
        <f t="shared" si="49"/>
        <v/>
      </c>
    </row>
    <row r="585" spans="1:17" x14ac:dyDescent="0.25">
      <c r="A585" s="6" t="s">
        <v>1193</v>
      </c>
      <c r="B585" s="37" t="s">
        <v>1220</v>
      </c>
      <c r="C585" s="72">
        <f>IFERROR(VLOOKUP(A585,[1]eco_bus_institutions!B:E,2,0),"")</f>
        <v>72</v>
      </c>
      <c r="D585" s="72">
        <f>IFERROR(VLOOKUP(A585,[1]eco_bus_institutions!B:E,4,0),"")</f>
        <v>1.2002230218353991</v>
      </c>
      <c r="E585" s="73">
        <f t="shared" si="45"/>
        <v>588</v>
      </c>
      <c r="F585" s="40">
        <f>IFERROR(VLOOKUP(A585,[1]eco_institutions!B:D,2,0),"")</f>
        <v>40</v>
      </c>
      <c r="G585" s="40">
        <f>IFERROR(VLOOKUP(A585,[1]eco_institutions!B:E,4,0),"")</f>
        <v>1.2012576433625659</v>
      </c>
      <c r="H585" s="14">
        <f t="shared" si="46"/>
        <v>517</v>
      </c>
      <c r="I585" s="46">
        <f>IFERROR(VLOOKUP(A585,[1]fin_institutions!B:D,2,0),"")</f>
        <v>15</v>
      </c>
      <c r="J585" s="41">
        <f>IFERROR(VLOOKUP(A585,[1]fin_institutions!B:E,4,0),"")</f>
        <v>1.0354834547947931</v>
      </c>
      <c r="K585" s="41">
        <f t="shared" si="47"/>
        <v>559</v>
      </c>
      <c r="L585" s="56">
        <f>IFERROR(VLOOKUP(A585,[1]bus_institutions!B:D,2,0),"")</f>
        <v>19</v>
      </c>
      <c r="M585" s="42">
        <f>IFERROR(VLOOKUP(A585,[1]bus_institutions!B:E,4,0),"")</f>
        <v>1.226651346128685</v>
      </c>
      <c r="N585" s="23">
        <f t="shared" si="48"/>
        <v>543</v>
      </c>
      <c r="O585" s="61">
        <f>IFERROR(VLOOKUP(A585,[1]man_institutions!B:E,2,0),"")</f>
        <v>27</v>
      </c>
      <c r="P585" s="62">
        <f>IFERROR(VLOOKUP(A585,[1]man_institutions!B:E,4,0),"")</f>
        <v>1.5528094388741469</v>
      </c>
      <c r="Q585" s="63">
        <f t="shared" si="49"/>
        <v>520</v>
      </c>
    </row>
    <row r="586" spans="1:17" x14ac:dyDescent="0.25">
      <c r="A586" s="6" t="s">
        <v>1202</v>
      </c>
      <c r="B586" s="37" t="s">
        <v>1243</v>
      </c>
      <c r="C586" s="72">
        <f>IFERROR(VLOOKUP(A586,[1]eco_bus_institutions!B:E,2,0),"")</f>
        <v>44</v>
      </c>
      <c r="D586" s="72">
        <f>IFERROR(VLOOKUP(A586,[1]eco_bus_institutions!B:E,4,0),"")</f>
        <v>1.1715875503573281</v>
      </c>
      <c r="E586" s="73">
        <f t="shared" si="45"/>
        <v>590</v>
      </c>
      <c r="F586" s="40">
        <f>IFERROR(VLOOKUP(A586,[1]eco_institutions!B:D,2,0),"")</f>
        <v>22</v>
      </c>
      <c r="G586" s="40">
        <f>IFERROR(VLOOKUP(A586,[1]eco_institutions!B:E,4,0),"")</f>
        <v>1.152064511966699</v>
      </c>
      <c r="H586" s="14">
        <f t="shared" si="46"/>
        <v>541</v>
      </c>
      <c r="I586" s="46">
        <f>IFERROR(VLOOKUP(A586,[1]fin_institutions!B:D,2,0),"")</f>
        <v>9</v>
      </c>
      <c r="J586" s="41">
        <f>IFERROR(VLOOKUP(A586,[1]fin_institutions!B:E,4,0),"")</f>
        <v>1.0513334485356209</v>
      </c>
      <c r="K586" s="41">
        <f t="shared" si="47"/>
        <v>554</v>
      </c>
      <c r="L586" s="56">
        <f>IFERROR(VLOOKUP(A586,[1]bus_institutions!B:D,2,0),"")</f>
        <v>10</v>
      </c>
      <c r="M586" s="42">
        <f>IFERROR(VLOOKUP(A586,[1]bus_institutions!B:E,4,0),"")</f>
        <v>1.355244211032465</v>
      </c>
      <c r="N586" s="23">
        <f t="shared" si="48"/>
        <v>519</v>
      </c>
      <c r="O586" s="61">
        <f>IFERROR(VLOOKUP(A586,[1]man_institutions!B:E,2,0),"")</f>
        <v>10</v>
      </c>
      <c r="P586" s="62">
        <f>IFERROR(VLOOKUP(A586,[1]man_institutions!B:E,4,0),"")</f>
        <v>1.299328431364644</v>
      </c>
      <c r="Q586" s="63">
        <f t="shared" si="49"/>
        <v>561</v>
      </c>
    </row>
    <row r="587" spans="1:17" x14ac:dyDescent="0.25">
      <c r="A587" s="6" t="s">
        <v>1184</v>
      </c>
      <c r="B587" s="37" t="s">
        <v>1231</v>
      </c>
      <c r="C587" s="72">
        <f>IFERROR(VLOOKUP(A587,[1]eco_bus_institutions!B:E,2,0),"")</f>
        <v>44</v>
      </c>
      <c r="D587" s="72">
        <f>IFERROR(VLOOKUP(A587,[1]eco_bus_institutions!B:E,4,0),"")</f>
        <v>1.30728274122071</v>
      </c>
      <c r="E587" s="73">
        <f t="shared" si="45"/>
        <v>553</v>
      </c>
      <c r="F587" s="40">
        <f>IFERROR(VLOOKUP(A587,[1]eco_institutions!B:D,2,0),"")</f>
        <v>20</v>
      </c>
      <c r="G587" s="40">
        <f>IFERROR(VLOOKUP(A587,[1]eco_institutions!B:E,4,0),"")</f>
        <v>1.2148961063540999</v>
      </c>
      <c r="H587" s="14">
        <f t="shared" si="46"/>
        <v>502</v>
      </c>
      <c r="I587" s="46">
        <f>IFERROR(VLOOKUP(A587,[1]fin_institutions!B:D,2,0),"")</f>
        <v>8</v>
      </c>
      <c r="J587" s="41">
        <f>IFERROR(VLOOKUP(A587,[1]fin_institutions!B:E,4,0),"")</f>
        <v>1.142376355991944</v>
      </c>
      <c r="K587" s="41">
        <f t="shared" si="47"/>
        <v>508</v>
      </c>
      <c r="L587" s="56">
        <f>IFERROR(VLOOKUP(A587,[1]bus_institutions!B:D,2,0),"")</f>
        <v>7</v>
      </c>
      <c r="M587" s="42">
        <f>IFERROR(VLOOKUP(A587,[1]bus_institutions!B:E,4,0),"")</f>
        <v>1.2383527493816899</v>
      </c>
      <c r="N587" s="23">
        <f t="shared" si="48"/>
        <v>542</v>
      </c>
      <c r="O587" s="61">
        <f>IFERROR(VLOOKUP(A587,[1]man_institutions!B:E,2,0),"")</f>
        <v>19</v>
      </c>
      <c r="P587" s="62">
        <f>IFERROR(VLOOKUP(A587,[1]man_institutions!B:E,4,0),"")</f>
        <v>1.85817286138021</v>
      </c>
      <c r="Q587" s="63">
        <f t="shared" si="49"/>
        <v>445</v>
      </c>
    </row>
    <row r="588" spans="1:17" x14ac:dyDescent="0.25">
      <c r="A588" s="6" t="s">
        <v>1198</v>
      </c>
      <c r="B588" s="37" t="s">
        <v>1254</v>
      </c>
      <c r="C588" s="72">
        <f>IFERROR(VLOOKUP(A588,[1]eco_bus_institutions!B:E,2,0),"")</f>
        <v>50</v>
      </c>
      <c r="D588" s="72">
        <f>IFERROR(VLOOKUP(A588,[1]eco_bus_institutions!B:E,4,0),"")</f>
        <v>1.206242673943291</v>
      </c>
      <c r="E588" s="73">
        <f t="shared" si="45"/>
        <v>586</v>
      </c>
      <c r="F588" s="40">
        <f>IFERROR(VLOOKUP(A588,[1]eco_institutions!B:D,2,0),"")</f>
        <v>24</v>
      </c>
      <c r="G588" s="40">
        <f>IFERROR(VLOOKUP(A588,[1]eco_institutions!B:E,4,0),"")</f>
        <v>1.0349150953843129</v>
      </c>
      <c r="H588" s="14">
        <f t="shared" si="46"/>
        <v>589</v>
      </c>
      <c r="I588" s="46">
        <f>IFERROR(VLOOKUP(A588,[1]fin_institutions!B:D,2,0),"")</f>
        <v>17</v>
      </c>
      <c r="J588" s="41">
        <f>IFERROR(VLOOKUP(A588,[1]fin_institutions!B:E,4,0),"")</f>
        <v>1.20267339443038</v>
      </c>
      <c r="K588" s="41">
        <f t="shared" si="47"/>
        <v>463</v>
      </c>
      <c r="L588" s="56">
        <f>IFERROR(VLOOKUP(A588,[1]bus_institutions!B:D,2,0),"")</f>
        <v>5</v>
      </c>
      <c r="M588" s="42">
        <f>IFERROR(VLOOKUP(A588,[1]bus_institutions!B:E,4,0),"")</f>
        <v>2.1116977788179971</v>
      </c>
      <c r="N588" s="23">
        <f t="shared" si="48"/>
        <v>292</v>
      </c>
      <c r="O588" s="61">
        <f>IFERROR(VLOOKUP(A588,[1]man_institutions!B:E,2,0),"")</f>
        <v>14</v>
      </c>
      <c r="P588" s="62">
        <f>IFERROR(VLOOKUP(A588,[1]man_institutions!B:E,4,0),"")</f>
        <v>1.4264803432298001</v>
      </c>
      <c r="Q588" s="63">
        <f t="shared" si="49"/>
        <v>548</v>
      </c>
    </row>
    <row r="589" spans="1:17" x14ac:dyDescent="0.25">
      <c r="A589" s="6" t="s">
        <v>1201</v>
      </c>
      <c r="B589" s="37" t="s">
        <v>1246</v>
      </c>
      <c r="C589" s="72">
        <f>IFERROR(VLOOKUP(A589,[1]eco_bus_institutions!B:E,2,0),"")</f>
        <v>68</v>
      </c>
      <c r="D589" s="72">
        <f>IFERROR(VLOOKUP(A589,[1]eco_bus_institutions!B:E,4,0),"")</f>
        <v>1.2427035375435369</v>
      </c>
      <c r="E589" s="73">
        <f t="shared" si="45"/>
        <v>574</v>
      </c>
      <c r="F589" s="40">
        <f>IFERROR(VLOOKUP(A589,[1]eco_institutions!B:D,2,0),"")</f>
        <v>58</v>
      </c>
      <c r="G589" s="40">
        <f>IFERROR(VLOOKUP(A589,[1]eco_institutions!B:E,4,0),"")</f>
        <v>1.2809499863221789</v>
      </c>
      <c r="H589" s="14">
        <f t="shared" si="46"/>
        <v>450</v>
      </c>
      <c r="I589" s="46">
        <f>IFERROR(VLOOKUP(A589,[1]fin_institutions!B:D,2,0),"")</f>
        <v>10</v>
      </c>
      <c r="J589" s="41">
        <f>IFERROR(VLOOKUP(A589,[1]fin_institutions!B:E,4,0),"")</f>
        <v>1.073826470424333</v>
      </c>
      <c r="K589" s="41">
        <f t="shared" si="47"/>
        <v>542</v>
      </c>
      <c r="L589" s="56">
        <f>IFERROR(VLOOKUP(A589,[1]bus_institutions!B:D,2,0),"")</f>
        <v>5</v>
      </c>
      <c r="M589" s="42">
        <f>IFERROR(VLOOKUP(A589,[1]bus_institutions!B:E,4,0),"")</f>
        <v>1.0187079362275919</v>
      </c>
      <c r="N589" s="23">
        <f t="shared" si="48"/>
        <v>566</v>
      </c>
      <c r="O589" s="61">
        <f>IFERROR(VLOOKUP(A589,[1]man_institutions!B:E,2,0),"")</f>
        <v>9</v>
      </c>
      <c r="P589" s="62">
        <f>IFERROR(VLOOKUP(A589,[1]man_institutions!B:E,4,0),"")</f>
        <v>1.2248142134627831</v>
      </c>
      <c r="Q589" s="63">
        <f t="shared" si="49"/>
        <v>568</v>
      </c>
    </row>
    <row r="590" spans="1:17" x14ac:dyDescent="0.25">
      <c r="A590" s="6" t="s">
        <v>1192</v>
      </c>
      <c r="B590" s="37" t="s">
        <v>1255</v>
      </c>
      <c r="C590" s="72">
        <f>IFERROR(VLOOKUP(A590,[1]eco_bus_institutions!B:E,2,0),"")</f>
        <v>91</v>
      </c>
      <c r="D590" s="72">
        <f>IFERROR(VLOOKUP(A590,[1]eco_bus_institutions!B:E,4,0),"")</f>
        <v>1.2237117170319289</v>
      </c>
      <c r="E590" s="73">
        <f t="shared" si="45"/>
        <v>581</v>
      </c>
      <c r="F590" s="40">
        <f>IFERROR(VLOOKUP(A590,[1]eco_institutions!B:D,2,0),"")</f>
        <v>44</v>
      </c>
      <c r="G590" s="40">
        <f>IFERROR(VLOOKUP(A590,[1]eco_institutions!B:E,4,0),"")</f>
        <v>1.186754057668211</v>
      </c>
      <c r="H590" s="14">
        <f t="shared" si="46"/>
        <v>524</v>
      </c>
      <c r="I590" s="46">
        <f>IFERROR(VLOOKUP(A590,[1]fin_institutions!B:D,2,0),"")</f>
        <v>9</v>
      </c>
      <c r="J590" s="41">
        <f>IFERROR(VLOOKUP(A590,[1]fin_institutions!B:E,4,0),"")</f>
        <v>1.0631599919927579</v>
      </c>
      <c r="K590" s="41">
        <f t="shared" si="47"/>
        <v>547</v>
      </c>
      <c r="L590" s="56">
        <f>IFERROR(VLOOKUP(A590,[1]bus_institutions!B:D,2,0),"")</f>
        <v>33</v>
      </c>
      <c r="M590" s="42">
        <f>IFERROR(VLOOKUP(A590,[1]bus_institutions!B:E,4,0),"")</f>
        <v>1.2236321158706389</v>
      </c>
      <c r="N590" s="23">
        <f t="shared" si="48"/>
        <v>544</v>
      </c>
      <c r="O590" s="61">
        <f>IFERROR(VLOOKUP(A590,[1]man_institutions!B:E,2,0),"")</f>
        <v>42</v>
      </c>
      <c r="P590" s="62">
        <f>IFERROR(VLOOKUP(A590,[1]man_institutions!B:E,4,0),"")</f>
        <v>1.6961357919690949</v>
      </c>
      <c r="Q590" s="63">
        <f t="shared" si="49"/>
        <v>495</v>
      </c>
    </row>
    <row r="591" spans="1:17" x14ac:dyDescent="0.25">
      <c r="A591" s="6" t="s">
        <v>1190</v>
      </c>
      <c r="B591" s="37" t="s">
        <v>1220</v>
      </c>
      <c r="C591" s="72">
        <f>IFERROR(VLOOKUP(A591,[1]eco_bus_institutions!B:E,2,0),"")</f>
        <v>44</v>
      </c>
      <c r="D591" s="72">
        <f>IFERROR(VLOOKUP(A591,[1]eco_bus_institutions!B:E,4,0),"")</f>
        <v>1.227451593262604</v>
      </c>
      <c r="E591" s="73">
        <f t="shared" si="45"/>
        <v>580</v>
      </c>
      <c r="F591" s="40">
        <f>IFERROR(VLOOKUP(A591,[1]eco_institutions!B:D,2,0),"")</f>
        <v>18</v>
      </c>
      <c r="G591" s="40">
        <f>IFERROR(VLOOKUP(A591,[1]eco_institutions!B:E,4,0),"")</f>
        <v>1.172090692450964</v>
      </c>
      <c r="H591" s="14">
        <f t="shared" si="46"/>
        <v>533</v>
      </c>
      <c r="I591" s="46" t="str">
        <f>IFERROR(VLOOKUP(A591,[1]fin_institutions!B:D,2,0),"")</f>
        <v/>
      </c>
      <c r="J591" s="41" t="str">
        <f>IFERROR(VLOOKUP(A591,[1]fin_institutions!B:E,4,0),"")</f>
        <v/>
      </c>
      <c r="K591" s="41" t="str">
        <f t="shared" si="47"/>
        <v/>
      </c>
      <c r="L591" s="56">
        <f>IFERROR(VLOOKUP(A591,[1]bus_institutions!B:D,2,0),"")</f>
        <v>23</v>
      </c>
      <c r="M591" s="42">
        <f>IFERROR(VLOOKUP(A591,[1]bus_institutions!B:E,4,0),"")</f>
        <v>1.2221736280224089</v>
      </c>
      <c r="N591" s="23">
        <f t="shared" si="48"/>
        <v>545</v>
      </c>
      <c r="O591" s="61">
        <f>IFERROR(VLOOKUP(A591,[1]man_institutions!B:E,2,0),"")</f>
        <v>20</v>
      </c>
      <c r="P591" s="62">
        <f>IFERROR(VLOOKUP(A591,[1]man_institutions!B:E,4,0),"")</f>
        <v>1.5440357211276361</v>
      </c>
      <c r="Q591" s="63">
        <f t="shared" si="49"/>
        <v>523</v>
      </c>
    </row>
    <row r="592" spans="1:17" x14ac:dyDescent="0.25">
      <c r="A592" s="6" t="s">
        <v>1207</v>
      </c>
      <c r="B592" s="37" t="s">
        <v>1260</v>
      </c>
      <c r="C592" s="72">
        <f>IFERROR(VLOOKUP(A592,[1]eco_bus_institutions!B:E,2,0),"")</f>
        <v>43</v>
      </c>
      <c r="D592" s="72">
        <f>IFERROR(VLOOKUP(A592,[1]eco_bus_institutions!B:E,4,0),"")</f>
        <v>1.1083718921156009</v>
      </c>
      <c r="E592" s="73">
        <f t="shared" si="45"/>
        <v>594</v>
      </c>
      <c r="F592" s="40">
        <f>IFERROR(VLOOKUP(A592,[1]eco_institutions!B:D,2,0),"")</f>
        <v>26</v>
      </c>
      <c r="G592" s="40">
        <f>IFERROR(VLOOKUP(A592,[1]eco_institutions!B:E,4,0),"")</f>
        <v>1.121727770808626</v>
      </c>
      <c r="H592" s="14">
        <f t="shared" si="46"/>
        <v>562</v>
      </c>
      <c r="I592" s="46">
        <f>IFERROR(VLOOKUP(A592,[1]fin_institutions!B:D,2,0),"")</f>
        <v>16</v>
      </c>
      <c r="J592" s="41">
        <f>IFERROR(VLOOKUP(A592,[1]fin_institutions!B:E,4,0),"")</f>
        <v>1.1019880988958619</v>
      </c>
      <c r="K592" s="41">
        <f t="shared" si="47"/>
        <v>526</v>
      </c>
      <c r="L592" s="56">
        <f>IFERROR(VLOOKUP(A592,[1]bus_institutions!B:D,2,0),"")</f>
        <v>4</v>
      </c>
      <c r="M592" s="42">
        <f>IFERROR(VLOOKUP(A592,[1]bus_institutions!B:E,4,0),"")</f>
        <v>1.1036004527692189</v>
      </c>
      <c r="N592" s="23">
        <f t="shared" si="48"/>
        <v>560</v>
      </c>
      <c r="O592" s="61">
        <f>IFERROR(VLOOKUP(A592,[1]man_institutions!B:E,2,0),"")</f>
        <v>7</v>
      </c>
      <c r="P592" s="62">
        <f>IFERROR(VLOOKUP(A592,[1]man_institutions!B:E,4,0),"")</f>
        <v>1.222262201260657</v>
      </c>
      <c r="Q592" s="63">
        <f t="shared" si="49"/>
        <v>569</v>
      </c>
    </row>
    <row r="593" spans="1:17" x14ac:dyDescent="0.25">
      <c r="A593" s="6" t="s">
        <v>1205</v>
      </c>
      <c r="B593" s="37" t="s">
        <v>1246</v>
      </c>
      <c r="C593" s="72">
        <f>IFERROR(VLOOKUP(A593,[1]eco_bus_institutions!B:E,2,0),"")</f>
        <v>53</v>
      </c>
      <c r="D593" s="72">
        <f>IFERROR(VLOOKUP(A593,[1]eco_bus_institutions!B:E,4,0),"")</f>
        <v>1.2355934459777229</v>
      </c>
      <c r="E593" s="73">
        <f t="shared" si="45"/>
        <v>576</v>
      </c>
      <c r="F593" s="40">
        <f>IFERROR(VLOOKUP(A593,[1]eco_institutions!B:D,2,0),"")</f>
        <v>38</v>
      </c>
      <c r="G593" s="40">
        <f>IFERROR(VLOOKUP(A593,[1]eco_institutions!B:E,4,0),"")</f>
        <v>1.3016949615405129</v>
      </c>
      <c r="H593" s="14">
        <f t="shared" si="46"/>
        <v>433</v>
      </c>
      <c r="I593" s="46">
        <f>IFERROR(VLOOKUP(A593,[1]fin_institutions!B:D,2,0),"")</f>
        <v>7</v>
      </c>
      <c r="J593" s="41">
        <f>IFERROR(VLOOKUP(A593,[1]fin_institutions!B:E,4,0),"")</f>
        <v>1.046504506825733</v>
      </c>
      <c r="K593" s="41">
        <f t="shared" si="47"/>
        <v>557</v>
      </c>
      <c r="L593" s="56">
        <f>IFERROR(VLOOKUP(A593,[1]bus_institutions!B:D,2,0),"")</f>
        <v>9</v>
      </c>
      <c r="M593" s="42">
        <f>IFERROR(VLOOKUP(A593,[1]bus_institutions!B:E,4,0),"")</f>
        <v>1.2058095893408409</v>
      </c>
      <c r="N593" s="23">
        <f t="shared" si="48"/>
        <v>548</v>
      </c>
      <c r="O593" s="61">
        <f>IFERROR(VLOOKUP(A593,[1]man_institutions!B:E,2,0),"")</f>
        <v>6</v>
      </c>
      <c r="P593" s="62">
        <f>IFERROR(VLOOKUP(A593,[1]man_institutions!B:E,4,0),"")</f>
        <v>1.255149681389105</v>
      </c>
      <c r="Q593" s="63">
        <f t="shared" si="49"/>
        <v>563</v>
      </c>
    </row>
    <row r="594" spans="1:17" x14ac:dyDescent="0.25">
      <c r="A594" s="6" t="s">
        <v>1209</v>
      </c>
      <c r="B594" s="37" t="s">
        <v>1264</v>
      </c>
      <c r="C594" s="72">
        <f>IFERROR(VLOOKUP(A594,[1]eco_bus_institutions!B:E,2,0),"")</f>
        <v>58</v>
      </c>
      <c r="D594" s="72">
        <f>IFERROR(VLOOKUP(A594,[1]eco_bus_institutions!B:E,4,0),"")</f>
        <v>1.10153802886783</v>
      </c>
      <c r="E594" s="73">
        <f t="shared" si="45"/>
        <v>596</v>
      </c>
      <c r="F594" s="40">
        <f>IFERROR(VLOOKUP(A594,[1]eco_institutions!B:D,2,0),"")</f>
        <v>19</v>
      </c>
      <c r="G594" s="40">
        <f>IFERROR(VLOOKUP(A594,[1]eco_institutions!B:E,4,0),"")</f>
        <v>1.085397477948111</v>
      </c>
      <c r="H594" s="14">
        <f t="shared" si="46"/>
        <v>575</v>
      </c>
      <c r="I594" s="46">
        <f>IFERROR(VLOOKUP(A594,[1]fin_institutions!B:D,2,0),"")</f>
        <v>11</v>
      </c>
      <c r="J594" s="41">
        <f>IFERROR(VLOOKUP(A594,[1]fin_institutions!B:E,4,0),"")</f>
        <v>1.069849439432939</v>
      </c>
      <c r="K594" s="41">
        <f t="shared" si="47"/>
        <v>544</v>
      </c>
      <c r="L594" s="56">
        <f>IFERROR(VLOOKUP(A594,[1]bus_institutions!B:D,2,0),"")</f>
        <v>22</v>
      </c>
      <c r="M594" s="42">
        <f>IFERROR(VLOOKUP(A594,[1]bus_institutions!B:E,4,0),"")</f>
        <v>1.212817667750105</v>
      </c>
      <c r="N594" s="23">
        <f t="shared" si="48"/>
        <v>546</v>
      </c>
      <c r="O594" s="61">
        <f>IFERROR(VLOOKUP(A594,[1]man_institutions!B:E,2,0),"")</f>
        <v>35</v>
      </c>
      <c r="P594" s="62">
        <f>IFERROR(VLOOKUP(A594,[1]man_institutions!B:E,4,0),"")</f>
        <v>1.4755486877232611</v>
      </c>
      <c r="Q594" s="63">
        <f t="shared" si="49"/>
        <v>540</v>
      </c>
    </row>
    <row r="595" spans="1:17" x14ac:dyDescent="0.25">
      <c r="A595" s="6" t="s">
        <v>1210</v>
      </c>
      <c r="B595" s="37" t="s">
        <v>1243</v>
      </c>
      <c r="C595" s="72">
        <f>IFERROR(VLOOKUP(A595,[1]eco_bus_institutions!B:E,2,0),"")</f>
        <v>42</v>
      </c>
      <c r="D595" s="72">
        <f>IFERROR(VLOOKUP(A595,[1]eco_bus_institutions!B:E,4,0),"")</f>
        <v>1.1031208465017071</v>
      </c>
      <c r="E595" s="73">
        <f t="shared" si="45"/>
        <v>595</v>
      </c>
      <c r="F595" s="40">
        <f>IFERROR(VLOOKUP(A595,[1]eco_institutions!B:D,2,0),"")</f>
        <v>26</v>
      </c>
      <c r="G595" s="40">
        <f>IFERROR(VLOOKUP(A595,[1]eco_institutions!B:E,4,0),"")</f>
        <v>1.108738128335675</v>
      </c>
      <c r="H595" s="14">
        <f t="shared" si="46"/>
        <v>569</v>
      </c>
      <c r="I595" s="46">
        <f>IFERROR(VLOOKUP(A595,[1]fin_institutions!B:D,2,0),"")</f>
        <v>14</v>
      </c>
      <c r="J595" s="41">
        <f>IFERROR(VLOOKUP(A595,[1]fin_institutions!B:E,4,0),"")</f>
        <v>1.0677328905884831</v>
      </c>
      <c r="K595" s="41">
        <f t="shared" si="47"/>
        <v>546</v>
      </c>
      <c r="L595" s="56">
        <f>IFERROR(VLOOKUP(A595,[1]bus_institutions!B:D,2,0),"")</f>
        <v>11</v>
      </c>
      <c r="M595" s="42">
        <f>IFERROR(VLOOKUP(A595,[1]bus_institutions!B:E,4,0),"")</f>
        <v>1.1880343253752099</v>
      </c>
      <c r="N595" s="23">
        <f t="shared" si="48"/>
        <v>549</v>
      </c>
      <c r="O595" s="61">
        <f>IFERROR(VLOOKUP(A595,[1]man_institutions!B:E,2,0),"")</f>
        <v>8</v>
      </c>
      <c r="P595" s="62">
        <f>IFERROR(VLOOKUP(A595,[1]man_institutions!B:E,4,0),"")</f>
        <v>1.2507484745885049</v>
      </c>
      <c r="Q595" s="63">
        <f t="shared" si="49"/>
        <v>566</v>
      </c>
    </row>
    <row r="596" spans="1:17" x14ac:dyDescent="0.25">
      <c r="A596" s="6" t="s">
        <v>1208</v>
      </c>
      <c r="B596" s="37" t="s">
        <v>1267</v>
      </c>
      <c r="C596" s="72">
        <f>IFERROR(VLOOKUP(A596,[1]eco_bus_institutions!B:E,2,0),"")</f>
        <v>37</v>
      </c>
      <c r="D596" s="72">
        <f>IFERROR(VLOOKUP(A596,[1]eco_bus_institutions!B:E,4,0),"")</f>
        <v>1.15307871943063</v>
      </c>
      <c r="E596" s="73">
        <f t="shared" si="45"/>
        <v>591</v>
      </c>
      <c r="F596" s="40">
        <f>IFERROR(VLOOKUP(A596,[1]eco_institutions!B:D,2,0),"")</f>
        <v>20</v>
      </c>
      <c r="G596" s="40">
        <f>IFERROR(VLOOKUP(A596,[1]eco_institutions!B:E,4,0),"")</f>
        <v>1.085186883453515</v>
      </c>
      <c r="H596" s="14">
        <f t="shared" si="46"/>
        <v>576</v>
      </c>
      <c r="I596" s="46" t="str">
        <f>IFERROR(VLOOKUP(A596,[1]fin_institutions!B:D,2,0),"")</f>
        <v/>
      </c>
      <c r="J596" s="41" t="str">
        <f>IFERROR(VLOOKUP(A596,[1]fin_institutions!B:E,4,0),"")</f>
        <v/>
      </c>
      <c r="K596" s="41" t="str">
        <f t="shared" si="47"/>
        <v/>
      </c>
      <c r="L596" s="56">
        <f>IFERROR(VLOOKUP(A596,[1]bus_institutions!B:D,2,0),"")</f>
        <v>7</v>
      </c>
      <c r="M596" s="42">
        <f>IFERROR(VLOOKUP(A596,[1]bus_institutions!B:E,4,0),"")</f>
        <v>1.542738613624359</v>
      </c>
      <c r="N596" s="23">
        <f t="shared" si="48"/>
        <v>475</v>
      </c>
      <c r="O596" s="61">
        <f>IFERROR(VLOOKUP(A596,[1]man_institutions!B:E,2,0),"")</f>
        <v>14</v>
      </c>
      <c r="P596" s="62">
        <f>IFERROR(VLOOKUP(A596,[1]man_institutions!B:E,4,0),"")</f>
        <v>1.511386299440902</v>
      </c>
      <c r="Q596" s="63">
        <f t="shared" si="49"/>
        <v>530</v>
      </c>
    </row>
    <row r="597" spans="1:17" x14ac:dyDescent="0.25">
      <c r="A597" s="6" t="s">
        <v>1206</v>
      </c>
      <c r="B597" s="37" t="s">
        <v>1255</v>
      </c>
      <c r="C597" s="72">
        <f>IFERROR(VLOOKUP(A597,[1]eco_bus_institutions!B:E,2,0),"")</f>
        <v>38</v>
      </c>
      <c r="D597" s="72">
        <f>IFERROR(VLOOKUP(A597,[1]eco_bus_institutions!B:E,4,0),"")</f>
        <v>1.132382331952307</v>
      </c>
      <c r="E597" s="73">
        <f t="shared" si="45"/>
        <v>593</v>
      </c>
      <c r="F597" s="40">
        <f>IFERROR(VLOOKUP(A597,[1]eco_institutions!B:D,2,0),"")</f>
        <v>14</v>
      </c>
      <c r="G597" s="40">
        <f>IFERROR(VLOOKUP(A597,[1]eco_institutions!B:E,4,0),"")</f>
        <v>1.032725348621073</v>
      </c>
      <c r="H597" s="14">
        <f t="shared" si="46"/>
        <v>590</v>
      </c>
      <c r="I597" s="46">
        <f>IFERROR(VLOOKUP(A597,[1]fin_institutions!B:D,2,0),"")</f>
        <v>5</v>
      </c>
      <c r="J597" s="41">
        <f>IFERROR(VLOOKUP(A597,[1]fin_institutions!B:E,4,0),"")</f>
        <v>1.0914168455932529</v>
      </c>
      <c r="K597" s="41">
        <f t="shared" si="47"/>
        <v>530</v>
      </c>
      <c r="L597" s="56">
        <f>IFERROR(VLOOKUP(A597,[1]bus_institutions!B:D,2,0),"")</f>
        <v>24</v>
      </c>
      <c r="M597" s="42">
        <f>IFERROR(VLOOKUP(A597,[1]bus_institutions!B:E,4,0),"")</f>
        <v>1.1757769813304011</v>
      </c>
      <c r="N597" s="23">
        <f t="shared" si="48"/>
        <v>554</v>
      </c>
      <c r="O597" s="61">
        <f>IFERROR(VLOOKUP(A597,[1]man_institutions!B:E,2,0),"")</f>
        <v>15</v>
      </c>
      <c r="P597" s="62">
        <f>IFERROR(VLOOKUP(A597,[1]man_institutions!B:E,4,0),"")</f>
        <v>1.529426373722419</v>
      </c>
      <c r="Q597" s="63">
        <f t="shared" si="49"/>
        <v>528</v>
      </c>
    </row>
    <row r="598" spans="1:17" x14ac:dyDescent="0.25">
      <c r="A598" s="6" t="s">
        <v>1204</v>
      </c>
      <c r="B598" s="37" t="s">
        <v>1251</v>
      </c>
      <c r="C598" s="72">
        <f>IFERROR(VLOOKUP(A598,[1]eco_bus_institutions!B:E,2,0),"")</f>
        <v>51</v>
      </c>
      <c r="D598" s="72">
        <f>IFERROR(VLOOKUP(A598,[1]eco_bus_institutions!B:E,4,0),"")</f>
        <v>1.251283319753784</v>
      </c>
      <c r="E598" s="73">
        <f t="shared" si="45"/>
        <v>572</v>
      </c>
      <c r="F598" s="40">
        <f>IFERROR(VLOOKUP(A598,[1]eco_institutions!B:D,2,0),"")</f>
        <v>41</v>
      </c>
      <c r="G598" s="40">
        <f>IFERROR(VLOOKUP(A598,[1]eco_institutions!B:E,4,0),"")</f>
        <v>1.2260244769683351</v>
      </c>
      <c r="H598" s="14">
        <f t="shared" si="46"/>
        <v>492</v>
      </c>
      <c r="I598" s="46">
        <f>IFERROR(VLOOKUP(A598,[1]fin_institutions!B:D,2,0),"")</f>
        <v>11</v>
      </c>
      <c r="J598" s="41">
        <f>IFERROR(VLOOKUP(A598,[1]fin_institutions!B:E,4,0),"")</f>
        <v>1.0862101955435279</v>
      </c>
      <c r="K598" s="41">
        <f t="shared" si="47"/>
        <v>535</v>
      </c>
      <c r="L598" s="56" t="str">
        <f>IFERROR(VLOOKUP(A598,[1]bus_institutions!B:D,2,0),"")</f>
        <v/>
      </c>
      <c r="M598" s="42" t="str">
        <f>IFERROR(VLOOKUP(A598,[1]bus_institutions!B:E,4,0),"")</f>
        <v/>
      </c>
      <c r="N598" s="23" t="str">
        <f t="shared" si="48"/>
        <v/>
      </c>
      <c r="O598" s="61">
        <f>IFERROR(VLOOKUP(A598,[1]man_institutions!B:E,2,0),"")</f>
        <v>6</v>
      </c>
      <c r="P598" s="62">
        <f>IFERROR(VLOOKUP(A598,[1]man_institutions!B:E,4,0),"")</f>
        <v>2.0802049319102331</v>
      </c>
      <c r="Q598" s="63">
        <f t="shared" si="49"/>
        <v>383</v>
      </c>
    </row>
    <row r="599" spans="1:17" x14ac:dyDescent="0.25">
      <c r="A599" s="6" t="s">
        <v>1211</v>
      </c>
      <c r="B599" s="37" t="s">
        <v>1268</v>
      </c>
      <c r="C599" s="72">
        <f>IFERROR(VLOOKUP(A599,[1]eco_bus_institutions!B:E,2,0),"")</f>
        <v>109</v>
      </c>
      <c r="D599" s="72">
        <f>IFERROR(VLOOKUP(A599,[1]eco_bus_institutions!B:E,4,0),"")</f>
        <v>1.0505344314242511</v>
      </c>
      <c r="E599" s="73">
        <f t="shared" si="45"/>
        <v>597</v>
      </c>
      <c r="F599" s="40">
        <f>IFERROR(VLOOKUP(A599,[1]eco_institutions!B:D,2,0),"")</f>
        <v>97</v>
      </c>
      <c r="G599" s="40">
        <f>IFERROR(VLOOKUP(A599,[1]eco_institutions!B:E,4,0),"")</f>
        <v>1.0291596251974009</v>
      </c>
      <c r="H599" s="14">
        <f t="shared" si="46"/>
        <v>595</v>
      </c>
      <c r="I599" s="46">
        <f>IFERROR(VLOOKUP(A599,[1]fin_institutions!B:D,2,0),"")</f>
        <v>7</v>
      </c>
      <c r="J599" s="41">
        <f>IFERROR(VLOOKUP(A599,[1]fin_institutions!B:E,4,0),"")</f>
        <v>1.5074605321335111</v>
      </c>
      <c r="K599" s="41">
        <f t="shared" si="47"/>
        <v>283</v>
      </c>
      <c r="L599" s="56">
        <f>IFERROR(VLOOKUP(A599,[1]bus_institutions!B:D,2,0),"")</f>
        <v>48</v>
      </c>
      <c r="M599" s="42">
        <f>IFERROR(VLOOKUP(A599,[1]bus_institutions!B:E,4,0),"")</f>
        <v>1.0020941537182759</v>
      </c>
      <c r="N599" s="23">
        <f t="shared" si="48"/>
        <v>569</v>
      </c>
      <c r="O599" s="61">
        <f>IFERROR(VLOOKUP(A599,[1]man_institutions!B:E,2,0),"")</f>
        <v>38</v>
      </c>
      <c r="P599" s="62">
        <f>IFERROR(VLOOKUP(A599,[1]man_institutions!B:E,4,0),"")</f>
        <v>1.0709292442177181</v>
      </c>
      <c r="Q599" s="63">
        <f t="shared" si="49"/>
        <v>574</v>
      </c>
    </row>
    <row r="600" spans="1:17" x14ac:dyDescent="0.25">
      <c r="A600" s="6" t="s">
        <v>1214</v>
      </c>
      <c r="B600" s="37" t="s">
        <v>1270</v>
      </c>
      <c r="C600" s="72">
        <f>IFERROR(VLOOKUP(A600,[1]eco_bus_institutions!B:E,2,0),"")</f>
        <v>48</v>
      </c>
      <c r="D600" s="72">
        <f>IFERROR(VLOOKUP(A600,[1]eco_bus_institutions!B:E,4,0),"")</f>
        <v>1</v>
      </c>
      <c r="E600" s="73">
        <f t="shared" si="45"/>
        <v>600</v>
      </c>
      <c r="F600" s="40">
        <f>IFERROR(VLOOKUP(A600,[1]eco_institutions!B:D,2,0),"")</f>
        <v>41</v>
      </c>
      <c r="G600" s="40">
        <f>IFERROR(VLOOKUP(A600,[1]eco_institutions!B:E,4,0),"")</f>
        <v>1.019002732245923</v>
      </c>
      <c r="H600" s="14">
        <f t="shared" si="46"/>
        <v>596</v>
      </c>
      <c r="I600" s="46" t="str">
        <f>IFERROR(VLOOKUP(A600,[1]fin_institutions!B:D,2,0),"")</f>
        <v/>
      </c>
      <c r="J600" s="41" t="str">
        <f>IFERROR(VLOOKUP(A600,[1]fin_institutions!B:E,4,0),"")</f>
        <v/>
      </c>
      <c r="K600" s="41" t="str">
        <f t="shared" si="47"/>
        <v/>
      </c>
      <c r="L600" s="56">
        <f>IFERROR(VLOOKUP(A600,[1]bus_institutions!B:D,2,0),"")</f>
        <v>19</v>
      </c>
      <c r="M600" s="42">
        <f>IFERROR(VLOOKUP(A600,[1]bus_institutions!B:E,4,0),"")</f>
        <v>1</v>
      </c>
      <c r="N600" s="23">
        <f t="shared" si="48"/>
        <v>570</v>
      </c>
      <c r="O600" s="61">
        <f>IFERROR(VLOOKUP(A600,[1]man_institutions!B:E,2,0),"")</f>
        <v>15</v>
      </c>
      <c r="P600" s="62">
        <f>IFERROR(VLOOKUP(A600,[1]man_institutions!B:E,4,0),"")</f>
        <v>1.0992934299080119</v>
      </c>
      <c r="Q600" s="63">
        <f t="shared" si="49"/>
        <v>572</v>
      </c>
    </row>
    <row r="601" spans="1:17" x14ac:dyDescent="0.25">
      <c r="A601" s="6" t="s">
        <v>1212</v>
      </c>
      <c r="B601" s="37" t="s">
        <v>1269</v>
      </c>
      <c r="C601" s="72">
        <f>IFERROR(VLOOKUP(A601,[1]eco_bus_institutions!B:E,2,0),"")</f>
        <v>43</v>
      </c>
      <c r="D601" s="72">
        <f>IFERROR(VLOOKUP(A601,[1]eco_bus_institutions!B:E,4,0),"")</f>
        <v>1.0304457022047859</v>
      </c>
      <c r="E601" s="73">
        <f t="shared" si="45"/>
        <v>599</v>
      </c>
      <c r="F601" s="40">
        <f>IFERROR(VLOOKUP(A601,[1]eco_institutions!B:D,2,0),"")</f>
        <v>30</v>
      </c>
      <c r="G601" s="40">
        <f>IFERROR(VLOOKUP(A601,[1]eco_institutions!B:E,4,0),"")</f>
        <v>1.0317005699510049</v>
      </c>
      <c r="H601" s="14">
        <f t="shared" si="46"/>
        <v>591</v>
      </c>
      <c r="I601" s="46">
        <f>IFERROR(VLOOKUP(A601,[1]fin_institutions!B:D,2,0),"")</f>
        <v>3</v>
      </c>
      <c r="J601" s="41">
        <f>IFERROR(VLOOKUP(A601,[1]fin_institutions!B:E,4,0),"")</f>
        <v>1.2528110145956519</v>
      </c>
      <c r="K601" s="41">
        <f t="shared" si="47"/>
        <v>426</v>
      </c>
      <c r="L601" s="56">
        <f>IFERROR(VLOOKUP(A601,[1]bus_institutions!B:D,2,0),"")</f>
        <v>7</v>
      </c>
      <c r="M601" s="42">
        <f>IFERROR(VLOOKUP(A601,[1]bus_institutions!B:E,4,0),"")</f>
        <v>1.020183354427175</v>
      </c>
      <c r="N601" s="23">
        <f t="shared" si="48"/>
        <v>565</v>
      </c>
      <c r="O601" s="61">
        <f>IFERROR(VLOOKUP(A601,[1]man_institutions!B:E,2,0),"")</f>
        <v>15</v>
      </c>
      <c r="P601" s="62">
        <f>IFERROR(VLOOKUP(A601,[1]man_institutions!B:E,4,0),"")</f>
        <v>1.363152776403338</v>
      </c>
      <c r="Q601" s="63">
        <f t="shared" si="49"/>
        <v>553</v>
      </c>
    </row>
    <row r="602" spans="1:17" x14ac:dyDescent="0.25">
      <c r="A602" s="7" t="s">
        <v>1213</v>
      </c>
      <c r="B602" s="8" t="s">
        <v>1269</v>
      </c>
      <c r="C602" s="74">
        <f>IFERROR(VLOOKUP(A602,[1]eco_bus_institutions!B:E,2,0),"")</f>
        <v>42</v>
      </c>
      <c r="D602" s="74">
        <f>IFERROR(VLOOKUP(A602,[1]eco_bus_institutions!B:E,4,0),"")</f>
        <v>1.042076365868406</v>
      </c>
      <c r="E602" s="75">
        <f t="shared" si="45"/>
        <v>598</v>
      </c>
      <c r="F602" s="15">
        <f>IFERROR(VLOOKUP(A602,[1]eco_institutions!B:D,2,0),"")</f>
        <v>30</v>
      </c>
      <c r="G602" s="15">
        <f>IFERROR(VLOOKUP(A602,[1]eco_institutions!B:E,4,0),"")</f>
        <v>1.043634715620384</v>
      </c>
      <c r="H602" s="16">
        <f t="shared" si="46"/>
        <v>587</v>
      </c>
      <c r="I602" s="47">
        <f>IFERROR(VLOOKUP(A602,[1]fin_institutions!B:D,2,0),"")</f>
        <v>4</v>
      </c>
      <c r="J602" s="19">
        <f>IFERROR(VLOOKUP(A602,[1]fin_institutions!B:E,4,0),"")</f>
        <v>1.057104178889658</v>
      </c>
      <c r="K602" s="19">
        <f t="shared" si="47"/>
        <v>551</v>
      </c>
      <c r="L602" s="57">
        <f>IFERROR(VLOOKUP(A602,[1]bus_institutions!B:D,2,0),"")</f>
        <v>9</v>
      </c>
      <c r="M602" s="24">
        <f>IFERROR(VLOOKUP(A602,[1]bus_institutions!B:E,4,0),"")</f>
        <v>1.2593261698537781</v>
      </c>
      <c r="N602" s="25">
        <f t="shared" si="48"/>
        <v>537</v>
      </c>
      <c r="O602" s="64">
        <f>IFERROR(VLOOKUP(A602,[1]man_institutions!B:E,2,0),"")</f>
        <v>12</v>
      </c>
      <c r="P602" s="65">
        <f>IFERROR(VLOOKUP(A602,[1]man_institutions!B:E,4,0),"")</f>
        <v>1.050960226659061</v>
      </c>
      <c r="Q602" s="66">
        <f t="shared" si="49"/>
        <v>575</v>
      </c>
    </row>
  </sheetData>
  <sortState ref="A3:Q602">
    <sortCondition ref="E3:E602"/>
    <sortCondition ref="A3:A602"/>
  </sortState>
  <mergeCells count="5">
    <mergeCell ref="L1:N1"/>
    <mergeCell ref="O1:Q1"/>
    <mergeCell ref="C1:E1"/>
    <mergeCell ref="F1:H1"/>
    <mergeCell ref="I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03"/>
  <sheetViews>
    <sheetView tabSelected="1" topLeftCell="R49" workbookViewId="0">
      <selection activeCell="AL69" sqref="AL69"/>
    </sheetView>
  </sheetViews>
  <sheetFormatPr baseColWidth="10" defaultColWidth="9.140625" defaultRowHeight="15" x14ac:dyDescent="0.25"/>
  <cols>
    <col min="1" max="1" width="46.5703125" customWidth="1"/>
    <col min="2" max="2" width="41.28515625" customWidth="1"/>
    <col min="3" max="3" width="17.85546875" customWidth="1"/>
    <col min="4" max="4" width="10.28515625" bestFit="1" customWidth="1"/>
    <col min="5" max="5" width="8" bestFit="1" customWidth="1"/>
    <col min="6" max="6" width="9.42578125" bestFit="1" customWidth="1"/>
    <col min="7" max="7" width="8" bestFit="1" customWidth="1"/>
    <col min="8" max="8" width="9.140625" bestFit="1" customWidth="1"/>
    <col min="9" max="9" width="9.42578125" bestFit="1" customWidth="1"/>
    <col min="10" max="10" width="7.140625" bestFit="1" customWidth="1"/>
    <col min="11" max="11" width="8.5703125" bestFit="1" customWidth="1"/>
    <col min="12" max="12" width="7.140625" bestFit="1" customWidth="1"/>
    <col min="13" max="13" width="8.28515625" bestFit="1" customWidth="1"/>
    <col min="14" max="17" width="0" hidden="1" customWidth="1"/>
    <col min="20" max="20" width="17.85546875" customWidth="1"/>
    <col min="22" max="22" width="17.85546875" customWidth="1"/>
    <col min="25" max="25" width="25.5703125" customWidth="1"/>
    <col min="33" max="33" width="12.140625" customWidth="1"/>
    <col min="34" max="34" width="9.5703125" bestFit="1" customWidth="1"/>
  </cols>
  <sheetData>
    <row r="1" spans="1:26" x14ac:dyDescent="0.25">
      <c r="D1" s="35"/>
      <c r="E1" s="35"/>
      <c r="F1" s="35"/>
      <c r="G1" s="35"/>
      <c r="H1" s="35"/>
      <c r="I1" s="34"/>
      <c r="J1" s="34"/>
      <c r="K1" s="34"/>
      <c r="L1" s="34"/>
      <c r="M1" s="34"/>
      <c r="T1" s="77" t="s">
        <v>2109</v>
      </c>
      <c r="U1" t="s">
        <v>2113</v>
      </c>
      <c r="V1" s="29" t="s">
        <v>1215</v>
      </c>
      <c r="W1" t="s">
        <v>2114</v>
      </c>
      <c r="Y1" t="s">
        <v>1506</v>
      </c>
    </row>
    <row r="2" spans="1:26" x14ac:dyDescent="0.25">
      <c r="A2" s="5" t="s">
        <v>615</v>
      </c>
      <c r="B2" s="5"/>
      <c r="C2" s="5" t="s">
        <v>1215</v>
      </c>
      <c r="D2" s="11" t="s">
        <v>1341</v>
      </c>
      <c r="E2" s="32" t="s">
        <v>1341</v>
      </c>
      <c r="F2" s="11" t="s">
        <v>1341</v>
      </c>
      <c r="G2" s="11" t="s">
        <v>1341</v>
      </c>
      <c r="H2" s="11" t="s">
        <v>1341</v>
      </c>
      <c r="I2" s="5" t="s">
        <v>1339</v>
      </c>
      <c r="J2" s="33" t="s">
        <v>1339</v>
      </c>
      <c r="K2" s="12" t="s">
        <v>1339</v>
      </c>
      <c r="L2" s="12" t="s">
        <v>1339</v>
      </c>
      <c r="M2" s="12" t="s">
        <v>1339</v>
      </c>
      <c r="R2" t="s">
        <v>1460</v>
      </c>
      <c r="T2" s="76" t="s">
        <v>2110</v>
      </c>
      <c r="V2" s="31" t="s">
        <v>1241</v>
      </c>
      <c r="W2" t="s">
        <v>1462</v>
      </c>
      <c r="Y2" t="s">
        <v>1507</v>
      </c>
    </row>
    <row r="3" spans="1:26" x14ac:dyDescent="0.25">
      <c r="A3" s="29" t="s">
        <v>615</v>
      </c>
      <c r="B3" s="29"/>
      <c r="C3" s="29" t="s">
        <v>1215</v>
      </c>
      <c r="D3" s="30" t="s">
        <v>1448</v>
      </c>
      <c r="E3" s="30" t="s">
        <v>1450</v>
      </c>
      <c r="F3" s="29" t="s">
        <v>1456</v>
      </c>
      <c r="G3" s="30" t="s">
        <v>1452</v>
      </c>
      <c r="H3" s="30" t="s">
        <v>1454</v>
      </c>
      <c r="I3" s="29" t="s">
        <v>1449</v>
      </c>
      <c r="J3" s="29" t="s">
        <v>1451</v>
      </c>
      <c r="K3" s="29" t="s">
        <v>1457</v>
      </c>
      <c r="L3" s="29" t="s">
        <v>1453</v>
      </c>
      <c r="M3" s="29" t="s">
        <v>1455</v>
      </c>
      <c r="R3" t="s">
        <v>1458</v>
      </c>
      <c r="S3" t="s">
        <v>1459</v>
      </c>
      <c r="T3" s="29" t="s">
        <v>1215</v>
      </c>
      <c r="U3" t="s">
        <v>1461</v>
      </c>
      <c r="V3" s="31" t="s">
        <v>1247</v>
      </c>
      <c r="W3" t="s">
        <v>1463</v>
      </c>
      <c r="Y3" t="s">
        <v>1504</v>
      </c>
    </row>
    <row r="4" spans="1:26" x14ac:dyDescent="0.25">
      <c r="A4" s="31" t="s">
        <v>619</v>
      </c>
      <c r="B4" s="31" t="s">
        <v>1509</v>
      </c>
      <c r="C4" s="31" t="s">
        <v>1217</v>
      </c>
      <c r="D4" s="31">
        <f>IFERROR(ROUND(VLOOKUP(A4,institutions!A:E,4,0),2),"")</f>
        <v>8</v>
      </c>
      <c r="E4" s="31">
        <f>IFERROR(ROUND(VLOOKUP(A4,institutions!A:X,7,0),2),"")</f>
        <v>6.85</v>
      </c>
      <c r="F4" s="31">
        <f>IFERROR(ROUND(VLOOKUP(A4,institutions!A:X,10,0),2),"")</f>
        <v>5.91</v>
      </c>
      <c r="G4" s="31" t="str">
        <f>IFERROR(ROUND(VLOOKUP(A4,institutions!A:X,13,0),2),"")</f>
        <v/>
      </c>
      <c r="H4" s="31" t="str">
        <f>IFERROR(ROUND(VLOOKUP(A4,institutions!A:X,16,0),2),"")</f>
        <v/>
      </c>
      <c r="I4" s="31">
        <f t="shared" ref="I4:I67" si="0">ROUND(IFERROR((601-_xlfn.RANK.EQ(D4,D:D))/600,0),3)</f>
        <v>1</v>
      </c>
      <c r="J4" s="31">
        <f t="shared" ref="J4:J67" si="1">ROUND(IFERROR((601-IFERROR(_xlfn.RANK.EQ(E4,E:E),""))/600,0),3)</f>
        <v>0.995</v>
      </c>
      <c r="K4" s="31">
        <f t="shared" ref="K4:K67" si="2">ROUND(IFERROR((601-IFERROR(_xlfn.RANK.EQ(F4,F:F),""))/600,0),3)</f>
        <v>0.99199999999999999</v>
      </c>
      <c r="L4" s="31">
        <f t="shared" ref="L4:L67" si="3">ROUND(IFERROR((601-IFERROR(_xlfn.RANK.EQ(G4,G:G),""))/600,0),3)</f>
        <v>0</v>
      </c>
      <c r="M4" s="31">
        <f t="shared" ref="M4:M67" si="4">ROUND(IFERROR((601-IFERROR(_xlfn.RANK.EQ(H4,H:H),""))/600,0),3)</f>
        <v>0</v>
      </c>
      <c r="N4" t="e">
        <f>VLOOKUP(A4,#REF!,11,0)</f>
        <v>#REF!</v>
      </c>
      <c r="O4" t="e">
        <f>VLOOKUP(A4,#REF!,12,0)</f>
        <v>#REF!</v>
      </c>
      <c r="P4" t="e">
        <f>VLOOKUP(A4,#REF!,13,0)</f>
        <v>#REF!</v>
      </c>
      <c r="Q4" t="e">
        <f>VLOOKUP(A4,#REF!,14,0)</f>
        <v>#REF!</v>
      </c>
      <c r="R4">
        <v>-0.1779845289861002</v>
      </c>
      <c r="S4">
        <v>3.3912835376784569</v>
      </c>
      <c r="T4" s="31" t="str">
        <f>VLOOKUP(C4,V:W,2,0)</f>
        <v>USA</v>
      </c>
      <c r="U4" t="str">
        <f t="shared" ref="U4:U67" si="5">IF(T4=T$1,B4,IF(T4=T$2,B4,IF(T4=U$1,B4,"")))</f>
        <v/>
      </c>
      <c r="V4" s="31" t="s">
        <v>1217</v>
      </c>
      <c r="W4" t="s">
        <v>1217</v>
      </c>
      <c r="Y4" t="s">
        <v>1505</v>
      </c>
    </row>
    <row r="5" spans="1:26" x14ac:dyDescent="0.25">
      <c r="A5" s="31" t="s">
        <v>618</v>
      </c>
      <c r="B5" s="31" t="s">
        <v>1512</v>
      </c>
      <c r="C5" s="31" t="s">
        <v>1217</v>
      </c>
      <c r="D5" s="31">
        <f>IFERROR(ROUND(VLOOKUP(A5,institutions!A:E,4,0),2),"")</f>
        <v>7.92</v>
      </c>
      <c r="E5" s="31">
        <f>IFERROR(ROUND(VLOOKUP(A5,institutions!A:X,7,0),2),"")</f>
        <v>7.78</v>
      </c>
      <c r="F5" s="31">
        <f>IFERROR(ROUND(VLOOKUP(A5,institutions!A:X,10,0),2),"")</f>
        <v>6.89</v>
      </c>
      <c r="G5" s="31">
        <f>IFERROR(ROUND(VLOOKUP(A5,institutions!A:X,13,0),2),"")</f>
        <v>2.99</v>
      </c>
      <c r="H5" s="31">
        <f>IFERROR(ROUND(VLOOKUP(A5,institutions!A:X,16,0),2),"")</f>
        <v>1.93</v>
      </c>
      <c r="I5" s="31">
        <f t="shared" si="0"/>
        <v>0.998</v>
      </c>
      <c r="J5" s="31">
        <f t="shared" si="1"/>
        <v>0.998</v>
      </c>
      <c r="K5" s="31">
        <f t="shared" si="2"/>
        <v>0.997</v>
      </c>
      <c r="L5" s="31">
        <f t="shared" si="3"/>
        <v>0.81200000000000006</v>
      </c>
      <c r="M5" s="31">
        <f t="shared" si="4"/>
        <v>0.3</v>
      </c>
      <c r="N5" t="e">
        <f>VLOOKUP(A5,#REF!,11,0)</f>
        <v>#REF!</v>
      </c>
      <c r="O5" t="e">
        <f>VLOOKUP(A5,#REF!,12,0)</f>
        <v>#REF!</v>
      </c>
      <c r="P5" t="e">
        <f>VLOOKUP(A5,#REF!,13,0)</f>
        <v>#REF!</v>
      </c>
      <c r="Q5" t="e">
        <f>VLOOKUP(A5,#REF!,14,0)</f>
        <v>#REF!</v>
      </c>
      <c r="R5">
        <v>1.8264022038468479</v>
      </c>
      <c r="S5">
        <v>1.5762561050481589</v>
      </c>
      <c r="T5" s="31" t="str">
        <f>VLOOKUP(C5,V:W,2,0)</f>
        <v>USA</v>
      </c>
      <c r="U5" t="str">
        <f t="shared" si="5"/>
        <v/>
      </c>
      <c r="V5" s="31" t="s">
        <v>1248</v>
      </c>
      <c r="W5" t="s">
        <v>1464</v>
      </c>
      <c r="Y5" t="s">
        <v>1508</v>
      </c>
    </row>
    <row r="6" spans="1:26" x14ac:dyDescent="0.25">
      <c r="A6" s="31" t="s">
        <v>617</v>
      </c>
      <c r="B6" s="31" t="s">
        <v>1511</v>
      </c>
      <c r="C6" s="31" t="s">
        <v>1217</v>
      </c>
      <c r="D6" s="31">
        <f>IFERROR(ROUND(VLOOKUP(A6,institutions!A:E,4,0),2),"")</f>
        <v>7.87</v>
      </c>
      <c r="E6" s="31">
        <f>IFERROR(ROUND(VLOOKUP(A6,institutions!A:X,7,0),2),"")</f>
        <v>8</v>
      </c>
      <c r="F6" s="31">
        <f>IFERROR(ROUND(VLOOKUP(A6,institutions!A:X,10,0),2),"")</f>
        <v>1.95</v>
      </c>
      <c r="G6" s="31">
        <f>IFERROR(ROUND(VLOOKUP(A6,institutions!A:X,13,0),2),"")</f>
        <v>2.0499999999999998</v>
      </c>
      <c r="H6" s="31">
        <f>IFERROR(ROUND(VLOOKUP(A6,institutions!A:X,16,0),2),"")</f>
        <v>5.37</v>
      </c>
      <c r="I6" s="31">
        <f t="shared" si="0"/>
        <v>0.997</v>
      </c>
      <c r="J6" s="31">
        <f t="shared" si="1"/>
        <v>1</v>
      </c>
      <c r="K6" s="31">
        <f t="shared" si="2"/>
        <v>0.72</v>
      </c>
      <c r="L6" s="31">
        <f t="shared" si="3"/>
        <v>0.48299999999999998</v>
      </c>
      <c r="M6" s="31">
        <f t="shared" si="4"/>
        <v>0.95</v>
      </c>
      <c r="N6" t="e">
        <f>VLOOKUP(A6,#REF!,11,0)</f>
        <v>#REF!</v>
      </c>
      <c r="O6" t="e">
        <f>VLOOKUP(A6,#REF!,12,0)</f>
        <v>#REF!</v>
      </c>
      <c r="P6" t="e">
        <f>VLOOKUP(A6,#REF!,13,0)</f>
        <v>#REF!</v>
      </c>
      <c r="Q6" t="e">
        <f>VLOOKUP(A6,#REF!,14,0)</f>
        <v>#REF!</v>
      </c>
      <c r="R6">
        <v>1.942969961597137</v>
      </c>
      <c r="S6">
        <v>0.69464890061842377</v>
      </c>
      <c r="T6" s="31" t="str">
        <f>VLOOKUP(C6,V:W,2,0)</f>
        <v>USA</v>
      </c>
      <c r="U6" t="str">
        <f t="shared" si="5"/>
        <v/>
      </c>
      <c r="V6" s="31" t="s">
        <v>1238</v>
      </c>
      <c r="W6" t="s">
        <v>1465</v>
      </c>
    </row>
    <row r="7" spans="1:26" x14ac:dyDescent="0.25">
      <c r="A7" s="31" t="s">
        <v>623</v>
      </c>
      <c r="B7" s="31" t="s">
        <v>1675</v>
      </c>
      <c r="C7" s="31" t="s">
        <v>1217</v>
      </c>
      <c r="D7" s="31">
        <f>IFERROR(ROUND(VLOOKUP(A7,institutions!A:E,4,0),2),"")</f>
        <v>6.75</v>
      </c>
      <c r="E7" s="31">
        <f>IFERROR(ROUND(VLOOKUP(A7,institutions!A:X,7,0),2),"")</f>
        <v>6.45</v>
      </c>
      <c r="F7" s="31">
        <f>IFERROR(ROUND(VLOOKUP(A7,institutions!A:X,10,0),2),"")</f>
        <v>3.94</v>
      </c>
      <c r="G7" s="31" t="str">
        <f>IFERROR(ROUND(VLOOKUP(A7,institutions!A:X,13,0),2),"")</f>
        <v/>
      </c>
      <c r="H7" s="31" t="str">
        <f>IFERROR(ROUND(VLOOKUP(A7,institutions!A:X,16,0),2),"")</f>
        <v/>
      </c>
      <c r="I7" s="31">
        <f t="shared" si="0"/>
        <v>0.99299999999999999</v>
      </c>
      <c r="J7" s="31">
        <f t="shared" si="1"/>
        <v>0.99299999999999999</v>
      </c>
      <c r="K7" s="31">
        <f t="shared" si="2"/>
        <v>0.94299999999999995</v>
      </c>
      <c r="L7" s="31">
        <f t="shared" si="3"/>
        <v>0</v>
      </c>
      <c r="M7" s="31">
        <f t="shared" si="4"/>
        <v>0</v>
      </c>
      <c r="N7" t="e">
        <f>VLOOKUP(A7,#REF!,11,0)</f>
        <v>#REF!</v>
      </c>
      <c r="O7" t="e">
        <f>VLOOKUP(A7,#REF!,12,0)</f>
        <v>#REF!</v>
      </c>
      <c r="P7" t="e">
        <f>VLOOKUP(A7,#REF!,13,0)</f>
        <v>#REF!</v>
      </c>
      <c r="Q7" t="e">
        <f>VLOOKUP(A7,#REF!,14,0)</f>
        <v>#REF!</v>
      </c>
      <c r="R7">
        <v>-0.26489819519766977</v>
      </c>
      <c r="S7">
        <v>3.315712358330865</v>
      </c>
      <c r="T7" s="31" t="str">
        <f>VLOOKUP(C7,V:W,2,0)</f>
        <v>USA</v>
      </c>
      <c r="U7" t="str">
        <f t="shared" si="5"/>
        <v/>
      </c>
      <c r="V7" s="31" t="s">
        <v>1265</v>
      </c>
      <c r="W7" t="s">
        <v>1466</v>
      </c>
      <c r="Y7" t="s">
        <v>2017</v>
      </c>
    </row>
    <row r="8" spans="1:26" x14ac:dyDescent="0.25">
      <c r="A8" s="31" t="s">
        <v>616</v>
      </c>
      <c r="B8" s="31" t="s">
        <v>1510</v>
      </c>
      <c r="C8" s="31" t="s">
        <v>1216</v>
      </c>
      <c r="D8" s="31">
        <f>IFERROR(ROUND(VLOOKUP(A8,institutions!A:E,4,0),2),"")</f>
        <v>6.9</v>
      </c>
      <c r="E8" s="31">
        <f>IFERROR(ROUND(VLOOKUP(A8,institutions!A:X,7,0),2),"")</f>
        <v>7.44</v>
      </c>
      <c r="F8" s="31">
        <f>IFERROR(ROUND(VLOOKUP(A8,institutions!A:X,10,0),2),"")</f>
        <v>5.04</v>
      </c>
      <c r="G8" s="31">
        <f>IFERROR(ROUND(VLOOKUP(A8,institutions!A:X,13,0),2),"")</f>
        <v>5.15</v>
      </c>
      <c r="H8" s="31">
        <f>IFERROR(ROUND(VLOOKUP(A8,institutions!A:X,16,0),2),"")</f>
        <v>5.71</v>
      </c>
      <c r="I8" s="31">
        <f t="shared" si="0"/>
        <v>0.995</v>
      </c>
      <c r="J8" s="31">
        <f t="shared" si="1"/>
        <v>0.997</v>
      </c>
      <c r="K8" s="31">
        <f t="shared" si="2"/>
        <v>0.98</v>
      </c>
      <c r="L8" s="31">
        <f t="shared" si="3"/>
        <v>0.98299999999999998</v>
      </c>
      <c r="M8" s="31">
        <f t="shared" si="4"/>
        <v>0.96799999999999997</v>
      </c>
      <c r="N8" t="e">
        <f>VLOOKUP(A8,#REF!,11,0)</f>
        <v>#REF!</v>
      </c>
      <c r="O8" t="e">
        <f>VLOOKUP(A8,#REF!,12,0)</f>
        <v>#REF!</v>
      </c>
      <c r="P8" t="e">
        <f>VLOOKUP(A8,#REF!,13,0)</f>
        <v>#REF!</v>
      </c>
      <c r="Q8" t="e">
        <f>VLOOKUP(A8,#REF!,14,0)</f>
        <v>#REF!</v>
      </c>
      <c r="R8">
        <v>3.307286940887689</v>
      </c>
      <c r="S8">
        <v>0.20496759066299941</v>
      </c>
      <c r="T8" s="31" t="str">
        <f>VLOOKUP(C8,V:W,2,0)</f>
        <v>UK</v>
      </c>
      <c r="U8" t="str">
        <f t="shared" si="5"/>
        <v/>
      </c>
      <c r="V8" s="31" t="s">
        <v>1243</v>
      </c>
      <c r="W8" t="s">
        <v>1467</v>
      </c>
      <c r="Y8" t="s">
        <v>2018</v>
      </c>
    </row>
    <row r="9" spans="1:26" x14ac:dyDescent="0.25">
      <c r="A9" s="31" t="s">
        <v>624</v>
      </c>
      <c r="B9" s="31" t="s">
        <v>1677</v>
      </c>
      <c r="C9" s="31" t="s">
        <v>1217</v>
      </c>
      <c r="D9" s="31">
        <f>IFERROR(ROUND(VLOOKUP(A9,institutions!A:E,4,0),2),"")</f>
        <v>6.03</v>
      </c>
      <c r="E9" s="31">
        <f>IFERROR(ROUND(VLOOKUP(A9,institutions!A:X,7,0),2),"")</f>
        <v>5.63</v>
      </c>
      <c r="F9" s="31">
        <f>IFERROR(ROUND(VLOOKUP(A9,institutions!A:X,10,0),2),"")</f>
        <v>7.55</v>
      </c>
      <c r="G9" s="31">
        <f>IFERROR(ROUND(VLOOKUP(A9,institutions!A:X,13,0),2),"")</f>
        <v>5.22</v>
      </c>
      <c r="H9" s="31">
        <f>IFERROR(ROUND(VLOOKUP(A9,institutions!A:X,16,0),2),"")</f>
        <v>5.37</v>
      </c>
      <c r="I9" s="31">
        <f t="shared" si="0"/>
        <v>0.99199999999999999</v>
      </c>
      <c r="J9" s="31">
        <f t="shared" si="1"/>
        <v>0.98699999999999999</v>
      </c>
      <c r="K9" s="31">
        <f t="shared" si="2"/>
        <v>0.998</v>
      </c>
      <c r="L9" s="31">
        <f t="shared" si="3"/>
        <v>0.98499999999999999</v>
      </c>
      <c r="M9" s="31">
        <f t="shared" si="4"/>
        <v>0.95</v>
      </c>
      <c r="N9" t="e">
        <f>VLOOKUP(A9,#REF!,11,0)</f>
        <v>#REF!</v>
      </c>
      <c r="O9" t="e">
        <f>VLOOKUP(A9,#REF!,12,0)</f>
        <v>#REF!</v>
      </c>
      <c r="P9" t="e">
        <f>VLOOKUP(A9,#REF!,13,0)</f>
        <v>#REF!</v>
      </c>
      <c r="Q9" t="e">
        <f>VLOOKUP(A9,#REF!,14,0)</f>
        <v>#REF!</v>
      </c>
      <c r="R9">
        <v>3.2931033092378752</v>
      </c>
      <c r="S9">
        <v>0.23502349892972649</v>
      </c>
      <c r="T9" s="31" t="str">
        <f>VLOOKUP(C9,V:W,2,0)</f>
        <v>USA</v>
      </c>
      <c r="U9" t="str">
        <f t="shared" si="5"/>
        <v/>
      </c>
      <c r="V9" s="31" t="s">
        <v>1219</v>
      </c>
      <c r="W9" t="s">
        <v>1336</v>
      </c>
    </row>
    <row r="10" spans="1:26" x14ac:dyDescent="0.25">
      <c r="A10" s="31" t="s">
        <v>630</v>
      </c>
      <c r="B10" s="31" t="s">
        <v>1846</v>
      </c>
      <c r="C10" s="31" t="s">
        <v>1217</v>
      </c>
      <c r="D10" s="31">
        <f>IFERROR(ROUND(VLOOKUP(A10,institutions!A:E,4,0),2),"")</f>
        <v>5.89</v>
      </c>
      <c r="E10" s="31">
        <f>IFERROR(ROUND(VLOOKUP(A10,institutions!A:X,7,0),2),"")</f>
        <v>5.04</v>
      </c>
      <c r="F10" s="31" t="str">
        <f>IFERROR(ROUND(VLOOKUP(A10,institutions!A:X,10,0),2),"")</f>
        <v/>
      </c>
      <c r="G10" s="31" t="str">
        <f>IFERROR(ROUND(VLOOKUP(A10,institutions!A:X,13,0),2),"")</f>
        <v/>
      </c>
      <c r="H10" s="31" t="str">
        <f>IFERROR(ROUND(VLOOKUP(A10,institutions!A:X,16,0),2),"")</f>
        <v/>
      </c>
      <c r="I10" s="31">
        <f t="shared" si="0"/>
        <v>0.98799999999999999</v>
      </c>
      <c r="J10" s="31">
        <f t="shared" si="1"/>
        <v>0.98</v>
      </c>
      <c r="K10" s="31">
        <f t="shared" si="2"/>
        <v>0</v>
      </c>
      <c r="L10" s="31">
        <f t="shared" si="3"/>
        <v>0</v>
      </c>
      <c r="M10" s="31">
        <f t="shared" si="4"/>
        <v>0</v>
      </c>
      <c r="N10" t="e">
        <f>VLOOKUP(A10,#REF!,11,0)</f>
        <v>#REF!</v>
      </c>
      <c r="O10" t="e">
        <f>VLOOKUP(A10,#REF!,12,0)</f>
        <v>#REF!</v>
      </c>
      <c r="P10" t="e">
        <f>VLOOKUP(A10,#REF!,13,0)</f>
        <v>#REF!</v>
      </c>
      <c r="Q10" t="e">
        <f>VLOOKUP(A10,#REF!,14,0)</f>
        <v>#REF!</v>
      </c>
      <c r="R10">
        <v>-1.8967601801999421</v>
      </c>
      <c r="S10">
        <v>1.915782598717499</v>
      </c>
      <c r="T10" s="31" t="str">
        <f>VLOOKUP(C10,V:W,2,0)</f>
        <v>USA</v>
      </c>
      <c r="U10" t="str">
        <f t="shared" si="5"/>
        <v/>
      </c>
      <c r="V10" s="31" t="s">
        <v>1229</v>
      </c>
      <c r="W10" t="s">
        <v>1468</v>
      </c>
      <c r="Y10" t="s">
        <v>2019</v>
      </c>
    </row>
    <row r="11" spans="1:26" x14ac:dyDescent="0.25">
      <c r="A11" s="31" t="s">
        <v>622</v>
      </c>
      <c r="B11" s="31" t="s">
        <v>1676</v>
      </c>
      <c r="C11" s="31" t="s">
        <v>1217</v>
      </c>
      <c r="D11" s="31">
        <f>IFERROR(ROUND(VLOOKUP(A11,institutions!A:E,4,0),2),"")</f>
        <v>5.95</v>
      </c>
      <c r="E11" s="31">
        <f>IFERROR(ROUND(VLOOKUP(A11,institutions!A:X,7,0),2),"")</f>
        <v>5.26</v>
      </c>
      <c r="F11" s="31">
        <f>IFERROR(ROUND(VLOOKUP(A11,institutions!A:X,10,0),2),"")</f>
        <v>6.36</v>
      </c>
      <c r="G11" s="31">
        <f>IFERROR(ROUND(VLOOKUP(A11,institutions!A:X,13,0),2),"")</f>
        <v>5.15</v>
      </c>
      <c r="H11" s="31">
        <f>IFERROR(ROUND(VLOOKUP(A11,institutions!A:X,16,0),2),"")</f>
        <v>7.72</v>
      </c>
      <c r="I11" s="31">
        <f t="shared" si="0"/>
        <v>0.99</v>
      </c>
      <c r="J11" s="31">
        <f t="shared" si="1"/>
        <v>0.98299999999999998</v>
      </c>
      <c r="K11" s="31">
        <f t="shared" si="2"/>
        <v>0.995</v>
      </c>
      <c r="L11" s="31">
        <f t="shared" si="3"/>
        <v>0.98299999999999998</v>
      </c>
      <c r="M11" s="31">
        <f t="shared" si="4"/>
        <v>0.997</v>
      </c>
      <c r="N11" t="e">
        <f>VLOOKUP(A11,#REF!,11,0)</f>
        <v>#REF!</v>
      </c>
      <c r="O11" t="e">
        <f>VLOOKUP(A11,#REF!,12,0)</f>
        <v>#REF!</v>
      </c>
      <c r="P11" t="e">
        <f>VLOOKUP(A11,#REF!,13,0)</f>
        <v>#REF!</v>
      </c>
      <c r="Q11" t="e">
        <f>VLOOKUP(A11,#REF!,14,0)</f>
        <v>#REF!</v>
      </c>
      <c r="R11">
        <v>3.3628844269974181</v>
      </c>
      <c r="S11">
        <v>0.15090246836820481</v>
      </c>
      <c r="T11" s="31" t="str">
        <f>VLOOKUP(C11,V:W,2,0)</f>
        <v>USA</v>
      </c>
      <c r="U11" t="str">
        <f t="shared" si="5"/>
        <v/>
      </c>
      <c r="V11" s="31" t="s">
        <v>1220</v>
      </c>
      <c r="W11" t="s">
        <v>1220</v>
      </c>
      <c r="Y11" t="s">
        <v>2020</v>
      </c>
      <c r="Z11" t="s">
        <v>2021</v>
      </c>
    </row>
    <row r="12" spans="1:26" x14ac:dyDescent="0.25">
      <c r="A12" s="31" t="s">
        <v>628</v>
      </c>
      <c r="B12" s="31" t="s">
        <v>1845</v>
      </c>
      <c r="C12" s="31" t="s">
        <v>1217</v>
      </c>
      <c r="D12" s="31">
        <f>IFERROR(ROUND(VLOOKUP(A12,institutions!A:E,4,0),2),"")</f>
        <v>5.86</v>
      </c>
      <c r="E12" s="31">
        <f>IFERROR(ROUND(VLOOKUP(A12,institutions!A:X,7,0),2),"")</f>
        <v>6.24</v>
      </c>
      <c r="F12" s="31">
        <f>IFERROR(ROUND(VLOOKUP(A12,institutions!A:X,10,0),2),"")</f>
        <v>3.32</v>
      </c>
      <c r="G12" s="31">
        <f>IFERROR(ROUND(VLOOKUP(A12,institutions!A:X,13,0),2),"")</f>
        <v>3.05</v>
      </c>
      <c r="H12" s="31">
        <f>IFERROR(ROUND(VLOOKUP(A12,institutions!A:X,16,0),2),"")</f>
        <v>5.14</v>
      </c>
      <c r="I12" s="31">
        <f t="shared" si="0"/>
        <v>0.98699999999999999</v>
      </c>
      <c r="J12" s="31">
        <f t="shared" si="1"/>
        <v>0.99199999999999999</v>
      </c>
      <c r="K12" s="31">
        <f t="shared" si="2"/>
        <v>0.90200000000000002</v>
      </c>
      <c r="L12" s="31">
        <f t="shared" si="3"/>
        <v>0.82199999999999995</v>
      </c>
      <c r="M12" s="31">
        <f t="shared" si="4"/>
        <v>0.94199999999999995</v>
      </c>
      <c r="N12" t="e">
        <f>VLOOKUP(A12,#REF!,11,0)</f>
        <v>#REF!</v>
      </c>
      <c r="O12" t="e">
        <f>VLOOKUP(A12,#REF!,12,0)</f>
        <v>#REF!</v>
      </c>
      <c r="P12" t="e">
        <f>VLOOKUP(A12,#REF!,13,0)</f>
        <v>#REF!</v>
      </c>
      <c r="Q12" t="e">
        <f>VLOOKUP(A12,#REF!,14,0)</f>
        <v>#REF!</v>
      </c>
      <c r="R12">
        <v>2.8317179868951459</v>
      </c>
      <c r="S12">
        <v>0.39027412401104911</v>
      </c>
      <c r="T12" s="31" t="str">
        <f>VLOOKUP(C12,V:W,2,0)</f>
        <v>USA</v>
      </c>
      <c r="U12" t="str">
        <f t="shared" si="5"/>
        <v/>
      </c>
      <c r="V12" s="31" t="s">
        <v>1254</v>
      </c>
      <c r="W12" t="s">
        <v>1469</v>
      </c>
      <c r="Y12" t="s">
        <v>2022</v>
      </c>
      <c r="Z12" t="s">
        <v>2023</v>
      </c>
    </row>
    <row r="13" spans="1:26" x14ac:dyDescent="0.25">
      <c r="A13" s="31" t="s">
        <v>637</v>
      </c>
      <c r="B13" s="31" t="s">
        <v>1847</v>
      </c>
      <c r="C13" s="31" t="s">
        <v>1217</v>
      </c>
      <c r="D13" s="31">
        <f>IFERROR(ROUND(VLOOKUP(A13,institutions!A:E,4,0),2),"")</f>
        <v>5.33</v>
      </c>
      <c r="E13" s="31">
        <f>IFERROR(ROUND(VLOOKUP(A13,institutions!A:X,7,0),2),"")</f>
        <v>5.24</v>
      </c>
      <c r="F13" s="31">
        <f>IFERROR(ROUND(VLOOKUP(A13,institutions!A:X,10,0),2),"")</f>
        <v>4.16</v>
      </c>
      <c r="G13" s="31">
        <f>IFERROR(ROUND(VLOOKUP(A13,institutions!A:X,13,0),2),"")</f>
        <v>3.89</v>
      </c>
      <c r="H13" s="31">
        <f>IFERROR(ROUND(VLOOKUP(A13,institutions!A:X,16,0),2),"")</f>
        <v>4.38</v>
      </c>
      <c r="I13" s="31">
        <f t="shared" si="0"/>
        <v>0.98499999999999999</v>
      </c>
      <c r="J13" s="31">
        <f t="shared" si="1"/>
        <v>0.98199999999999998</v>
      </c>
      <c r="K13" s="31">
        <f t="shared" si="2"/>
        <v>0.95499999999999996</v>
      </c>
      <c r="L13" s="31">
        <f t="shared" si="3"/>
        <v>0.93500000000000005</v>
      </c>
      <c r="M13" s="31">
        <f t="shared" si="4"/>
        <v>0.90200000000000002</v>
      </c>
      <c r="N13" t="e">
        <f>VLOOKUP(A13,#REF!,11,0)</f>
        <v>#REF!</v>
      </c>
      <c r="O13" t="e">
        <f>VLOOKUP(A13,#REF!,12,0)</f>
        <v>#REF!</v>
      </c>
      <c r="P13" t="e">
        <f>VLOOKUP(A13,#REF!,13,0)</f>
        <v>#REF!</v>
      </c>
      <c r="Q13" t="e">
        <f>VLOOKUP(A13,#REF!,14,0)</f>
        <v>#REF!</v>
      </c>
      <c r="R13">
        <v>3.0357170239138598</v>
      </c>
      <c r="S13">
        <v>0.32121493095188219</v>
      </c>
      <c r="T13" s="31" t="str">
        <f>VLOOKUP(C13,V:W,2,0)</f>
        <v>USA</v>
      </c>
      <c r="U13" t="str">
        <f t="shared" si="5"/>
        <v/>
      </c>
      <c r="V13" s="31" t="s">
        <v>1258</v>
      </c>
      <c r="W13" t="s">
        <v>1470</v>
      </c>
      <c r="Y13" t="s">
        <v>2025</v>
      </c>
      <c r="Z13" t="s">
        <v>2024</v>
      </c>
    </row>
    <row r="14" spans="1:26" x14ac:dyDescent="0.25">
      <c r="A14" s="31" t="s">
        <v>621</v>
      </c>
      <c r="B14" s="31" t="s">
        <v>1851</v>
      </c>
      <c r="C14" s="31" t="s">
        <v>1219</v>
      </c>
      <c r="D14" s="31">
        <f>IFERROR(ROUND(VLOOKUP(A14,institutions!A:E,4,0),2),"")</f>
        <v>5.2</v>
      </c>
      <c r="E14" s="31">
        <f>IFERROR(ROUND(VLOOKUP(A14,institutions!A:X,7,0),2),"")</f>
        <v>4</v>
      </c>
      <c r="F14" s="31">
        <f>IFERROR(ROUND(VLOOKUP(A14,institutions!A:X,10,0),2),"")</f>
        <v>4.76</v>
      </c>
      <c r="G14" s="31" t="str">
        <f>IFERROR(ROUND(VLOOKUP(A14,institutions!A:X,13,0),2),"")</f>
        <v/>
      </c>
      <c r="H14" s="31" t="str">
        <f>IFERROR(ROUND(VLOOKUP(A14,institutions!A:X,16,0),2),"")</f>
        <v/>
      </c>
      <c r="I14" s="31">
        <f t="shared" si="0"/>
        <v>0.98199999999999998</v>
      </c>
      <c r="J14" s="31">
        <f t="shared" si="1"/>
        <v>0.95799999999999996</v>
      </c>
      <c r="K14" s="31">
        <f t="shared" si="2"/>
        <v>0.97299999999999998</v>
      </c>
      <c r="L14" s="31">
        <f t="shared" si="3"/>
        <v>0</v>
      </c>
      <c r="M14" s="31">
        <f t="shared" si="4"/>
        <v>0</v>
      </c>
      <c r="N14" t="e">
        <f>VLOOKUP(A14,#REF!,11,0)</f>
        <v>#REF!</v>
      </c>
      <c r="O14" t="e">
        <f>VLOOKUP(A14,#REF!,12,0)</f>
        <v>#REF!</v>
      </c>
      <c r="P14" t="e">
        <f>VLOOKUP(A14,#REF!,13,0)</f>
        <v>#REF!</v>
      </c>
      <c r="Q14" t="e">
        <f>VLOOKUP(A14,#REF!,14,0)</f>
        <v>#REF!</v>
      </c>
      <c r="R14">
        <v>-0.26964347922995829</v>
      </c>
      <c r="S14">
        <v>3.284628122142637</v>
      </c>
      <c r="T14" s="31" t="str">
        <f>VLOOKUP(C14,V:W,2,0)</f>
        <v>CHE</v>
      </c>
      <c r="U14" t="str">
        <f t="shared" si="5"/>
        <v/>
      </c>
      <c r="V14" s="31" t="s">
        <v>1266</v>
      </c>
      <c r="W14" t="s">
        <v>1471</v>
      </c>
      <c r="Y14" t="s">
        <v>2026</v>
      </c>
      <c r="Z14" t="s">
        <v>2027</v>
      </c>
    </row>
    <row r="15" spans="1:26" x14ac:dyDescent="0.25">
      <c r="A15" s="31" t="s">
        <v>632</v>
      </c>
      <c r="B15" s="31" t="s">
        <v>1678</v>
      </c>
      <c r="C15" s="31" t="s">
        <v>1217</v>
      </c>
      <c r="D15" s="31">
        <f>IFERROR(ROUND(VLOOKUP(A15,institutions!A:E,4,0),2),"")</f>
        <v>5.26</v>
      </c>
      <c r="E15" s="31">
        <f>IFERROR(ROUND(VLOOKUP(A15,institutions!A:X,7,0),2),"")</f>
        <v>5.71</v>
      </c>
      <c r="F15" s="31">
        <f>IFERROR(ROUND(VLOOKUP(A15,institutions!A:X,10,0),2),"")</f>
        <v>4.1399999999999997</v>
      </c>
      <c r="G15" s="31">
        <f>IFERROR(ROUND(VLOOKUP(A15,institutions!A:X,13,0),2),"")</f>
        <v>3.39</v>
      </c>
      <c r="H15" s="31">
        <f>IFERROR(ROUND(VLOOKUP(A15,institutions!A:X,16,0),2),"")</f>
        <v>4.43</v>
      </c>
      <c r="I15" s="31">
        <f t="shared" si="0"/>
        <v>0.98299999999999998</v>
      </c>
      <c r="J15" s="31">
        <f t="shared" si="1"/>
        <v>0.98799999999999999</v>
      </c>
      <c r="K15" s="31">
        <f t="shared" si="2"/>
        <v>0.95199999999999996</v>
      </c>
      <c r="L15" s="31">
        <f t="shared" si="3"/>
        <v>0.875</v>
      </c>
      <c r="M15" s="31">
        <f t="shared" si="4"/>
        <v>0.90800000000000003</v>
      </c>
      <c r="N15" t="e">
        <f>VLOOKUP(A15,#REF!,11,0)</f>
        <v>#REF!</v>
      </c>
      <c r="O15" t="e">
        <f>VLOOKUP(A15,#REF!,12,0)</f>
        <v>#REF!</v>
      </c>
      <c r="P15" t="e">
        <f>VLOOKUP(A15,#REF!,13,0)</f>
        <v>#REF!</v>
      </c>
      <c r="Q15" t="e">
        <f>VLOOKUP(A15,#REF!,14,0)</f>
        <v>#REF!</v>
      </c>
      <c r="R15">
        <v>2.9439367857038241</v>
      </c>
      <c r="S15">
        <v>0.4201117206022274</v>
      </c>
      <c r="T15" s="31" t="str">
        <f>VLOOKUP(C15,V:W,2,0)</f>
        <v>USA</v>
      </c>
      <c r="U15" t="str">
        <f t="shared" si="5"/>
        <v/>
      </c>
      <c r="V15" s="31" t="s">
        <v>1226</v>
      </c>
      <c r="W15" t="s">
        <v>1472</v>
      </c>
    </row>
    <row r="16" spans="1:26" x14ac:dyDescent="0.25">
      <c r="A16" s="31" t="s">
        <v>633</v>
      </c>
      <c r="B16" s="31" t="s">
        <v>1682</v>
      </c>
      <c r="C16" s="31" t="s">
        <v>1217</v>
      </c>
      <c r="D16" s="31">
        <f>IFERROR(ROUND(VLOOKUP(A16,institutions!A:E,4,0),2),"")</f>
        <v>4.93</v>
      </c>
      <c r="E16" s="31">
        <f>IFERROR(ROUND(VLOOKUP(A16,institutions!A:X,7,0),2),"")</f>
        <v>4.62</v>
      </c>
      <c r="F16" s="31">
        <f>IFERROR(ROUND(VLOOKUP(A16,institutions!A:X,10,0),2),"")</f>
        <v>4.68</v>
      </c>
      <c r="G16" s="31">
        <f>IFERROR(ROUND(VLOOKUP(A16,institutions!A:X,13,0),2),"")</f>
        <v>5.01</v>
      </c>
      <c r="H16" s="31">
        <f>IFERROR(ROUND(VLOOKUP(A16,institutions!A:X,16,0),2),"")</f>
        <v>3.34</v>
      </c>
      <c r="I16" s="31">
        <f t="shared" si="0"/>
        <v>0.97699999999999998</v>
      </c>
      <c r="J16" s="31">
        <f t="shared" si="1"/>
        <v>0.97199999999999998</v>
      </c>
      <c r="K16" s="31">
        <f t="shared" si="2"/>
        <v>0.97</v>
      </c>
      <c r="L16" s="31">
        <f t="shared" si="3"/>
        <v>0.97799999999999998</v>
      </c>
      <c r="M16" s="31">
        <f t="shared" si="4"/>
        <v>0.747</v>
      </c>
      <c r="N16" t="e">
        <f>VLOOKUP(A16,#REF!,11,0)</f>
        <v>#REF!</v>
      </c>
      <c r="O16" t="e">
        <f>VLOOKUP(A16,#REF!,12,0)</f>
        <v>#REF!</v>
      </c>
      <c r="P16" t="e">
        <f>VLOOKUP(A16,#REF!,13,0)</f>
        <v>#REF!</v>
      </c>
      <c r="Q16" t="e">
        <f>VLOOKUP(A16,#REF!,14,0)</f>
        <v>#REF!</v>
      </c>
      <c r="R16">
        <v>2.8421817843601711</v>
      </c>
      <c r="S16">
        <v>0.49589008531464301</v>
      </c>
      <c r="T16" s="31" t="str">
        <f>VLOOKUP(C16,V:W,2,0)</f>
        <v>USA</v>
      </c>
      <c r="U16" t="str">
        <f t="shared" si="5"/>
        <v/>
      </c>
      <c r="V16" s="31" t="s">
        <v>1269</v>
      </c>
      <c r="W16" t="s">
        <v>1269</v>
      </c>
    </row>
    <row r="17" spans="1:23" x14ac:dyDescent="0.25">
      <c r="A17" s="31" t="s">
        <v>625</v>
      </c>
      <c r="B17" s="31" t="s">
        <v>1679</v>
      </c>
      <c r="C17" s="31" t="s">
        <v>1217</v>
      </c>
      <c r="D17" s="31">
        <f>IFERROR(ROUND(VLOOKUP(A17,institutions!A:E,4,0),2),"")</f>
        <v>5.13</v>
      </c>
      <c r="E17" s="31">
        <f>IFERROR(ROUND(VLOOKUP(A17,institutions!A:X,7,0),2),"")</f>
        <v>4.72</v>
      </c>
      <c r="F17" s="31">
        <f>IFERROR(ROUND(VLOOKUP(A17,institutions!A:X,10,0),2),"")</f>
        <v>2.82</v>
      </c>
      <c r="G17" s="31">
        <f>IFERROR(ROUND(VLOOKUP(A17,institutions!A:X,13,0),2),"")</f>
        <v>6.88</v>
      </c>
      <c r="H17" s="31">
        <f>IFERROR(ROUND(VLOOKUP(A17,institutions!A:X,16,0),2),"")</f>
        <v>6.77</v>
      </c>
      <c r="I17" s="31">
        <f t="shared" si="0"/>
        <v>0.98</v>
      </c>
      <c r="J17" s="31">
        <f t="shared" si="1"/>
        <v>0.97299999999999998</v>
      </c>
      <c r="K17" s="31">
        <f t="shared" si="2"/>
        <v>0.872</v>
      </c>
      <c r="L17" s="31">
        <f t="shared" si="3"/>
        <v>0.998</v>
      </c>
      <c r="M17" s="31">
        <f t="shared" si="4"/>
        <v>0.98799999999999999</v>
      </c>
      <c r="N17" t="e">
        <f>VLOOKUP(A17,#REF!,11,0)</f>
        <v>#REF!</v>
      </c>
      <c r="O17" t="e">
        <f>VLOOKUP(A17,#REF!,12,0)</f>
        <v>#REF!</v>
      </c>
      <c r="P17" t="e">
        <f>VLOOKUP(A17,#REF!,13,0)</f>
        <v>#REF!</v>
      </c>
      <c r="Q17" t="e">
        <f>VLOOKUP(A17,#REF!,14,0)</f>
        <v>#REF!</v>
      </c>
      <c r="R17">
        <v>3.14726587154825</v>
      </c>
      <c r="S17">
        <v>-6.0146610303390267E-2</v>
      </c>
      <c r="T17" s="31" t="str">
        <f>VLOOKUP(C17,V:W,2,0)</f>
        <v>USA</v>
      </c>
      <c r="U17" t="str">
        <f t="shared" si="5"/>
        <v/>
      </c>
      <c r="V17" s="31" t="s">
        <v>1234</v>
      </c>
      <c r="W17" t="s">
        <v>1462</v>
      </c>
    </row>
    <row r="18" spans="1:23" x14ac:dyDescent="0.25">
      <c r="A18" s="31" t="s">
        <v>791</v>
      </c>
      <c r="B18" s="31" t="s">
        <v>1681</v>
      </c>
      <c r="C18" s="31" t="s">
        <v>1220</v>
      </c>
      <c r="D18" s="31">
        <f>IFERROR(ROUND(VLOOKUP(A18,institutions!A:E,4,0),2),"")</f>
        <v>5.01</v>
      </c>
      <c r="E18" s="31">
        <f>IFERROR(ROUND(VLOOKUP(A18,institutions!A:X,7,0),2),"")</f>
        <v>5.75</v>
      </c>
      <c r="F18" s="31">
        <f>IFERROR(ROUND(VLOOKUP(A18,institutions!A:X,10,0),2),"")</f>
        <v>1.92</v>
      </c>
      <c r="G18" s="31">
        <f>IFERROR(ROUND(VLOOKUP(A18,institutions!A:X,13,0),2),"")</f>
        <v>1.08</v>
      </c>
      <c r="H18" s="31">
        <f>IFERROR(ROUND(VLOOKUP(A18,institutions!A:X,16,0),2),"")</f>
        <v>1.3</v>
      </c>
      <c r="I18" s="31">
        <f t="shared" si="0"/>
        <v>0.97799999999999998</v>
      </c>
      <c r="J18" s="31">
        <f t="shared" si="1"/>
        <v>0.99</v>
      </c>
      <c r="K18" s="31">
        <f t="shared" si="2"/>
        <v>0.71199999999999997</v>
      </c>
      <c r="L18" s="31">
        <f t="shared" si="3"/>
        <v>6.5000000000000002E-2</v>
      </c>
      <c r="M18" s="31">
        <f t="shared" si="4"/>
        <v>6.8000000000000005E-2</v>
      </c>
      <c r="N18" t="e">
        <f>VLOOKUP(A18,#REF!,11,0)</f>
        <v>#REF!</v>
      </c>
      <c r="O18" t="e">
        <f>VLOOKUP(A18,#REF!,12,0)</f>
        <v>#REF!</v>
      </c>
      <c r="P18" t="e">
        <f>VLOOKUP(A18,#REF!,13,0)</f>
        <v>#REF!</v>
      </c>
      <c r="Q18" t="e">
        <f>VLOOKUP(A18,#REF!,14,0)</f>
        <v>#REF!</v>
      </c>
      <c r="R18">
        <v>-0.42553529128499878</v>
      </c>
      <c r="S18">
        <v>2.7570239769836711</v>
      </c>
      <c r="T18" s="31" t="str">
        <f>VLOOKUP(C18,V:W,2,0)</f>
        <v>SPAIN</v>
      </c>
      <c r="U18" t="str">
        <f t="shared" si="5"/>
        <v>Pompeu Fabra</v>
      </c>
      <c r="V18" s="31" t="s">
        <v>1257</v>
      </c>
      <c r="W18" t="s">
        <v>1473</v>
      </c>
    </row>
    <row r="19" spans="1:23" x14ac:dyDescent="0.25">
      <c r="A19" s="31" t="s">
        <v>651</v>
      </c>
      <c r="B19" s="31" t="s">
        <v>1848</v>
      </c>
      <c r="C19" s="31" t="s">
        <v>1216</v>
      </c>
      <c r="D19" s="31">
        <f>IFERROR(ROUND(VLOOKUP(A19,institutions!A:E,4,0),2),"")</f>
        <v>4.84</v>
      </c>
      <c r="E19" s="31">
        <f>IFERROR(ROUND(VLOOKUP(A19,institutions!A:X,7,0),2),"")</f>
        <v>4.3</v>
      </c>
      <c r="F19" s="31">
        <f>IFERROR(ROUND(VLOOKUP(A19,institutions!A:X,10,0),2),"")</f>
        <v>2.88</v>
      </c>
      <c r="G19" s="31" t="str">
        <f>IFERROR(ROUND(VLOOKUP(A19,institutions!A:X,13,0),2),"")</f>
        <v/>
      </c>
      <c r="H19" s="31" t="str">
        <f>IFERROR(ROUND(VLOOKUP(A19,institutions!A:X,16,0),2),"")</f>
        <v/>
      </c>
      <c r="I19" s="31">
        <f t="shared" si="0"/>
        <v>0.97299999999999998</v>
      </c>
      <c r="J19" s="31">
        <f t="shared" si="1"/>
        <v>0.96699999999999997</v>
      </c>
      <c r="K19" s="31">
        <f t="shared" si="2"/>
        <v>0.878</v>
      </c>
      <c r="L19" s="31">
        <f t="shared" si="3"/>
        <v>0</v>
      </c>
      <c r="M19" s="31">
        <f t="shared" si="4"/>
        <v>0</v>
      </c>
      <c r="N19" t="e">
        <f>VLOOKUP(A19,#REF!,11,0)</f>
        <v>#REF!</v>
      </c>
      <c r="O19" t="e">
        <f>VLOOKUP(A19,#REF!,12,0)</f>
        <v>#REF!</v>
      </c>
      <c r="P19" t="e">
        <f>VLOOKUP(A19,#REF!,13,0)</f>
        <v>#REF!</v>
      </c>
      <c r="Q19" t="e">
        <f>VLOOKUP(A19,#REF!,14,0)</f>
        <v>#REF!</v>
      </c>
      <c r="R19">
        <v>-0.41754600094937822</v>
      </c>
      <c r="S19">
        <v>3.1656107701020062</v>
      </c>
      <c r="T19" s="31" t="str">
        <f>VLOOKUP(C19,V:W,2,0)</f>
        <v>UK</v>
      </c>
      <c r="U19" t="str">
        <f t="shared" si="5"/>
        <v/>
      </c>
      <c r="V19" s="31" t="s">
        <v>1245</v>
      </c>
      <c r="W19" t="s">
        <v>1474</v>
      </c>
    </row>
    <row r="20" spans="1:23" x14ac:dyDescent="0.25">
      <c r="A20" s="31" t="s">
        <v>649</v>
      </c>
      <c r="B20" s="31" t="s">
        <v>1849</v>
      </c>
      <c r="C20" s="31" t="s">
        <v>1217</v>
      </c>
      <c r="D20" s="31">
        <f>IFERROR(ROUND(VLOOKUP(A20,institutions!A:E,4,0),2),"")</f>
        <v>4.76</v>
      </c>
      <c r="E20" s="31">
        <f>IFERROR(ROUND(VLOOKUP(A20,institutions!A:X,7,0),2),"")</f>
        <v>5.44</v>
      </c>
      <c r="F20" s="31">
        <f>IFERROR(ROUND(VLOOKUP(A20,institutions!A:X,10,0),2),"")</f>
        <v>3.05</v>
      </c>
      <c r="G20" s="31">
        <f>IFERROR(ROUND(VLOOKUP(A20,institutions!A:X,13,0),2),"")</f>
        <v>2.66</v>
      </c>
      <c r="H20" s="31">
        <f>IFERROR(ROUND(VLOOKUP(A20,institutions!A:X,16,0),2),"")</f>
        <v>3.92</v>
      </c>
      <c r="I20" s="31">
        <f t="shared" si="0"/>
        <v>0.97199999999999998</v>
      </c>
      <c r="J20" s="31">
        <f t="shared" si="1"/>
        <v>0.98499999999999999</v>
      </c>
      <c r="K20" s="31">
        <f t="shared" si="2"/>
        <v>0.88700000000000001</v>
      </c>
      <c r="L20" s="31">
        <f t="shared" si="3"/>
        <v>0.73499999999999999</v>
      </c>
      <c r="M20" s="31">
        <f t="shared" si="4"/>
        <v>0.86299999999999999</v>
      </c>
      <c r="N20" t="e">
        <f>VLOOKUP(A20,#REF!,11,0)</f>
        <v>#REF!</v>
      </c>
      <c r="O20" t="e">
        <f>VLOOKUP(A20,#REF!,12,0)</f>
        <v>#REF!</v>
      </c>
      <c r="P20" t="e">
        <f>VLOOKUP(A20,#REF!,13,0)</f>
        <v>#REF!</v>
      </c>
      <c r="Q20" t="e">
        <f>VLOOKUP(A20,#REF!,14,0)</f>
        <v>#REF!</v>
      </c>
      <c r="R20">
        <v>2.4969474289735278</v>
      </c>
      <c r="S20">
        <v>0.62375294251500102</v>
      </c>
      <c r="T20" s="31" t="str">
        <f>VLOOKUP(C20,V:W,2,0)</f>
        <v>USA</v>
      </c>
      <c r="U20" t="str">
        <f t="shared" si="5"/>
        <v/>
      </c>
      <c r="V20" s="31" t="s">
        <v>1268</v>
      </c>
      <c r="W20" t="s">
        <v>1475</v>
      </c>
    </row>
    <row r="21" spans="1:23" x14ac:dyDescent="0.25">
      <c r="A21" s="31" t="s">
        <v>631</v>
      </c>
      <c r="B21" s="31" t="s">
        <v>1680</v>
      </c>
      <c r="C21" s="31" t="s">
        <v>1217</v>
      </c>
      <c r="D21" s="31">
        <f>IFERROR(ROUND(VLOOKUP(A21,institutions!A:E,4,0),2),"")</f>
        <v>4.93</v>
      </c>
      <c r="E21" s="31">
        <f>IFERROR(ROUND(VLOOKUP(A21,institutions!A:X,7,0),2),"")</f>
        <v>4.91</v>
      </c>
      <c r="F21" s="31">
        <f>IFERROR(ROUND(VLOOKUP(A21,institutions!A:X,10,0),2),"")</f>
        <v>5.67</v>
      </c>
      <c r="G21" s="31">
        <f>IFERROR(ROUND(VLOOKUP(A21,institutions!A:X,13,0),2),"")</f>
        <v>5</v>
      </c>
      <c r="H21" s="31">
        <f>IFERROR(ROUND(VLOOKUP(A21,institutions!A:X,16,0),2),"")</f>
        <v>4.33</v>
      </c>
      <c r="I21" s="31">
        <f t="shared" si="0"/>
        <v>0.97699999999999998</v>
      </c>
      <c r="J21" s="31">
        <f t="shared" si="1"/>
        <v>0.97799999999999998</v>
      </c>
      <c r="K21" s="31">
        <f t="shared" si="2"/>
        <v>0.98799999999999999</v>
      </c>
      <c r="L21" s="31">
        <f t="shared" si="3"/>
        <v>0.97699999999999998</v>
      </c>
      <c r="M21" s="31">
        <f t="shared" si="4"/>
        <v>0.89800000000000002</v>
      </c>
      <c r="N21" t="e">
        <f>VLOOKUP(A21,#REF!,11,0)</f>
        <v>#REF!</v>
      </c>
      <c r="O21" t="e">
        <f>VLOOKUP(A21,#REF!,12,0)</f>
        <v>#REF!</v>
      </c>
      <c r="P21" t="e">
        <f>VLOOKUP(A21,#REF!,13,0)</f>
        <v>#REF!</v>
      </c>
      <c r="Q21" t="e">
        <f>VLOOKUP(A21,#REF!,14,0)</f>
        <v>#REF!</v>
      </c>
      <c r="R21">
        <v>3.1534352704098629</v>
      </c>
      <c r="S21">
        <v>0.29705997450444133</v>
      </c>
      <c r="T21" s="31" t="str">
        <f>VLOOKUP(C21,V:W,2,0)</f>
        <v>USA</v>
      </c>
      <c r="U21" t="str">
        <f t="shared" si="5"/>
        <v/>
      </c>
      <c r="V21" s="31" t="s">
        <v>1256</v>
      </c>
      <c r="W21" t="s">
        <v>1476</v>
      </c>
    </row>
    <row r="22" spans="1:23" x14ac:dyDescent="0.25">
      <c r="A22" s="31" t="s">
        <v>661</v>
      </c>
      <c r="B22" s="31" t="s">
        <v>1858</v>
      </c>
      <c r="C22" s="31" t="s">
        <v>1218</v>
      </c>
      <c r="D22" s="31">
        <f>IFERROR(ROUND(VLOOKUP(A22,institutions!A:E,4,0),2),"")</f>
        <v>4.66</v>
      </c>
      <c r="E22" s="31">
        <f>IFERROR(ROUND(VLOOKUP(A22,institutions!A:X,7,0),2),"")</f>
        <v>4.57</v>
      </c>
      <c r="F22" s="31">
        <f>IFERROR(ROUND(VLOOKUP(A22,institutions!A:X,10,0),2),"")</f>
        <v>1.73</v>
      </c>
      <c r="G22" s="31" t="str">
        <f>IFERROR(ROUND(VLOOKUP(A22,institutions!A:X,13,0),2),"")</f>
        <v/>
      </c>
      <c r="H22" s="31">
        <f>IFERROR(ROUND(VLOOKUP(A22,institutions!A:X,16,0),2),"")</f>
        <v>2.4300000000000002</v>
      </c>
      <c r="I22" s="31">
        <f t="shared" si="0"/>
        <v>0.97</v>
      </c>
      <c r="J22" s="31">
        <f t="shared" si="1"/>
        <v>0.96799999999999997</v>
      </c>
      <c r="K22" s="31">
        <f t="shared" si="2"/>
        <v>0.65500000000000003</v>
      </c>
      <c r="L22" s="31">
        <f t="shared" si="3"/>
        <v>0</v>
      </c>
      <c r="M22" s="31">
        <f t="shared" si="4"/>
        <v>0.51500000000000001</v>
      </c>
      <c r="N22" t="e">
        <f>VLOOKUP(A22,#REF!,11,0)</f>
        <v>#REF!</v>
      </c>
      <c r="O22" t="e">
        <f>VLOOKUP(A22,#REF!,12,0)</f>
        <v>#REF!</v>
      </c>
      <c r="P22" t="e">
        <f>VLOOKUP(A22,#REF!,13,0)</f>
        <v>#REF!</v>
      </c>
      <c r="Q22" t="e">
        <f>VLOOKUP(A22,#REF!,14,0)</f>
        <v>#REF!</v>
      </c>
      <c r="R22">
        <v>0.13309472147822099</v>
      </c>
      <c r="S22">
        <v>2.0264172267932281</v>
      </c>
      <c r="T22" s="31" t="str">
        <f>VLOOKUP(C22,V:W,2,0)</f>
        <v>FRA</v>
      </c>
      <c r="U22" t="str">
        <f t="shared" si="5"/>
        <v>IPP</v>
      </c>
      <c r="V22" s="31" t="s">
        <v>1231</v>
      </c>
      <c r="W22" t="s">
        <v>1477</v>
      </c>
    </row>
    <row r="23" spans="1:23" x14ac:dyDescent="0.25">
      <c r="A23" s="31" t="s">
        <v>663</v>
      </c>
      <c r="B23" s="31" t="s">
        <v>1853</v>
      </c>
      <c r="C23" s="31" t="s">
        <v>1217</v>
      </c>
      <c r="D23" s="31">
        <f>IFERROR(ROUND(VLOOKUP(A23,institutions!A:E,4,0),2),"")</f>
        <v>4.5199999999999996</v>
      </c>
      <c r="E23" s="31">
        <f>IFERROR(ROUND(VLOOKUP(A23,institutions!A:X,7,0),2),"")</f>
        <v>4.1900000000000004</v>
      </c>
      <c r="F23" s="31">
        <f>IFERROR(ROUND(VLOOKUP(A23,institutions!A:X,10,0),2),"")</f>
        <v>4.82</v>
      </c>
      <c r="G23" s="31">
        <f>IFERROR(ROUND(VLOOKUP(A23,institutions!A:X,13,0),2),"")</f>
        <v>3.79</v>
      </c>
      <c r="H23" s="31">
        <f>IFERROR(ROUND(VLOOKUP(A23,institutions!A:X,16,0),2),"")</f>
        <v>2.2799999999999998</v>
      </c>
      <c r="I23" s="31">
        <f t="shared" si="0"/>
        <v>0.96499999999999997</v>
      </c>
      <c r="J23" s="31">
        <f t="shared" si="1"/>
        <v>0.96299999999999997</v>
      </c>
      <c r="K23" s="31">
        <f t="shared" si="2"/>
        <v>0.97499999999999998</v>
      </c>
      <c r="L23" s="31">
        <f t="shared" si="3"/>
        <v>0.92200000000000004</v>
      </c>
      <c r="M23" s="31">
        <f t="shared" si="4"/>
        <v>0.46200000000000002</v>
      </c>
      <c r="N23" t="e">
        <f>VLOOKUP(A23,#REF!,11,0)</f>
        <v>#REF!</v>
      </c>
      <c r="O23" t="e">
        <f>VLOOKUP(A23,#REF!,12,0)</f>
        <v>#REF!</v>
      </c>
      <c r="P23" t="e">
        <f>VLOOKUP(A23,#REF!,13,0)</f>
        <v>#REF!</v>
      </c>
      <c r="Q23" t="e">
        <f>VLOOKUP(A23,#REF!,14,0)</f>
        <v>#REF!</v>
      </c>
      <c r="R23">
        <v>2.2217004692009512</v>
      </c>
      <c r="S23">
        <v>1.029286656010479</v>
      </c>
      <c r="T23" s="31" t="str">
        <f>VLOOKUP(C23,V:W,2,0)</f>
        <v>USA</v>
      </c>
      <c r="U23" t="str">
        <f t="shared" si="5"/>
        <v/>
      </c>
      <c r="V23" s="31" t="s">
        <v>1251</v>
      </c>
      <c r="W23" t="s">
        <v>1478</v>
      </c>
    </row>
    <row r="24" spans="1:23" x14ac:dyDescent="0.25">
      <c r="A24" s="31" t="s">
        <v>629</v>
      </c>
      <c r="B24" s="31" t="s">
        <v>1868</v>
      </c>
      <c r="C24" s="31" t="s">
        <v>1217</v>
      </c>
      <c r="D24" s="31">
        <f>IFERROR(ROUND(VLOOKUP(A24,institutions!A:E,4,0),2),"")</f>
        <v>4.6500000000000004</v>
      </c>
      <c r="E24" s="31">
        <f>IFERROR(ROUND(VLOOKUP(A24,institutions!A:X,7,0),2),"")</f>
        <v>3.76</v>
      </c>
      <c r="F24" s="31">
        <f>IFERROR(ROUND(VLOOKUP(A24,institutions!A:X,10,0),2),"")</f>
        <v>5.59</v>
      </c>
      <c r="G24" s="31">
        <f>IFERROR(ROUND(VLOOKUP(A24,institutions!A:X,13,0),2),"")</f>
        <v>4.63</v>
      </c>
      <c r="H24" s="31">
        <f>IFERROR(ROUND(VLOOKUP(A24,institutions!A:X,16,0),2),"")</f>
        <v>6.82</v>
      </c>
      <c r="I24" s="31">
        <f t="shared" si="0"/>
        <v>0.96799999999999997</v>
      </c>
      <c r="J24" s="31">
        <f t="shared" si="1"/>
        <v>0.95499999999999996</v>
      </c>
      <c r="K24" s="31">
        <f t="shared" si="2"/>
        <v>0.98699999999999999</v>
      </c>
      <c r="L24" s="31">
        <f t="shared" si="3"/>
        <v>0.96699999999999997</v>
      </c>
      <c r="M24" s="31">
        <f t="shared" si="4"/>
        <v>0.99</v>
      </c>
      <c r="N24" t="e">
        <f>VLOOKUP(A24,#REF!,11,0)</f>
        <v>#REF!</v>
      </c>
      <c r="O24" t="e">
        <f>VLOOKUP(A24,#REF!,12,0)</f>
        <v>#REF!</v>
      </c>
      <c r="P24" t="e">
        <f>VLOOKUP(A24,#REF!,13,0)</f>
        <v>#REF!</v>
      </c>
      <c r="Q24" t="e">
        <f>VLOOKUP(A24,#REF!,14,0)</f>
        <v>#REF!</v>
      </c>
      <c r="R24">
        <v>3.2632195936700801</v>
      </c>
      <c r="S24">
        <v>0.11723192381080989</v>
      </c>
      <c r="T24" s="31" t="str">
        <f>VLOOKUP(C24,V:W,2,0)</f>
        <v>USA</v>
      </c>
      <c r="U24" t="str">
        <f t="shared" si="5"/>
        <v/>
      </c>
      <c r="V24" s="31" t="s">
        <v>1244</v>
      </c>
      <c r="W24" t="s">
        <v>1479</v>
      </c>
    </row>
    <row r="25" spans="1:23" x14ac:dyDescent="0.25">
      <c r="A25" s="31" t="s">
        <v>659</v>
      </c>
      <c r="B25" s="31" t="s">
        <v>1515</v>
      </c>
      <c r="C25" s="31" t="s">
        <v>1219</v>
      </c>
      <c r="D25" s="31">
        <f>IFERROR(ROUND(VLOOKUP(A25,institutions!A:E,4,0),2),"")</f>
        <v>4.3899999999999997</v>
      </c>
      <c r="E25" s="31">
        <f>IFERROR(ROUND(VLOOKUP(A25,institutions!A:X,7,0),2),"")</f>
        <v>4.9000000000000004</v>
      </c>
      <c r="F25" s="31">
        <f>IFERROR(ROUND(VLOOKUP(A25,institutions!A:X,10,0),2),"")</f>
        <v>2.13</v>
      </c>
      <c r="G25" s="31">
        <f>IFERROR(ROUND(VLOOKUP(A25,institutions!A:X,13,0),2),"")</f>
        <v>2.5</v>
      </c>
      <c r="H25" s="31">
        <f>IFERROR(ROUND(VLOOKUP(A25,institutions!A:X,16,0),2),"")</f>
        <v>3.61</v>
      </c>
      <c r="I25" s="31">
        <f t="shared" si="0"/>
        <v>0.96199999999999997</v>
      </c>
      <c r="J25" s="31">
        <f t="shared" si="1"/>
        <v>0.97699999999999998</v>
      </c>
      <c r="K25" s="31">
        <f t="shared" si="2"/>
        <v>0.78</v>
      </c>
      <c r="L25" s="31">
        <f t="shared" si="3"/>
        <v>0.69499999999999995</v>
      </c>
      <c r="M25" s="31">
        <f t="shared" si="4"/>
        <v>0.81699999999999995</v>
      </c>
      <c r="N25" t="e">
        <f>VLOOKUP(A25,#REF!,11,0)</f>
        <v>#REF!</v>
      </c>
      <c r="O25" t="e">
        <f>VLOOKUP(A25,#REF!,12,0)</f>
        <v>#REF!</v>
      </c>
      <c r="P25" t="e">
        <f>VLOOKUP(A25,#REF!,13,0)</f>
        <v>#REF!</v>
      </c>
      <c r="Q25" t="e">
        <f>VLOOKUP(A25,#REF!,14,0)</f>
        <v>#REF!</v>
      </c>
      <c r="R25">
        <v>2.1468809188320339</v>
      </c>
      <c r="S25">
        <v>0.59057788386672327</v>
      </c>
      <c r="T25" s="31" t="str">
        <f>VLOOKUP(C25,V:W,2,0)</f>
        <v>CHE</v>
      </c>
      <c r="U25" t="str">
        <f t="shared" si="5"/>
        <v/>
      </c>
      <c r="V25" s="31" t="s">
        <v>1221</v>
      </c>
      <c r="W25" t="s">
        <v>1480</v>
      </c>
    </row>
    <row r="26" spans="1:23" x14ac:dyDescent="0.25">
      <c r="A26" s="31" t="s">
        <v>638</v>
      </c>
      <c r="B26" s="31" t="s">
        <v>1852</v>
      </c>
      <c r="C26" s="31" t="s">
        <v>1217</v>
      </c>
      <c r="D26" s="31">
        <f>IFERROR(ROUND(VLOOKUP(A26,institutions!A:E,4,0),2),"")</f>
        <v>4.4400000000000004</v>
      </c>
      <c r="E26" s="31">
        <f>IFERROR(ROUND(VLOOKUP(A26,institutions!A:X,7,0),2),"")</f>
        <v>3.49</v>
      </c>
      <c r="F26" s="31">
        <f>IFERROR(ROUND(VLOOKUP(A26,institutions!A:X,10,0),2),"")</f>
        <v>4.75</v>
      </c>
      <c r="G26" s="31">
        <f>IFERROR(ROUND(VLOOKUP(A26,institutions!A:X,13,0),2),"")</f>
        <v>5.04</v>
      </c>
      <c r="H26" s="31">
        <f>IFERROR(ROUND(VLOOKUP(A26,institutions!A:X,16,0),2),"")</f>
        <v>6.08</v>
      </c>
      <c r="I26" s="31">
        <f t="shared" si="0"/>
        <v>0.96299999999999997</v>
      </c>
      <c r="J26" s="31">
        <f t="shared" si="1"/>
        <v>0.94799999999999995</v>
      </c>
      <c r="K26" s="31">
        <f t="shared" si="2"/>
        <v>0.97199999999999998</v>
      </c>
      <c r="L26" s="31">
        <f t="shared" si="3"/>
        <v>0.98</v>
      </c>
      <c r="M26" s="31">
        <f t="shared" si="4"/>
        <v>0.97799999999999998</v>
      </c>
      <c r="N26" t="e">
        <f>VLOOKUP(A26,#REF!,11,0)</f>
        <v>#REF!</v>
      </c>
      <c r="O26" t="e">
        <f>VLOOKUP(A26,#REF!,12,0)</f>
        <v>#REF!</v>
      </c>
      <c r="P26" t="e">
        <f>VLOOKUP(A26,#REF!,13,0)</f>
        <v>#REF!</v>
      </c>
      <c r="Q26" t="e">
        <f>VLOOKUP(A26,#REF!,14,0)</f>
        <v>#REF!</v>
      </c>
      <c r="R26">
        <v>3.227925571612134</v>
      </c>
      <c r="S26">
        <v>7.7831462521492867E-2</v>
      </c>
      <c r="T26" s="31" t="str">
        <f>VLOOKUP(C26,V:W,2,0)</f>
        <v>USA</v>
      </c>
      <c r="U26" t="str">
        <f t="shared" si="5"/>
        <v/>
      </c>
      <c r="V26" s="31" t="s">
        <v>1250</v>
      </c>
      <c r="W26" t="s">
        <v>1462</v>
      </c>
    </row>
    <row r="27" spans="1:23" x14ac:dyDescent="0.25">
      <c r="A27" s="31" t="s">
        <v>660</v>
      </c>
      <c r="B27" s="31" t="s">
        <v>1857</v>
      </c>
      <c r="C27" s="31" t="s">
        <v>1216</v>
      </c>
      <c r="D27" s="31">
        <f>IFERROR(ROUND(VLOOKUP(A27,institutions!A:E,4,0),2),"")</f>
        <v>4.25</v>
      </c>
      <c r="E27" s="31">
        <f>IFERROR(ROUND(VLOOKUP(A27,institutions!A:X,7,0),2),"")</f>
        <v>4.2699999999999996</v>
      </c>
      <c r="F27" s="31">
        <f>IFERROR(ROUND(VLOOKUP(A27,institutions!A:X,10,0),2),"")</f>
        <v>1.86</v>
      </c>
      <c r="G27" s="31" t="str">
        <f>IFERROR(ROUND(VLOOKUP(A27,institutions!A:X,13,0),2),"")</f>
        <v/>
      </c>
      <c r="H27" s="31" t="str">
        <f>IFERROR(ROUND(VLOOKUP(A27,institutions!A:X,16,0),2),"")</f>
        <v/>
      </c>
      <c r="I27" s="31">
        <f t="shared" si="0"/>
        <v>0.95799999999999996</v>
      </c>
      <c r="J27" s="31">
        <f t="shared" si="1"/>
        <v>0.96499999999999997</v>
      </c>
      <c r="K27" s="31">
        <f t="shared" si="2"/>
        <v>0.69699999999999995</v>
      </c>
      <c r="L27" s="31">
        <f t="shared" si="3"/>
        <v>0</v>
      </c>
      <c r="M27" s="31">
        <f t="shared" si="4"/>
        <v>0</v>
      </c>
      <c r="N27" t="e">
        <f>VLOOKUP(A27,#REF!,11,0)</f>
        <v>#REF!</v>
      </c>
      <c r="O27" t="e">
        <f>VLOOKUP(A27,#REF!,12,0)</f>
        <v>#REF!</v>
      </c>
      <c r="P27" t="e">
        <f>VLOOKUP(A27,#REF!,13,0)</f>
        <v>#REF!</v>
      </c>
      <c r="Q27" t="e">
        <f>VLOOKUP(A27,#REF!,14,0)</f>
        <v>#REF!</v>
      </c>
      <c r="R27">
        <v>-0.72997424908372344</v>
      </c>
      <c r="S27">
        <v>2.8979648807644529</v>
      </c>
      <c r="T27" s="31" t="str">
        <f>VLOOKUP(C27,V:W,2,0)</f>
        <v>UK</v>
      </c>
      <c r="U27" t="str">
        <f t="shared" si="5"/>
        <v/>
      </c>
      <c r="V27" s="31" t="s">
        <v>1236</v>
      </c>
      <c r="W27" t="s">
        <v>1481</v>
      </c>
    </row>
    <row r="28" spans="1:23" x14ac:dyDescent="0.25">
      <c r="A28" s="31" t="s">
        <v>643</v>
      </c>
      <c r="B28" s="31" t="s">
        <v>1854</v>
      </c>
      <c r="C28" s="31" t="s">
        <v>1217</v>
      </c>
      <c r="D28" s="31">
        <f>IFERROR(ROUND(VLOOKUP(A28,institutions!A:E,4,0),2),"")</f>
        <v>4.37</v>
      </c>
      <c r="E28" s="31">
        <f>IFERROR(ROUND(VLOOKUP(A28,institutions!A:X,7,0),2),"")</f>
        <v>4.6100000000000003</v>
      </c>
      <c r="F28" s="31">
        <f>IFERROR(ROUND(VLOOKUP(A28,institutions!A:X,10,0),2),"")</f>
        <v>4.32</v>
      </c>
      <c r="G28" s="31">
        <f>IFERROR(ROUND(VLOOKUP(A28,institutions!A:X,13,0),2),"")</f>
        <v>3.6</v>
      </c>
      <c r="H28" s="31">
        <f>IFERROR(ROUND(VLOOKUP(A28,institutions!A:X,16,0),2),"")</f>
        <v>6</v>
      </c>
      <c r="I28" s="31">
        <f t="shared" si="0"/>
        <v>0.96</v>
      </c>
      <c r="J28" s="31">
        <f t="shared" si="1"/>
        <v>0.97</v>
      </c>
      <c r="K28" s="31">
        <f t="shared" si="2"/>
        <v>0.96</v>
      </c>
      <c r="L28" s="31">
        <f t="shared" si="3"/>
        <v>0.90500000000000003</v>
      </c>
      <c r="M28" s="31">
        <f t="shared" si="4"/>
        <v>0.97299999999999998</v>
      </c>
      <c r="N28" t="e">
        <f>VLOOKUP(A28,#REF!,11,0)</f>
        <v>#REF!</v>
      </c>
      <c r="O28" t="e">
        <f>VLOOKUP(A28,#REF!,12,0)</f>
        <v>#REF!</v>
      </c>
      <c r="P28" t="e">
        <f>VLOOKUP(A28,#REF!,13,0)</f>
        <v>#REF!</v>
      </c>
      <c r="Q28" t="e">
        <f>VLOOKUP(A28,#REF!,14,0)</f>
        <v>#REF!</v>
      </c>
      <c r="R28">
        <v>3.0997316401793928</v>
      </c>
      <c r="S28">
        <v>0.2402366822389011</v>
      </c>
      <c r="T28" s="31" t="str">
        <f>VLOOKUP(C28,V:W,2,0)</f>
        <v>USA</v>
      </c>
      <c r="U28" t="str">
        <f t="shared" si="5"/>
        <v/>
      </c>
      <c r="V28" s="31" t="s">
        <v>1233</v>
      </c>
      <c r="W28" t="s">
        <v>1482</v>
      </c>
    </row>
    <row r="29" spans="1:23" x14ac:dyDescent="0.25">
      <c r="A29" s="31" t="s">
        <v>620</v>
      </c>
      <c r="B29" s="31" t="s">
        <v>1850</v>
      </c>
      <c r="C29" s="31" t="s">
        <v>1218</v>
      </c>
      <c r="D29" s="31">
        <f>IFERROR(ROUND(VLOOKUP(A29,institutions!A:E,4,0),2),"")</f>
        <v>4.6100000000000003</v>
      </c>
      <c r="E29" s="31">
        <f>IFERROR(ROUND(VLOOKUP(A29,institutions!A:X,7,0),2),"")</f>
        <v>2.66</v>
      </c>
      <c r="F29" s="31">
        <f>IFERROR(ROUND(VLOOKUP(A29,institutions!A:X,10,0),2),"")</f>
        <v>4.12</v>
      </c>
      <c r="G29" s="31">
        <f>IFERROR(ROUND(VLOOKUP(A29,institutions!A:X,13,0),2),"")</f>
        <v>5.49</v>
      </c>
      <c r="H29" s="31">
        <f>IFERROR(ROUND(VLOOKUP(A29,institutions!A:X,16,0),2),"")</f>
        <v>6.57</v>
      </c>
      <c r="I29" s="31">
        <f t="shared" si="0"/>
        <v>0.96699999999999997</v>
      </c>
      <c r="J29" s="31">
        <f t="shared" si="1"/>
        <v>0.88300000000000001</v>
      </c>
      <c r="K29" s="31">
        <f t="shared" si="2"/>
        <v>0.95</v>
      </c>
      <c r="L29" s="31">
        <f t="shared" si="3"/>
        <v>0.98799999999999999</v>
      </c>
      <c r="M29" s="31">
        <f t="shared" si="4"/>
        <v>0.98699999999999999</v>
      </c>
      <c r="N29" t="e">
        <f>VLOOKUP(A29,#REF!,11,0)</f>
        <v>#REF!</v>
      </c>
      <c r="O29" t="e">
        <f>VLOOKUP(A29,#REF!,12,0)</f>
        <v>#REF!</v>
      </c>
      <c r="P29" t="e">
        <f>VLOOKUP(A29,#REF!,13,0)</f>
        <v>#REF!</v>
      </c>
      <c r="Q29" t="e">
        <f>VLOOKUP(A29,#REF!,14,0)</f>
        <v>#REF!</v>
      </c>
      <c r="R29">
        <v>3.1168739059547481</v>
      </c>
      <c r="S29">
        <v>-0.1205830799058264</v>
      </c>
      <c r="T29" s="31" t="str">
        <f>VLOOKUP(C29,V:W,2,0)</f>
        <v>FRA</v>
      </c>
      <c r="U29" t="str">
        <f t="shared" si="5"/>
        <v>INSEAD</v>
      </c>
      <c r="V29" s="31" t="s">
        <v>1235</v>
      </c>
      <c r="W29" t="s">
        <v>1483</v>
      </c>
    </row>
    <row r="30" spans="1:23" x14ac:dyDescent="0.25">
      <c r="A30" s="31" t="s">
        <v>645</v>
      </c>
      <c r="B30" s="31" t="s">
        <v>1513</v>
      </c>
      <c r="C30" s="31" t="s">
        <v>1217</v>
      </c>
      <c r="D30" s="31">
        <f>IFERROR(ROUND(VLOOKUP(A30,institutions!A:E,4,0),2),"")</f>
        <v>4.25</v>
      </c>
      <c r="E30" s="31">
        <f>IFERROR(ROUND(VLOOKUP(A30,institutions!A:X,7,0),2),"")</f>
        <v>4.04</v>
      </c>
      <c r="F30" s="31">
        <f>IFERROR(ROUND(VLOOKUP(A30,institutions!A:X,10,0),2),"")</f>
        <v>3.99</v>
      </c>
      <c r="G30" s="31">
        <f>IFERROR(ROUND(VLOOKUP(A30,institutions!A:X,13,0),2),"")</f>
        <v>4.3</v>
      </c>
      <c r="H30" s="31">
        <f>IFERROR(ROUND(VLOOKUP(A30,institutions!A:X,16,0),2),"")</f>
        <v>4.8600000000000003</v>
      </c>
      <c r="I30" s="31">
        <f t="shared" si="0"/>
        <v>0.95799999999999996</v>
      </c>
      <c r="J30" s="31">
        <f t="shared" si="1"/>
        <v>0.96</v>
      </c>
      <c r="K30" s="31">
        <f t="shared" si="2"/>
        <v>0.94499999999999995</v>
      </c>
      <c r="L30" s="31">
        <f t="shared" si="3"/>
        <v>0.95299999999999996</v>
      </c>
      <c r="M30" s="31">
        <f t="shared" si="4"/>
        <v>0.93300000000000005</v>
      </c>
      <c r="N30" t="e">
        <f>VLOOKUP(A30,#REF!,11,0)</f>
        <v>#REF!</v>
      </c>
      <c r="O30" t="e">
        <f>VLOOKUP(A30,#REF!,12,0)</f>
        <v>#REF!</v>
      </c>
      <c r="P30" t="e">
        <f>VLOOKUP(A30,#REF!,13,0)</f>
        <v>#REF!</v>
      </c>
      <c r="Q30" t="e">
        <f>VLOOKUP(A30,#REF!,14,0)</f>
        <v>#REF!</v>
      </c>
      <c r="R30">
        <v>3.0715424463594641</v>
      </c>
      <c r="S30">
        <v>0.180526995203251</v>
      </c>
      <c r="T30" s="31" t="str">
        <f>VLOOKUP(C30,V:W,2,0)</f>
        <v>USA</v>
      </c>
      <c r="U30" t="str">
        <f t="shared" si="5"/>
        <v/>
      </c>
      <c r="V30" s="31" t="s">
        <v>1262</v>
      </c>
      <c r="W30" t="s">
        <v>1484</v>
      </c>
    </row>
    <row r="31" spans="1:23" x14ac:dyDescent="0.25">
      <c r="A31" s="31" t="s">
        <v>634</v>
      </c>
      <c r="B31" s="31" t="s">
        <v>1856</v>
      </c>
      <c r="C31" s="31" t="s">
        <v>1217</v>
      </c>
      <c r="D31" s="31">
        <f>IFERROR(ROUND(VLOOKUP(A31,institutions!A:E,4,0),2),"")</f>
        <v>4.1399999999999997</v>
      </c>
      <c r="E31" s="31">
        <f>IFERROR(ROUND(VLOOKUP(A31,institutions!A:X,7,0),2),"")</f>
        <v>4.08</v>
      </c>
      <c r="F31" s="31">
        <f>IFERROR(ROUND(VLOOKUP(A31,institutions!A:X,10,0),2),"")</f>
        <v>5.03</v>
      </c>
      <c r="G31" s="31">
        <f>IFERROR(ROUND(VLOOKUP(A31,institutions!A:X,13,0),2),"")</f>
        <v>3.64</v>
      </c>
      <c r="H31" s="31">
        <f>IFERROR(ROUND(VLOOKUP(A31,institutions!A:X,16,0),2),"")</f>
        <v>5.55</v>
      </c>
      <c r="I31" s="31">
        <f t="shared" si="0"/>
        <v>0.95499999999999996</v>
      </c>
      <c r="J31" s="31">
        <f t="shared" si="1"/>
        <v>0.96199999999999997</v>
      </c>
      <c r="K31" s="31">
        <f t="shared" si="2"/>
        <v>0.97799999999999998</v>
      </c>
      <c r="L31" s="31">
        <f t="shared" si="3"/>
        <v>0.91</v>
      </c>
      <c r="M31" s="31">
        <f t="shared" si="4"/>
        <v>0.95799999999999996</v>
      </c>
      <c r="N31" t="e">
        <f>VLOOKUP(A31,#REF!,11,0)</f>
        <v>#REF!</v>
      </c>
      <c r="O31" t="e">
        <f>VLOOKUP(A31,#REF!,12,0)</f>
        <v>#REF!</v>
      </c>
      <c r="P31" t="e">
        <f>VLOOKUP(A31,#REF!,13,0)</f>
        <v>#REF!</v>
      </c>
      <c r="Q31" t="e">
        <f>VLOOKUP(A31,#REF!,14,0)</f>
        <v>#REF!</v>
      </c>
      <c r="R31">
        <v>3.0995200371052452</v>
      </c>
      <c r="S31">
        <v>0.26480669663918699</v>
      </c>
      <c r="T31" s="31" t="str">
        <f>VLOOKUP(C31,V:W,2,0)</f>
        <v>USA</v>
      </c>
      <c r="U31" t="str">
        <f t="shared" si="5"/>
        <v/>
      </c>
      <c r="V31" s="31" t="s">
        <v>1259</v>
      </c>
      <c r="W31" t="s">
        <v>1335</v>
      </c>
    </row>
    <row r="32" spans="1:23" x14ac:dyDescent="0.25">
      <c r="A32" s="31" t="s">
        <v>635</v>
      </c>
      <c r="B32" s="31" t="s">
        <v>1686</v>
      </c>
      <c r="C32" s="31" t="s">
        <v>1217</v>
      </c>
      <c r="D32" s="31">
        <f>IFERROR(ROUND(VLOOKUP(A32,institutions!A:E,4,0),2),"")</f>
        <v>4.03</v>
      </c>
      <c r="E32" s="31">
        <f>IFERROR(ROUND(VLOOKUP(A32,institutions!A:X,7,0),2),"")</f>
        <v>2.2799999999999998</v>
      </c>
      <c r="F32" s="31">
        <f>IFERROR(ROUND(VLOOKUP(A32,institutions!A:X,10,0),2),"")</f>
        <v>4.2</v>
      </c>
      <c r="G32" s="31">
        <f>IFERROR(ROUND(VLOOKUP(A32,institutions!A:X,13,0),2),"")</f>
        <v>8</v>
      </c>
      <c r="H32" s="31">
        <f>IFERROR(ROUND(VLOOKUP(A32,institutions!A:X,16,0),2),"")</f>
        <v>6.18</v>
      </c>
      <c r="I32" s="31">
        <f t="shared" si="0"/>
        <v>0.95299999999999996</v>
      </c>
      <c r="J32" s="31">
        <f t="shared" si="1"/>
        <v>0.83699999999999997</v>
      </c>
      <c r="K32" s="31">
        <f t="shared" si="2"/>
        <v>0.95699999999999996</v>
      </c>
      <c r="L32" s="31">
        <f t="shared" si="3"/>
        <v>1</v>
      </c>
      <c r="M32" s="31">
        <f t="shared" si="4"/>
        <v>0.98199999999999998</v>
      </c>
      <c r="N32" t="e">
        <f>VLOOKUP(A32,#REF!,11,0)</f>
        <v>#REF!</v>
      </c>
      <c r="O32" t="e">
        <f>VLOOKUP(A32,#REF!,12,0)</f>
        <v>#REF!</v>
      </c>
      <c r="P32" t="e">
        <f>VLOOKUP(A32,#REF!,13,0)</f>
        <v>#REF!</v>
      </c>
      <c r="Q32" t="e">
        <f>VLOOKUP(A32,#REF!,14,0)</f>
        <v>#REF!</v>
      </c>
      <c r="R32">
        <v>3.0676234773365509</v>
      </c>
      <c r="S32">
        <v>-0.22068666427974629</v>
      </c>
      <c r="T32" s="31" t="str">
        <f>VLOOKUP(C32,V:W,2,0)</f>
        <v>USA</v>
      </c>
      <c r="U32" t="str">
        <f t="shared" si="5"/>
        <v/>
      </c>
      <c r="V32" s="31" t="s">
        <v>1263</v>
      </c>
      <c r="W32" t="s">
        <v>1485</v>
      </c>
    </row>
    <row r="33" spans="1:23" x14ac:dyDescent="0.25">
      <c r="A33" s="31" t="s">
        <v>668</v>
      </c>
      <c r="B33" s="31" t="s">
        <v>1514</v>
      </c>
      <c r="C33" s="31" t="s">
        <v>1217</v>
      </c>
      <c r="D33" s="31">
        <f>IFERROR(ROUND(VLOOKUP(A33,institutions!A:E,4,0),2),"")</f>
        <v>4.01</v>
      </c>
      <c r="E33" s="31">
        <f>IFERROR(ROUND(VLOOKUP(A33,institutions!A:X,7,0),2),"")</f>
        <v>3.92</v>
      </c>
      <c r="F33" s="31">
        <f>IFERROR(ROUND(VLOOKUP(A33,institutions!A:X,10,0),2),"")</f>
        <v>2.65</v>
      </c>
      <c r="G33" s="31">
        <f>IFERROR(ROUND(VLOOKUP(A33,institutions!A:X,13,0),2),"")</f>
        <v>3.52</v>
      </c>
      <c r="H33" s="31">
        <f>IFERROR(ROUND(VLOOKUP(A33,institutions!A:X,16,0),2),"")</f>
        <v>5.58</v>
      </c>
      <c r="I33" s="31">
        <f t="shared" si="0"/>
        <v>0.95199999999999996</v>
      </c>
      <c r="J33" s="31">
        <f t="shared" si="1"/>
        <v>0.95699999999999996</v>
      </c>
      <c r="K33" s="31">
        <f t="shared" si="2"/>
        <v>0.85</v>
      </c>
      <c r="L33" s="31">
        <f t="shared" si="3"/>
        <v>0.89300000000000002</v>
      </c>
      <c r="M33" s="31">
        <f t="shared" si="4"/>
        <v>0.96199999999999997</v>
      </c>
      <c r="N33" t="e">
        <f>VLOOKUP(A33,#REF!,11,0)</f>
        <v>#REF!</v>
      </c>
      <c r="O33" t="e">
        <f>VLOOKUP(A33,#REF!,12,0)</f>
        <v>#REF!</v>
      </c>
      <c r="P33" t="e">
        <f>VLOOKUP(A33,#REF!,13,0)</f>
        <v>#REF!</v>
      </c>
      <c r="Q33" t="e">
        <f>VLOOKUP(A33,#REF!,14,0)</f>
        <v>#REF!</v>
      </c>
      <c r="R33">
        <v>2.8497207791995862</v>
      </c>
      <c r="S33">
        <v>8.9855107081040747E-2</v>
      </c>
      <c r="T33" s="31" t="str">
        <f>VLOOKUP(C33,V:W,2,0)</f>
        <v>USA</v>
      </c>
      <c r="U33" t="str">
        <f t="shared" si="5"/>
        <v/>
      </c>
      <c r="V33" s="31" t="s">
        <v>1270</v>
      </c>
      <c r="W33" t="s">
        <v>1486</v>
      </c>
    </row>
    <row r="34" spans="1:23" x14ac:dyDescent="0.25">
      <c r="A34" s="31" t="s">
        <v>641</v>
      </c>
      <c r="B34" s="31" t="s">
        <v>1518</v>
      </c>
      <c r="C34" s="31" t="s">
        <v>1219</v>
      </c>
      <c r="D34" s="31">
        <f>IFERROR(ROUND(VLOOKUP(A34,institutions!A:E,4,0),2),"")</f>
        <v>3.69</v>
      </c>
      <c r="E34" s="31">
        <f>IFERROR(ROUND(VLOOKUP(A34,institutions!A:X,7,0),2),"")</f>
        <v>2.83</v>
      </c>
      <c r="F34" s="31">
        <f>IFERROR(ROUND(VLOOKUP(A34,institutions!A:X,10,0),2),"")</f>
        <v>5.85</v>
      </c>
      <c r="G34" s="31">
        <f>IFERROR(ROUND(VLOOKUP(A34,institutions!A:X,13,0),2),"")</f>
        <v>2.34</v>
      </c>
      <c r="H34" s="31">
        <f>IFERROR(ROUND(VLOOKUP(A34,institutions!A:X,16,0),2),"")</f>
        <v>3.53</v>
      </c>
      <c r="I34" s="31">
        <f t="shared" si="0"/>
        <v>0.93700000000000006</v>
      </c>
      <c r="J34" s="31">
        <f t="shared" si="1"/>
        <v>0.9</v>
      </c>
      <c r="K34" s="31">
        <f t="shared" si="2"/>
        <v>0.99</v>
      </c>
      <c r="L34" s="31">
        <f t="shared" si="3"/>
        <v>0.61199999999999999</v>
      </c>
      <c r="M34" s="31">
        <f t="shared" si="4"/>
        <v>0.8</v>
      </c>
      <c r="N34" t="e">
        <f>VLOOKUP(A34,#REF!,11,0)</f>
        <v>#REF!</v>
      </c>
      <c r="O34" t="e">
        <f>VLOOKUP(A34,#REF!,12,0)</f>
        <v>#REF!</v>
      </c>
      <c r="P34" t="e">
        <f>VLOOKUP(A34,#REF!,13,0)</f>
        <v>#REF!</v>
      </c>
      <c r="Q34" t="e">
        <f>VLOOKUP(A34,#REF!,14,0)</f>
        <v>#REF!</v>
      </c>
      <c r="R34">
        <v>2.2036163684584791</v>
      </c>
      <c r="S34">
        <v>0.89697927629014851</v>
      </c>
      <c r="T34" s="31" t="str">
        <f>VLOOKUP(C34,V:W,2,0)</f>
        <v>CHE</v>
      </c>
      <c r="U34" t="str">
        <f t="shared" si="5"/>
        <v/>
      </c>
      <c r="V34" s="31" t="s">
        <v>1246</v>
      </c>
      <c r="W34" t="s">
        <v>1487</v>
      </c>
    </row>
    <row r="35" spans="1:23" x14ac:dyDescent="0.25">
      <c r="A35" s="31" t="s">
        <v>642</v>
      </c>
      <c r="B35" s="31" t="s">
        <v>1859</v>
      </c>
      <c r="C35" s="31" t="s">
        <v>1217</v>
      </c>
      <c r="D35" s="31">
        <f>IFERROR(ROUND(VLOOKUP(A35,institutions!A:E,4,0),2),"")</f>
        <v>3.92</v>
      </c>
      <c r="E35" s="31">
        <f>IFERROR(ROUND(VLOOKUP(A35,institutions!A:X,7,0),2),"")</f>
        <v>2.86</v>
      </c>
      <c r="F35" s="31">
        <f>IFERROR(ROUND(VLOOKUP(A35,institutions!A:X,10,0),2),"")</f>
        <v>4.24</v>
      </c>
      <c r="G35" s="31">
        <f>IFERROR(ROUND(VLOOKUP(A35,institutions!A:X,13,0),2),"")</f>
        <v>6.13</v>
      </c>
      <c r="H35" s="31">
        <f>IFERROR(ROUND(VLOOKUP(A35,institutions!A:X,16,0),2),"")</f>
        <v>4.41</v>
      </c>
      <c r="I35" s="31">
        <f t="shared" si="0"/>
        <v>0.95</v>
      </c>
      <c r="J35" s="31">
        <f t="shared" si="1"/>
        <v>0.90500000000000003</v>
      </c>
      <c r="K35" s="31">
        <f t="shared" si="2"/>
        <v>0.95799999999999996</v>
      </c>
      <c r="L35" s="31">
        <f t="shared" si="3"/>
        <v>0.997</v>
      </c>
      <c r="M35" s="31">
        <f t="shared" si="4"/>
        <v>0.90500000000000003</v>
      </c>
      <c r="N35" t="e">
        <f>VLOOKUP(A35,#REF!,11,0)</f>
        <v>#REF!</v>
      </c>
      <c r="O35" t="e">
        <f>VLOOKUP(A35,#REF!,12,0)</f>
        <v>#REF!</v>
      </c>
      <c r="P35" t="e">
        <f>VLOOKUP(A35,#REF!,13,0)</f>
        <v>#REF!</v>
      </c>
      <c r="Q35" t="e">
        <f>VLOOKUP(A35,#REF!,14,0)</f>
        <v>#REF!</v>
      </c>
      <c r="R35">
        <v>3.033722611004527</v>
      </c>
      <c r="S35">
        <v>5.3100547974362942E-2</v>
      </c>
      <c r="T35" s="31" t="str">
        <f>VLOOKUP(C35,V:W,2,0)</f>
        <v>USA</v>
      </c>
      <c r="U35" t="str">
        <f t="shared" si="5"/>
        <v/>
      </c>
      <c r="V35" s="31" t="s">
        <v>1222</v>
      </c>
      <c r="W35" t="s">
        <v>1488</v>
      </c>
    </row>
    <row r="36" spans="1:23" x14ac:dyDescent="0.25">
      <c r="A36" s="31" t="s">
        <v>647</v>
      </c>
      <c r="B36" s="31" t="s">
        <v>1855</v>
      </c>
      <c r="C36" s="31" t="s">
        <v>1216</v>
      </c>
      <c r="D36" s="31">
        <f>IFERROR(ROUND(VLOOKUP(A36,institutions!A:E,4,0),2),"")</f>
        <v>3.92</v>
      </c>
      <c r="E36" s="31">
        <f>IFERROR(ROUND(VLOOKUP(A36,institutions!A:X,7,0),2),"")</f>
        <v>3.03</v>
      </c>
      <c r="F36" s="31">
        <f>IFERROR(ROUND(VLOOKUP(A36,institutions!A:X,10,0),2),"")</f>
        <v>2.76</v>
      </c>
      <c r="G36" s="31">
        <f>IFERROR(ROUND(VLOOKUP(A36,institutions!A:X,13,0),2),"")</f>
        <v>4.79</v>
      </c>
      <c r="H36" s="31">
        <f>IFERROR(ROUND(VLOOKUP(A36,institutions!A:X,16,0),2),"")</f>
        <v>5.44</v>
      </c>
      <c r="I36" s="31">
        <f t="shared" si="0"/>
        <v>0.95</v>
      </c>
      <c r="J36" s="31">
        <f t="shared" si="1"/>
        <v>0.92</v>
      </c>
      <c r="K36" s="31">
        <f t="shared" si="2"/>
        <v>0.86799999999999999</v>
      </c>
      <c r="L36" s="31">
        <f t="shared" si="3"/>
        <v>0.97199999999999998</v>
      </c>
      <c r="M36" s="31">
        <f t="shared" si="4"/>
        <v>0.95299999999999996</v>
      </c>
      <c r="N36" t="e">
        <f>VLOOKUP(A36,#REF!,11,0)</f>
        <v>#REF!</v>
      </c>
      <c r="O36" t="e">
        <f>VLOOKUP(A36,#REF!,12,0)</f>
        <v>#REF!</v>
      </c>
      <c r="P36" t="e">
        <f>VLOOKUP(A36,#REF!,13,0)</f>
        <v>#REF!</v>
      </c>
      <c r="Q36" t="e">
        <f>VLOOKUP(A36,#REF!,14,0)</f>
        <v>#REF!</v>
      </c>
      <c r="R36">
        <v>2.946023102055503</v>
      </c>
      <c r="S36">
        <v>-8.0308937644535602E-2</v>
      </c>
      <c r="T36" s="31" t="str">
        <f>VLOOKUP(C36,V:W,2,0)</f>
        <v>UK</v>
      </c>
      <c r="U36" t="str">
        <f t="shared" si="5"/>
        <v/>
      </c>
      <c r="V36" s="31" t="s">
        <v>1242</v>
      </c>
      <c r="W36" t="s">
        <v>1489</v>
      </c>
    </row>
    <row r="37" spans="1:23" x14ac:dyDescent="0.25">
      <c r="A37" s="31" t="s">
        <v>639</v>
      </c>
      <c r="B37" s="31" t="s">
        <v>1346</v>
      </c>
      <c r="C37" s="31" t="s">
        <v>1218</v>
      </c>
      <c r="D37" s="31">
        <f>IFERROR(ROUND(VLOOKUP(A37,institutions!A:E,4,0),2),"")</f>
        <v>3.88</v>
      </c>
      <c r="E37" s="31">
        <f>IFERROR(ROUND(VLOOKUP(A37,institutions!A:X,7,0),2),"")</f>
        <v>2.94</v>
      </c>
      <c r="F37" s="31">
        <f>IFERROR(ROUND(VLOOKUP(A37,institutions!A:X,10,0),2),"")</f>
        <v>3.85</v>
      </c>
      <c r="G37" s="31">
        <f>IFERROR(ROUND(VLOOKUP(A37,institutions!A:X,13,0),2),"")</f>
        <v>3.89</v>
      </c>
      <c r="H37" s="31">
        <f>IFERROR(ROUND(VLOOKUP(A37,institutions!A:X,16,0),2),"")</f>
        <v>7.44</v>
      </c>
      <c r="I37" s="31">
        <f t="shared" si="0"/>
        <v>0.94699999999999995</v>
      </c>
      <c r="J37" s="31">
        <f t="shared" si="1"/>
        <v>0.91</v>
      </c>
      <c r="K37" s="31">
        <f t="shared" si="2"/>
        <v>0.93799999999999994</v>
      </c>
      <c r="L37" s="31">
        <f t="shared" si="3"/>
        <v>0.93500000000000005</v>
      </c>
      <c r="M37" s="31">
        <f t="shared" si="4"/>
        <v>0.99199999999999999</v>
      </c>
      <c r="N37" t="e">
        <f>VLOOKUP(A37,#REF!,11,0)</f>
        <v>#REF!</v>
      </c>
      <c r="O37" t="e">
        <f>VLOOKUP(A37,#REF!,12,0)</f>
        <v>#REF!</v>
      </c>
      <c r="P37" t="e">
        <f>VLOOKUP(A37,#REF!,13,0)</f>
        <v>#REF!</v>
      </c>
      <c r="Q37" t="e">
        <f>VLOOKUP(A37,#REF!,14,0)</f>
        <v>#REF!</v>
      </c>
      <c r="R37">
        <v>3.054004782078823</v>
      </c>
      <c r="S37">
        <v>-1.641322379472786E-5</v>
      </c>
      <c r="T37" s="31" t="str">
        <f>VLOOKUP(C37,V:W,2,0)</f>
        <v>FRA</v>
      </c>
      <c r="U37" t="str">
        <f t="shared" si="5"/>
        <v>HEC</v>
      </c>
      <c r="V37" s="31" t="s">
        <v>1232</v>
      </c>
      <c r="W37" t="s">
        <v>1490</v>
      </c>
    </row>
    <row r="38" spans="1:23" x14ac:dyDescent="0.25">
      <c r="A38" s="31" t="s">
        <v>679</v>
      </c>
      <c r="B38" s="31" t="s">
        <v>1683</v>
      </c>
      <c r="C38" s="31" t="s">
        <v>1217</v>
      </c>
      <c r="D38" s="31">
        <f>IFERROR(ROUND(VLOOKUP(A38,institutions!A:E,4,0),2),"")</f>
        <v>3.74</v>
      </c>
      <c r="E38" s="31">
        <f>IFERROR(ROUND(VLOOKUP(A38,institutions!A:X,7,0),2),"")</f>
        <v>3.59</v>
      </c>
      <c r="F38" s="31">
        <f>IFERROR(ROUND(VLOOKUP(A38,institutions!A:X,10,0),2),"")</f>
        <v>2.64</v>
      </c>
      <c r="G38" s="31">
        <f>IFERROR(ROUND(VLOOKUP(A38,institutions!A:X,13,0),2),"")</f>
        <v>3.94</v>
      </c>
      <c r="H38" s="31">
        <f>IFERROR(ROUND(VLOOKUP(A38,institutions!A:X,16,0),2),"")</f>
        <v>4.8600000000000003</v>
      </c>
      <c r="I38" s="31">
        <f t="shared" si="0"/>
        <v>0.94</v>
      </c>
      <c r="J38" s="31">
        <f t="shared" si="1"/>
        <v>0.95199999999999996</v>
      </c>
      <c r="K38" s="31">
        <f t="shared" si="2"/>
        <v>0.84799999999999998</v>
      </c>
      <c r="L38" s="31">
        <f t="shared" si="3"/>
        <v>0.94</v>
      </c>
      <c r="M38" s="31">
        <f t="shared" si="4"/>
        <v>0.93300000000000005</v>
      </c>
      <c r="N38" t="e">
        <f>VLOOKUP(A38,#REF!,11,0)</f>
        <v>#REF!</v>
      </c>
      <c r="O38" t="e">
        <f>VLOOKUP(A38,#REF!,12,0)</f>
        <v>#REF!</v>
      </c>
      <c r="P38" t="e">
        <f>VLOOKUP(A38,#REF!,13,0)</f>
        <v>#REF!</v>
      </c>
      <c r="Q38" t="e">
        <f>VLOOKUP(A38,#REF!,14,0)</f>
        <v>#REF!</v>
      </c>
      <c r="R38">
        <v>2.8698209075007961</v>
      </c>
      <c r="S38">
        <v>4.3957727084782239E-2</v>
      </c>
      <c r="T38" s="31" t="str">
        <f>VLOOKUP(C38,V:W,2,0)</f>
        <v>USA</v>
      </c>
      <c r="U38" t="str">
        <f t="shared" si="5"/>
        <v/>
      </c>
      <c r="V38" s="31" t="s">
        <v>1264</v>
      </c>
      <c r="W38" t="s">
        <v>1264</v>
      </c>
    </row>
    <row r="39" spans="1:23" x14ac:dyDescent="0.25">
      <c r="A39" s="31" t="s">
        <v>729</v>
      </c>
      <c r="B39" s="31" t="s">
        <v>1866</v>
      </c>
      <c r="C39" s="31" t="s">
        <v>1216</v>
      </c>
      <c r="D39" s="31">
        <f>IFERROR(ROUND(VLOOKUP(A39,institutions!A:E,4,0),2),"")</f>
        <v>3.67</v>
      </c>
      <c r="E39" s="31">
        <f>IFERROR(ROUND(VLOOKUP(A39,institutions!A:X,7,0),2),"")</f>
        <v>3.52</v>
      </c>
      <c r="F39" s="31">
        <f>IFERROR(ROUND(VLOOKUP(A39,institutions!A:X,10,0),2),"")</f>
        <v>2.2000000000000002</v>
      </c>
      <c r="G39" s="31">
        <f>IFERROR(ROUND(VLOOKUP(A39,institutions!A:X,13,0),2),"")</f>
        <v>3.23</v>
      </c>
      <c r="H39" s="31">
        <f>IFERROR(ROUND(VLOOKUP(A39,institutions!A:X,16,0),2),"")</f>
        <v>4.68</v>
      </c>
      <c r="I39" s="31">
        <f t="shared" si="0"/>
        <v>0.93500000000000005</v>
      </c>
      <c r="J39" s="31">
        <f t="shared" si="1"/>
        <v>0.95</v>
      </c>
      <c r="K39" s="31">
        <f t="shared" si="2"/>
        <v>0.79</v>
      </c>
      <c r="L39" s="31">
        <f t="shared" si="3"/>
        <v>0.85</v>
      </c>
      <c r="M39" s="31">
        <f t="shared" si="4"/>
        <v>0.92500000000000004</v>
      </c>
      <c r="N39" t="e">
        <f>VLOOKUP(A39,#REF!,11,0)</f>
        <v>#REF!</v>
      </c>
      <c r="O39" t="e">
        <f>VLOOKUP(A39,#REF!,12,0)</f>
        <v>#REF!</v>
      </c>
      <c r="P39" t="e">
        <f>VLOOKUP(A39,#REF!,13,0)</f>
        <v>#REF!</v>
      </c>
      <c r="Q39" t="e">
        <f>VLOOKUP(A39,#REF!,14,0)</f>
        <v>#REF!</v>
      </c>
      <c r="R39">
        <v>2.5924494348895899</v>
      </c>
      <c r="S39">
        <v>0.11792911522523671</v>
      </c>
      <c r="T39" s="31" t="str">
        <f>VLOOKUP(C39,V:W,2,0)</f>
        <v>UK</v>
      </c>
      <c r="U39" t="str">
        <f t="shared" si="5"/>
        <v/>
      </c>
      <c r="V39" s="31" t="s">
        <v>1267</v>
      </c>
      <c r="W39" t="s">
        <v>1491</v>
      </c>
    </row>
    <row r="40" spans="1:23" x14ac:dyDescent="0.25">
      <c r="A40" s="31" t="s">
        <v>688</v>
      </c>
      <c r="B40" s="31" t="s">
        <v>1860</v>
      </c>
      <c r="C40" s="31" t="s">
        <v>1217</v>
      </c>
      <c r="D40" s="31">
        <f>IFERROR(ROUND(VLOOKUP(A40,institutions!A:E,4,0),2),"")</f>
        <v>3.79</v>
      </c>
      <c r="E40" s="31">
        <f>IFERROR(ROUND(VLOOKUP(A40,institutions!A:X,7,0),2),"")</f>
        <v>3.65</v>
      </c>
      <c r="F40" s="31">
        <f>IFERROR(ROUND(VLOOKUP(A40,institutions!A:X,10,0),2),"")</f>
        <v>2.3199999999999998</v>
      </c>
      <c r="G40" s="31">
        <f>IFERROR(ROUND(VLOOKUP(A40,institutions!A:X,13,0),2),"")</f>
        <v>4.6500000000000004</v>
      </c>
      <c r="H40" s="31">
        <f>IFERROR(ROUND(VLOOKUP(A40,institutions!A:X,16,0),2),"")</f>
        <v>7.48</v>
      </c>
      <c r="I40" s="31">
        <f t="shared" si="0"/>
        <v>0.94499999999999995</v>
      </c>
      <c r="J40" s="31">
        <f t="shared" si="1"/>
        <v>0.95299999999999996</v>
      </c>
      <c r="K40" s="31">
        <f t="shared" si="2"/>
        <v>0.81</v>
      </c>
      <c r="L40" s="31">
        <f t="shared" si="3"/>
        <v>0.96799999999999997</v>
      </c>
      <c r="M40" s="31">
        <f t="shared" si="4"/>
        <v>0.99299999999999999</v>
      </c>
      <c r="N40" t="e">
        <f>VLOOKUP(A40,#REF!,11,0)</f>
        <v>#REF!</v>
      </c>
      <c r="O40" t="e">
        <f>VLOOKUP(A40,#REF!,12,0)</f>
        <v>#REF!</v>
      </c>
      <c r="P40" t="e">
        <f>VLOOKUP(A40,#REF!,13,0)</f>
        <v>#REF!</v>
      </c>
      <c r="Q40" t="e">
        <f>VLOOKUP(A40,#REF!,14,0)</f>
        <v>#REF!</v>
      </c>
      <c r="R40">
        <v>2.9648275662825889</v>
      </c>
      <c r="S40">
        <v>-0.1510179144908616</v>
      </c>
      <c r="T40" s="31" t="str">
        <f>VLOOKUP(C40,V:W,2,0)</f>
        <v>USA</v>
      </c>
      <c r="U40" t="str">
        <f t="shared" si="5"/>
        <v/>
      </c>
      <c r="V40" s="31" t="s">
        <v>1223</v>
      </c>
      <c r="W40" t="s">
        <v>1492</v>
      </c>
    </row>
    <row r="41" spans="1:23" x14ac:dyDescent="0.25">
      <c r="A41" s="31" t="s">
        <v>648</v>
      </c>
      <c r="B41" s="31" t="s">
        <v>1684</v>
      </c>
      <c r="C41" s="31" t="s">
        <v>1217</v>
      </c>
      <c r="D41" s="31">
        <f>IFERROR(ROUND(VLOOKUP(A41,institutions!A:E,4,0),2),"")</f>
        <v>3.78</v>
      </c>
      <c r="E41" s="31">
        <f>IFERROR(ROUND(VLOOKUP(A41,institutions!A:X,7,0),2),"")</f>
        <v>3.32</v>
      </c>
      <c r="F41" s="31">
        <f>IFERROR(ROUND(VLOOKUP(A41,institutions!A:X,10,0),2),"")</f>
        <v>3.38</v>
      </c>
      <c r="G41" s="31">
        <f>IFERROR(ROUND(VLOOKUP(A41,institutions!A:X,13,0),2),"")</f>
        <v>3.53</v>
      </c>
      <c r="H41" s="31">
        <f>IFERROR(ROUND(VLOOKUP(A41,institutions!A:X,16,0),2),"")</f>
        <v>6.25</v>
      </c>
      <c r="I41" s="31">
        <f t="shared" si="0"/>
        <v>0.94299999999999995</v>
      </c>
      <c r="J41" s="31">
        <f t="shared" si="1"/>
        <v>0.93799999999999994</v>
      </c>
      <c r="K41" s="31">
        <f t="shared" si="2"/>
        <v>0.91</v>
      </c>
      <c r="L41" s="31">
        <f t="shared" si="3"/>
        <v>0.89500000000000002</v>
      </c>
      <c r="M41" s="31">
        <f t="shared" si="4"/>
        <v>0.98299999999999998</v>
      </c>
      <c r="N41" t="e">
        <f>VLOOKUP(A41,#REF!,11,0)</f>
        <v>#REF!</v>
      </c>
      <c r="O41" t="e">
        <f>VLOOKUP(A41,#REF!,12,0)</f>
        <v>#REF!</v>
      </c>
      <c r="P41" t="e">
        <f>VLOOKUP(A41,#REF!,13,0)</f>
        <v>#REF!</v>
      </c>
      <c r="Q41" t="e">
        <f>VLOOKUP(A41,#REF!,14,0)</f>
        <v>#REF!</v>
      </c>
      <c r="R41">
        <v>2.9633211292670749</v>
      </c>
      <c r="S41">
        <v>9.994974650590141E-2</v>
      </c>
      <c r="T41" s="31" t="str">
        <f>VLOOKUP(C41,V:W,2,0)</f>
        <v>USA</v>
      </c>
      <c r="U41" t="str">
        <f t="shared" si="5"/>
        <v/>
      </c>
      <c r="V41" s="31" t="s">
        <v>1260</v>
      </c>
      <c r="W41" t="s">
        <v>1493</v>
      </c>
    </row>
    <row r="42" spans="1:23" x14ac:dyDescent="0.25">
      <c r="A42" s="31" t="s">
        <v>737</v>
      </c>
      <c r="B42" s="31" t="s">
        <v>1865</v>
      </c>
      <c r="C42" s="31" t="s">
        <v>1217</v>
      </c>
      <c r="D42" s="31">
        <f>IFERROR(ROUND(VLOOKUP(A42,institutions!A:E,4,0),2),"")</f>
        <v>3.57</v>
      </c>
      <c r="E42" s="31">
        <f>IFERROR(ROUND(VLOOKUP(A42,institutions!A:X,7,0),2),"")</f>
        <v>3.42</v>
      </c>
      <c r="F42" s="31">
        <f>IFERROR(ROUND(VLOOKUP(A42,institutions!A:X,10,0),2),"")</f>
        <v>2.54</v>
      </c>
      <c r="G42" s="31" t="str">
        <f>IFERROR(ROUND(VLOOKUP(A42,institutions!A:X,13,0),2),"")</f>
        <v/>
      </c>
      <c r="H42" s="31" t="str">
        <f>IFERROR(ROUND(VLOOKUP(A42,institutions!A:X,16,0),2),"")</f>
        <v/>
      </c>
      <c r="I42" s="31">
        <f t="shared" si="0"/>
        <v>0.92700000000000005</v>
      </c>
      <c r="J42" s="31">
        <f t="shared" si="1"/>
        <v>0.94499999999999995</v>
      </c>
      <c r="K42" s="31">
        <f t="shared" si="2"/>
        <v>0.83499999999999996</v>
      </c>
      <c r="L42" s="31">
        <f t="shared" si="3"/>
        <v>0</v>
      </c>
      <c r="M42" s="31">
        <f t="shared" si="4"/>
        <v>0</v>
      </c>
      <c r="N42" t="e">
        <f>VLOOKUP(A42,#REF!,11,0)</f>
        <v>#REF!</v>
      </c>
      <c r="O42" t="e">
        <f>VLOOKUP(A42,#REF!,12,0)</f>
        <v>#REF!</v>
      </c>
      <c r="P42" t="e">
        <f>VLOOKUP(A42,#REF!,13,0)</f>
        <v>#REF!</v>
      </c>
      <c r="Q42" t="e">
        <f>VLOOKUP(A42,#REF!,14,0)</f>
        <v>#REF!</v>
      </c>
      <c r="R42">
        <v>-0.5262082032637887</v>
      </c>
      <c r="S42">
        <v>3.0560630711801711</v>
      </c>
      <c r="T42" s="31" t="str">
        <f>VLOOKUP(C42,V:W,2,0)</f>
        <v>USA</v>
      </c>
      <c r="U42" t="str">
        <f t="shared" si="5"/>
        <v/>
      </c>
      <c r="V42" s="31" t="s">
        <v>1271</v>
      </c>
      <c r="W42" t="s">
        <v>1338</v>
      </c>
    </row>
    <row r="43" spans="1:23" x14ac:dyDescent="0.25">
      <c r="A43" s="31" t="s">
        <v>650</v>
      </c>
      <c r="B43" s="31" t="s">
        <v>1517</v>
      </c>
      <c r="C43" s="31" t="s">
        <v>1217</v>
      </c>
      <c r="D43" s="31">
        <f>IFERROR(ROUND(VLOOKUP(A43,institutions!A:E,4,0),2),"")</f>
        <v>3.64</v>
      </c>
      <c r="E43" s="31">
        <f>IFERROR(ROUND(VLOOKUP(A43,institutions!A:X,7,0),2),"")</f>
        <v>3.11</v>
      </c>
      <c r="F43" s="31">
        <f>IFERROR(ROUND(VLOOKUP(A43,institutions!A:X,10,0),2),"")</f>
        <v>4.01</v>
      </c>
      <c r="G43" s="31">
        <f>IFERROR(ROUND(VLOOKUP(A43,institutions!A:X,13,0),2),"")</f>
        <v>3.56</v>
      </c>
      <c r="H43" s="31">
        <f>IFERROR(ROUND(VLOOKUP(A43,institutions!A:X,16,0),2),"")</f>
        <v>3.48</v>
      </c>
      <c r="I43" s="31">
        <f t="shared" si="0"/>
        <v>0.93200000000000005</v>
      </c>
      <c r="J43" s="31">
        <f t="shared" si="1"/>
        <v>0.92800000000000005</v>
      </c>
      <c r="K43" s="31">
        <f t="shared" si="2"/>
        <v>0.94699999999999995</v>
      </c>
      <c r="L43" s="31">
        <f t="shared" si="3"/>
        <v>0.89800000000000002</v>
      </c>
      <c r="M43" s="31">
        <f t="shared" si="4"/>
        <v>0.79200000000000004</v>
      </c>
      <c r="N43" t="e">
        <f>VLOOKUP(A43,#REF!,11,0)</f>
        <v>#REF!</v>
      </c>
      <c r="O43" t="e">
        <f>VLOOKUP(A43,#REF!,12,0)</f>
        <v>#REF!</v>
      </c>
      <c r="P43" t="e">
        <f>VLOOKUP(A43,#REF!,13,0)</f>
        <v>#REF!</v>
      </c>
      <c r="Q43" t="e">
        <f>VLOOKUP(A43,#REF!,14,0)</f>
        <v>#REF!</v>
      </c>
      <c r="R43">
        <v>2.6709670228665119</v>
      </c>
      <c r="S43">
        <v>0.43038114071525979</v>
      </c>
      <c r="T43" s="31" t="str">
        <f>VLOOKUP(C43,V:W,2,0)</f>
        <v>USA</v>
      </c>
      <c r="U43" t="str">
        <f t="shared" si="5"/>
        <v/>
      </c>
      <c r="V43" s="31" t="s">
        <v>1218</v>
      </c>
      <c r="W43" t="s">
        <v>1494</v>
      </c>
    </row>
    <row r="44" spans="1:23" x14ac:dyDescent="0.25">
      <c r="A44" s="31" t="s">
        <v>640</v>
      </c>
      <c r="B44" s="31" t="s">
        <v>1861</v>
      </c>
      <c r="C44" s="31" t="s">
        <v>1217</v>
      </c>
      <c r="D44" s="31">
        <f>IFERROR(ROUND(VLOOKUP(A44,institutions!A:E,4,0),2),"")</f>
        <v>3.75</v>
      </c>
      <c r="E44" s="31">
        <f>IFERROR(ROUND(VLOOKUP(A44,institutions!A:X,7,0),2),"")</f>
        <v>2.2799999999999998</v>
      </c>
      <c r="F44" s="31">
        <f>IFERROR(ROUND(VLOOKUP(A44,institutions!A:X,10,0),2),"")</f>
        <v>5.53</v>
      </c>
      <c r="G44" s="31">
        <f>IFERROR(ROUND(VLOOKUP(A44,institutions!A:X,13,0),2),"")</f>
        <v>4.8600000000000003</v>
      </c>
      <c r="H44" s="31">
        <f>IFERROR(ROUND(VLOOKUP(A44,institutions!A:X,16,0),2),"")</f>
        <v>6.02</v>
      </c>
      <c r="I44" s="31">
        <f t="shared" si="0"/>
        <v>0.94199999999999995</v>
      </c>
      <c r="J44" s="31">
        <f t="shared" si="1"/>
        <v>0.83699999999999997</v>
      </c>
      <c r="K44" s="31">
        <f t="shared" si="2"/>
        <v>0.98499999999999999</v>
      </c>
      <c r="L44" s="31">
        <f t="shared" si="3"/>
        <v>0.97499999999999998</v>
      </c>
      <c r="M44" s="31">
        <f t="shared" si="4"/>
        <v>0.97499999999999998</v>
      </c>
      <c r="N44" t="e">
        <f>VLOOKUP(A44,#REF!,11,0)</f>
        <v>#REF!</v>
      </c>
      <c r="O44" t="e">
        <f>VLOOKUP(A44,#REF!,12,0)</f>
        <v>#REF!</v>
      </c>
      <c r="P44" t="e">
        <f>VLOOKUP(A44,#REF!,13,0)</f>
        <v>#REF!</v>
      </c>
      <c r="Q44" t="e">
        <f>VLOOKUP(A44,#REF!,14,0)</f>
        <v>#REF!</v>
      </c>
      <c r="R44">
        <v>3.0581980152209711</v>
      </c>
      <c r="S44">
        <v>-0.1271881526801904</v>
      </c>
      <c r="T44" s="31" t="str">
        <f>VLOOKUP(C44,V:W,2,0)</f>
        <v>USA</v>
      </c>
      <c r="U44" t="str">
        <f t="shared" si="5"/>
        <v/>
      </c>
      <c r="V44" s="31" t="s">
        <v>1225</v>
      </c>
      <c r="W44" t="s">
        <v>1495</v>
      </c>
    </row>
    <row r="45" spans="1:23" x14ac:dyDescent="0.25">
      <c r="A45" s="31" t="s">
        <v>691</v>
      </c>
      <c r="B45" s="31" t="s">
        <v>1687</v>
      </c>
      <c r="C45" s="31" t="s">
        <v>1217</v>
      </c>
      <c r="D45" s="31">
        <f>IFERROR(ROUND(VLOOKUP(A45,institutions!A:E,4,0),2),"")</f>
        <v>3.5</v>
      </c>
      <c r="E45" s="31">
        <f>IFERROR(ROUND(VLOOKUP(A45,institutions!A:X,7,0),2),"")</f>
        <v>3.31</v>
      </c>
      <c r="F45" s="31">
        <f>IFERROR(ROUND(VLOOKUP(A45,institutions!A:X,10,0),2),"")</f>
        <v>4.62</v>
      </c>
      <c r="G45" s="31">
        <f>IFERROR(ROUND(VLOOKUP(A45,institutions!A:X,13,0),2),"")</f>
        <v>2.48</v>
      </c>
      <c r="H45" s="31">
        <f>IFERROR(ROUND(VLOOKUP(A45,institutions!A:X,16,0),2),"")</f>
        <v>3.37</v>
      </c>
      <c r="I45" s="31">
        <f t="shared" si="0"/>
        <v>0.91800000000000004</v>
      </c>
      <c r="J45" s="31">
        <f t="shared" si="1"/>
        <v>0.93700000000000006</v>
      </c>
      <c r="K45" s="31">
        <f t="shared" si="2"/>
        <v>0.96799999999999997</v>
      </c>
      <c r="L45" s="31">
        <f t="shared" si="3"/>
        <v>0.68500000000000005</v>
      </c>
      <c r="M45" s="31">
        <f t="shared" si="4"/>
        <v>0.76</v>
      </c>
      <c r="N45" t="e">
        <f>VLOOKUP(A45,#REF!,11,0)</f>
        <v>#REF!</v>
      </c>
      <c r="O45" t="e">
        <f>VLOOKUP(A45,#REF!,12,0)</f>
        <v>#REF!</v>
      </c>
      <c r="P45" t="e">
        <f>VLOOKUP(A45,#REF!,13,0)</f>
        <v>#REF!</v>
      </c>
      <c r="Q45" t="e">
        <f>VLOOKUP(A45,#REF!,14,0)</f>
        <v>#REF!</v>
      </c>
      <c r="R45">
        <v>2.2832869748131128</v>
      </c>
      <c r="S45">
        <v>0.88579297689730763</v>
      </c>
      <c r="T45" s="31" t="str">
        <f>VLOOKUP(C45,V:W,2,0)</f>
        <v>USA</v>
      </c>
      <c r="U45" t="str">
        <f t="shared" si="5"/>
        <v/>
      </c>
      <c r="V45" s="31" t="s">
        <v>1253</v>
      </c>
      <c r="W45" t="s">
        <v>1496</v>
      </c>
    </row>
    <row r="46" spans="1:23" x14ac:dyDescent="0.25">
      <c r="A46" s="31" t="s">
        <v>671</v>
      </c>
      <c r="B46" s="31" t="s">
        <v>1863</v>
      </c>
      <c r="C46" s="31" t="s">
        <v>1224</v>
      </c>
      <c r="D46" s="31">
        <f>IFERROR(ROUND(VLOOKUP(A46,institutions!A:E,4,0),2),"")</f>
        <v>3.6</v>
      </c>
      <c r="E46" s="31">
        <f>IFERROR(ROUND(VLOOKUP(A46,institutions!A:X,7,0),2),"")</f>
        <v>3.49</v>
      </c>
      <c r="F46" s="31">
        <f>IFERROR(ROUND(VLOOKUP(A46,institutions!A:X,10,0),2),"")</f>
        <v>4.4400000000000004</v>
      </c>
      <c r="G46" s="31">
        <f>IFERROR(ROUND(VLOOKUP(A46,institutions!A:X,13,0),2),"")</f>
        <v>3.14</v>
      </c>
      <c r="H46" s="31">
        <f>IFERROR(ROUND(VLOOKUP(A46,institutions!A:X,16,0),2),"")</f>
        <v>3.54</v>
      </c>
      <c r="I46" s="31">
        <f t="shared" si="0"/>
        <v>0.92800000000000005</v>
      </c>
      <c r="J46" s="31">
        <f t="shared" si="1"/>
        <v>0.94799999999999995</v>
      </c>
      <c r="K46" s="31">
        <f t="shared" si="2"/>
        <v>0.96299999999999997</v>
      </c>
      <c r="L46" s="31">
        <f t="shared" si="3"/>
        <v>0.83699999999999997</v>
      </c>
      <c r="M46" s="31">
        <f t="shared" si="4"/>
        <v>0.80200000000000005</v>
      </c>
      <c r="N46">
        <v>1</v>
      </c>
      <c r="O46" t="e">
        <f>VLOOKUP(A46,#REF!,12,0)</f>
        <v>#REF!</v>
      </c>
      <c r="P46" t="e">
        <f>VLOOKUP(A46,#REF!,13,0)</f>
        <v>#REF!</v>
      </c>
      <c r="Q46" t="e">
        <f>VLOOKUP(A46,#REF!,14,0)</f>
        <v>#REF!</v>
      </c>
      <c r="R46">
        <v>2.639485309856644</v>
      </c>
      <c r="S46">
        <v>0.58214180745830646</v>
      </c>
      <c r="T46" s="31" t="str">
        <f>VLOOKUP(C46,V:W,2,0)</f>
        <v>CAN</v>
      </c>
      <c r="U46" t="str">
        <f t="shared" si="5"/>
        <v/>
      </c>
      <c r="V46" s="31" t="s">
        <v>1216</v>
      </c>
      <c r="W46" t="s">
        <v>1462</v>
      </c>
    </row>
    <row r="47" spans="1:23" x14ac:dyDescent="0.25">
      <c r="A47" s="31" t="s">
        <v>796</v>
      </c>
      <c r="B47" s="31" t="s">
        <v>1524</v>
      </c>
      <c r="C47" s="31" t="s">
        <v>1271</v>
      </c>
      <c r="D47" s="31">
        <f>IFERROR(ROUND(VLOOKUP(A47,institutions!A:E,4,0),2),"")</f>
        <v>3.5</v>
      </c>
      <c r="E47" s="31">
        <f>IFERROR(ROUND(VLOOKUP(A47,institutions!A:X,7,0),2),"")</f>
        <v>3.33</v>
      </c>
      <c r="F47" s="31">
        <f>IFERROR(ROUND(VLOOKUP(A47,institutions!A:X,10,0),2),"")</f>
        <v>2.64</v>
      </c>
      <c r="G47" s="31" t="str">
        <f>IFERROR(ROUND(VLOOKUP(A47,institutions!A:X,13,0),2),"")</f>
        <v/>
      </c>
      <c r="H47" s="31" t="str">
        <f>IFERROR(ROUND(VLOOKUP(A47,institutions!A:X,16,0),2),"")</f>
        <v/>
      </c>
      <c r="I47" s="31">
        <f t="shared" si="0"/>
        <v>0.91800000000000004</v>
      </c>
      <c r="J47" s="31">
        <f t="shared" si="1"/>
        <v>0.94</v>
      </c>
      <c r="K47" s="31">
        <f t="shared" si="2"/>
        <v>0.84799999999999998</v>
      </c>
      <c r="L47" s="31">
        <f t="shared" si="3"/>
        <v>0</v>
      </c>
      <c r="M47" s="31">
        <f t="shared" si="4"/>
        <v>0</v>
      </c>
      <c r="N47" t="e">
        <f>VLOOKUP(A47,#REF!,11,0)</f>
        <v>#REF!</v>
      </c>
      <c r="O47" t="e">
        <f>VLOOKUP(A47,#REF!,12,0)</f>
        <v>#REF!</v>
      </c>
      <c r="P47" t="e">
        <f>VLOOKUP(A47,#REF!,13,0)</f>
        <v>#REF!</v>
      </c>
      <c r="Q47" t="e">
        <f>VLOOKUP(A47,#REF!,14,0)</f>
        <v>#REF!</v>
      </c>
      <c r="R47">
        <v>-0.51199823356137808</v>
      </c>
      <c r="S47">
        <v>3.0643027228387658</v>
      </c>
      <c r="T47" s="31" t="str">
        <f>VLOOKUP(C47,V:W,2,0)</f>
        <v>DEU</v>
      </c>
      <c r="U47" t="str">
        <f t="shared" si="5"/>
        <v>Bonn</v>
      </c>
      <c r="V47" s="31" t="s">
        <v>1228</v>
      </c>
      <c r="W47" t="s">
        <v>1332</v>
      </c>
    </row>
    <row r="48" spans="1:23" x14ac:dyDescent="0.25">
      <c r="A48" s="31" t="s">
        <v>704</v>
      </c>
      <c r="B48" s="31" t="s">
        <v>1869</v>
      </c>
      <c r="C48" s="31" t="s">
        <v>1217</v>
      </c>
      <c r="D48" s="31">
        <f>IFERROR(ROUND(VLOOKUP(A48,institutions!A:E,4,0),2),"")</f>
        <v>3.53</v>
      </c>
      <c r="E48" s="31">
        <f>IFERROR(ROUND(VLOOKUP(A48,institutions!A:X,7,0),2),"")</f>
        <v>3.03</v>
      </c>
      <c r="F48" s="31">
        <f>IFERROR(ROUND(VLOOKUP(A48,institutions!A:X,10,0),2),"")</f>
        <v>3.51</v>
      </c>
      <c r="G48" s="31">
        <f>IFERROR(ROUND(VLOOKUP(A48,institutions!A:X,13,0),2),"")</f>
        <v>4.58</v>
      </c>
      <c r="H48" s="31">
        <f>IFERROR(ROUND(VLOOKUP(A48,institutions!A:X,16,0),2),"")</f>
        <v>4.58</v>
      </c>
      <c r="I48" s="31">
        <f t="shared" si="0"/>
        <v>0.92300000000000004</v>
      </c>
      <c r="J48" s="31">
        <f t="shared" si="1"/>
        <v>0.92</v>
      </c>
      <c r="K48" s="31">
        <f t="shared" si="2"/>
        <v>0.92200000000000004</v>
      </c>
      <c r="L48" s="31">
        <f t="shared" si="3"/>
        <v>0.96</v>
      </c>
      <c r="M48" s="31">
        <f t="shared" si="4"/>
        <v>0.92200000000000004</v>
      </c>
      <c r="N48" t="e">
        <f>VLOOKUP(A48,#REF!,11,0)</f>
        <v>#REF!</v>
      </c>
      <c r="O48" t="e">
        <f>VLOOKUP(A48,#REF!,12,0)</f>
        <v>#REF!</v>
      </c>
      <c r="P48" t="e">
        <f>VLOOKUP(A48,#REF!,13,0)</f>
        <v>#REF!</v>
      </c>
      <c r="Q48" t="e">
        <f>VLOOKUP(A48,#REF!,14,0)</f>
        <v>#REF!</v>
      </c>
      <c r="R48">
        <v>2.960879077548753</v>
      </c>
      <c r="S48">
        <v>6.7429340504719742E-2</v>
      </c>
      <c r="T48" s="31" t="str">
        <f>VLOOKUP(C48,V:W,2,0)</f>
        <v>USA</v>
      </c>
      <c r="U48" t="str">
        <f t="shared" si="5"/>
        <v/>
      </c>
      <c r="V48" s="31" t="s">
        <v>1249</v>
      </c>
      <c r="W48" t="s">
        <v>1497</v>
      </c>
    </row>
    <row r="49" spans="1:34" x14ac:dyDescent="0.25">
      <c r="A49" s="31" t="s">
        <v>627</v>
      </c>
      <c r="B49" s="31" t="s">
        <v>1867</v>
      </c>
      <c r="C49" s="31" t="s">
        <v>1217</v>
      </c>
      <c r="D49" s="31">
        <f>IFERROR(ROUND(VLOOKUP(A49,institutions!A:E,4,0),2),"")</f>
        <v>3.67</v>
      </c>
      <c r="E49" s="31">
        <f>IFERROR(ROUND(VLOOKUP(A49,institutions!A:X,7,0),2),"")</f>
        <v>2.2799999999999998</v>
      </c>
      <c r="F49" s="31">
        <f>IFERROR(ROUND(VLOOKUP(A49,institutions!A:X,10,0),2),"")</f>
        <v>3.84</v>
      </c>
      <c r="G49" s="31">
        <f>IFERROR(ROUND(VLOOKUP(A49,institutions!A:X,13,0),2),"")</f>
        <v>4.21</v>
      </c>
      <c r="H49" s="31">
        <f>IFERROR(ROUND(VLOOKUP(A49,institutions!A:X,16,0),2),"")</f>
        <v>4.0599999999999996</v>
      </c>
      <c r="I49" s="31">
        <f t="shared" si="0"/>
        <v>0.93500000000000005</v>
      </c>
      <c r="J49" s="31">
        <f t="shared" si="1"/>
        <v>0.83699999999999997</v>
      </c>
      <c r="K49" s="31">
        <f t="shared" si="2"/>
        <v>0.93700000000000006</v>
      </c>
      <c r="L49" s="31">
        <f t="shared" si="3"/>
        <v>0.95199999999999996</v>
      </c>
      <c r="M49" s="31">
        <f t="shared" si="4"/>
        <v>0.88</v>
      </c>
      <c r="N49" t="e">
        <f>VLOOKUP(A49,#REF!,11,0)</f>
        <v>#REF!</v>
      </c>
      <c r="O49" t="e">
        <f>VLOOKUP(A49,#REF!,12,0)</f>
        <v>#REF!</v>
      </c>
      <c r="P49" t="e">
        <f>VLOOKUP(A49,#REF!,13,0)</f>
        <v>#REF!</v>
      </c>
      <c r="Q49" t="e">
        <f>VLOOKUP(A49,#REF!,14,0)</f>
        <v>#REF!</v>
      </c>
      <c r="R49">
        <v>2.7635838109992519</v>
      </c>
      <c r="S49">
        <v>-8.0339467763686865E-3</v>
      </c>
      <c r="T49" s="31" t="str">
        <f>VLOOKUP(C49,V:W,2,0)</f>
        <v>USA</v>
      </c>
      <c r="U49" t="str">
        <f t="shared" si="5"/>
        <v/>
      </c>
      <c r="V49" s="31" t="s">
        <v>1252</v>
      </c>
      <c r="W49" t="s">
        <v>1498</v>
      </c>
    </row>
    <row r="50" spans="1:34" x14ac:dyDescent="0.25">
      <c r="A50" s="31" t="s">
        <v>658</v>
      </c>
      <c r="B50" s="31" t="s">
        <v>1520</v>
      </c>
      <c r="C50" s="31" t="s">
        <v>1217</v>
      </c>
      <c r="D50" s="31">
        <f>IFERROR(ROUND(VLOOKUP(A50,institutions!A:E,4,0),2),"")</f>
        <v>3.72</v>
      </c>
      <c r="E50" s="31">
        <f>IFERROR(ROUND(VLOOKUP(A50,institutions!A:X,7,0),2),"")</f>
        <v>4.7300000000000004</v>
      </c>
      <c r="F50" s="31">
        <f>IFERROR(ROUND(VLOOKUP(A50,institutions!A:X,10,0),2),"")</f>
        <v>6.19</v>
      </c>
      <c r="G50" s="31">
        <f>IFERROR(ROUND(VLOOKUP(A50,institutions!A:X,13,0),2),"")</f>
        <v>2.38</v>
      </c>
      <c r="H50" s="31">
        <f>IFERROR(ROUND(VLOOKUP(A50,institutions!A:X,16,0),2),"")</f>
        <v>3.51</v>
      </c>
      <c r="I50" s="31">
        <f t="shared" si="0"/>
        <v>0.93799999999999994</v>
      </c>
      <c r="J50" s="31">
        <f t="shared" si="1"/>
        <v>0.97499999999999998</v>
      </c>
      <c r="K50" s="31">
        <f t="shared" si="2"/>
        <v>0.99299999999999999</v>
      </c>
      <c r="L50" s="31">
        <f t="shared" si="3"/>
        <v>0.625</v>
      </c>
      <c r="M50" s="31">
        <f t="shared" si="4"/>
        <v>0.79500000000000004</v>
      </c>
      <c r="N50" t="e">
        <f>VLOOKUP(A50,#REF!,11,0)</f>
        <v>#REF!</v>
      </c>
      <c r="O50" t="e">
        <f>VLOOKUP(A50,#REF!,12,0)</f>
        <v>#REF!</v>
      </c>
      <c r="P50" t="e">
        <f>VLOOKUP(A50,#REF!,13,0)</f>
        <v>#REF!</v>
      </c>
      <c r="Q50" t="e">
        <f>VLOOKUP(A50,#REF!,14,0)</f>
        <v>#REF!</v>
      </c>
      <c r="R50">
        <v>2.3429121496548708</v>
      </c>
      <c r="S50">
        <v>1.047767625847337</v>
      </c>
      <c r="T50" s="31" t="str">
        <f>VLOOKUP(C50,V:W,2,0)</f>
        <v>USA</v>
      </c>
      <c r="U50" t="str">
        <f t="shared" si="5"/>
        <v/>
      </c>
      <c r="V50" s="31" t="s">
        <v>1261</v>
      </c>
      <c r="W50" t="s">
        <v>1499</v>
      </c>
    </row>
    <row r="51" spans="1:34" x14ac:dyDescent="0.25">
      <c r="A51" s="31" t="s">
        <v>675</v>
      </c>
      <c r="B51" s="31" t="s">
        <v>1877</v>
      </c>
      <c r="C51" s="31" t="s">
        <v>1223</v>
      </c>
      <c r="D51" s="31">
        <f>IFERROR(ROUND(VLOOKUP(A51,institutions!A:E,4,0),2),"")</f>
        <v>3.44</v>
      </c>
      <c r="E51" s="31">
        <f>IFERROR(ROUND(VLOOKUP(A51,institutions!A:X,7,0),2),"")</f>
        <v>3.06</v>
      </c>
      <c r="F51" s="31">
        <f>IFERROR(ROUND(VLOOKUP(A51,institutions!A:X,10,0),2),"")</f>
        <v>3.17</v>
      </c>
      <c r="G51" s="31">
        <f>IFERROR(ROUND(VLOOKUP(A51,institutions!A:X,13,0),2),"")</f>
        <v>4.46</v>
      </c>
      <c r="H51" s="31">
        <f>IFERROR(ROUND(VLOOKUP(A51,institutions!A:X,16,0),2),"")</f>
        <v>3.88</v>
      </c>
      <c r="I51" s="31">
        <f t="shared" si="0"/>
        <v>0.91500000000000004</v>
      </c>
      <c r="J51" s="31">
        <f t="shared" si="1"/>
        <v>0.92500000000000004</v>
      </c>
      <c r="K51" s="31">
        <f t="shared" si="2"/>
        <v>0.89500000000000002</v>
      </c>
      <c r="L51" s="31">
        <f t="shared" si="3"/>
        <v>0.95699999999999996</v>
      </c>
      <c r="M51" s="31">
        <f t="shared" si="4"/>
        <v>0.86</v>
      </c>
      <c r="N51" t="e">
        <f>VLOOKUP(A51,#REF!,11,0)</f>
        <v>#REF!</v>
      </c>
      <c r="O51" t="e">
        <f>VLOOKUP(A51,#REF!,12,0)</f>
        <v>#REF!</v>
      </c>
      <c r="P51" t="e">
        <f>VLOOKUP(A51,#REF!,13,0)</f>
        <v>#REF!</v>
      </c>
      <c r="Q51" t="e">
        <f>VLOOKUP(A51,#REF!,14,0)</f>
        <v>#REF!</v>
      </c>
      <c r="R51">
        <v>2.8054323779763601</v>
      </c>
      <c r="S51">
        <v>0.14215436090416461</v>
      </c>
      <c r="T51" s="31" t="str">
        <f>VLOOKUP(C51,V:W,2,0)</f>
        <v>HKG</v>
      </c>
      <c r="U51" t="str">
        <f t="shared" si="5"/>
        <v/>
      </c>
      <c r="V51" s="31" t="s">
        <v>1230</v>
      </c>
      <c r="W51" t="s">
        <v>1335</v>
      </c>
    </row>
    <row r="52" spans="1:34" x14ac:dyDescent="0.25">
      <c r="A52" s="31" t="s">
        <v>657</v>
      </c>
      <c r="B52" s="31" t="s">
        <v>1862</v>
      </c>
      <c r="C52" s="31" t="s">
        <v>1217</v>
      </c>
      <c r="D52" s="31">
        <f>IFERROR(ROUND(VLOOKUP(A52,institutions!A:E,4,0),2),"")</f>
        <v>3.63</v>
      </c>
      <c r="E52" s="31">
        <f>IFERROR(ROUND(VLOOKUP(A52,institutions!A:X,7,0),2),"")</f>
        <v>2.33</v>
      </c>
      <c r="F52" s="31">
        <f>IFERROR(ROUND(VLOOKUP(A52,institutions!A:X,10,0),2),"")</f>
        <v>5.12</v>
      </c>
      <c r="G52" s="31">
        <f>IFERROR(ROUND(VLOOKUP(A52,institutions!A:X,13,0),2),"")</f>
        <v>5.53</v>
      </c>
      <c r="H52" s="31">
        <f>IFERROR(ROUND(VLOOKUP(A52,institutions!A:X,16,0),2),"")</f>
        <v>7.54</v>
      </c>
      <c r="I52" s="31">
        <f t="shared" si="0"/>
        <v>0.93</v>
      </c>
      <c r="J52" s="31">
        <f t="shared" si="1"/>
        <v>0.84199999999999997</v>
      </c>
      <c r="K52" s="31">
        <f t="shared" si="2"/>
        <v>0.98199999999999998</v>
      </c>
      <c r="L52" s="31">
        <f t="shared" si="3"/>
        <v>0.99</v>
      </c>
      <c r="M52" s="31">
        <f t="shared" si="4"/>
        <v>0.995</v>
      </c>
      <c r="N52" t="e">
        <f>VLOOKUP(A52,#REF!,11,0)</f>
        <v>#REF!</v>
      </c>
      <c r="O52" t="e">
        <f>VLOOKUP(A52,#REF!,12,0)</f>
        <v>#REF!</v>
      </c>
      <c r="P52" t="e">
        <f>VLOOKUP(A52,#REF!,13,0)</f>
        <v>#REF!</v>
      </c>
      <c r="Q52" t="e">
        <f>VLOOKUP(A52,#REF!,14,0)</f>
        <v>#REF!</v>
      </c>
      <c r="R52">
        <v>3.1239623835686778</v>
      </c>
      <c r="S52">
        <v>-0.17759022961348289</v>
      </c>
      <c r="T52" s="31" t="str">
        <f>VLOOKUP(C52,V:W,2,0)</f>
        <v>USA</v>
      </c>
      <c r="U52" t="str">
        <f t="shared" si="5"/>
        <v/>
      </c>
      <c r="V52" s="31" t="s">
        <v>1239</v>
      </c>
      <c r="W52" t="s">
        <v>1337</v>
      </c>
    </row>
    <row r="53" spans="1:34" x14ac:dyDescent="0.25">
      <c r="A53" s="31" t="s">
        <v>653</v>
      </c>
      <c r="B53" s="31" t="s">
        <v>1864</v>
      </c>
      <c r="C53" s="31" t="s">
        <v>1217</v>
      </c>
      <c r="D53" s="31">
        <f>IFERROR(ROUND(VLOOKUP(A53,institutions!A:E,4,0),2),"")</f>
        <v>3.54</v>
      </c>
      <c r="E53" s="31">
        <f>IFERROR(ROUND(VLOOKUP(A53,institutions!A:X,7,0),2),"")</f>
        <v>2.5</v>
      </c>
      <c r="F53" s="31">
        <f>IFERROR(ROUND(VLOOKUP(A53,institutions!A:X,10,0),2),"")</f>
        <v>3.78</v>
      </c>
      <c r="G53" s="31">
        <f>IFERROR(ROUND(VLOOKUP(A53,institutions!A:X,13,0),2),"")</f>
        <v>5.66</v>
      </c>
      <c r="H53" s="31">
        <f>IFERROR(ROUND(VLOOKUP(A53,institutions!A:X,16,0),2),"")</f>
        <v>5.34</v>
      </c>
      <c r="I53" s="31">
        <f t="shared" si="0"/>
        <v>0.92500000000000004</v>
      </c>
      <c r="J53" s="31">
        <f t="shared" si="1"/>
        <v>0.86299999999999999</v>
      </c>
      <c r="K53" s="31">
        <f t="shared" si="2"/>
        <v>0.93500000000000005</v>
      </c>
      <c r="L53" s="31">
        <f t="shared" si="3"/>
        <v>0.995</v>
      </c>
      <c r="M53" s="31">
        <f t="shared" si="4"/>
        <v>0.94499999999999995</v>
      </c>
      <c r="N53">
        <v>1</v>
      </c>
      <c r="O53" t="e">
        <f>VLOOKUP(A53,#REF!,12,0)</f>
        <v>#REF!</v>
      </c>
      <c r="P53" t="e">
        <f>VLOOKUP(A53,#REF!,13,0)</f>
        <v>#REF!</v>
      </c>
      <c r="Q53" t="e">
        <f>VLOOKUP(A53,#REF!,14,0)</f>
        <v>#REF!</v>
      </c>
      <c r="R53">
        <v>2.9958952755233681</v>
      </c>
      <c r="S53">
        <v>-0.13016370224996821</v>
      </c>
      <c r="T53" s="31" t="str">
        <f>VLOOKUP(C53,V:W,2,0)</f>
        <v>USA</v>
      </c>
      <c r="U53" t="str">
        <f t="shared" si="5"/>
        <v/>
      </c>
      <c r="V53" s="31" t="s">
        <v>1224</v>
      </c>
      <c r="W53" t="s">
        <v>1334</v>
      </c>
    </row>
    <row r="54" spans="1:34" x14ac:dyDescent="0.25">
      <c r="A54" s="31" t="s">
        <v>673</v>
      </c>
      <c r="B54" s="31" t="s">
        <v>1516</v>
      </c>
      <c r="C54" s="31" t="s">
        <v>1217</v>
      </c>
      <c r="D54" s="31">
        <f>IFERROR(ROUND(VLOOKUP(A54,institutions!A:E,4,0),2),"")</f>
        <v>3.51</v>
      </c>
      <c r="E54" s="31">
        <f>IFERROR(ROUND(VLOOKUP(A54,institutions!A:X,7,0),2),"")</f>
        <v>2.63</v>
      </c>
      <c r="F54" s="31">
        <f>IFERROR(ROUND(VLOOKUP(A54,institutions!A:X,10,0),2),"")</f>
        <v>3.67</v>
      </c>
      <c r="G54" s="31">
        <f>IFERROR(ROUND(VLOOKUP(A54,institutions!A:X,13,0),2),"")</f>
        <v>4.08</v>
      </c>
      <c r="H54" s="31">
        <f>IFERROR(ROUND(VLOOKUP(A54,institutions!A:X,16,0),2),"")</f>
        <v>5.51</v>
      </c>
      <c r="I54" s="31">
        <f t="shared" si="0"/>
        <v>0.92</v>
      </c>
      <c r="J54" s="31">
        <f t="shared" si="1"/>
        <v>0.878</v>
      </c>
      <c r="K54" s="31">
        <f t="shared" si="2"/>
        <v>0.93</v>
      </c>
      <c r="L54" s="31">
        <f t="shared" si="3"/>
        <v>0.94499999999999995</v>
      </c>
      <c r="M54" s="31">
        <f t="shared" si="4"/>
        <v>0.95699999999999996</v>
      </c>
      <c r="N54" t="e">
        <f>VLOOKUP(A54,#REF!,11,0)</f>
        <v>#REF!</v>
      </c>
      <c r="O54" t="e">
        <f>VLOOKUP(A54,#REF!,12,0)</f>
        <v>#REF!</v>
      </c>
      <c r="P54" t="e">
        <f>VLOOKUP(A54,#REF!,13,0)</f>
        <v>#REF!</v>
      </c>
      <c r="Q54" t="e">
        <f>VLOOKUP(A54,#REF!,14,0)</f>
        <v>#REF!</v>
      </c>
      <c r="R54">
        <v>2.9437813328828368</v>
      </c>
      <c r="S54">
        <v>-4.1136562090734248E-2</v>
      </c>
      <c r="T54" s="31" t="str">
        <f>VLOOKUP(C54,V:W,2,0)</f>
        <v>USA</v>
      </c>
      <c r="U54" t="str">
        <f t="shared" si="5"/>
        <v/>
      </c>
      <c r="V54" s="31" t="s">
        <v>1255</v>
      </c>
      <c r="W54" t="s">
        <v>1500</v>
      </c>
    </row>
    <row r="55" spans="1:34" x14ac:dyDescent="0.25">
      <c r="A55" s="31" t="s">
        <v>682</v>
      </c>
      <c r="B55" s="31" t="s">
        <v>1685</v>
      </c>
      <c r="C55" s="31" t="s">
        <v>1222</v>
      </c>
      <c r="D55" s="31">
        <f>IFERROR(ROUND(VLOOKUP(A55,institutions!A:E,4,0),2),"")</f>
        <v>3.43</v>
      </c>
      <c r="E55" s="31">
        <f>IFERROR(ROUND(VLOOKUP(A55,institutions!A:X,7,0),2),"")</f>
        <v>3.31</v>
      </c>
      <c r="F55" s="31">
        <f>IFERROR(ROUND(VLOOKUP(A55,institutions!A:X,10,0),2),"")</f>
        <v>1.82</v>
      </c>
      <c r="G55" s="31">
        <f>IFERROR(ROUND(VLOOKUP(A55,institutions!A:X,13,0),2),"")</f>
        <v>3.3</v>
      </c>
      <c r="H55" s="31">
        <f>IFERROR(ROUND(VLOOKUP(A55,institutions!A:X,16,0),2),"")</f>
        <v>4.84</v>
      </c>
      <c r="I55" s="31">
        <f t="shared" si="0"/>
        <v>0.91300000000000003</v>
      </c>
      <c r="J55" s="31">
        <f t="shared" si="1"/>
        <v>0.93700000000000006</v>
      </c>
      <c r="K55" s="31">
        <f t="shared" si="2"/>
        <v>0.68700000000000006</v>
      </c>
      <c r="L55" s="31">
        <f t="shared" si="3"/>
        <v>0.86199999999999999</v>
      </c>
      <c r="M55" s="31">
        <f t="shared" si="4"/>
        <v>0.93</v>
      </c>
      <c r="N55" t="e">
        <f>VLOOKUP(A55,#REF!,11,0)</f>
        <v>#REF!</v>
      </c>
      <c r="O55" t="e">
        <f>VLOOKUP(A55,#REF!,12,0)</f>
        <v>#REF!</v>
      </c>
      <c r="P55" t="e">
        <f>VLOOKUP(A55,#REF!,13,0)</f>
        <v>#REF!</v>
      </c>
      <c r="Q55" t="e">
        <f>VLOOKUP(A55,#REF!,14,0)</f>
        <v>#REF!</v>
      </c>
      <c r="R55">
        <v>2.426127579428484</v>
      </c>
      <c r="S55">
        <v>-8.7630819388093389E-2</v>
      </c>
      <c r="T55" s="31" t="str">
        <f>VLOOKUP(C55,V:W,2,0)</f>
        <v>ITA</v>
      </c>
      <c r="U55" t="str">
        <f t="shared" si="5"/>
        <v/>
      </c>
      <c r="V55" s="31" t="s">
        <v>1227</v>
      </c>
      <c r="W55" t="s">
        <v>1333</v>
      </c>
      <c r="AG55" s="91" t="s">
        <v>2117</v>
      </c>
      <c r="AH55" s="92"/>
    </row>
    <row r="56" spans="1:34" x14ac:dyDescent="0.25">
      <c r="A56" s="31" t="s">
        <v>725</v>
      </c>
      <c r="B56" s="31" t="s">
        <v>1872</v>
      </c>
      <c r="C56" s="31" t="s">
        <v>1217</v>
      </c>
      <c r="D56" s="31">
        <f>IFERROR(ROUND(VLOOKUP(A56,institutions!A:E,4,0),2),"")</f>
        <v>3.37</v>
      </c>
      <c r="E56" s="31">
        <f>IFERROR(ROUND(VLOOKUP(A56,institutions!A:X,7,0),2),"")</f>
        <v>3.12</v>
      </c>
      <c r="F56" s="31">
        <f>IFERROR(ROUND(VLOOKUP(A56,institutions!A:X,10,0),2),"")</f>
        <v>3.37</v>
      </c>
      <c r="G56" s="31">
        <f>IFERROR(ROUND(VLOOKUP(A56,institutions!A:X,13,0),2),"")</f>
        <v>4.5999999999999996</v>
      </c>
      <c r="H56" s="31">
        <f>IFERROR(ROUND(VLOOKUP(A56,institutions!A:X,16,0),2),"")</f>
        <v>3.48</v>
      </c>
      <c r="I56" s="31">
        <f t="shared" si="0"/>
        <v>0.90800000000000003</v>
      </c>
      <c r="J56" s="31">
        <f t="shared" si="1"/>
        <v>0.93</v>
      </c>
      <c r="K56" s="31">
        <f t="shared" si="2"/>
        <v>0.90800000000000003</v>
      </c>
      <c r="L56" s="31">
        <f t="shared" si="3"/>
        <v>0.96199999999999997</v>
      </c>
      <c r="M56" s="31">
        <f t="shared" si="4"/>
        <v>0.79200000000000004</v>
      </c>
      <c r="N56" t="e">
        <f>VLOOKUP(A56,#REF!,11,0)</f>
        <v>#REF!</v>
      </c>
      <c r="O56" t="e">
        <f>VLOOKUP(A56,#REF!,12,0)</f>
        <v>#REF!</v>
      </c>
      <c r="P56" t="e">
        <f>VLOOKUP(A56,#REF!,13,0)</f>
        <v>#REF!</v>
      </c>
      <c r="Q56" t="e">
        <f>VLOOKUP(A56,#REF!,14,0)</f>
        <v>#REF!</v>
      </c>
      <c r="R56">
        <v>2.721766855161841</v>
      </c>
      <c r="S56">
        <v>0.2712715384887775</v>
      </c>
      <c r="T56" s="31" t="str">
        <f>VLOOKUP(C56,V:W,2,0)</f>
        <v>USA</v>
      </c>
      <c r="U56" t="str">
        <f t="shared" si="5"/>
        <v/>
      </c>
      <c r="V56" s="31" t="s">
        <v>1240</v>
      </c>
      <c r="W56" t="s">
        <v>1502</v>
      </c>
      <c r="AG56" s="83" t="s">
        <v>2115</v>
      </c>
      <c r="AH56" s="84"/>
    </row>
    <row r="57" spans="1:34" x14ac:dyDescent="0.25">
      <c r="A57" s="31" t="s">
        <v>680</v>
      </c>
      <c r="B57" s="31" t="s">
        <v>1870</v>
      </c>
      <c r="C57" s="31" t="s">
        <v>1217</v>
      </c>
      <c r="D57" s="31">
        <f>IFERROR(ROUND(VLOOKUP(A57,institutions!A:E,4,0),2),"")</f>
        <v>3.37</v>
      </c>
      <c r="E57" s="31">
        <f>IFERROR(ROUND(VLOOKUP(A57,institutions!A:X,7,0),2),"")</f>
        <v>3.03</v>
      </c>
      <c r="F57" s="31">
        <f>IFERROR(ROUND(VLOOKUP(A57,institutions!A:X,10,0),2),"")</f>
        <v>5.49</v>
      </c>
      <c r="G57" s="31">
        <f>IFERROR(ROUND(VLOOKUP(A57,institutions!A:X,13,0),2),"")</f>
        <v>4.21</v>
      </c>
      <c r="H57" s="31">
        <f>IFERROR(ROUND(VLOOKUP(A57,institutions!A:X,16,0),2),"")</f>
        <v>3.47</v>
      </c>
      <c r="I57" s="31">
        <f t="shared" si="0"/>
        <v>0.90800000000000003</v>
      </c>
      <c r="J57" s="31">
        <f t="shared" si="1"/>
        <v>0.92</v>
      </c>
      <c r="K57" s="31">
        <f t="shared" si="2"/>
        <v>0.98299999999999998</v>
      </c>
      <c r="L57" s="31">
        <f t="shared" si="3"/>
        <v>0.95199999999999996</v>
      </c>
      <c r="M57" s="31">
        <f t="shared" si="4"/>
        <v>0.78700000000000003</v>
      </c>
      <c r="N57" t="e">
        <f>VLOOKUP(A57,#REF!,11,0)</f>
        <v>#REF!</v>
      </c>
      <c r="O57" t="e">
        <f>VLOOKUP(A57,#REF!,12,0)</f>
        <v>#REF!</v>
      </c>
      <c r="P57" t="e">
        <f>VLOOKUP(A57,#REF!,13,0)</f>
        <v>#REF!</v>
      </c>
      <c r="Q57" t="e">
        <f>VLOOKUP(A57,#REF!,14,0)</f>
        <v>#REF!</v>
      </c>
      <c r="R57">
        <v>2.807022868546182</v>
      </c>
      <c r="S57">
        <v>0.38364286839346767</v>
      </c>
      <c r="T57" s="31" t="str">
        <f>VLOOKUP(C57,V:W,2,0)</f>
        <v>USA</v>
      </c>
      <c r="U57" t="str">
        <f t="shared" si="5"/>
        <v/>
      </c>
      <c r="V57" s="31" t="s">
        <v>1237</v>
      </c>
      <c r="W57" t="s">
        <v>1501</v>
      </c>
      <c r="AG57" s="87">
        <v>2.7361128300000002</v>
      </c>
      <c r="AH57" s="88">
        <v>0.76532336999999995</v>
      </c>
    </row>
    <row r="58" spans="1:34" x14ac:dyDescent="0.25">
      <c r="A58" s="31" t="s">
        <v>665</v>
      </c>
      <c r="B58" s="31" t="s">
        <v>1519</v>
      </c>
      <c r="C58" s="31" t="s">
        <v>1217</v>
      </c>
      <c r="D58" s="31">
        <f>IFERROR(ROUND(VLOOKUP(A58,institutions!A:E,4,0),2),"")</f>
        <v>3.53</v>
      </c>
      <c r="E58" s="31">
        <f>IFERROR(ROUND(VLOOKUP(A58,institutions!A:X,7,0),2),"")</f>
        <v>2.5499999999999998</v>
      </c>
      <c r="F58" s="31">
        <f>IFERROR(ROUND(VLOOKUP(A58,institutions!A:X,10,0),2),"")</f>
        <v>3.47</v>
      </c>
      <c r="G58" s="31">
        <f>IFERROR(ROUND(VLOOKUP(A58,institutions!A:X,13,0),2),"")</f>
        <v>5.61</v>
      </c>
      <c r="H58" s="31">
        <f>IFERROR(ROUND(VLOOKUP(A58,institutions!A:X,16,0),2),"")</f>
        <v>6.3</v>
      </c>
      <c r="I58" s="31">
        <f t="shared" si="0"/>
        <v>0.92300000000000004</v>
      </c>
      <c r="J58" s="31">
        <f t="shared" si="1"/>
        <v>0.873</v>
      </c>
      <c r="K58" s="31">
        <f t="shared" si="2"/>
        <v>0.91300000000000003</v>
      </c>
      <c r="L58" s="31">
        <f t="shared" si="3"/>
        <v>0.99299999999999999</v>
      </c>
      <c r="M58" s="31">
        <f t="shared" si="4"/>
        <v>0.98499999999999999</v>
      </c>
      <c r="N58" t="e">
        <f>VLOOKUP(A58,#REF!,11,0)</f>
        <v>#REF!</v>
      </c>
      <c r="O58" t="e">
        <f>VLOOKUP(A58,#REF!,12,0)</f>
        <v>#REF!</v>
      </c>
      <c r="P58" t="e">
        <f>VLOOKUP(A58,#REF!,13,0)</f>
        <v>#REF!</v>
      </c>
      <c r="Q58" t="e">
        <f>VLOOKUP(A58,#REF!,14,0)</f>
        <v>#REF!</v>
      </c>
      <c r="R58">
        <v>3.0429743010301871</v>
      </c>
      <c r="S58">
        <v>-0.20093415168858941</v>
      </c>
      <c r="T58" s="31" t="str">
        <f>VLOOKUP(C58,V:W,2,0)</f>
        <v>USA</v>
      </c>
      <c r="U58" t="str">
        <f t="shared" si="5"/>
        <v/>
      </c>
      <c r="AG58" s="85" t="s">
        <v>2116</v>
      </c>
      <c r="AH58" s="86"/>
    </row>
    <row r="59" spans="1:34" x14ac:dyDescent="0.25">
      <c r="A59" s="31" t="s">
        <v>646</v>
      </c>
      <c r="B59" s="31" t="s">
        <v>1521</v>
      </c>
      <c r="C59" s="31" t="s">
        <v>1217</v>
      </c>
      <c r="D59" s="31">
        <f>IFERROR(ROUND(VLOOKUP(A59,institutions!A:E,4,0),2),"")</f>
        <v>3.42</v>
      </c>
      <c r="E59" s="31">
        <f>IFERROR(ROUND(VLOOKUP(A59,institutions!A:X,7,0),2),"")</f>
        <v>2</v>
      </c>
      <c r="F59" s="31">
        <f>IFERROR(ROUND(VLOOKUP(A59,institutions!A:X,10,0),2),"")</f>
        <v>3.56</v>
      </c>
      <c r="G59" s="31">
        <f>IFERROR(ROUND(VLOOKUP(A59,institutions!A:X,13,0),2),"")</f>
        <v>5.3</v>
      </c>
      <c r="H59" s="31">
        <f>IFERROR(ROUND(VLOOKUP(A59,institutions!A:X,16,0),2),"")</f>
        <v>5.71</v>
      </c>
      <c r="I59" s="31">
        <f t="shared" si="0"/>
        <v>0.91200000000000003</v>
      </c>
      <c r="J59" s="31">
        <f t="shared" si="1"/>
        <v>0.753</v>
      </c>
      <c r="K59" s="31">
        <f t="shared" si="2"/>
        <v>0.92300000000000004</v>
      </c>
      <c r="L59" s="31">
        <f t="shared" si="3"/>
        <v>0.98699999999999999</v>
      </c>
      <c r="M59" s="31">
        <f t="shared" si="4"/>
        <v>0.96799999999999997</v>
      </c>
      <c r="N59" t="e">
        <f>VLOOKUP(A59,#REF!,11,0)</f>
        <v>#REF!</v>
      </c>
      <c r="O59" t="e">
        <f>VLOOKUP(A59,#REF!,12,0)</f>
        <v>#REF!</v>
      </c>
      <c r="P59" t="e">
        <f>VLOOKUP(A59,#REF!,13,0)</f>
        <v>#REF!</v>
      </c>
      <c r="Q59" t="e">
        <f>VLOOKUP(A59,#REF!,14,0)</f>
        <v>#REF!</v>
      </c>
      <c r="R59">
        <v>2.826654743648342</v>
      </c>
      <c r="S59">
        <v>-0.40566589347409238</v>
      </c>
      <c r="T59" s="31" t="str">
        <f>VLOOKUP(C59,V:W,2,0)</f>
        <v>USA</v>
      </c>
      <c r="U59" t="str">
        <f t="shared" si="5"/>
        <v/>
      </c>
      <c r="AG59" s="89">
        <v>0.68288815999999997</v>
      </c>
      <c r="AH59" s="90">
        <v>0.19101196000000001</v>
      </c>
    </row>
    <row r="60" spans="1:34" x14ac:dyDescent="0.25">
      <c r="A60" s="31" t="s">
        <v>723</v>
      </c>
      <c r="B60" s="31" t="s">
        <v>1523</v>
      </c>
      <c r="C60" s="31" t="s">
        <v>1224</v>
      </c>
      <c r="D60" s="31">
        <f>IFERROR(ROUND(VLOOKUP(A60,institutions!A:E,4,0),2),"")</f>
        <v>3.3</v>
      </c>
      <c r="E60" s="31">
        <f>IFERROR(ROUND(VLOOKUP(A60,institutions!A:X,7,0),2),"")</f>
        <v>3.02</v>
      </c>
      <c r="F60" s="31">
        <f>IFERROR(ROUND(VLOOKUP(A60,institutions!A:X,10,0),2),"")</f>
        <v>3.33</v>
      </c>
      <c r="G60" s="31">
        <f>IFERROR(ROUND(VLOOKUP(A60,institutions!A:X,13,0),2),"")</f>
        <v>2.69</v>
      </c>
      <c r="H60" s="31">
        <f>IFERROR(ROUND(VLOOKUP(A60,institutions!A:X,16,0),2),"")</f>
        <v>3.82</v>
      </c>
      <c r="I60" s="31">
        <f t="shared" si="0"/>
        <v>0.90500000000000003</v>
      </c>
      <c r="J60" s="31">
        <f t="shared" si="1"/>
        <v>0.91500000000000004</v>
      </c>
      <c r="K60" s="31">
        <f t="shared" si="2"/>
        <v>0.90300000000000002</v>
      </c>
      <c r="L60" s="31">
        <f t="shared" si="3"/>
        <v>0.747</v>
      </c>
      <c r="M60" s="31">
        <f t="shared" si="4"/>
        <v>0.85299999999999998</v>
      </c>
      <c r="N60" t="e">
        <f>VLOOKUP(A60,#REF!,11,0)</f>
        <v>#REF!</v>
      </c>
      <c r="O60" t="e">
        <f>VLOOKUP(A60,#REF!,12,0)</f>
        <v>#REF!</v>
      </c>
      <c r="P60" t="e">
        <f>VLOOKUP(A60,#REF!,13,0)</f>
        <v>#REF!</v>
      </c>
      <c r="Q60" t="e">
        <f>VLOOKUP(A60,#REF!,14,0)</f>
        <v>#REF!</v>
      </c>
      <c r="R60">
        <v>2.415644599270236</v>
      </c>
      <c r="S60">
        <v>0.49342721147335739</v>
      </c>
      <c r="T60" s="31" t="str">
        <f>VLOOKUP(C60,V:W,2,0)</f>
        <v>CAN</v>
      </c>
      <c r="U60" t="str">
        <f t="shared" si="5"/>
        <v/>
      </c>
    </row>
    <row r="61" spans="1:34" x14ac:dyDescent="0.25">
      <c r="A61" s="31" t="s">
        <v>698</v>
      </c>
      <c r="B61" s="31" t="s">
        <v>1873</v>
      </c>
      <c r="C61" s="31" t="s">
        <v>1217</v>
      </c>
      <c r="D61" s="31">
        <f>IFERROR(ROUND(VLOOKUP(A61,institutions!A:E,4,0),2),"")</f>
        <v>3.38</v>
      </c>
      <c r="E61" s="31">
        <f>IFERROR(ROUND(VLOOKUP(A61,institutions!A:X,7,0),2),"")</f>
        <v>2.84</v>
      </c>
      <c r="F61" s="31">
        <f>IFERROR(ROUND(VLOOKUP(A61,institutions!A:X,10,0),2),"")</f>
        <v>2.59</v>
      </c>
      <c r="G61" s="31">
        <f>IFERROR(ROUND(VLOOKUP(A61,institutions!A:X,13,0),2),"")</f>
        <v>2.96</v>
      </c>
      <c r="H61" s="31">
        <f>IFERROR(ROUND(VLOOKUP(A61,institutions!A:X,16,0),2),"")</f>
        <v>5.5</v>
      </c>
      <c r="I61" s="31">
        <f t="shared" si="0"/>
        <v>0.91</v>
      </c>
      <c r="J61" s="31">
        <f t="shared" si="1"/>
        <v>0.90200000000000002</v>
      </c>
      <c r="K61" s="31">
        <f t="shared" si="2"/>
        <v>0.84299999999999997</v>
      </c>
      <c r="L61" s="31">
        <f t="shared" si="3"/>
        <v>0.80200000000000005</v>
      </c>
      <c r="M61" s="31">
        <f t="shared" si="4"/>
        <v>0.95499999999999996</v>
      </c>
      <c r="N61" t="e">
        <f>VLOOKUP(A61,#REF!,11,0)</f>
        <v>#REF!</v>
      </c>
      <c r="O61" t="e">
        <f>VLOOKUP(A61,#REF!,12,0)</f>
        <v>#REF!</v>
      </c>
      <c r="P61" t="e">
        <f>VLOOKUP(A61,#REF!,13,0)</f>
        <v>#REF!</v>
      </c>
      <c r="Q61" t="e">
        <f>VLOOKUP(A61,#REF!,14,0)</f>
        <v>#REF!</v>
      </c>
      <c r="R61">
        <v>2.5747031031294769</v>
      </c>
      <c r="S61">
        <v>0.1249431436067209</v>
      </c>
      <c r="T61" s="31" t="str">
        <f>VLOOKUP(C61,V:W,2,0)</f>
        <v>USA</v>
      </c>
      <c r="U61" t="str">
        <f t="shared" si="5"/>
        <v/>
      </c>
    </row>
    <row r="62" spans="1:34" x14ac:dyDescent="0.25">
      <c r="A62" s="31" t="s">
        <v>702</v>
      </c>
      <c r="B62" s="31" t="s">
        <v>1876</v>
      </c>
      <c r="C62" s="31" t="s">
        <v>1217</v>
      </c>
      <c r="D62" s="31">
        <f>IFERROR(ROUND(VLOOKUP(A62,institutions!A:E,4,0),2),"")</f>
        <v>3.24</v>
      </c>
      <c r="E62" s="31">
        <f>IFERROR(ROUND(VLOOKUP(A62,institutions!A:X,7,0),2),"")</f>
        <v>3</v>
      </c>
      <c r="F62" s="31">
        <f>IFERROR(ROUND(VLOOKUP(A62,institutions!A:X,10,0),2),"")</f>
        <v>3.92</v>
      </c>
      <c r="G62" s="31">
        <f>IFERROR(ROUND(VLOOKUP(A62,institutions!A:X,13,0),2),"")</f>
        <v>3.52</v>
      </c>
      <c r="H62" s="31">
        <f>IFERROR(ROUND(VLOOKUP(A62,institutions!A:X,16,0),2),"")</f>
        <v>3.24</v>
      </c>
      <c r="I62" s="31">
        <f t="shared" si="0"/>
        <v>0.90300000000000002</v>
      </c>
      <c r="J62" s="31">
        <f t="shared" si="1"/>
        <v>0.91300000000000003</v>
      </c>
      <c r="K62" s="31">
        <f t="shared" si="2"/>
        <v>0.94</v>
      </c>
      <c r="L62" s="31">
        <f t="shared" si="3"/>
        <v>0.89300000000000002</v>
      </c>
      <c r="M62" s="31">
        <f t="shared" si="4"/>
        <v>0.72799999999999998</v>
      </c>
      <c r="N62" t="e">
        <f>VLOOKUP(A62,#REF!,11,0)</f>
        <v>#REF!</v>
      </c>
      <c r="O62" t="e">
        <f>VLOOKUP(A62,#REF!,12,0)</f>
        <v>#REF!</v>
      </c>
      <c r="P62" t="e">
        <f>VLOOKUP(A62,#REF!,13,0)</f>
        <v>#REF!</v>
      </c>
      <c r="Q62" t="e">
        <f>VLOOKUP(A62,#REF!,14,0)</f>
        <v>#REF!</v>
      </c>
      <c r="R62">
        <v>2.5105085946362351</v>
      </c>
      <c r="S62">
        <v>0.49800561014921563</v>
      </c>
      <c r="T62" s="31" t="str">
        <f>VLOOKUP(C62,V:W,2,0)</f>
        <v>USA</v>
      </c>
      <c r="U62" t="str">
        <f t="shared" si="5"/>
        <v/>
      </c>
    </row>
    <row r="63" spans="1:34" x14ac:dyDescent="0.25">
      <c r="A63" s="31" t="s">
        <v>670</v>
      </c>
      <c r="B63" s="31" t="s">
        <v>1875</v>
      </c>
      <c r="C63" s="31" t="s">
        <v>1217</v>
      </c>
      <c r="D63" s="31">
        <f>IFERROR(ROUND(VLOOKUP(A63,institutions!A:E,4,0),2),"")</f>
        <v>3.22</v>
      </c>
      <c r="E63" s="31">
        <f>IFERROR(ROUND(VLOOKUP(A63,institutions!A:X,7,0),2),"")</f>
        <v>2.79</v>
      </c>
      <c r="F63" s="31">
        <f>IFERROR(ROUND(VLOOKUP(A63,institutions!A:X,10,0),2),"")</f>
        <v>2.2400000000000002</v>
      </c>
      <c r="G63" s="31">
        <f>IFERROR(ROUND(VLOOKUP(A63,institutions!A:X,13,0),2),"")</f>
        <v>4.51</v>
      </c>
      <c r="H63" s="31">
        <f>IFERROR(ROUND(VLOOKUP(A63,institutions!A:X,16,0),2),"")</f>
        <v>3.83</v>
      </c>
      <c r="I63" s="31">
        <f t="shared" si="0"/>
        <v>0.9</v>
      </c>
      <c r="J63" s="31">
        <f t="shared" si="1"/>
        <v>0.89700000000000002</v>
      </c>
      <c r="K63" s="31">
        <f t="shared" si="2"/>
        <v>0.79300000000000004</v>
      </c>
      <c r="L63" s="31">
        <f t="shared" si="3"/>
        <v>0.95799999999999996</v>
      </c>
      <c r="M63" s="31">
        <f t="shared" si="4"/>
        <v>0.85799999999999998</v>
      </c>
      <c r="N63" t="e">
        <f>VLOOKUP(A63,#REF!,11,0)</f>
        <v>#REF!</v>
      </c>
      <c r="O63" t="e">
        <f>VLOOKUP(A63,#REF!,12,0)</f>
        <v>#REF!</v>
      </c>
      <c r="P63" t="e">
        <f>VLOOKUP(A63,#REF!,13,0)</f>
        <v>#REF!</v>
      </c>
      <c r="Q63" t="e">
        <f>VLOOKUP(A63,#REF!,14,0)</f>
        <v>#REF!</v>
      </c>
      <c r="R63">
        <v>2.5845453205734108</v>
      </c>
      <c r="S63">
        <v>-6.4550987891265552E-2</v>
      </c>
      <c r="T63" s="31" t="str">
        <f>VLOOKUP(C63,V:W,2,0)</f>
        <v>USA</v>
      </c>
      <c r="U63" t="str">
        <f t="shared" si="5"/>
        <v/>
      </c>
    </row>
    <row r="64" spans="1:34" x14ac:dyDescent="0.25">
      <c r="A64" s="31" t="s">
        <v>636</v>
      </c>
      <c r="B64" s="31" t="s">
        <v>1688</v>
      </c>
      <c r="C64" s="31" t="s">
        <v>1217</v>
      </c>
      <c r="D64" s="31">
        <f>IFERROR(ROUND(VLOOKUP(A64,institutions!A:E,4,0),2),"")</f>
        <v>3.24</v>
      </c>
      <c r="E64" s="31">
        <f>IFERROR(ROUND(VLOOKUP(A64,institutions!A:X,7,0),2),"")</f>
        <v>1.31</v>
      </c>
      <c r="F64" s="31">
        <f>IFERROR(ROUND(VLOOKUP(A64,institutions!A:X,10,0),2),"")</f>
        <v>2.4300000000000002</v>
      </c>
      <c r="G64" s="31">
        <f>IFERROR(ROUND(VLOOKUP(A64,institutions!A:X,13,0),2),"")</f>
        <v>4.6100000000000003</v>
      </c>
      <c r="H64" s="31">
        <f>IFERROR(ROUND(VLOOKUP(A64,institutions!A:X,16,0),2),"")</f>
        <v>3.3</v>
      </c>
      <c r="I64" s="31">
        <f t="shared" si="0"/>
        <v>0.90300000000000002</v>
      </c>
      <c r="J64" s="31">
        <f t="shared" si="1"/>
        <v>0.29799999999999999</v>
      </c>
      <c r="K64" s="31">
        <f t="shared" si="2"/>
        <v>0.82499999999999996</v>
      </c>
      <c r="L64" s="31">
        <f t="shared" si="3"/>
        <v>0.96299999999999997</v>
      </c>
      <c r="M64" s="31">
        <f t="shared" si="4"/>
        <v>0.74</v>
      </c>
      <c r="N64" t="e">
        <f>VLOOKUP(A64,#REF!,11,0)</f>
        <v>#REF!</v>
      </c>
      <c r="O64" t="e">
        <f>VLOOKUP(A64,#REF!,12,0)</f>
        <v>#REF!</v>
      </c>
      <c r="P64" t="e">
        <f>VLOOKUP(A64,#REF!,13,0)</f>
        <v>#REF!</v>
      </c>
      <c r="Q64" t="e">
        <f>VLOOKUP(A64,#REF!,14,0)</f>
        <v>#REF!</v>
      </c>
      <c r="R64">
        <v>1.476670856635603</v>
      </c>
      <c r="S64">
        <v>-1.118239014600209</v>
      </c>
      <c r="T64" s="31" t="str">
        <f>VLOOKUP(C64,V:W,2,0)</f>
        <v>USA</v>
      </c>
      <c r="U64" t="str">
        <f t="shared" si="5"/>
        <v/>
      </c>
    </row>
    <row r="65" spans="1:21" x14ac:dyDescent="0.25">
      <c r="A65" s="31" t="s">
        <v>749</v>
      </c>
      <c r="B65" s="31" t="s">
        <v>1691</v>
      </c>
      <c r="C65" s="31" t="s">
        <v>1217</v>
      </c>
      <c r="D65" s="31">
        <f>IFERROR(ROUND(VLOOKUP(A65,institutions!A:E,4,0),2),"")</f>
        <v>3.18</v>
      </c>
      <c r="E65" s="31">
        <f>IFERROR(ROUND(VLOOKUP(A65,institutions!A:X,7,0),2),"")</f>
        <v>2.89</v>
      </c>
      <c r="F65" s="31">
        <f>IFERROR(ROUND(VLOOKUP(A65,institutions!A:X,10,0),2),"")</f>
        <v>2.31</v>
      </c>
      <c r="G65" s="31">
        <f>IFERROR(ROUND(VLOOKUP(A65,institutions!A:X,13,0),2),"")</f>
        <v>2.77</v>
      </c>
      <c r="H65" s="31">
        <f>IFERROR(ROUND(VLOOKUP(A65,institutions!A:X,16,0),2),"")</f>
        <v>4.12</v>
      </c>
      <c r="I65" s="31">
        <f t="shared" si="0"/>
        <v>0.89500000000000002</v>
      </c>
      <c r="J65" s="31">
        <f t="shared" si="1"/>
        <v>0.90800000000000003</v>
      </c>
      <c r="K65" s="31">
        <f t="shared" si="2"/>
        <v>0.80700000000000005</v>
      </c>
      <c r="L65" s="31">
        <f t="shared" si="3"/>
        <v>0.76700000000000002</v>
      </c>
      <c r="M65" s="31">
        <f t="shared" si="4"/>
        <v>0.88500000000000001</v>
      </c>
      <c r="N65" t="e">
        <f>VLOOKUP(A65,#REF!,11,0)</f>
        <v>#REF!</v>
      </c>
      <c r="O65" t="e">
        <f>VLOOKUP(A65,#REF!,12,0)</f>
        <v>#REF!</v>
      </c>
      <c r="P65" t="e">
        <f>VLOOKUP(A65,#REF!,13,0)</f>
        <v>#REF!</v>
      </c>
      <c r="Q65" t="e">
        <f>VLOOKUP(A65,#REF!,14,0)</f>
        <v>#REF!</v>
      </c>
      <c r="R65">
        <v>2.3339187883617409</v>
      </c>
      <c r="S65">
        <v>0.25471176988881611</v>
      </c>
      <c r="T65" s="31" t="str">
        <f>VLOOKUP(C65,V:W,2,0)</f>
        <v>USA</v>
      </c>
      <c r="U65" t="str">
        <f t="shared" si="5"/>
        <v/>
      </c>
    </row>
    <row r="66" spans="1:21" x14ac:dyDescent="0.25">
      <c r="A66" s="31" t="s">
        <v>644</v>
      </c>
      <c r="B66" s="31" t="s">
        <v>1689</v>
      </c>
      <c r="C66" s="31" t="s">
        <v>1217</v>
      </c>
      <c r="D66" s="31">
        <f>IFERROR(ROUND(VLOOKUP(A66,institutions!A:E,4,0),2),"")</f>
        <v>3.21</v>
      </c>
      <c r="E66" s="31">
        <f>IFERROR(ROUND(VLOOKUP(A66,institutions!A:X,7,0),2),"")</f>
        <v>2.2599999999999998</v>
      </c>
      <c r="F66" s="31">
        <f>IFERROR(ROUND(VLOOKUP(A66,institutions!A:X,10,0),2),"")</f>
        <v>3.78</v>
      </c>
      <c r="G66" s="31">
        <f>IFERROR(ROUND(VLOOKUP(A66,institutions!A:X,13,0),2),"")</f>
        <v>3.64</v>
      </c>
      <c r="H66" s="31">
        <f>IFERROR(ROUND(VLOOKUP(A66,institutions!A:X,16,0),2),"")</f>
        <v>4.37</v>
      </c>
      <c r="I66" s="31">
        <f t="shared" si="0"/>
        <v>0.89700000000000002</v>
      </c>
      <c r="J66" s="31">
        <f t="shared" si="1"/>
        <v>0.82799999999999996</v>
      </c>
      <c r="K66" s="31">
        <f t="shared" si="2"/>
        <v>0.93500000000000005</v>
      </c>
      <c r="L66" s="31">
        <f t="shared" si="3"/>
        <v>0.91</v>
      </c>
      <c r="M66" s="31">
        <f t="shared" si="4"/>
        <v>0.9</v>
      </c>
      <c r="N66" t="e">
        <f>VLOOKUP(A66,#REF!,11,0)</f>
        <v>#REF!</v>
      </c>
      <c r="O66" t="e">
        <f>VLOOKUP(A66,#REF!,12,0)</f>
        <v>#REF!</v>
      </c>
      <c r="P66" t="e">
        <f>VLOOKUP(A66,#REF!,13,0)</f>
        <v>#REF!</v>
      </c>
      <c r="Q66" t="e">
        <f>VLOOKUP(A66,#REF!,14,0)</f>
        <v>#REF!</v>
      </c>
      <c r="R66">
        <v>2.7069217842221498</v>
      </c>
      <c r="S66">
        <v>8.0922680154214225E-3</v>
      </c>
      <c r="T66" s="31" t="str">
        <f>VLOOKUP(C66,V:W,2,0)</f>
        <v>USA</v>
      </c>
      <c r="U66" t="str">
        <f t="shared" si="5"/>
        <v/>
      </c>
    </row>
    <row r="67" spans="1:21" x14ac:dyDescent="0.25">
      <c r="A67" s="31" t="s">
        <v>703</v>
      </c>
      <c r="B67" s="31" t="s">
        <v>1871</v>
      </c>
      <c r="C67" s="31" t="s">
        <v>1217</v>
      </c>
      <c r="D67" s="31">
        <f>IFERROR(ROUND(VLOOKUP(A67,institutions!A:E,4,0),2),"")</f>
        <v>3.18</v>
      </c>
      <c r="E67" s="31">
        <f>IFERROR(ROUND(VLOOKUP(A67,institutions!A:X,7,0),2),"")</f>
        <v>2.86</v>
      </c>
      <c r="F67" s="31">
        <f>IFERROR(ROUND(VLOOKUP(A67,institutions!A:X,10,0),2),"")</f>
        <v>3.35</v>
      </c>
      <c r="G67" s="31">
        <f>IFERROR(ROUND(VLOOKUP(A67,institutions!A:X,13,0),2),"")</f>
        <v>3.41</v>
      </c>
      <c r="H67" s="31">
        <f>IFERROR(ROUND(VLOOKUP(A67,institutions!A:X,16,0),2),"")</f>
        <v>4.8</v>
      </c>
      <c r="I67" s="31">
        <f t="shared" si="0"/>
        <v>0.89500000000000002</v>
      </c>
      <c r="J67" s="31">
        <f t="shared" si="1"/>
        <v>0.90500000000000003</v>
      </c>
      <c r="K67" s="31">
        <f t="shared" si="2"/>
        <v>0.90500000000000003</v>
      </c>
      <c r="L67" s="31">
        <f t="shared" si="3"/>
        <v>0.877</v>
      </c>
      <c r="M67" s="31">
        <f t="shared" si="4"/>
        <v>0.92800000000000005</v>
      </c>
      <c r="N67" t="e">
        <f>VLOOKUP(A67,#REF!,11,0)</f>
        <v>#REF!</v>
      </c>
      <c r="O67" t="e">
        <f>VLOOKUP(A67,#REF!,12,0)</f>
        <v>#REF!</v>
      </c>
      <c r="P67" t="e">
        <f>VLOOKUP(A67,#REF!,13,0)</f>
        <v>#REF!</v>
      </c>
      <c r="Q67" t="e">
        <f>VLOOKUP(A67,#REF!,14,0)</f>
        <v>#REF!</v>
      </c>
      <c r="R67">
        <v>2.770530341052412</v>
      </c>
      <c r="S67">
        <v>0.1394325289937105</v>
      </c>
      <c r="T67" s="31" t="str">
        <f>VLOOKUP(C67,V:W,2,0)</f>
        <v>USA</v>
      </c>
      <c r="U67" t="str">
        <f t="shared" si="5"/>
        <v/>
      </c>
    </row>
    <row r="68" spans="1:21" x14ac:dyDescent="0.25">
      <c r="A68" s="31" t="s">
        <v>674</v>
      </c>
      <c r="B68" s="31" t="s">
        <v>1874</v>
      </c>
      <c r="C68" s="31" t="s">
        <v>1218</v>
      </c>
      <c r="D68" s="31">
        <f>IFERROR(ROUND(VLOOKUP(A68,institutions!A:E,4,0),2),"")</f>
        <v>3.1</v>
      </c>
      <c r="E68" s="31">
        <f>IFERROR(ROUND(VLOOKUP(A68,institutions!A:X,7,0),2),"")</f>
        <v>2.97</v>
      </c>
      <c r="F68" s="31">
        <f>IFERROR(ROUND(VLOOKUP(A68,institutions!A:X,10,0),2),"")</f>
        <v>1.8</v>
      </c>
      <c r="G68" s="31">
        <f>IFERROR(ROUND(VLOOKUP(A68,institutions!A:X,13,0),2),"")</f>
        <v>3.85</v>
      </c>
      <c r="H68" s="31">
        <f>IFERROR(ROUND(VLOOKUP(A68,institutions!A:X,16,0),2),"")</f>
        <v>3.38</v>
      </c>
      <c r="I68" s="31">
        <f t="shared" ref="I68:I131" si="6">ROUND(IFERROR((601-_xlfn.RANK.EQ(D68,D:D))/600,0),3)</f>
        <v>0.89</v>
      </c>
      <c r="J68" s="31">
        <f t="shared" ref="J68:J131" si="7">ROUND(IFERROR((601-IFERROR(_xlfn.RANK.EQ(E68,E:E),""))/600,0),3)</f>
        <v>0.91200000000000003</v>
      </c>
      <c r="K68" s="31">
        <f t="shared" ref="K68:K131" si="8">ROUND(IFERROR((601-IFERROR(_xlfn.RANK.EQ(F68,F:F),""))/600,0),3)</f>
        <v>0.68</v>
      </c>
      <c r="L68" s="31">
        <f t="shared" ref="L68:L131" si="9">ROUND(IFERROR((601-IFERROR(_xlfn.RANK.EQ(G68,G:G),""))/600,0),3)</f>
        <v>0.92800000000000005</v>
      </c>
      <c r="M68" s="31">
        <f t="shared" ref="M68:M131" si="10">ROUND(IFERROR((601-IFERROR(_xlfn.RANK.EQ(H68,H:H),""))/600,0),3)</f>
        <v>0.76700000000000002</v>
      </c>
      <c r="N68" t="e">
        <f>VLOOKUP(A68,#REF!,11,0)</f>
        <v>#REF!</v>
      </c>
      <c r="O68" t="e">
        <f>VLOOKUP(A68,#REF!,12,0)</f>
        <v>#REF!</v>
      </c>
      <c r="P68" t="e">
        <f>VLOOKUP(A68,#REF!,13,0)</f>
        <v>#REF!</v>
      </c>
      <c r="Q68" t="e">
        <f>VLOOKUP(A68,#REF!,14,0)</f>
        <v>#REF!</v>
      </c>
      <c r="R68">
        <v>2.1976113326518072</v>
      </c>
      <c r="S68">
        <v>-2.630252488740578E-3</v>
      </c>
      <c r="T68" s="31" t="str">
        <f>VLOOKUP(C68,V:W,2,0)</f>
        <v>FRA</v>
      </c>
      <c r="U68" t="str">
        <f t="shared" ref="U68:U131" si="11">IF(T68=T$1,B68,IF(T68=T$2,B68,IF(T68=U$1,B68,"")))</f>
        <v>EDHEC</v>
      </c>
    </row>
    <row r="69" spans="1:21" x14ac:dyDescent="0.25">
      <c r="A69" s="31" t="s">
        <v>669</v>
      </c>
      <c r="B69" s="31" t="s">
        <v>1878</v>
      </c>
      <c r="C69" s="31" t="s">
        <v>1221</v>
      </c>
      <c r="D69" s="31">
        <f>IFERROR(ROUND(VLOOKUP(A69,institutions!A:E,4,0),2),"")</f>
        <v>3.22</v>
      </c>
      <c r="E69" s="31">
        <f>IFERROR(ROUND(VLOOKUP(A69,institutions!A:X,7,0),2),"")</f>
        <v>3.38</v>
      </c>
      <c r="F69" s="31">
        <f>IFERROR(ROUND(VLOOKUP(A69,institutions!A:X,10,0),2),"")</f>
        <v>3.49</v>
      </c>
      <c r="G69" s="31">
        <f>IFERROR(ROUND(VLOOKUP(A69,institutions!A:X,13,0),2),"")</f>
        <v>2.74</v>
      </c>
      <c r="H69" s="31">
        <f>IFERROR(ROUND(VLOOKUP(A69,institutions!A:X,16,0),2),"")</f>
        <v>3.28</v>
      </c>
      <c r="I69" s="31">
        <f t="shared" si="6"/>
        <v>0.9</v>
      </c>
      <c r="J69" s="31">
        <f t="shared" si="7"/>
        <v>0.94199999999999995</v>
      </c>
      <c r="K69" s="31">
        <f t="shared" si="8"/>
        <v>0.91500000000000004</v>
      </c>
      <c r="L69" s="31">
        <f t="shared" si="9"/>
        <v>0.755</v>
      </c>
      <c r="M69" s="31">
        <f t="shared" si="10"/>
        <v>0.73499999999999999</v>
      </c>
      <c r="N69" t="e">
        <f>VLOOKUP(A69,#REF!,11,0)</f>
        <v>#REF!</v>
      </c>
      <c r="O69" t="e">
        <f>VLOOKUP(A69,#REF!,12,0)</f>
        <v>#REF!</v>
      </c>
      <c r="P69" t="e">
        <f>VLOOKUP(A69,#REF!,13,0)</f>
        <v>#REF!</v>
      </c>
      <c r="Q69" t="e">
        <f>VLOOKUP(A69,#REF!,14,0)</f>
        <v>#REF!</v>
      </c>
      <c r="R69">
        <v>2.2805306801219229</v>
      </c>
      <c r="S69">
        <v>0.74237362000668083</v>
      </c>
      <c r="T69" s="31" t="str">
        <f>VLOOKUP(C69,V:W,2,0)</f>
        <v>NOR</v>
      </c>
      <c r="U69" t="str">
        <f t="shared" si="11"/>
        <v/>
      </c>
    </row>
    <row r="70" spans="1:21" x14ac:dyDescent="0.25">
      <c r="A70" s="31" t="s">
        <v>681</v>
      </c>
      <c r="B70" s="31" t="s">
        <v>1522</v>
      </c>
      <c r="C70" s="31" t="s">
        <v>1217</v>
      </c>
      <c r="D70" s="31">
        <f>IFERROR(ROUND(VLOOKUP(A70,institutions!A:E,4,0),2),"")</f>
        <v>3.15</v>
      </c>
      <c r="E70" s="31">
        <f>IFERROR(ROUND(VLOOKUP(A70,institutions!A:X,7,0),2),"")</f>
        <v>2.44</v>
      </c>
      <c r="F70" s="31">
        <f>IFERROR(ROUND(VLOOKUP(A70,institutions!A:X,10,0),2),"")</f>
        <v>3.08</v>
      </c>
      <c r="G70" s="31">
        <f>IFERROR(ROUND(VLOOKUP(A70,institutions!A:X,13,0),2),"")</f>
        <v>4.63</v>
      </c>
      <c r="H70" s="31">
        <f>IFERROR(ROUND(VLOOKUP(A70,institutions!A:X,16,0),2),"")</f>
        <v>4.5</v>
      </c>
      <c r="I70" s="31">
        <f t="shared" si="6"/>
        <v>0.89200000000000002</v>
      </c>
      <c r="J70" s="31">
        <f t="shared" si="7"/>
        <v>0.86</v>
      </c>
      <c r="K70" s="31">
        <f t="shared" si="8"/>
        <v>0.88800000000000001</v>
      </c>
      <c r="L70" s="31">
        <f t="shared" si="9"/>
        <v>0.96699999999999997</v>
      </c>
      <c r="M70" s="31">
        <f t="shared" si="10"/>
        <v>0.91700000000000004</v>
      </c>
      <c r="N70" t="e">
        <f>VLOOKUP(A70,#REF!,11,0)</f>
        <v>#REF!</v>
      </c>
      <c r="O70" t="e">
        <f>VLOOKUP(A70,#REF!,12,0)</f>
        <v>#REF!</v>
      </c>
      <c r="P70" t="e">
        <f>VLOOKUP(A70,#REF!,13,0)</f>
        <v>#REF!</v>
      </c>
      <c r="Q70" t="e">
        <f>VLOOKUP(A70,#REF!,14,0)</f>
        <v>#REF!</v>
      </c>
      <c r="R70">
        <v>2.810258855920936</v>
      </c>
      <c r="S70">
        <v>-0.11389829971317481</v>
      </c>
      <c r="T70" s="31" t="str">
        <f>VLOOKUP(C70,V:W,2,0)</f>
        <v>USA</v>
      </c>
      <c r="U70" t="str">
        <f t="shared" si="11"/>
        <v/>
      </c>
    </row>
    <row r="71" spans="1:21" x14ac:dyDescent="0.25">
      <c r="A71" s="31" t="s">
        <v>664</v>
      </c>
      <c r="B71" s="31" t="s">
        <v>1526</v>
      </c>
      <c r="C71" s="31" t="s">
        <v>1217</v>
      </c>
      <c r="D71" s="31">
        <f>IFERROR(ROUND(VLOOKUP(A71,institutions!A:E,4,0),2),"")</f>
        <v>3.04</v>
      </c>
      <c r="E71" s="31">
        <f>IFERROR(ROUND(VLOOKUP(A71,institutions!A:X,7,0),2),"")</f>
        <v>2.1800000000000002</v>
      </c>
      <c r="F71" s="31">
        <f>IFERROR(ROUND(VLOOKUP(A71,institutions!A:X,10,0),2),"")</f>
        <v>3.45</v>
      </c>
      <c r="G71" s="31">
        <f>IFERROR(ROUND(VLOOKUP(A71,institutions!A:X,13,0),2),"")</f>
        <v>3.8</v>
      </c>
      <c r="H71" s="31">
        <f>IFERROR(ROUND(VLOOKUP(A71,institutions!A:X,16,0),2),"")</f>
        <v>4.46</v>
      </c>
      <c r="I71" s="31">
        <f t="shared" si="6"/>
        <v>0.88500000000000001</v>
      </c>
      <c r="J71" s="31">
        <f t="shared" si="7"/>
        <v>0.81200000000000006</v>
      </c>
      <c r="K71" s="31">
        <f t="shared" si="8"/>
        <v>0.91200000000000003</v>
      </c>
      <c r="L71" s="31">
        <f t="shared" si="9"/>
        <v>0.92300000000000004</v>
      </c>
      <c r="M71" s="31">
        <f t="shared" si="10"/>
        <v>0.91500000000000004</v>
      </c>
      <c r="N71" t="e">
        <f>VLOOKUP(A71,#REF!,11,0)</f>
        <v>#REF!</v>
      </c>
      <c r="O71" t="e">
        <f>VLOOKUP(A71,#REF!,12,0)</f>
        <v>#REF!</v>
      </c>
      <c r="P71" t="e">
        <f>VLOOKUP(A71,#REF!,13,0)</f>
        <v>#REF!</v>
      </c>
      <c r="Q71" t="e">
        <f>VLOOKUP(A71,#REF!,14,0)</f>
        <v>#REF!</v>
      </c>
      <c r="R71">
        <v>2.692319097904635</v>
      </c>
      <c r="S71">
        <v>-0.1049918911282253</v>
      </c>
      <c r="T71" s="31" t="str">
        <f>VLOOKUP(C71,V:W,2,0)</f>
        <v>USA</v>
      </c>
      <c r="U71" t="str">
        <f t="shared" si="11"/>
        <v/>
      </c>
    </row>
    <row r="72" spans="1:21" x14ac:dyDescent="0.25">
      <c r="A72" s="31" t="s">
        <v>701</v>
      </c>
      <c r="B72" s="31" t="s">
        <v>1530</v>
      </c>
      <c r="C72" s="31" t="s">
        <v>1217</v>
      </c>
      <c r="D72" s="31">
        <f>IFERROR(ROUND(VLOOKUP(A72,institutions!A:E,4,0),2),"")</f>
        <v>2.97</v>
      </c>
      <c r="E72" s="31">
        <f>IFERROR(ROUND(VLOOKUP(A72,institutions!A:X,7,0),2),"")</f>
        <v>2.78</v>
      </c>
      <c r="F72" s="31">
        <f>IFERROR(ROUND(VLOOKUP(A72,institutions!A:X,10,0),2),"")</f>
        <v>2.69</v>
      </c>
      <c r="G72" s="31">
        <f>IFERROR(ROUND(VLOOKUP(A72,institutions!A:X,13,0),2),"")</f>
        <v>3.91</v>
      </c>
      <c r="H72" s="31">
        <f>IFERROR(ROUND(VLOOKUP(A72,institutions!A:X,16,0),2),"")</f>
        <v>4.08</v>
      </c>
      <c r="I72" s="31">
        <f t="shared" si="6"/>
        <v>0.86699999999999999</v>
      </c>
      <c r="J72" s="31">
        <f t="shared" si="7"/>
        <v>0.89500000000000002</v>
      </c>
      <c r="K72" s="31">
        <f t="shared" si="8"/>
        <v>0.85699999999999998</v>
      </c>
      <c r="L72" s="31">
        <f t="shared" si="9"/>
        <v>0.93799999999999994</v>
      </c>
      <c r="M72" s="31">
        <f t="shared" si="10"/>
        <v>0.88200000000000001</v>
      </c>
      <c r="N72" t="e">
        <f>VLOOKUP(A72,#REF!,11,0)</f>
        <v>#REF!</v>
      </c>
      <c r="O72" t="e">
        <f>VLOOKUP(A72,#REF!,12,0)</f>
        <v>#REF!</v>
      </c>
      <c r="P72" t="e">
        <f>VLOOKUP(A72,#REF!,13,0)</f>
        <v>#REF!</v>
      </c>
      <c r="Q72" t="e">
        <f>VLOOKUP(A72,#REF!,14,0)</f>
        <v>#REF!</v>
      </c>
      <c r="R72">
        <v>2.698330084278957</v>
      </c>
      <c r="S72">
        <v>1.956131915785915E-2</v>
      </c>
      <c r="T72" s="31" t="str">
        <f>VLOOKUP(C72,V:W,2,0)</f>
        <v>USA</v>
      </c>
      <c r="U72" t="str">
        <f t="shared" si="11"/>
        <v/>
      </c>
    </row>
    <row r="73" spans="1:21" x14ac:dyDescent="0.25">
      <c r="A73" s="31" t="s">
        <v>684</v>
      </c>
      <c r="B73" s="31" t="s">
        <v>1528</v>
      </c>
      <c r="C73" s="31" t="s">
        <v>1217</v>
      </c>
      <c r="D73" s="31">
        <f>IFERROR(ROUND(VLOOKUP(A73,institutions!A:E,4,0),2),"")</f>
        <v>3.09</v>
      </c>
      <c r="E73" s="31">
        <f>IFERROR(ROUND(VLOOKUP(A73,institutions!A:X,7,0),2),"")</f>
        <v>2.42</v>
      </c>
      <c r="F73" s="31">
        <f>IFERROR(ROUND(VLOOKUP(A73,institutions!A:X,10,0),2),"")</f>
        <v>4.99</v>
      </c>
      <c r="G73" s="31">
        <f>IFERROR(ROUND(VLOOKUP(A73,institutions!A:X,13,0),2),"")</f>
        <v>2.4300000000000002</v>
      </c>
      <c r="H73" s="31">
        <f>IFERROR(ROUND(VLOOKUP(A73,institutions!A:X,16,0),2),"")</f>
        <v>4.17</v>
      </c>
      <c r="I73" s="31">
        <f t="shared" si="6"/>
        <v>0.88800000000000001</v>
      </c>
      <c r="J73" s="31">
        <f t="shared" si="7"/>
        <v>0.85499999999999998</v>
      </c>
      <c r="K73" s="31">
        <f t="shared" si="8"/>
        <v>0.97699999999999998</v>
      </c>
      <c r="L73" s="31">
        <f t="shared" si="9"/>
        <v>0.64800000000000002</v>
      </c>
      <c r="M73" s="31">
        <f t="shared" si="10"/>
        <v>0.88800000000000001</v>
      </c>
      <c r="N73" t="e">
        <f>VLOOKUP(A73,#REF!,11,0)</f>
        <v>#REF!</v>
      </c>
      <c r="O73" t="e">
        <f>VLOOKUP(A73,#REF!,12,0)</f>
        <v>#REF!</v>
      </c>
      <c r="P73" t="e">
        <f>VLOOKUP(A73,#REF!,13,0)</f>
        <v>#REF!</v>
      </c>
      <c r="Q73" t="e">
        <f>VLOOKUP(A73,#REF!,14,0)</f>
        <v>#REF!</v>
      </c>
      <c r="R73">
        <v>2.332579014372584</v>
      </c>
      <c r="S73">
        <v>0.5824153490585039</v>
      </c>
      <c r="T73" s="31" t="str">
        <f>VLOOKUP(C73,V:W,2,0)</f>
        <v>USA</v>
      </c>
      <c r="U73" t="str">
        <f t="shared" si="11"/>
        <v/>
      </c>
    </row>
    <row r="74" spans="1:21" x14ac:dyDescent="0.25">
      <c r="A74" s="31" t="s">
        <v>709</v>
      </c>
      <c r="B74" s="31" t="s">
        <v>1693</v>
      </c>
      <c r="C74" s="31" t="s">
        <v>1217</v>
      </c>
      <c r="D74" s="31">
        <f>IFERROR(ROUND(VLOOKUP(A74,institutions!A:E,4,0),2),"")</f>
        <v>3.02</v>
      </c>
      <c r="E74" s="31">
        <f>IFERROR(ROUND(VLOOKUP(A74,institutions!A:X,7,0),2),"")</f>
        <v>2.37</v>
      </c>
      <c r="F74" s="31">
        <f>IFERROR(ROUND(VLOOKUP(A74,institutions!A:X,10,0),2),"")</f>
        <v>3.18</v>
      </c>
      <c r="G74" s="31">
        <f>IFERROR(ROUND(VLOOKUP(A74,institutions!A:X,13,0),2),"")</f>
        <v>4.12</v>
      </c>
      <c r="H74" s="31">
        <f>IFERROR(ROUND(VLOOKUP(A74,institutions!A:X,16,0),2),"")</f>
        <v>5.25</v>
      </c>
      <c r="I74" s="31">
        <f t="shared" si="6"/>
        <v>0.88</v>
      </c>
      <c r="J74" s="31">
        <f t="shared" si="7"/>
        <v>0.85</v>
      </c>
      <c r="K74" s="31">
        <f t="shared" si="8"/>
        <v>0.89700000000000002</v>
      </c>
      <c r="L74" s="31">
        <f t="shared" si="9"/>
        <v>0.94699999999999995</v>
      </c>
      <c r="M74" s="31">
        <f t="shared" si="10"/>
        <v>0.94299999999999995</v>
      </c>
      <c r="N74" t="e">
        <f>VLOOKUP(A74,#REF!,11,0)</f>
        <v>#REF!</v>
      </c>
      <c r="O74" t="e">
        <f>VLOOKUP(A74,#REF!,12,0)</f>
        <v>#REF!</v>
      </c>
      <c r="P74" t="e">
        <f>VLOOKUP(A74,#REF!,13,0)</f>
        <v>#REF!</v>
      </c>
      <c r="Q74" t="e">
        <f>VLOOKUP(A74,#REF!,14,0)</f>
        <v>#REF!</v>
      </c>
      <c r="R74">
        <v>2.820891273567423</v>
      </c>
      <c r="S74">
        <v>-0.1300721876028324</v>
      </c>
      <c r="T74" s="31" t="str">
        <f>VLOOKUP(C74,V:W,2,0)</f>
        <v>USA</v>
      </c>
      <c r="U74" t="str">
        <f t="shared" si="11"/>
        <v/>
      </c>
    </row>
    <row r="75" spans="1:21" x14ac:dyDescent="0.25">
      <c r="A75" s="31" t="s">
        <v>885</v>
      </c>
      <c r="B75" s="31" t="s">
        <v>1880</v>
      </c>
      <c r="C75" s="31" t="s">
        <v>1271</v>
      </c>
      <c r="D75" s="31">
        <f>IFERROR(ROUND(VLOOKUP(A75,institutions!A:E,4,0),2),"")</f>
        <v>2.92</v>
      </c>
      <c r="E75" s="31">
        <f>IFERROR(ROUND(VLOOKUP(A75,institutions!A:X,7,0),2),"")</f>
        <v>2.68</v>
      </c>
      <c r="F75" s="31">
        <f>IFERROR(ROUND(VLOOKUP(A75,institutions!A:X,10,0),2),"")</f>
        <v>2.4300000000000002</v>
      </c>
      <c r="G75" s="31">
        <f>IFERROR(ROUND(VLOOKUP(A75,institutions!A:X,13,0),2),"")</f>
        <v>1.85</v>
      </c>
      <c r="H75" s="31">
        <f>IFERROR(ROUND(VLOOKUP(A75,institutions!A:X,16,0),2),"")</f>
        <v>2.97</v>
      </c>
      <c r="I75" s="31">
        <f t="shared" si="6"/>
        <v>0.85499999999999998</v>
      </c>
      <c r="J75" s="31">
        <f t="shared" si="7"/>
        <v>0.88500000000000001</v>
      </c>
      <c r="K75" s="31">
        <f t="shared" si="8"/>
        <v>0.82499999999999996</v>
      </c>
      <c r="L75" s="31">
        <f t="shared" si="9"/>
        <v>0.39200000000000002</v>
      </c>
      <c r="M75" s="31">
        <f t="shared" si="10"/>
        <v>0.68200000000000005</v>
      </c>
      <c r="N75" t="e">
        <f>VLOOKUP(A75,#REF!,11,0)</f>
        <v>#REF!</v>
      </c>
      <c r="O75" t="e">
        <f>VLOOKUP(A75,#REF!,12,0)</f>
        <v>#REF!</v>
      </c>
      <c r="P75" t="e">
        <f>VLOOKUP(A75,#REF!,13,0)</f>
        <v>#REF!</v>
      </c>
      <c r="Q75" t="e">
        <f>VLOOKUP(A75,#REF!,14,0)</f>
        <v>#REF!</v>
      </c>
      <c r="R75">
        <v>1.2919679798105921</v>
      </c>
      <c r="S75">
        <v>1.17855871295437</v>
      </c>
      <c r="T75" s="31" t="str">
        <f>VLOOKUP(C75,V:W,2,0)</f>
        <v>DEU</v>
      </c>
      <c r="U75" t="str">
        <f t="shared" si="11"/>
        <v>IZA</v>
      </c>
    </row>
    <row r="76" spans="1:21" x14ac:dyDescent="0.25">
      <c r="A76" s="31" t="s">
        <v>894</v>
      </c>
      <c r="B76" s="31" t="s">
        <v>1525</v>
      </c>
      <c r="C76" s="31" t="s">
        <v>1221</v>
      </c>
      <c r="D76" s="31">
        <f>IFERROR(ROUND(VLOOKUP(A76,institutions!A:E,4,0),2),"")</f>
        <v>2.88</v>
      </c>
      <c r="E76" s="31">
        <f>IFERROR(ROUND(VLOOKUP(A76,institutions!A:X,7,0),2),"")</f>
        <v>3.41</v>
      </c>
      <c r="F76" s="31" t="str">
        <f>IFERROR(ROUND(VLOOKUP(A76,institutions!A:X,10,0),2),"")</f>
        <v/>
      </c>
      <c r="G76" s="31" t="str">
        <f>IFERROR(ROUND(VLOOKUP(A76,institutions!A:X,13,0),2),"")</f>
        <v/>
      </c>
      <c r="H76" s="31">
        <f>IFERROR(ROUND(VLOOKUP(A76,institutions!A:X,16,0),2),"")</f>
        <v>1.69</v>
      </c>
      <c r="I76" s="31">
        <f t="shared" si="6"/>
        <v>0.85299999999999998</v>
      </c>
      <c r="J76" s="31">
        <f t="shared" si="7"/>
        <v>0.94299999999999995</v>
      </c>
      <c r="K76" s="31">
        <f t="shared" si="8"/>
        <v>0</v>
      </c>
      <c r="L76" s="31">
        <f t="shared" si="9"/>
        <v>0</v>
      </c>
      <c r="M76" s="31">
        <f t="shared" si="10"/>
        <v>0.17299999999999999</v>
      </c>
      <c r="N76" t="e">
        <f>VLOOKUP(A76,#REF!,11,0)</f>
        <v>#REF!</v>
      </c>
      <c r="O76" t="e">
        <f>VLOOKUP(A76,#REF!,12,0)</f>
        <v>#REF!</v>
      </c>
      <c r="P76" t="e">
        <f>VLOOKUP(A76,#REF!,13,0)</f>
        <v>#REF!</v>
      </c>
      <c r="Q76" t="e">
        <f>VLOOKUP(A76,#REF!,14,0)</f>
        <v>#REF!</v>
      </c>
      <c r="R76">
        <v>-1.6435429596267099</v>
      </c>
      <c r="S76">
        <v>1.562379822950096</v>
      </c>
      <c r="T76" s="31" t="str">
        <f>VLOOKUP(C76,V:W,2,0)</f>
        <v>NOR</v>
      </c>
      <c r="U76" t="str">
        <f t="shared" si="11"/>
        <v/>
      </c>
    </row>
    <row r="77" spans="1:21" x14ac:dyDescent="0.25">
      <c r="A77" s="31" t="s">
        <v>742</v>
      </c>
      <c r="B77" s="31" t="s">
        <v>1527</v>
      </c>
      <c r="C77" s="31" t="s">
        <v>1216</v>
      </c>
      <c r="D77" s="31">
        <f>IFERROR(ROUND(VLOOKUP(A77,institutions!A:E,4,0),2),"")</f>
        <v>3.03</v>
      </c>
      <c r="E77" s="31">
        <f>IFERROR(ROUND(VLOOKUP(A77,institutions!A:X,7,0),2),"")</f>
        <v>3.09</v>
      </c>
      <c r="F77" s="31">
        <f>IFERROR(ROUND(VLOOKUP(A77,institutions!A:X,10,0),2),"")</f>
        <v>2.14</v>
      </c>
      <c r="G77" s="31">
        <f>IFERROR(ROUND(VLOOKUP(A77,institutions!A:X,13,0),2),"")</f>
        <v>2.87</v>
      </c>
      <c r="H77" s="31">
        <f>IFERROR(ROUND(VLOOKUP(A77,institutions!A:X,16,0),2),"")</f>
        <v>3.83</v>
      </c>
      <c r="I77" s="31">
        <f t="shared" si="6"/>
        <v>0.88300000000000001</v>
      </c>
      <c r="J77" s="31">
        <f t="shared" si="7"/>
        <v>0.92700000000000005</v>
      </c>
      <c r="K77" s="31">
        <f t="shared" si="8"/>
        <v>0.78300000000000003</v>
      </c>
      <c r="L77" s="31">
        <f t="shared" si="9"/>
        <v>0.78200000000000003</v>
      </c>
      <c r="M77" s="31">
        <f t="shared" si="10"/>
        <v>0.85799999999999998</v>
      </c>
      <c r="N77" t="e">
        <f>VLOOKUP(A77,#REF!,11,0)</f>
        <v>#REF!</v>
      </c>
      <c r="O77" t="e">
        <f>VLOOKUP(A77,#REF!,12,0)</f>
        <v>#REF!</v>
      </c>
      <c r="P77" t="e">
        <f>VLOOKUP(A77,#REF!,13,0)</f>
        <v>#REF!</v>
      </c>
      <c r="Q77" t="e">
        <f>VLOOKUP(A77,#REF!,14,0)</f>
        <v>#REF!</v>
      </c>
      <c r="R77">
        <v>2.3013293240031332</v>
      </c>
      <c r="S77">
        <v>0.27819386104455701</v>
      </c>
      <c r="T77" s="31" t="str">
        <f>VLOOKUP(C77,V:W,2,0)</f>
        <v>UK</v>
      </c>
      <c r="U77" t="str">
        <f t="shared" si="11"/>
        <v/>
      </c>
    </row>
    <row r="78" spans="1:21" x14ac:dyDescent="0.25">
      <c r="A78" s="31" t="s">
        <v>654</v>
      </c>
      <c r="B78" s="31" t="s">
        <v>1690</v>
      </c>
      <c r="C78" s="31" t="s">
        <v>1217</v>
      </c>
      <c r="D78" s="31">
        <f>IFERROR(ROUND(VLOOKUP(A78,institutions!A:E,4,0),2),"")</f>
        <v>3.06</v>
      </c>
      <c r="E78" s="31">
        <f>IFERROR(ROUND(VLOOKUP(A78,institutions!A:X,7,0),2),"")</f>
        <v>2.12</v>
      </c>
      <c r="F78" s="31">
        <f>IFERROR(ROUND(VLOOKUP(A78,institutions!A:X,10,0),2),"")</f>
        <v>2.48</v>
      </c>
      <c r="G78" s="31">
        <f>IFERROR(ROUND(VLOOKUP(A78,institutions!A:X,13,0),2),"")</f>
        <v>3.65</v>
      </c>
      <c r="H78" s="31">
        <f>IFERROR(ROUND(VLOOKUP(A78,institutions!A:X,16,0),2),"")</f>
        <v>4.2699999999999996</v>
      </c>
      <c r="I78" s="31">
        <f t="shared" si="6"/>
        <v>0.88700000000000001</v>
      </c>
      <c r="J78" s="31">
        <f t="shared" si="7"/>
        <v>0.8</v>
      </c>
      <c r="K78" s="31">
        <f t="shared" si="8"/>
        <v>0.82799999999999996</v>
      </c>
      <c r="L78" s="31">
        <f t="shared" si="9"/>
        <v>0.91200000000000003</v>
      </c>
      <c r="M78" s="31">
        <f t="shared" si="10"/>
        <v>0.89300000000000002</v>
      </c>
      <c r="N78" t="e">
        <f>VLOOKUP(A78,#REF!,11,0)</f>
        <v>#REF!</v>
      </c>
      <c r="O78" t="e">
        <f>VLOOKUP(A78,#REF!,12,0)</f>
        <v>#REF!</v>
      </c>
      <c r="P78" t="e">
        <f>VLOOKUP(A78,#REF!,13,0)</f>
        <v>#REF!</v>
      </c>
      <c r="Q78" t="e">
        <f>VLOOKUP(A78,#REF!,14,0)</f>
        <v>#REF!</v>
      </c>
      <c r="R78">
        <v>2.4702479827743078</v>
      </c>
      <c r="S78">
        <v>-0.19962427072903469</v>
      </c>
      <c r="T78" s="31" t="str">
        <f>VLOOKUP(C78,V:W,2,0)</f>
        <v>USA</v>
      </c>
      <c r="U78" t="str">
        <f t="shared" si="11"/>
        <v/>
      </c>
    </row>
    <row r="79" spans="1:21" x14ac:dyDescent="0.25">
      <c r="A79" s="31" t="s">
        <v>667</v>
      </c>
      <c r="B79" s="31" t="s">
        <v>1888</v>
      </c>
      <c r="C79" s="31" t="s">
        <v>1226</v>
      </c>
      <c r="D79" s="31">
        <f>IFERROR(ROUND(VLOOKUP(A79,institutions!A:E,4,0),2),"")</f>
        <v>2.97</v>
      </c>
      <c r="E79" s="31">
        <f>IFERROR(ROUND(VLOOKUP(A79,institutions!A:X,7,0),2),"")</f>
        <v>1.73</v>
      </c>
      <c r="F79" s="31">
        <f>IFERROR(ROUND(VLOOKUP(A79,institutions!A:X,10,0),2),"")</f>
        <v>2.87</v>
      </c>
      <c r="G79" s="31">
        <f>IFERROR(ROUND(VLOOKUP(A79,institutions!A:X,13,0),2),"")</f>
        <v>4.8</v>
      </c>
      <c r="H79" s="31">
        <f>IFERROR(ROUND(VLOOKUP(A79,institutions!A:X,16,0),2),"")</f>
        <v>4.88</v>
      </c>
      <c r="I79" s="31">
        <f t="shared" si="6"/>
        <v>0.86699999999999999</v>
      </c>
      <c r="J79" s="31">
        <f t="shared" si="7"/>
        <v>0.65300000000000002</v>
      </c>
      <c r="K79" s="31">
        <f t="shared" si="8"/>
        <v>0.877</v>
      </c>
      <c r="L79" s="31">
        <f t="shared" si="9"/>
        <v>0.97299999999999998</v>
      </c>
      <c r="M79" s="31">
        <f t="shared" si="10"/>
        <v>0.93500000000000005</v>
      </c>
      <c r="N79" t="e">
        <f>VLOOKUP(A79,#REF!,11,0)</f>
        <v>#REF!</v>
      </c>
      <c r="O79" t="e">
        <f>VLOOKUP(A79,#REF!,12,0)</f>
        <v>#REF!</v>
      </c>
      <c r="P79" t="e">
        <f>VLOOKUP(A79,#REF!,13,0)</f>
        <v>#REF!</v>
      </c>
      <c r="Q79" t="e">
        <f>VLOOKUP(A79,#REF!,14,0)</f>
        <v>#REF!</v>
      </c>
      <c r="R79">
        <v>2.5034889385202259</v>
      </c>
      <c r="S79">
        <v>-0.61047029184907631</v>
      </c>
      <c r="T79" s="31" t="str">
        <f>VLOOKUP(C79,V:W,2,0)</f>
        <v>SGP</v>
      </c>
      <c r="U79" t="str">
        <f t="shared" si="11"/>
        <v/>
      </c>
    </row>
    <row r="80" spans="1:21" x14ac:dyDescent="0.25">
      <c r="A80" s="31" t="s">
        <v>693</v>
      </c>
      <c r="B80" s="31" t="s">
        <v>1697</v>
      </c>
      <c r="C80" s="31" t="s">
        <v>1217</v>
      </c>
      <c r="D80" s="31">
        <f>IFERROR(ROUND(VLOOKUP(A80,institutions!A:E,4,0),2),"")</f>
        <v>2.97</v>
      </c>
      <c r="E80" s="31">
        <f>IFERROR(ROUND(VLOOKUP(A80,institutions!A:X,7,0),2),"")</f>
        <v>2.3199999999999998</v>
      </c>
      <c r="F80" s="31">
        <f>IFERROR(ROUND(VLOOKUP(A80,institutions!A:X,10,0),2),"")</f>
        <v>8</v>
      </c>
      <c r="G80" s="31">
        <f>IFERROR(ROUND(VLOOKUP(A80,institutions!A:X,13,0),2),"")</f>
        <v>3.73</v>
      </c>
      <c r="H80" s="31">
        <f>IFERROR(ROUND(VLOOKUP(A80,institutions!A:X,16,0),2),"")</f>
        <v>3.3</v>
      </c>
      <c r="I80" s="31">
        <f t="shared" si="6"/>
        <v>0.86699999999999999</v>
      </c>
      <c r="J80" s="31">
        <f t="shared" si="7"/>
        <v>0.84</v>
      </c>
      <c r="K80" s="31">
        <f t="shared" si="8"/>
        <v>1</v>
      </c>
      <c r="L80" s="31">
        <f t="shared" si="9"/>
        <v>0.91800000000000004</v>
      </c>
      <c r="M80" s="31">
        <f t="shared" si="10"/>
        <v>0.74</v>
      </c>
      <c r="N80" t="e">
        <f>VLOOKUP(A80,#REF!,11,0)</f>
        <v>#REF!</v>
      </c>
      <c r="O80" t="e">
        <f>VLOOKUP(A80,#REF!,12,0)</f>
        <v>#REF!</v>
      </c>
      <c r="P80" t="e">
        <f>VLOOKUP(A80,#REF!,13,0)</f>
        <v>#REF!</v>
      </c>
      <c r="Q80" t="e">
        <f>VLOOKUP(A80,#REF!,14,0)</f>
        <v>#REF!</v>
      </c>
      <c r="R80">
        <v>2.5625093919241659</v>
      </c>
      <c r="S80">
        <v>0.36874519201198702</v>
      </c>
      <c r="T80" s="31" t="str">
        <f>VLOOKUP(C80,V:W,2,0)</f>
        <v>USA</v>
      </c>
      <c r="U80" t="str">
        <f t="shared" si="11"/>
        <v/>
      </c>
    </row>
    <row r="81" spans="1:21" x14ac:dyDescent="0.25">
      <c r="A81" s="31" t="s">
        <v>696</v>
      </c>
      <c r="B81" s="31" t="s">
        <v>1819</v>
      </c>
      <c r="C81" s="31" t="s">
        <v>1230</v>
      </c>
      <c r="D81" s="31">
        <f>IFERROR(ROUND(VLOOKUP(A81,institutions!A:E,4,0),2),"")</f>
        <v>2.94</v>
      </c>
      <c r="E81" s="31">
        <f>IFERROR(ROUND(VLOOKUP(A81,institutions!A:X,7,0),2),"")</f>
        <v>2.54</v>
      </c>
      <c r="F81" s="31">
        <f>IFERROR(ROUND(VLOOKUP(A81,institutions!A:X,10,0),2),"")</f>
        <v>2.56</v>
      </c>
      <c r="G81" s="31">
        <f>IFERROR(ROUND(VLOOKUP(A81,institutions!A:X,13,0),2),"")</f>
        <v>2.79</v>
      </c>
      <c r="H81" s="31">
        <f>IFERROR(ROUND(VLOOKUP(A81,institutions!A:X,16,0),2),"")</f>
        <v>2.31</v>
      </c>
      <c r="I81" s="31">
        <f t="shared" si="6"/>
        <v>0.86199999999999999</v>
      </c>
      <c r="J81" s="31">
        <f t="shared" si="7"/>
        <v>0.87</v>
      </c>
      <c r="K81" s="31">
        <f t="shared" si="8"/>
        <v>0.84</v>
      </c>
      <c r="L81" s="31">
        <f t="shared" si="9"/>
        <v>0.77200000000000002</v>
      </c>
      <c r="M81" s="31">
        <f t="shared" si="10"/>
        <v>0.46700000000000003</v>
      </c>
      <c r="N81" t="e">
        <f>VLOOKUP(A81,#REF!,11,0)</f>
        <v>#REF!</v>
      </c>
      <c r="O81" t="e">
        <f>VLOOKUP(A81,#REF!,12,0)</f>
        <v>#REF!</v>
      </c>
      <c r="P81" t="e">
        <f>VLOOKUP(A81,#REF!,13,0)</f>
        <v>#REF!</v>
      </c>
      <c r="Q81" t="e">
        <f>VLOOKUP(A81,#REF!,14,0)</f>
        <v>#REF!</v>
      </c>
      <c r="R81">
        <v>1.583568901497346</v>
      </c>
      <c r="S81">
        <v>0.87624405774968861</v>
      </c>
      <c r="T81" s="31" t="str">
        <f>VLOOKUP(C81,V:W,2,0)</f>
        <v>CHN</v>
      </c>
      <c r="U81" t="str">
        <f t="shared" si="11"/>
        <v/>
      </c>
    </row>
    <row r="82" spans="1:21" x14ac:dyDescent="0.25">
      <c r="A82" s="31" t="s">
        <v>747</v>
      </c>
      <c r="B82" s="31" t="s">
        <v>1700</v>
      </c>
      <c r="C82" s="31" t="s">
        <v>1217</v>
      </c>
      <c r="D82" s="31">
        <f>IFERROR(ROUND(VLOOKUP(A82,institutions!A:E,4,0),2),"")</f>
        <v>3.01</v>
      </c>
      <c r="E82" s="31">
        <f>IFERROR(ROUND(VLOOKUP(A82,institutions!A:X,7,0),2),"")</f>
        <v>2.89</v>
      </c>
      <c r="F82" s="31">
        <f>IFERROR(ROUND(VLOOKUP(A82,institutions!A:X,10,0),2),"")</f>
        <v>3.51</v>
      </c>
      <c r="G82" s="31">
        <f>IFERROR(ROUND(VLOOKUP(A82,institutions!A:X,13,0),2),"")</f>
        <v>2.48</v>
      </c>
      <c r="H82" s="31">
        <f>IFERROR(ROUND(VLOOKUP(A82,institutions!A:X,16,0),2),"")</f>
        <v>3.68</v>
      </c>
      <c r="I82" s="31">
        <f t="shared" si="6"/>
        <v>0.877</v>
      </c>
      <c r="J82" s="31">
        <f t="shared" si="7"/>
        <v>0.90800000000000003</v>
      </c>
      <c r="K82" s="31">
        <f t="shared" si="8"/>
        <v>0.92200000000000004</v>
      </c>
      <c r="L82" s="31">
        <f t="shared" si="9"/>
        <v>0.68500000000000005</v>
      </c>
      <c r="M82" s="31">
        <f t="shared" si="10"/>
        <v>0.83</v>
      </c>
      <c r="N82" t="e">
        <f>VLOOKUP(A82,#REF!,11,0)</f>
        <v>#REF!</v>
      </c>
      <c r="O82" t="e">
        <f>VLOOKUP(A82,#REF!,12,0)</f>
        <v>#REF!</v>
      </c>
      <c r="P82" t="e">
        <f>VLOOKUP(A82,#REF!,13,0)</f>
        <v>#REF!</v>
      </c>
      <c r="Q82" t="e">
        <f>VLOOKUP(A82,#REF!,14,0)</f>
        <v>#REF!</v>
      </c>
      <c r="R82">
        <v>2.2847107139554632</v>
      </c>
      <c r="S82">
        <v>0.64590576055562088</v>
      </c>
      <c r="T82" s="31" t="str">
        <f>VLOOKUP(C82,V:W,2,0)</f>
        <v>USA</v>
      </c>
      <c r="U82" t="str">
        <f t="shared" si="11"/>
        <v/>
      </c>
    </row>
    <row r="83" spans="1:21" x14ac:dyDescent="0.25">
      <c r="A83" s="31" t="s">
        <v>676</v>
      </c>
      <c r="B83" s="31" t="s">
        <v>1883</v>
      </c>
      <c r="C83" s="31" t="s">
        <v>1227</v>
      </c>
      <c r="D83" s="31">
        <f>IFERROR(ROUND(VLOOKUP(A83,institutions!A:E,4,0),2),"")</f>
        <v>2.98</v>
      </c>
      <c r="E83" s="31">
        <f>IFERROR(ROUND(VLOOKUP(A83,institutions!A:X,7,0),2),"")</f>
        <v>1.89</v>
      </c>
      <c r="F83" s="31">
        <f>IFERROR(ROUND(VLOOKUP(A83,institutions!A:X,10,0),2),"")</f>
        <v>3.51</v>
      </c>
      <c r="G83" s="31">
        <f>IFERROR(ROUND(VLOOKUP(A83,institutions!A:X,13,0),2),"")</f>
        <v>3.84</v>
      </c>
      <c r="H83" s="31">
        <f>IFERROR(ROUND(VLOOKUP(A83,institutions!A:X,16,0),2),"")</f>
        <v>3.69</v>
      </c>
      <c r="I83" s="31">
        <f t="shared" si="6"/>
        <v>0.872</v>
      </c>
      <c r="J83" s="31">
        <f t="shared" si="7"/>
        <v>0.72199999999999998</v>
      </c>
      <c r="K83" s="31">
        <f t="shared" si="8"/>
        <v>0.92200000000000004</v>
      </c>
      <c r="L83" s="31">
        <f t="shared" si="9"/>
        <v>0.92700000000000005</v>
      </c>
      <c r="M83" s="31">
        <f t="shared" si="10"/>
        <v>0.83299999999999996</v>
      </c>
      <c r="N83" t="e">
        <f>VLOOKUP(A83,#REF!,11,0)</f>
        <v>#REF!</v>
      </c>
      <c r="O83" t="e">
        <f>VLOOKUP(A83,#REF!,12,0)</f>
        <v>#REF!</v>
      </c>
      <c r="P83" t="e">
        <f>VLOOKUP(A83,#REF!,13,0)</f>
        <v>#REF!</v>
      </c>
      <c r="Q83" t="e">
        <f>VLOOKUP(A83,#REF!,14,0)</f>
        <v>#REF!</v>
      </c>
      <c r="R83">
        <v>2.424465018754129</v>
      </c>
      <c r="S83">
        <v>-0.15922774943108109</v>
      </c>
      <c r="T83" s="31" t="str">
        <f>VLOOKUP(C83,V:W,2,0)</f>
        <v>BEL</v>
      </c>
      <c r="U83" t="str">
        <f t="shared" si="11"/>
        <v/>
      </c>
    </row>
    <row r="84" spans="1:21" x14ac:dyDescent="0.25">
      <c r="A84" s="31" t="s">
        <v>812</v>
      </c>
      <c r="B84" s="31" t="s">
        <v>1884</v>
      </c>
      <c r="C84" s="31" t="s">
        <v>1216</v>
      </c>
      <c r="D84" s="31">
        <f>IFERROR(ROUND(VLOOKUP(A84,institutions!A:E,4,0),2),"")</f>
        <v>2.94</v>
      </c>
      <c r="E84" s="31">
        <f>IFERROR(ROUND(VLOOKUP(A84,institutions!A:X,7,0),2),"")</f>
        <v>2.77</v>
      </c>
      <c r="F84" s="31">
        <f>IFERROR(ROUND(VLOOKUP(A84,institutions!A:X,10,0),2),"")</f>
        <v>1.65</v>
      </c>
      <c r="G84" s="31">
        <f>IFERROR(ROUND(VLOOKUP(A84,institutions!A:X,13,0),2),"")</f>
        <v>3.43</v>
      </c>
      <c r="H84" s="31">
        <f>IFERROR(ROUND(VLOOKUP(A84,institutions!A:X,16,0),2),"")</f>
        <v>4.45</v>
      </c>
      <c r="I84" s="31">
        <f t="shared" si="6"/>
        <v>0.86199999999999999</v>
      </c>
      <c r="J84" s="31">
        <f t="shared" si="7"/>
        <v>0.89300000000000002</v>
      </c>
      <c r="K84" s="31">
        <f t="shared" si="8"/>
        <v>0.61799999999999999</v>
      </c>
      <c r="L84" s="31">
        <f t="shared" si="9"/>
        <v>0.88300000000000001</v>
      </c>
      <c r="M84" s="31">
        <f t="shared" si="10"/>
        <v>0.91200000000000003</v>
      </c>
      <c r="N84" t="e">
        <f>VLOOKUP(A84,#REF!,11,0)</f>
        <v>#REF!</v>
      </c>
      <c r="O84" t="e">
        <f>VLOOKUP(A84,#REF!,12,0)</f>
        <v>#REF!</v>
      </c>
      <c r="P84" t="e">
        <f>VLOOKUP(A84,#REF!,13,0)</f>
        <v>#REF!</v>
      </c>
      <c r="Q84" t="e">
        <f>VLOOKUP(A84,#REF!,14,0)</f>
        <v>#REF!</v>
      </c>
      <c r="R84">
        <v>2.242822498701158</v>
      </c>
      <c r="S84">
        <v>-0.28842789697690308</v>
      </c>
      <c r="T84" s="31" t="str">
        <f>VLOOKUP(C84,V:W,2,0)</f>
        <v>UK</v>
      </c>
      <c r="U84" t="str">
        <f t="shared" si="11"/>
        <v/>
      </c>
    </row>
    <row r="85" spans="1:21" x14ac:dyDescent="0.25">
      <c r="A85" s="31" t="s">
        <v>677</v>
      </c>
      <c r="B85" s="31" t="s">
        <v>1529</v>
      </c>
      <c r="C85" s="31" t="s">
        <v>1217</v>
      </c>
      <c r="D85" s="31">
        <f>IFERROR(ROUND(VLOOKUP(A85,institutions!A:E,4,0),2),"")</f>
        <v>2.98</v>
      </c>
      <c r="E85" s="31">
        <f>IFERROR(ROUND(VLOOKUP(A85,institutions!A:X,7,0),2),"")</f>
        <v>1.89</v>
      </c>
      <c r="F85" s="31">
        <f>IFERROR(ROUND(VLOOKUP(A85,institutions!A:X,10,0),2),"")</f>
        <v>3.51</v>
      </c>
      <c r="G85" s="31">
        <f>IFERROR(ROUND(VLOOKUP(A85,institutions!A:X,13,0),2),"")</f>
        <v>3.84</v>
      </c>
      <c r="H85" s="31">
        <f>IFERROR(ROUND(VLOOKUP(A85,institutions!A:X,16,0),2),"")</f>
        <v>3.69</v>
      </c>
      <c r="I85" s="31">
        <f t="shared" si="6"/>
        <v>0.872</v>
      </c>
      <c r="J85" s="31">
        <f t="shared" si="7"/>
        <v>0.72199999999999998</v>
      </c>
      <c r="K85" s="31">
        <f t="shared" si="8"/>
        <v>0.92200000000000004</v>
      </c>
      <c r="L85" s="31">
        <f t="shared" si="9"/>
        <v>0.92700000000000005</v>
      </c>
      <c r="M85" s="31">
        <f t="shared" si="10"/>
        <v>0.83299999999999996</v>
      </c>
      <c r="N85" t="e">
        <f>VLOOKUP(A85,#REF!,11,0)</f>
        <v>#REF!</v>
      </c>
      <c r="O85" t="e">
        <f>VLOOKUP(A85,#REF!,12,0)</f>
        <v>#REF!</v>
      </c>
      <c r="P85" t="e">
        <f>VLOOKUP(A85,#REF!,13,0)</f>
        <v>#REF!</v>
      </c>
      <c r="Q85" t="e">
        <f>VLOOKUP(A85,#REF!,14,0)</f>
        <v>#REF!</v>
      </c>
      <c r="R85">
        <v>2.424465018754129</v>
      </c>
      <c r="S85">
        <v>-0.15922774943108109</v>
      </c>
      <c r="T85" s="31" t="str">
        <f>VLOOKUP(C85,V:W,2,0)</f>
        <v>USA</v>
      </c>
      <c r="U85" t="str">
        <f t="shared" si="11"/>
        <v/>
      </c>
    </row>
    <row r="86" spans="1:21" x14ac:dyDescent="0.25">
      <c r="A86" s="31" t="s">
        <v>782</v>
      </c>
      <c r="B86" s="31" t="s">
        <v>1699</v>
      </c>
      <c r="C86" s="31" t="s">
        <v>1217</v>
      </c>
      <c r="D86" s="31">
        <f>IFERROR(ROUND(VLOOKUP(A86,institutions!A:E,4,0),2),"")</f>
        <v>2.94</v>
      </c>
      <c r="E86" s="31">
        <f>IFERROR(ROUND(VLOOKUP(A86,institutions!A:X,7,0),2),"")</f>
        <v>3.21</v>
      </c>
      <c r="F86" s="31">
        <f>IFERROR(ROUND(VLOOKUP(A86,institutions!A:X,10,0),2),"")</f>
        <v>1.71</v>
      </c>
      <c r="G86" s="31">
        <f>IFERROR(ROUND(VLOOKUP(A86,institutions!A:X,13,0),2),"")</f>
        <v>3.1</v>
      </c>
      <c r="H86" s="31">
        <f>IFERROR(ROUND(VLOOKUP(A86,institutions!A:X,16,0),2),"")</f>
        <v>2.84</v>
      </c>
      <c r="I86" s="31">
        <f t="shared" si="6"/>
        <v>0.86199999999999999</v>
      </c>
      <c r="J86" s="31">
        <f t="shared" si="7"/>
        <v>0.93200000000000005</v>
      </c>
      <c r="K86" s="31">
        <f t="shared" si="8"/>
        <v>0.64500000000000002</v>
      </c>
      <c r="L86" s="31">
        <f t="shared" si="9"/>
        <v>0.83299999999999996</v>
      </c>
      <c r="M86" s="31">
        <f t="shared" si="10"/>
        <v>0.65</v>
      </c>
      <c r="N86" t="e">
        <f>VLOOKUP(A86,#REF!,11,0)</f>
        <v>#REF!</v>
      </c>
      <c r="O86" t="e">
        <f>VLOOKUP(A86,#REF!,12,0)</f>
        <v>#REF!</v>
      </c>
      <c r="P86" t="e">
        <f>VLOOKUP(A86,#REF!,13,0)</f>
        <v>#REF!</v>
      </c>
      <c r="Q86" t="e">
        <f>VLOOKUP(A86,#REF!,14,0)</f>
        <v>#REF!</v>
      </c>
      <c r="R86">
        <v>1.7889690544262919</v>
      </c>
      <c r="S86">
        <v>0.33300153252935011</v>
      </c>
      <c r="T86" s="31" t="str">
        <f>VLOOKUP(C86,V:W,2,0)</f>
        <v>USA</v>
      </c>
      <c r="U86" t="str">
        <f t="shared" si="11"/>
        <v/>
      </c>
    </row>
    <row r="87" spans="1:21" x14ac:dyDescent="0.25">
      <c r="A87" s="31" t="s">
        <v>793</v>
      </c>
      <c r="B87" s="31" t="s">
        <v>1890</v>
      </c>
      <c r="C87" s="31" t="s">
        <v>1216</v>
      </c>
      <c r="D87" s="31">
        <f>IFERROR(ROUND(VLOOKUP(A87,institutions!A:E,4,0),2),"")</f>
        <v>3.02</v>
      </c>
      <c r="E87" s="31">
        <f>IFERROR(ROUND(VLOOKUP(A87,institutions!A:X,7,0),2),"")</f>
        <v>3.26</v>
      </c>
      <c r="F87" s="31">
        <f>IFERROR(ROUND(VLOOKUP(A87,institutions!A:X,10,0),2),"")</f>
        <v>1.35</v>
      </c>
      <c r="G87" s="31">
        <f>IFERROR(ROUND(VLOOKUP(A87,institutions!A:X,13,0),2),"")</f>
        <v>2.12</v>
      </c>
      <c r="H87" s="31">
        <f>IFERROR(ROUND(VLOOKUP(A87,institutions!A:X,16,0),2),"")</f>
        <v>2.94</v>
      </c>
      <c r="I87" s="31">
        <f t="shared" si="6"/>
        <v>0.88</v>
      </c>
      <c r="J87" s="31">
        <f t="shared" si="7"/>
        <v>0.93300000000000005</v>
      </c>
      <c r="K87" s="31">
        <f t="shared" si="8"/>
        <v>0.40200000000000002</v>
      </c>
      <c r="L87" s="31">
        <f t="shared" si="9"/>
        <v>0.52500000000000002</v>
      </c>
      <c r="M87" s="31">
        <f t="shared" si="10"/>
        <v>0.67300000000000004</v>
      </c>
      <c r="N87" t="e">
        <f>VLOOKUP(A87,#REF!,11,0)</f>
        <v>#REF!</v>
      </c>
      <c r="O87" t="e">
        <f>VLOOKUP(A87,#REF!,12,0)</f>
        <v>#REF!</v>
      </c>
      <c r="P87" t="e">
        <f>VLOOKUP(A87,#REF!,13,0)</f>
        <v>#REF!</v>
      </c>
      <c r="Q87" t="e">
        <f>VLOOKUP(A87,#REF!,14,0)</f>
        <v>#REF!</v>
      </c>
      <c r="R87">
        <v>0.86722408615230628</v>
      </c>
      <c r="S87">
        <v>0.45822618829897521</v>
      </c>
      <c r="T87" s="31" t="str">
        <f>VLOOKUP(C87,V:W,2,0)</f>
        <v>UK</v>
      </c>
      <c r="U87" t="str">
        <f t="shared" si="11"/>
        <v/>
      </c>
    </row>
    <row r="88" spans="1:21" x14ac:dyDescent="0.25">
      <c r="A88" s="31" t="s">
        <v>774</v>
      </c>
      <c r="B88" s="31" t="s">
        <v>1887</v>
      </c>
      <c r="C88" s="31" t="s">
        <v>1221</v>
      </c>
      <c r="D88" s="31">
        <f>IFERROR(ROUND(VLOOKUP(A88,institutions!A:E,4,0),2),"")</f>
        <v>2.83</v>
      </c>
      <c r="E88" s="31">
        <f>IFERROR(ROUND(VLOOKUP(A88,institutions!A:X,7,0),2),"")</f>
        <v>2.83</v>
      </c>
      <c r="F88" s="31">
        <f>IFERROR(ROUND(VLOOKUP(A88,institutions!A:X,10,0),2),"")</f>
        <v>3.16</v>
      </c>
      <c r="G88" s="31">
        <f>IFERROR(ROUND(VLOOKUP(A88,institutions!A:X,13,0),2),"")</f>
        <v>2.5499999999999998</v>
      </c>
      <c r="H88" s="31">
        <f>IFERROR(ROUND(VLOOKUP(A88,institutions!A:X,16,0),2),"")</f>
        <v>2.72</v>
      </c>
      <c r="I88" s="31">
        <f t="shared" si="6"/>
        <v>0.84799999999999998</v>
      </c>
      <c r="J88" s="31">
        <f t="shared" si="7"/>
        <v>0.9</v>
      </c>
      <c r="K88" s="31">
        <f t="shared" si="8"/>
        <v>0.89300000000000002</v>
      </c>
      <c r="L88" s="31">
        <f t="shared" si="9"/>
        <v>0.71</v>
      </c>
      <c r="M88" s="31">
        <f t="shared" si="10"/>
        <v>0.61699999999999999</v>
      </c>
      <c r="N88" t="e">
        <f>VLOOKUP(A88,#REF!,11,0)</f>
        <v>#REF!</v>
      </c>
      <c r="O88" t="e">
        <f>VLOOKUP(A88,#REF!,12,0)</f>
        <v>#REF!</v>
      </c>
      <c r="P88" t="e">
        <f>VLOOKUP(A88,#REF!,13,0)</f>
        <v>#REF!</v>
      </c>
      <c r="Q88" t="e">
        <f>VLOOKUP(A88,#REF!,14,0)</f>
        <v>#REF!</v>
      </c>
      <c r="R88">
        <v>1.8823363620337401</v>
      </c>
      <c r="S88">
        <v>0.88281021637891488</v>
      </c>
      <c r="T88" s="31" t="str">
        <f>VLOOKUP(C88,V:W,2,0)</f>
        <v>NOR</v>
      </c>
      <c r="U88" t="str">
        <f t="shared" si="11"/>
        <v/>
      </c>
    </row>
    <row r="89" spans="1:21" x14ac:dyDescent="0.25">
      <c r="A89" s="31" t="s">
        <v>666</v>
      </c>
      <c r="B89" s="31" t="s">
        <v>1879</v>
      </c>
      <c r="C89" s="31" t="s">
        <v>1217</v>
      </c>
      <c r="D89" s="31">
        <f>IFERROR(ROUND(VLOOKUP(A89,institutions!A:E,4,0),2),"")</f>
        <v>3</v>
      </c>
      <c r="E89" s="31">
        <f>IFERROR(ROUND(VLOOKUP(A89,institutions!A:X,7,0),2),"")</f>
        <v>2.02</v>
      </c>
      <c r="F89" s="31">
        <f>IFERROR(ROUND(VLOOKUP(A89,institutions!A:X,10,0),2),"")</f>
        <v>3.62</v>
      </c>
      <c r="G89" s="31">
        <f>IFERROR(ROUND(VLOOKUP(A89,institutions!A:X,13,0),2),"")</f>
        <v>3.26</v>
      </c>
      <c r="H89" s="31">
        <f>IFERROR(ROUND(VLOOKUP(A89,institutions!A:X,16,0),2),"")</f>
        <v>3.78</v>
      </c>
      <c r="I89" s="31">
        <f t="shared" si="6"/>
        <v>0.875</v>
      </c>
      <c r="J89" s="31">
        <f t="shared" si="7"/>
        <v>0.76300000000000001</v>
      </c>
      <c r="K89" s="31">
        <f t="shared" si="8"/>
        <v>0.92700000000000005</v>
      </c>
      <c r="L89" s="31">
        <f t="shared" si="9"/>
        <v>0.85299999999999998</v>
      </c>
      <c r="M89" s="31">
        <f t="shared" si="10"/>
        <v>0.84199999999999997</v>
      </c>
      <c r="N89" t="e">
        <f>VLOOKUP(A89,#REF!,11,0)</f>
        <v>#REF!</v>
      </c>
      <c r="O89" t="e">
        <f>VLOOKUP(A89,#REF!,12,0)</f>
        <v>#REF!</v>
      </c>
      <c r="P89" t="e">
        <f>VLOOKUP(A89,#REF!,13,0)</f>
        <v>#REF!</v>
      </c>
      <c r="Q89" t="e">
        <f>VLOOKUP(A89,#REF!,14,0)</f>
        <v>#REF!</v>
      </c>
      <c r="R89">
        <v>2.3827809010050598</v>
      </c>
      <c r="S89">
        <v>4.4614751125672897E-2</v>
      </c>
      <c r="T89" s="31" t="str">
        <f>VLOOKUP(C89,V:W,2,0)</f>
        <v>USA</v>
      </c>
      <c r="U89" t="str">
        <f t="shared" si="11"/>
        <v/>
      </c>
    </row>
    <row r="90" spans="1:21" x14ac:dyDescent="0.25">
      <c r="A90" s="31" t="s">
        <v>695</v>
      </c>
      <c r="B90" s="31" t="s">
        <v>1885</v>
      </c>
      <c r="C90" s="31" t="s">
        <v>1217</v>
      </c>
      <c r="D90" s="31">
        <f>IFERROR(ROUND(VLOOKUP(A90,institutions!A:E,4,0),2),"")</f>
        <v>2.93</v>
      </c>
      <c r="E90" s="31">
        <f>IFERROR(ROUND(VLOOKUP(A90,institutions!A:X,7,0),2),"")</f>
        <v>2.52</v>
      </c>
      <c r="F90" s="31">
        <f>IFERROR(ROUND(VLOOKUP(A90,institutions!A:X,10,0),2),"")</f>
        <v>3.05</v>
      </c>
      <c r="G90" s="31">
        <f>IFERROR(ROUND(VLOOKUP(A90,institutions!A:X,13,0),2),"")</f>
        <v>3.91</v>
      </c>
      <c r="H90" s="31">
        <f>IFERROR(ROUND(VLOOKUP(A90,institutions!A:X,16,0),2),"")</f>
        <v>3.07</v>
      </c>
      <c r="I90" s="31">
        <f t="shared" si="6"/>
        <v>0.85699999999999998</v>
      </c>
      <c r="J90" s="31">
        <f t="shared" si="7"/>
        <v>0.86699999999999999</v>
      </c>
      <c r="K90" s="31">
        <f t="shared" si="8"/>
        <v>0.88700000000000001</v>
      </c>
      <c r="L90" s="31">
        <f t="shared" si="9"/>
        <v>0.93799999999999994</v>
      </c>
      <c r="M90" s="31">
        <f t="shared" si="10"/>
        <v>0.69799999999999995</v>
      </c>
      <c r="N90" t="e">
        <f>VLOOKUP(A90,#REF!,11,0)</f>
        <v>#REF!</v>
      </c>
      <c r="O90" t="e">
        <f>VLOOKUP(A90,#REF!,12,0)</f>
        <v>#REF!</v>
      </c>
      <c r="P90" t="e">
        <f>VLOOKUP(A90,#REF!,13,0)</f>
        <v>#REF!</v>
      </c>
      <c r="Q90" t="e">
        <f>VLOOKUP(A90,#REF!,14,0)</f>
        <v>#REF!</v>
      </c>
      <c r="R90">
        <v>2.3725041967637761</v>
      </c>
      <c r="S90">
        <v>0.29526612412912062</v>
      </c>
      <c r="T90" s="31" t="str">
        <f>VLOOKUP(C90,V:W,2,0)</f>
        <v>USA</v>
      </c>
      <c r="U90" t="str">
        <f t="shared" si="11"/>
        <v/>
      </c>
    </row>
    <row r="91" spans="1:21" x14ac:dyDescent="0.25">
      <c r="A91" s="31" t="s">
        <v>678</v>
      </c>
      <c r="B91" s="31" t="s">
        <v>1695</v>
      </c>
      <c r="C91" s="31" t="s">
        <v>1224</v>
      </c>
      <c r="D91" s="31">
        <f>IFERROR(ROUND(VLOOKUP(A91,institutions!A:E,4,0),2),"")</f>
        <v>2.98</v>
      </c>
      <c r="E91" s="31">
        <f>IFERROR(ROUND(VLOOKUP(A91,institutions!A:X,7,0),2),"")</f>
        <v>1.89</v>
      </c>
      <c r="F91" s="31">
        <f>IFERROR(ROUND(VLOOKUP(A91,institutions!A:X,10,0),2),"")</f>
        <v>1.89</v>
      </c>
      <c r="G91" s="31">
        <f>IFERROR(ROUND(VLOOKUP(A91,institutions!A:X,13,0),2),"")</f>
        <v>4.3899999999999997</v>
      </c>
      <c r="H91" s="31">
        <f>IFERROR(ROUND(VLOOKUP(A91,institutions!A:X,16,0),2),"")</f>
        <v>3.8</v>
      </c>
      <c r="I91" s="31">
        <f t="shared" si="6"/>
        <v>0.872</v>
      </c>
      <c r="J91" s="31">
        <f t="shared" si="7"/>
        <v>0.72199999999999998</v>
      </c>
      <c r="K91" s="31">
        <f t="shared" si="8"/>
        <v>0.70499999999999996</v>
      </c>
      <c r="L91" s="31">
        <f t="shared" si="9"/>
        <v>0.95499999999999996</v>
      </c>
      <c r="M91" s="31">
        <f t="shared" si="10"/>
        <v>0.84699999999999998</v>
      </c>
      <c r="N91" t="e">
        <f>VLOOKUP(A91,#REF!,11,0)</f>
        <v>#REF!</v>
      </c>
      <c r="O91" t="e">
        <f>VLOOKUP(A91,#REF!,12,0)</f>
        <v>#REF!</v>
      </c>
      <c r="P91" t="e">
        <f>VLOOKUP(A91,#REF!,13,0)</f>
        <v>#REF!</v>
      </c>
      <c r="Q91" t="e">
        <f>VLOOKUP(A91,#REF!,14,0)</f>
        <v>#REF!</v>
      </c>
      <c r="R91">
        <v>2.1289901961763378</v>
      </c>
      <c r="S91">
        <v>-0.54384331673365049</v>
      </c>
      <c r="T91" s="31" t="str">
        <f>VLOOKUP(C91,V:W,2,0)</f>
        <v>CAN</v>
      </c>
      <c r="U91" t="str">
        <f t="shared" si="11"/>
        <v/>
      </c>
    </row>
    <row r="92" spans="1:21" x14ac:dyDescent="0.25">
      <c r="A92" s="31" t="s">
        <v>912</v>
      </c>
      <c r="B92" s="31" t="s">
        <v>1904</v>
      </c>
      <c r="C92" s="31" t="s">
        <v>1218</v>
      </c>
      <c r="D92" s="31">
        <f>IFERROR(ROUND(VLOOKUP(A92,institutions!A:E,4,0),2),"")</f>
        <v>2.85</v>
      </c>
      <c r="E92" s="31">
        <f>IFERROR(ROUND(VLOOKUP(A92,institutions!A:X,7,0),2),"")</f>
        <v>2.65</v>
      </c>
      <c r="F92" s="31">
        <f>IFERROR(ROUND(VLOOKUP(A92,institutions!A:X,10,0),2),"")</f>
        <v>2.4300000000000002</v>
      </c>
      <c r="G92" s="31">
        <f>IFERROR(ROUND(VLOOKUP(A92,institutions!A:X,13,0),2),"")</f>
        <v>2.85</v>
      </c>
      <c r="H92" s="31">
        <f>IFERROR(ROUND(VLOOKUP(A92,institutions!A:X,16,0),2),"")</f>
        <v>2.5</v>
      </c>
      <c r="I92" s="31">
        <f t="shared" si="6"/>
        <v>0.85199999999999998</v>
      </c>
      <c r="J92" s="31">
        <f t="shared" si="7"/>
        <v>0.88</v>
      </c>
      <c r="K92" s="31">
        <f t="shared" si="8"/>
        <v>0.82499999999999996</v>
      </c>
      <c r="L92" s="31">
        <f t="shared" si="9"/>
        <v>0.78</v>
      </c>
      <c r="M92" s="31">
        <f t="shared" si="10"/>
        <v>0.55000000000000004</v>
      </c>
      <c r="N92" t="e">
        <f>VLOOKUP(A92,#REF!,11,0)</f>
        <v>#REF!</v>
      </c>
      <c r="O92" t="e">
        <f>VLOOKUP(A92,#REF!,12,0)</f>
        <v>#REF!</v>
      </c>
      <c r="P92" t="e">
        <f>VLOOKUP(A92,#REF!,13,0)</f>
        <v>#REF!</v>
      </c>
      <c r="Q92" t="e">
        <f>VLOOKUP(A92,#REF!,14,0)</f>
        <v>#REF!</v>
      </c>
      <c r="R92">
        <v>1.7381078161678449</v>
      </c>
      <c r="S92">
        <v>0.73079620297283809</v>
      </c>
      <c r="T92" s="31" t="str">
        <f>VLOOKUP(C92,V:W,2,0)</f>
        <v>FRA</v>
      </c>
      <c r="U92" t="str">
        <f t="shared" si="11"/>
        <v>Toulouse 1</v>
      </c>
    </row>
    <row r="93" spans="1:21" x14ac:dyDescent="0.25">
      <c r="A93" s="31" t="s">
        <v>720</v>
      </c>
      <c r="B93" s="31" t="s">
        <v>1692</v>
      </c>
      <c r="C93" s="31" t="s">
        <v>1224</v>
      </c>
      <c r="D93" s="31">
        <f>IFERROR(ROUND(VLOOKUP(A93,institutions!A:E,4,0),2),"")</f>
        <v>2.99</v>
      </c>
      <c r="E93" s="31">
        <f>IFERROR(ROUND(VLOOKUP(A93,institutions!A:X,7,0),2),"")</f>
        <v>2.19</v>
      </c>
      <c r="F93" s="31">
        <f>IFERROR(ROUND(VLOOKUP(A93,institutions!A:X,10,0),2),"")</f>
        <v>2.57</v>
      </c>
      <c r="G93" s="31">
        <f>IFERROR(ROUND(VLOOKUP(A93,institutions!A:X,13,0),2),"")</f>
        <v>3.35</v>
      </c>
      <c r="H93" s="31">
        <f>IFERROR(ROUND(VLOOKUP(A93,institutions!A:X,16,0),2),"")</f>
        <v>5.37</v>
      </c>
      <c r="I93" s="31">
        <f t="shared" si="6"/>
        <v>0.873</v>
      </c>
      <c r="J93" s="31">
        <f t="shared" si="7"/>
        <v>0.81499999999999995</v>
      </c>
      <c r="K93" s="31">
        <f t="shared" si="8"/>
        <v>0.84199999999999997</v>
      </c>
      <c r="L93" s="31">
        <f t="shared" si="9"/>
        <v>0.872</v>
      </c>
      <c r="M93" s="31">
        <f t="shared" si="10"/>
        <v>0.95</v>
      </c>
      <c r="N93" t="e">
        <f>VLOOKUP(A93,#REF!,11,0)</f>
        <v>#REF!</v>
      </c>
      <c r="O93" t="e">
        <f>VLOOKUP(A93,#REF!,12,0)</f>
        <v>#REF!</v>
      </c>
      <c r="P93" t="e">
        <f>VLOOKUP(A93,#REF!,13,0)</f>
        <v>#REF!</v>
      </c>
      <c r="Q93" t="e">
        <f>VLOOKUP(A93,#REF!,14,0)</f>
        <v>#REF!</v>
      </c>
      <c r="R93">
        <v>2.5497069975692339</v>
      </c>
      <c r="S93">
        <v>-0.17098538912845421</v>
      </c>
      <c r="T93" s="31" t="str">
        <f>VLOOKUP(C93,V:W,2,0)</f>
        <v>CAN</v>
      </c>
      <c r="U93" t="str">
        <f t="shared" si="11"/>
        <v/>
      </c>
    </row>
    <row r="94" spans="1:21" x14ac:dyDescent="0.25">
      <c r="A94" s="31" t="s">
        <v>656</v>
      </c>
      <c r="B94" s="31" t="s">
        <v>1881</v>
      </c>
      <c r="C94" s="31" t="s">
        <v>1217</v>
      </c>
      <c r="D94" s="31">
        <f>IFERROR(ROUND(VLOOKUP(A94,institutions!A:E,4,0),2),"")</f>
        <v>3.03</v>
      </c>
      <c r="E94" s="31">
        <f>IFERROR(ROUND(VLOOKUP(A94,institutions!A:X,7,0),2),"")</f>
        <v>2.02</v>
      </c>
      <c r="F94" s="31">
        <f>IFERROR(ROUND(VLOOKUP(A94,institutions!A:X,10,0),2),"")</f>
        <v>2.37</v>
      </c>
      <c r="G94" s="31">
        <f>IFERROR(ROUND(VLOOKUP(A94,institutions!A:X,13,0),2),"")</f>
        <v>3.89</v>
      </c>
      <c r="H94" s="31">
        <f>IFERROR(ROUND(VLOOKUP(A94,institutions!A:X,16,0),2),"")</f>
        <v>3.96</v>
      </c>
      <c r="I94" s="31">
        <f t="shared" si="6"/>
        <v>0.88300000000000001</v>
      </c>
      <c r="J94" s="31">
        <f t="shared" si="7"/>
        <v>0.76300000000000001</v>
      </c>
      <c r="K94" s="31">
        <f t="shared" si="8"/>
        <v>0.82</v>
      </c>
      <c r="L94" s="31">
        <f t="shared" si="9"/>
        <v>0.93500000000000005</v>
      </c>
      <c r="M94" s="31">
        <f t="shared" si="10"/>
        <v>0.87</v>
      </c>
      <c r="N94" t="e">
        <f>VLOOKUP(A94,#REF!,11,0)</f>
        <v>#REF!</v>
      </c>
      <c r="O94" t="e">
        <f>VLOOKUP(A94,#REF!,12,0)</f>
        <v>#REF!</v>
      </c>
      <c r="P94" t="e">
        <f>VLOOKUP(A94,#REF!,13,0)</f>
        <v>#REF!</v>
      </c>
      <c r="Q94" t="e">
        <f>VLOOKUP(A94,#REF!,14,0)</f>
        <v>#REF!</v>
      </c>
      <c r="R94">
        <v>2.396898000158028</v>
      </c>
      <c r="S94">
        <v>-0.29211377638136998</v>
      </c>
      <c r="T94" s="31" t="str">
        <f>VLOOKUP(C94,V:W,2,0)</f>
        <v>USA</v>
      </c>
      <c r="U94" t="str">
        <f t="shared" si="11"/>
        <v/>
      </c>
    </row>
    <row r="95" spans="1:21" x14ac:dyDescent="0.25">
      <c r="A95" s="31" t="s">
        <v>817</v>
      </c>
      <c r="B95" s="31" t="s">
        <v>1532</v>
      </c>
      <c r="C95" s="31" t="s">
        <v>1219</v>
      </c>
      <c r="D95" s="31">
        <f>IFERROR(ROUND(VLOOKUP(A95,institutions!A:E,4,0),2),"")</f>
        <v>2.74</v>
      </c>
      <c r="E95" s="31">
        <f>IFERROR(ROUND(VLOOKUP(A95,institutions!A:X,7,0),2),"")</f>
        <v>2.77</v>
      </c>
      <c r="F95" s="31">
        <f>IFERROR(ROUND(VLOOKUP(A95,institutions!A:X,10,0),2),"")</f>
        <v>4.3499999999999996</v>
      </c>
      <c r="G95" s="31">
        <f>IFERROR(ROUND(VLOOKUP(A95,institutions!A:X,13,0),2),"")</f>
        <v>2.39</v>
      </c>
      <c r="H95" s="31">
        <f>IFERROR(ROUND(VLOOKUP(A95,institutions!A:X,16,0),2),"")</f>
        <v>3.35</v>
      </c>
      <c r="I95" s="31">
        <f t="shared" si="6"/>
        <v>0.83799999999999997</v>
      </c>
      <c r="J95" s="31">
        <f t="shared" si="7"/>
        <v>0.89300000000000002</v>
      </c>
      <c r="K95" s="31">
        <f t="shared" si="8"/>
        <v>0.96199999999999997</v>
      </c>
      <c r="L95" s="31">
        <f t="shared" si="9"/>
        <v>0.63700000000000001</v>
      </c>
      <c r="M95" s="31">
        <f t="shared" si="10"/>
        <v>0.748</v>
      </c>
      <c r="N95" t="e">
        <f>VLOOKUP(A95,#REF!,11,0)</f>
        <v>#REF!</v>
      </c>
      <c r="O95" t="e">
        <f>VLOOKUP(A95,#REF!,12,0)</f>
        <v>#REF!</v>
      </c>
      <c r="P95" t="e">
        <f>VLOOKUP(A95,#REF!,13,0)</f>
        <v>#REF!</v>
      </c>
      <c r="Q95" t="e">
        <f>VLOOKUP(A95,#REF!,14,0)</f>
        <v>#REF!</v>
      </c>
      <c r="R95">
        <v>2.0952957030010961</v>
      </c>
      <c r="S95">
        <v>0.8821128683380739</v>
      </c>
      <c r="T95" s="31" t="str">
        <f>VLOOKUP(C95,V:W,2,0)</f>
        <v>CHE</v>
      </c>
      <c r="U95" t="str">
        <f t="shared" si="11"/>
        <v/>
      </c>
    </row>
    <row r="96" spans="1:21" x14ac:dyDescent="0.25">
      <c r="A96" s="31" t="s">
        <v>706</v>
      </c>
      <c r="B96" s="31" t="s">
        <v>1886</v>
      </c>
      <c r="C96" s="31" t="s">
        <v>1217</v>
      </c>
      <c r="D96" s="31">
        <f>IFERROR(ROUND(VLOOKUP(A96,institutions!A:E,4,0),2),"")</f>
        <v>2.84</v>
      </c>
      <c r="E96" s="31">
        <f>IFERROR(ROUND(VLOOKUP(A96,institutions!A:X,7,0),2),"")</f>
        <v>2.36</v>
      </c>
      <c r="F96" s="31">
        <f>IFERROR(ROUND(VLOOKUP(A96,institutions!A:X,10,0),2),"")</f>
        <v>3.09</v>
      </c>
      <c r="G96" s="31">
        <f>IFERROR(ROUND(VLOOKUP(A96,institutions!A:X,13,0),2),"")</f>
        <v>3.49</v>
      </c>
      <c r="H96" s="31">
        <f>IFERROR(ROUND(VLOOKUP(A96,institutions!A:X,16,0),2),"")</f>
        <v>4.51</v>
      </c>
      <c r="I96" s="31">
        <f t="shared" si="6"/>
        <v>0.85</v>
      </c>
      <c r="J96" s="31">
        <f t="shared" si="7"/>
        <v>0.84699999999999998</v>
      </c>
      <c r="K96" s="31">
        <f t="shared" si="8"/>
        <v>0.89</v>
      </c>
      <c r="L96" s="31">
        <f t="shared" si="9"/>
        <v>0.88800000000000001</v>
      </c>
      <c r="M96" s="31">
        <f t="shared" si="10"/>
        <v>0.91800000000000004</v>
      </c>
      <c r="N96" t="e">
        <f>VLOOKUP(A96,#REF!,11,0)</f>
        <v>#REF!</v>
      </c>
      <c r="O96" t="e">
        <f>VLOOKUP(A96,#REF!,12,0)</f>
        <v>#REF!</v>
      </c>
      <c r="P96" t="e">
        <f>VLOOKUP(A96,#REF!,13,0)</f>
        <v>#REF!</v>
      </c>
      <c r="Q96" t="e">
        <f>VLOOKUP(A96,#REF!,14,0)</f>
        <v>#REF!</v>
      </c>
      <c r="R96">
        <v>2.6536804412504029</v>
      </c>
      <c r="S96">
        <v>-8.7112347576641814E-3</v>
      </c>
      <c r="T96" s="31" t="str">
        <f>VLOOKUP(C96,V:W,2,0)</f>
        <v>USA</v>
      </c>
      <c r="U96" t="str">
        <f t="shared" si="11"/>
        <v/>
      </c>
    </row>
    <row r="97" spans="1:21" x14ac:dyDescent="0.25">
      <c r="A97" s="31" t="s">
        <v>943</v>
      </c>
      <c r="B97" s="31" t="s">
        <v>1901</v>
      </c>
      <c r="C97" s="31" t="s">
        <v>1218</v>
      </c>
      <c r="D97" s="31">
        <f>IFERROR(ROUND(VLOOKUP(A97,institutions!A:E,4,0),2),"")</f>
        <v>2.67</v>
      </c>
      <c r="E97" s="31">
        <f>IFERROR(ROUND(VLOOKUP(A97,institutions!A:X,7,0),2),"")</f>
        <v>2.61</v>
      </c>
      <c r="F97" s="31">
        <f>IFERROR(ROUND(VLOOKUP(A97,institutions!A:X,10,0),2),"")</f>
        <v>1.37</v>
      </c>
      <c r="G97" s="31" t="str">
        <f>IFERROR(ROUND(VLOOKUP(A97,institutions!A:X,13,0),2),"")</f>
        <v/>
      </c>
      <c r="H97" s="31" t="str">
        <f>IFERROR(ROUND(VLOOKUP(A97,institutions!A:X,16,0),2),"")</f>
        <v/>
      </c>
      <c r="I97" s="31">
        <f t="shared" si="6"/>
        <v>0.82799999999999996</v>
      </c>
      <c r="J97" s="31">
        <f t="shared" si="7"/>
        <v>0.877</v>
      </c>
      <c r="K97" s="31">
        <f t="shared" si="8"/>
        <v>0.42199999999999999</v>
      </c>
      <c r="L97" s="31">
        <f t="shared" si="9"/>
        <v>0</v>
      </c>
      <c r="M97" s="31">
        <f t="shared" si="10"/>
        <v>0</v>
      </c>
      <c r="N97" t="e">
        <f>VLOOKUP(A97,#REF!,11,0)</f>
        <v>#REF!</v>
      </c>
      <c r="O97" t="e">
        <f>VLOOKUP(A97,#REF!,12,0)</f>
        <v>#REF!</v>
      </c>
      <c r="P97" t="e">
        <f>VLOOKUP(A97,#REF!,13,0)</f>
        <v>#REF!</v>
      </c>
      <c r="Q97" t="e">
        <f>VLOOKUP(A97,#REF!,14,0)</f>
        <v>#REF!</v>
      </c>
      <c r="R97">
        <v>-1.340592769993227</v>
      </c>
      <c r="S97">
        <v>2.30989760682737</v>
      </c>
      <c r="T97" s="31" t="str">
        <f>VLOOKUP(C97,V:W,2,0)</f>
        <v>FRA</v>
      </c>
      <c r="U97" t="str">
        <f t="shared" si="11"/>
        <v>Paris S Econ</v>
      </c>
    </row>
    <row r="98" spans="1:21" x14ac:dyDescent="0.25">
      <c r="A98" s="31" t="s">
        <v>770</v>
      </c>
      <c r="B98" s="31" t="s">
        <v>1694</v>
      </c>
      <c r="C98" s="31" t="s">
        <v>1217</v>
      </c>
      <c r="D98" s="31">
        <f>IFERROR(ROUND(VLOOKUP(A98,institutions!A:E,4,0),2),"")</f>
        <v>2.74</v>
      </c>
      <c r="E98" s="31">
        <f>IFERROR(ROUND(VLOOKUP(A98,institutions!A:X,7,0),2),"")</f>
        <v>2.61</v>
      </c>
      <c r="F98" s="31">
        <f>IFERROR(ROUND(VLOOKUP(A98,institutions!A:X,10,0),2),"")</f>
        <v>2.85</v>
      </c>
      <c r="G98" s="31">
        <f>IFERROR(ROUND(VLOOKUP(A98,institutions!A:X,13,0),2),"")</f>
        <v>2.64</v>
      </c>
      <c r="H98" s="31">
        <f>IFERROR(ROUND(VLOOKUP(A98,institutions!A:X,16,0),2),"")</f>
        <v>3.11</v>
      </c>
      <c r="I98" s="31">
        <f t="shared" si="6"/>
        <v>0.83799999999999997</v>
      </c>
      <c r="J98" s="31">
        <f t="shared" si="7"/>
        <v>0.877</v>
      </c>
      <c r="K98" s="31">
        <f t="shared" si="8"/>
        <v>0.875</v>
      </c>
      <c r="L98" s="31">
        <f t="shared" si="9"/>
        <v>0.72499999999999998</v>
      </c>
      <c r="M98" s="31">
        <f t="shared" si="10"/>
        <v>0.70299999999999996</v>
      </c>
      <c r="N98" t="e">
        <f>VLOOKUP(A98,#REF!,11,0)</f>
        <v>#REF!</v>
      </c>
      <c r="O98" t="e">
        <f>VLOOKUP(A98,#REF!,12,0)</f>
        <v>#REF!</v>
      </c>
      <c r="P98" t="e">
        <f>VLOOKUP(A98,#REF!,13,0)</f>
        <v>#REF!</v>
      </c>
      <c r="Q98" t="e">
        <f>VLOOKUP(A98,#REF!,14,0)</f>
        <v>#REF!</v>
      </c>
      <c r="R98">
        <v>1.996862702060606</v>
      </c>
      <c r="S98">
        <v>0.64610911811777438</v>
      </c>
      <c r="T98" s="31" t="str">
        <f>VLOOKUP(C98,V:W,2,0)</f>
        <v>USA</v>
      </c>
      <c r="U98" t="str">
        <f t="shared" si="11"/>
        <v/>
      </c>
    </row>
    <row r="99" spans="1:21" x14ac:dyDescent="0.25">
      <c r="A99" s="31" t="s">
        <v>764</v>
      </c>
      <c r="B99" s="31" t="s">
        <v>1903</v>
      </c>
      <c r="C99" s="31" t="s">
        <v>1217</v>
      </c>
      <c r="D99" s="31">
        <f>IFERROR(ROUND(VLOOKUP(A99,institutions!A:E,4,0),2),"")</f>
        <v>2.79</v>
      </c>
      <c r="E99" s="31">
        <f>IFERROR(ROUND(VLOOKUP(A99,institutions!A:X,7,0),2),"")</f>
        <v>2.37</v>
      </c>
      <c r="F99" s="31">
        <f>IFERROR(ROUND(VLOOKUP(A99,institutions!A:X,10,0),2),"")</f>
        <v>3.94</v>
      </c>
      <c r="G99" s="31">
        <f>IFERROR(ROUND(VLOOKUP(A99,institutions!A:X,13,0),2),"")</f>
        <v>2.39</v>
      </c>
      <c r="H99" s="31">
        <f>IFERROR(ROUND(VLOOKUP(A99,institutions!A:X,16,0),2),"")</f>
        <v>2.66</v>
      </c>
      <c r="I99" s="31">
        <f t="shared" si="6"/>
        <v>0.84299999999999997</v>
      </c>
      <c r="J99" s="31">
        <f t="shared" si="7"/>
        <v>0.85</v>
      </c>
      <c r="K99" s="31">
        <f t="shared" si="8"/>
        <v>0.94299999999999995</v>
      </c>
      <c r="L99" s="31">
        <f t="shared" si="9"/>
        <v>0.63700000000000001</v>
      </c>
      <c r="M99" s="31">
        <f t="shared" si="10"/>
        <v>0.59799999999999998</v>
      </c>
      <c r="N99" t="e">
        <f>VLOOKUP(A99,#REF!,11,0)</f>
        <v>#REF!</v>
      </c>
      <c r="O99" t="e">
        <f>VLOOKUP(A99,#REF!,12,0)</f>
        <v>#REF!</v>
      </c>
      <c r="P99" t="e">
        <f>VLOOKUP(A99,#REF!,13,0)</f>
        <v>#REF!</v>
      </c>
      <c r="Q99" t="e">
        <f>VLOOKUP(A99,#REF!,14,0)</f>
        <v>#REF!</v>
      </c>
      <c r="R99">
        <v>1.723156294899358</v>
      </c>
      <c r="S99">
        <v>1.0005595832570919</v>
      </c>
      <c r="T99" s="31" t="str">
        <f>VLOOKUP(C99,V:W,2,0)</f>
        <v>USA</v>
      </c>
      <c r="U99" t="str">
        <f t="shared" si="11"/>
        <v/>
      </c>
    </row>
    <row r="100" spans="1:21" x14ac:dyDescent="0.25">
      <c r="A100" s="31" t="s">
        <v>882</v>
      </c>
      <c r="B100" s="31" t="s">
        <v>1882</v>
      </c>
      <c r="C100" s="31" t="s">
        <v>1224</v>
      </c>
      <c r="D100" s="31">
        <f>IFERROR(ROUND(VLOOKUP(A100,institutions!A:E,4,0),2),"")</f>
        <v>2.75</v>
      </c>
      <c r="E100" s="31">
        <f>IFERROR(ROUND(VLOOKUP(A100,institutions!A:X,7,0),2),"")</f>
        <v>2.71</v>
      </c>
      <c r="F100" s="31">
        <f>IFERROR(ROUND(VLOOKUP(A100,institutions!A:X,10,0),2),"")</f>
        <v>1.6</v>
      </c>
      <c r="G100" s="31" t="str">
        <f>IFERROR(ROUND(VLOOKUP(A100,institutions!A:X,13,0),2),"")</f>
        <v/>
      </c>
      <c r="H100" s="31" t="str">
        <f>IFERROR(ROUND(VLOOKUP(A100,institutions!A:X,16,0),2),"")</f>
        <v/>
      </c>
      <c r="I100" s="31">
        <f t="shared" si="6"/>
        <v>0.84</v>
      </c>
      <c r="J100" s="31">
        <f t="shared" si="7"/>
        <v>0.88700000000000001</v>
      </c>
      <c r="K100" s="31">
        <f t="shared" si="8"/>
        <v>0.6</v>
      </c>
      <c r="L100" s="31">
        <f t="shared" si="9"/>
        <v>0</v>
      </c>
      <c r="M100" s="31">
        <f t="shared" si="10"/>
        <v>0</v>
      </c>
      <c r="N100" t="e">
        <f>VLOOKUP(A100,#REF!,11,0)</f>
        <v>#REF!</v>
      </c>
      <c r="O100" t="e">
        <f>VLOOKUP(A100,#REF!,12,0)</f>
        <v>#REF!</v>
      </c>
      <c r="P100" t="e">
        <f>VLOOKUP(A100,#REF!,13,0)</f>
        <v>#REF!</v>
      </c>
      <c r="Q100" t="e">
        <f>VLOOKUP(A100,#REF!,14,0)</f>
        <v>#REF!</v>
      </c>
      <c r="R100">
        <v>-1.0204901736992129</v>
      </c>
      <c r="S100">
        <v>2.5902610371310302</v>
      </c>
      <c r="T100" s="31" t="str">
        <f>VLOOKUP(C100,V:W,2,0)</f>
        <v>CAN</v>
      </c>
      <c r="U100" t="str">
        <f t="shared" si="11"/>
        <v/>
      </c>
    </row>
    <row r="101" spans="1:21" x14ac:dyDescent="0.25">
      <c r="A101" s="31" t="s">
        <v>842</v>
      </c>
      <c r="B101" s="31" t="s">
        <v>842</v>
      </c>
      <c r="C101" s="31" t="s">
        <v>1227</v>
      </c>
      <c r="D101" s="31">
        <f>IFERROR(ROUND(VLOOKUP(A101,institutions!A:E,4,0),2),"")</f>
        <v>2.79</v>
      </c>
      <c r="E101" s="31">
        <f>IFERROR(ROUND(VLOOKUP(A101,institutions!A:X,7,0),2),"")</f>
        <v>3.04</v>
      </c>
      <c r="F101" s="31">
        <f>IFERROR(ROUND(VLOOKUP(A101,institutions!A:X,10,0),2),"")</f>
        <v>1.97</v>
      </c>
      <c r="G101" s="31">
        <f>IFERROR(ROUND(VLOOKUP(A101,institutions!A:X,13,0),2),"")</f>
        <v>2.14</v>
      </c>
      <c r="H101" s="31">
        <f>IFERROR(ROUND(VLOOKUP(A101,institutions!A:X,16,0),2),"")</f>
        <v>2.17</v>
      </c>
      <c r="I101" s="31">
        <f t="shared" si="6"/>
        <v>0.84299999999999997</v>
      </c>
      <c r="J101" s="31">
        <f t="shared" si="7"/>
        <v>0.92200000000000004</v>
      </c>
      <c r="K101" s="31">
        <f t="shared" si="8"/>
        <v>0.74</v>
      </c>
      <c r="L101" s="31">
        <f t="shared" si="9"/>
        <v>0.53200000000000003</v>
      </c>
      <c r="M101" s="31">
        <f t="shared" si="10"/>
        <v>0.40300000000000002</v>
      </c>
      <c r="N101" t="e">
        <f>VLOOKUP(A101,#REF!,11,0)</f>
        <v>#REF!</v>
      </c>
      <c r="O101" t="e">
        <f>VLOOKUP(A101,#REF!,12,0)</f>
        <v>#REF!</v>
      </c>
      <c r="P101" t="e">
        <f>VLOOKUP(A101,#REF!,13,0)</f>
        <v>#REF!</v>
      </c>
      <c r="Q101" t="e">
        <f>VLOOKUP(A101,#REF!,14,0)</f>
        <v>#REF!</v>
      </c>
      <c r="R101">
        <v>0.95198709625939404</v>
      </c>
      <c r="S101">
        <v>1.343147854843797</v>
      </c>
      <c r="T101" s="31" t="str">
        <f>VLOOKUP(C101,V:W,2,0)</f>
        <v>BEL</v>
      </c>
      <c r="U101" t="str">
        <f t="shared" si="11"/>
        <v/>
      </c>
    </row>
    <row r="102" spans="1:21" x14ac:dyDescent="0.25">
      <c r="A102" s="31" t="s">
        <v>719</v>
      </c>
      <c r="B102" s="31" t="s">
        <v>1696</v>
      </c>
      <c r="C102" s="31" t="s">
        <v>1217</v>
      </c>
      <c r="D102" s="31">
        <f>IFERROR(ROUND(VLOOKUP(A102,institutions!A:E,4,0),2),"")</f>
        <v>2.82</v>
      </c>
      <c r="E102" s="31">
        <f>IFERROR(ROUND(VLOOKUP(A102,institutions!A:X,7,0),2),"")</f>
        <v>2.2400000000000002</v>
      </c>
      <c r="F102" s="31">
        <f>IFERROR(ROUND(VLOOKUP(A102,institutions!A:X,10,0),2),"")</f>
        <v>2.61</v>
      </c>
      <c r="G102" s="31">
        <f>IFERROR(ROUND(VLOOKUP(A102,institutions!A:X,13,0),2),"")</f>
        <v>3.29</v>
      </c>
      <c r="H102" s="31">
        <f>IFERROR(ROUND(VLOOKUP(A102,institutions!A:X,16,0),2),"")</f>
        <v>4.46</v>
      </c>
      <c r="I102" s="31">
        <f t="shared" si="6"/>
        <v>0.84499999999999997</v>
      </c>
      <c r="J102" s="31">
        <f t="shared" si="7"/>
        <v>0.82499999999999996</v>
      </c>
      <c r="K102" s="31">
        <f t="shared" si="8"/>
        <v>0.84499999999999997</v>
      </c>
      <c r="L102" s="31">
        <f t="shared" si="9"/>
        <v>0.85799999999999998</v>
      </c>
      <c r="M102" s="31">
        <f t="shared" si="10"/>
        <v>0.91500000000000004</v>
      </c>
      <c r="N102" t="e">
        <f>VLOOKUP(A102,#REF!,11,0)</f>
        <v>#REF!</v>
      </c>
      <c r="O102" t="e">
        <f>VLOOKUP(A102,#REF!,12,0)</f>
        <v>#REF!</v>
      </c>
      <c r="P102" t="e">
        <f>VLOOKUP(A102,#REF!,13,0)</f>
        <v>#REF!</v>
      </c>
      <c r="Q102" t="e">
        <f>VLOOKUP(A102,#REF!,14,0)</f>
        <v>#REF!</v>
      </c>
      <c r="R102">
        <v>2.4826387901648199</v>
      </c>
      <c r="S102">
        <v>-6.6427601328793259E-2</v>
      </c>
      <c r="T102" s="31" t="str">
        <f>VLOOKUP(C102,V:W,2,0)</f>
        <v>USA</v>
      </c>
      <c r="U102" t="str">
        <f t="shared" si="11"/>
        <v/>
      </c>
    </row>
    <row r="103" spans="1:21" x14ac:dyDescent="0.25">
      <c r="A103" s="31" t="s">
        <v>926</v>
      </c>
      <c r="B103" s="31" t="s">
        <v>1543</v>
      </c>
      <c r="C103" s="31" t="s">
        <v>1228</v>
      </c>
      <c r="D103" s="31">
        <f>IFERROR(ROUND(VLOOKUP(A103,institutions!A:E,4,0),2),"")</f>
        <v>2.67</v>
      </c>
      <c r="E103" s="31">
        <f>IFERROR(ROUND(VLOOKUP(A103,institutions!A:X,7,0),2),"")</f>
        <v>2.66</v>
      </c>
      <c r="F103" s="31">
        <f>IFERROR(ROUND(VLOOKUP(A103,institutions!A:X,10,0),2),"")</f>
        <v>2.2999999999999998</v>
      </c>
      <c r="G103" s="31">
        <f>IFERROR(ROUND(VLOOKUP(A103,institutions!A:X,13,0),2),"")</f>
        <v>2.36</v>
      </c>
      <c r="H103" s="31">
        <f>IFERROR(ROUND(VLOOKUP(A103,institutions!A:X,16,0),2),"")</f>
        <v>2.5499999999999998</v>
      </c>
      <c r="I103" s="31">
        <f t="shared" si="6"/>
        <v>0.82799999999999996</v>
      </c>
      <c r="J103" s="31">
        <f t="shared" si="7"/>
        <v>0.88300000000000001</v>
      </c>
      <c r="K103" s="31">
        <f t="shared" si="8"/>
        <v>0.80300000000000005</v>
      </c>
      <c r="L103" s="31">
        <f t="shared" si="9"/>
        <v>0.61799999999999999</v>
      </c>
      <c r="M103" s="31">
        <f t="shared" si="10"/>
        <v>0.56499999999999995</v>
      </c>
      <c r="N103" t="e">
        <f>VLOOKUP(A103,#REF!,11,0)</f>
        <v>#REF!</v>
      </c>
      <c r="O103" t="e">
        <f>VLOOKUP(A103,#REF!,12,0)</f>
        <v>#REF!</v>
      </c>
      <c r="P103" t="e">
        <f>VLOOKUP(A103,#REF!,13,0)</f>
        <v>#REF!</v>
      </c>
      <c r="Q103" t="e">
        <f>VLOOKUP(A103,#REF!,14,0)</f>
        <v>#REF!</v>
      </c>
      <c r="R103">
        <v>1.4432672872757391</v>
      </c>
      <c r="S103">
        <v>0.95130805609889491</v>
      </c>
      <c r="T103" s="31" t="str">
        <f>VLOOKUP(C103,V:W,2,0)</f>
        <v>DEN</v>
      </c>
      <c r="U103" t="str">
        <f t="shared" si="11"/>
        <v/>
      </c>
    </row>
    <row r="104" spans="1:21" x14ac:dyDescent="0.25">
      <c r="A104" s="31" t="s">
        <v>715</v>
      </c>
      <c r="B104" s="31" t="s">
        <v>1539</v>
      </c>
      <c r="C104" s="31" t="s">
        <v>1217</v>
      </c>
      <c r="D104" s="31">
        <f>IFERROR(ROUND(VLOOKUP(A104,institutions!A:E,4,0),2),"")</f>
        <v>2.74</v>
      </c>
      <c r="E104" s="31">
        <f>IFERROR(ROUND(VLOOKUP(A104,institutions!A:X,7,0),2),"")</f>
        <v>1.69</v>
      </c>
      <c r="F104" s="31">
        <f>IFERROR(ROUND(VLOOKUP(A104,institutions!A:X,10,0),2),"")</f>
        <v>3.36</v>
      </c>
      <c r="G104" s="31">
        <f>IFERROR(ROUND(VLOOKUP(A104,institutions!A:X,13,0),2),"")</f>
        <v>3.2</v>
      </c>
      <c r="H104" s="31">
        <f>IFERROR(ROUND(VLOOKUP(A104,institutions!A:X,16,0),2),"")</f>
        <v>4.01</v>
      </c>
      <c r="I104" s="31">
        <f t="shared" si="6"/>
        <v>0.83799999999999997</v>
      </c>
      <c r="J104" s="31">
        <f t="shared" si="7"/>
        <v>0.63200000000000001</v>
      </c>
      <c r="K104" s="31">
        <f t="shared" si="8"/>
        <v>0.90700000000000003</v>
      </c>
      <c r="L104" s="31">
        <f t="shared" si="9"/>
        <v>0.84699999999999998</v>
      </c>
      <c r="M104" s="31">
        <f t="shared" si="10"/>
        <v>0.877</v>
      </c>
      <c r="N104" t="e">
        <f>VLOOKUP(A104,#REF!,11,0)</f>
        <v>#REF!</v>
      </c>
      <c r="O104" t="e">
        <f>VLOOKUP(A104,#REF!,12,0)</f>
        <v>#REF!</v>
      </c>
      <c r="P104" t="e">
        <f>VLOOKUP(A104,#REF!,13,0)</f>
        <v>#REF!</v>
      </c>
      <c r="Q104" t="e">
        <f>VLOOKUP(A104,#REF!,14,0)</f>
        <v>#REF!</v>
      </c>
      <c r="R104">
        <v>2.1915137788485359</v>
      </c>
      <c r="S104">
        <v>-0.3097362401531491</v>
      </c>
      <c r="T104" s="31" t="str">
        <f>VLOOKUP(C104,V:W,2,0)</f>
        <v>USA</v>
      </c>
      <c r="U104" t="str">
        <f t="shared" si="11"/>
        <v/>
      </c>
    </row>
    <row r="105" spans="1:21" x14ac:dyDescent="0.25">
      <c r="A105" s="31" t="s">
        <v>672</v>
      </c>
      <c r="B105" s="31" t="s">
        <v>2106</v>
      </c>
      <c r="C105" s="31" t="s">
        <v>1217</v>
      </c>
      <c r="D105" s="31">
        <f>IFERROR(ROUND(VLOOKUP(A105,institutions!A:E,4,0),2),"")</f>
        <v>2.73</v>
      </c>
      <c r="E105" s="31">
        <f>IFERROR(ROUND(VLOOKUP(A105,institutions!A:X,7,0),2),"")</f>
        <v>1.81</v>
      </c>
      <c r="F105" s="31">
        <f>IFERROR(ROUND(VLOOKUP(A105,institutions!A:X,10,0),2),"")</f>
        <v>2.84</v>
      </c>
      <c r="G105" s="31">
        <f>IFERROR(ROUND(VLOOKUP(A105,institutions!A:X,13,0),2),"")</f>
        <v>3.54</v>
      </c>
      <c r="H105" s="31">
        <f>IFERROR(ROUND(VLOOKUP(A105,institutions!A:X,16,0),2),"")</f>
        <v>2.66</v>
      </c>
      <c r="I105" s="31">
        <f t="shared" si="6"/>
        <v>0.83199999999999996</v>
      </c>
      <c r="J105" s="31">
        <f t="shared" si="7"/>
        <v>0.68500000000000005</v>
      </c>
      <c r="K105" s="31">
        <f t="shared" si="8"/>
        <v>0.873</v>
      </c>
      <c r="L105" s="31">
        <f t="shared" si="9"/>
        <v>0.89700000000000002</v>
      </c>
      <c r="M105" s="31">
        <f t="shared" si="10"/>
        <v>0.59799999999999998</v>
      </c>
      <c r="N105" t="e">
        <f>VLOOKUP(A105,#REF!,11,0)</f>
        <v>#REF!</v>
      </c>
      <c r="O105" t="e">
        <f>VLOOKUP(A105,#REF!,12,0)</f>
        <v>#REF!</v>
      </c>
      <c r="P105" t="e">
        <f>VLOOKUP(A105,#REF!,13,0)</f>
        <v>#REF!</v>
      </c>
      <c r="Q105" t="e">
        <f>VLOOKUP(A105,#REF!,14,0)</f>
        <v>#REF!</v>
      </c>
      <c r="R105">
        <v>1.803628046748168</v>
      </c>
      <c r="S105">
        <v>0.1131791441825639</v>
      </c>
      <c r="T105" s="31" t="str">
        <f>VLOOKUP(C105,V:W,2,0)</f>
        <v>USA</v>
      </c>
      <c r="U105" t="str">
        <f t="shared" si="11"/>
        <v/>
      </c>
    </row>
    <row r="106" spans="1:21" x14ac:dyDescent="0.25">
      <c r="A106" s="31" t="s">
        <v>773</v>
      </c>
      <c r="B106" s="31" t="s">
        <v>1698</v>
      </c>
      <c r="C106" s="31" t="s">
        <v>1229</v>
      </c>
      <c r="D106" s="31">
        <f>IFERROR(ROUND(VLOOKUP(A106,institutions!A:E,4,0),2),"")</f>
        <v>2.71</v>
      </c>
      <c r="E106" s="31">
        <f>IFERROR(ROUND(VLOOKUP(A106,institutions!A:X,7,0),2),"")</f>
        <v>2.74</v>
      </c>
      <c r="F106" s="31">
        <f>IFERROR(ROUND(VLOOKUP(A106,institutions!A:X,10,0),2),"")</f>
        <v>2.0099999999999998</v>
      </c>
      <c r="G106" s="31">
        <f>IFERROR(ROUND(VLOOKUP(A106,institutions!A:X,13,0),2),"")</f>
        <v>2.76</v>
      </c>
      <c r="H106" s="31">
        <f>IFERROR(ROUND(VLOOKUP(A106,institutions!A:X,16,0),2),"")</f>
        <v>3.33</v>
      </c>
      <c r="I106" s="31">
        <f t="shared" si="6"/>
        <v>0.83</v>
      </c>
      <c r="J106" s="31">
        <f t="shared" si="7"/>
        <v>0.89</v>
      </c>
      <c r="K106" s="31">
        <f t="shared" si="8"/>
        <v>0.745</v>
      </c>
      <c r="L106" s="31">
        <f t="shared" si="9"/>
        <v>0.76200000000000001</v>
      </c>
      <c r="M106" s="31">
        <f t="shared" si="10"/>
        <v>0.74299999999999999</v>
      </c>
      <c r="N106" t="e">
        <f>VLOOKUP(A106,#REF!,11,0)</f>
        <v>#REF!</v>
      </c>
      <c r="O106" t="e">
        <f>VLOOKUP(A106,#REF!,12,0)</f>
        <v>#REF!</v>
      </c>
      <c r="P106" t="e">
        <f>VLOOKUP(A106,#REF!,13,0)</f>
        <v>#REF!</v>
      </c>
      <c r="Q106" t="e">
        <f>VLOOKUP(A106,#REF!,14,0)</f>
        <v>#REF!</v>
      </c>
      <c r="R106">
        <v>1.9338381081043821</v>
      </c>
      <c r="S106">
        <v>0.35961446112606421</v>
      </c>
      <c r="T106" s="31" t="str">
        <f>VLOOKUP(C106,V:W,2,0)</f>
        <v>SWE</v>
      </c>
      <c r="U106" t="str">
        <f t="shared" si="11"/>
        <v/>
      </c>
    </row>
    <row r="107" spans="1:21" x14ac:dyDescent="0.25">
      <c r="A107" s="31" t="s">
        <v>705</v>
      </c>
      <c r="B107" s="31" t="s">
        <v>1900</v>
      </c>
      <c r="C107" s="31" t="s">
        <v>1224</v>
      </c>
      <c r="D107" s="31">
        <f>IFERROR(ROUND(VLOOKUP(A107,institutions!A:E,4,0),2),"")</f>
        <v>2.74</v>
      </c>
      <c r="E107" s="31">
        <f>IFERROR(ROUND(VLOOKUP(A107,institutions!A:X,7,0),2),"")</f>
        <v>2.4300000000000002</v>
      </c>
      <c r="F107" s="31">
        <f>IFERROR(ROUND(VLOOKUP(A107,institutions!A:X,10,0),2),"")</f>
        <v>1.67</v>
      </c>
      <c r="G107" s="31">
        <f>IFERROR(ROUND(VLOOKUP(A107,institutions!A:X,13,0),2),"")</f>
        <v>3.1</v>
      </c>
      <c r="H107" s="31">
        <f>IFERROR(ROUND(VLOOKUP(A107,institutions!A:X,16,0),2),"")</f>
        <v>3.83</v>
      </c>
      <c r="I107" s="31">
        <f t="shared" si="6"/>
        <v>0.83799999999999997</v>
      </c>
      <c r="J107" s="31">
        <f t="shared" si="7"/>
        <v>0.85799999999999998</v>
      </c>
      <c r="K107" s="31">
        <f t="shared" si="8"/>
        <v>0.625</v>
      </c>
      <c r="L107" s="31">
        <f t="shared" si="9"/>
        <v>0.83299999999999996</v>
      </c>
      <c r="M107" s="31">
        <f t="shared" si="10"/>
        <v>0.85799999999999998</v>
      </c>
      <c r="N107" t="e">
        <f>VLOOKUP(A107,#REF!,11,0)</f>
        <v>#REF!</v>
      </c>
      <c r="O107" t="e">
        <f>VLOOKUP(A107,#REF!,12,0)</f>
        <v>#REF!</v>
      </c>
      <c r="P107" t="e">
        <f>VLOOKUP(A107,#REF!,13,0)</f>
        <v>#REF!</v>
      </c>
      <c r="Q107" t="e">
        <f>VLOOKUP(A107,#REF!,14,0)</f>
        <v>#REF!</v>
      </c>
      <c r="R107">
        <v>2.012024377195833</v>
      </c>
      <c r="S107">
        <v>-0.18402510382736331</v>
      </c>
      <c r="T107" s="31" t="str">
        <f>VLOOKUP(C107,V:W,2,0)</f>
        <v>CAN</v>
      </c>
      <c r="U107" t="str">
        <f t="shared" si="11"/>
        <v/>
      </c>
    </row>
    <row r="108" spans="1:21" x14ac:dyDescent="0.25">
      <c r="A108" s="31" t="s">
        <v>707</v>
      </c>
      <c r="B108" s="31" t="s">
        <v>2099</v>
      </c>
      <c r="C108" s="31" t="s">
        <v>1223</v>
      </c>
      <c r="D108" s="31">
        <f>IFERROR(ROUND(VLOOKUP(A108,institutions!A:E,4,0),2),"")</f>
        <v>2.61</v>
      </c>
      <c r="E108" s="31">
        <f>IFERROR(ROUND(VLOOKUP(A108,institutions!A:X,7,0),2),"")</f>
        <v>2.1800000000000002</v>
      </c>
      <c r="F108" s="31">
        <f>IFERROR(ROUND(VLOOKUP(A108,institutions!A:X,10,0),2),"")</f>
        <v>2.75</v>
      </c>
      <c r="G108" s="31">
        <f>IFERROR(ROUND(VLOOKUP(A108,institutions!A:X,13,0),2),"")</f>
        <v>2.71</v>
      </c>
      <c r="H108" s="31">
        <f>IFERROR(ROUND(VLOOKUP(A108,institutions!A:X,16,0),2),"")</f>
        <v>2.48</v>
      </c>
      <c r="I108" s="31">
        <f t="shared" si="6"/>
        <v>0.81699999999999995</v>
      </c>
      <c r="J108" s="31">
        <f t="shared" si="7"/>
        <v>0.81200000000000006</v>
      </c>
      <c r="K108" s="31">
        <f t="shared" si="8"/>
        <v>0.86299999999999999</v>
      </c>
      <c r="L108" s="31">
        <f t="shared" si="9"/>
        <v>0.753</v>
      </c>
      <c r="M108" s="31">
        <f t="shared" si="10"/>
        <v>0.53800000000000003</v>
      </c>
      <c r="N108" t="e">
        <f>VLOOKUP(A108,#REF!,11,0)</f>
        <v>#REF!</v>
      </c>
      <c r="O108" t="e">
        <f>VLOOKUP(A108,#REF!,12,0)</f>
        <v>#REF!</v>
      </c>
      <c r="P108" t="e">
        <f>VLOOKUP(A108,#REF!,13,0)</f>
        <v>#REF!</v>
      </c>
      <c r="Q108" t="e">
        <f>VLOOKUP(A108,#REF!,14,0)</f>
        <v>#REF!</v>
      </c>
      <c r="R108">
        <v>1.6243704960042471</v>
      </c>
      <c r="S108">
        <v>0.70490408324772147</v>
      </c>
      <c r="T108" s="31" t="str">
        <f>VLOOKUP(C108,V:W,2,0)</f>
        <v>HKG</v>
      </c>
      <c r="U108" t="str">
        <f t="shared" si="11"/>
        <v/>
      </c>
    </row>
    <row r="109" spans="1:21" x14ac:dyDescent="0.25">
      <c r="A109" s="31" t="s">
        <v>845</v>
      </c>
      <c r="B109" s="31" t="s">
        <v>1702</v>
      </c>
      <c r="C109" s="31" t="s">
        <v>1229</v>
      </c>
      <c r="D109" s="31">
        <f>IFERROR(ROUND(VLOOKUP(A109,institutions!A:E,4,0),2),"")</f>
        <v>2.61</v>
      </c>
      <c r="E109" s="31">
        <f>IFERROR(ROUND(VLOOKUP(A109,institutions!A:X,7,0),2),"")</f>
        <v>3.05</v>
      </c>
      <c r="F109" s="31">
        <f>IFERROR(ROUND(VLOOKUP(A109,institutions!A:X,10,0),2),"")</f>
        <v>1.56</v>
      </c>
      <c r="G109" s="31">
        <f>IFERROR(ROUND(VLOOKUP(A109,institutions!A:X,13,0),2),"")</f>
        <v>2.14</v>
      </c>
      <c r="H109" s="31">
        <f>IFERROR(ROUND(VLOOKUP(A109,institutions!A:X,16,0),2),"")</f>
        <v>2.31</v>
      </c>
      <c r="I109" s="31">
        <f t="shared" si="6"/>
        <v>0.81699999999999995</v>
      </c>
      <c r="J109" s="31">
        <f t="shared" si="7"/>
        <v>0.92300000000000004</v>
      </c>
      <c r="K109" s="31">
        <f t="shared" si="8"/>
        <v>0.56299999999999994</v>
      </c>
      <c r="L109" s="31">
        <f t="shared" si="9"/>
        <v>0.53200000000000003</v>
      </c>
      <c r="M109" s="31">
        <f t="shared" si="10"/>
        <v>0.46700000000000003</v>
      </c>
      <c r="N109" t="e">
        <f>VLOOKUP(A109,#REF!,11,0)</f>
        <v>#REF!</v>
      </c>
      <c r="O109" t="e">
        <f>VLOOKUP(A109,#REF!,12,0)</f>
        <v>#REF!</v>
      </c>
      <c r="P109" t="e">
        <f>VLOOKUP(A109,#REF!,13,0)</f>
        <v>#REF!</v>
      </c>
      <c r="Q109" t="e">
        <f>VLOOKUP(A109,#REF!,14,0)</f>
        <v>#REF!</v>
      </c>
      <c r="R109">
        <v>0.76676826773037776</v>
      </c>
      <c r="S109">
        <v>0.98621839374340881</v>
      </c>
      <c r="T109" s="31" t="str">
        <f>VLOOKUP(C109,V:W,2,0)</f>
        <v>SWE</v>
      </c>
      <c r="U109" t="str">
        <f t="shared" si="11"/>
        <v/>
      </c>
    </row>
    <row r="110" spans="1:21" x14ac:dyDescent="0.25">
      <c r="A110" s="31" t="s">
        <v>813</v>
      </c>
      <c r="B110" s="31" t="s">
        <v>1533</v>
      </c>
      <c r="C110" s="31" t="s">
        <v>1217</v>
      </c>
      <c r="D110" s="31">
        <f>IFERROR(ROUND(VLOOKUP(A110,institutions!A:E,4,0),2),"")</f>
        <v>2.61</v>
      </c>
      <c r="E110" s="31">
        <f>IFERROR(ROUND(VLOOKUP(A110,institutions!A:X,7,0),2),"")</f>
        <v>2</v>
      </c>
      <c r="F110" s="31">
        <f>IFERROR(ROUND(VLOOKUP(A110,institutions!A:X,10,0),2),"")</f>
        <v>3.14</v>
      </c>
      <c r="G110" s="31">
        <f>IFERROR(ROUND(VLOOKUP(A110,institutions!A:X,13,0),2),"")</f>
        <v>3.63</v>
      </c>
      <c r="H110" s="31">
        <f>IFERROR(ROUND(VLOOKUP(A110,institutions!A:X,16,0),2),"")</f>
        <v>3.55</v>
      </c>
      <c r="I110" s="31">
        <f t="shared" si="6"/>
        <v>0.81699999999999995</v>
      </c>
      <c r="J110" s="31">
        <f t="shared" si="7"/>
        <v>0.753</v>
      </c>
      <c r="K110" s="31">
        <f t="shared" si="8"/>
        <v>0.89200000000000002</v>
      </c>
      <c r="L110" s="31">
        <f t="shared" si="9"/>
        <v>0.90700000000000003</v>
      </c>
      <c r="M110" s="31">
        <f t="shared" si="10"/>
        <v>0.80500000000000005</v>
      </c>
      <c r="N110" t="e">
        <f>VLOOKUP(A110,#REF!,11,0)</f>
        <v>#REF!</v>
      </c>
      <c r="O110" t="e">
        <f>VLOOKUP(A110,#REF!,12,0)</f>
        <v>#REF!</v>
      </c>
      <c r="P110" t="e">
        <f>VLOOKUP(A110,#REF!,13,0)</f>
        <v>#REF!</v>
      </c>
      <c r="Q110" t="e">
        <f>VLOOKUP(A110,#REF!,14,0)</f>
        <v>#REF!</v>
      </c>
      <c r="R110">
        <v>2.3365494345404052</v>
      </c>
      <c r="S110">
        <v>-5.8952104332889527E-2</v>
      </c>
      <c r="T110" s="31" t="str">
        <f>VLOOKUP(C110,V:W,2,0)</f>
        <v>USA</v>
      </c>
      <c r="U110" t="str">
        <f t="shared" si="11"/>
        <v/>
      </c>
    </row>
    <row r="111" spans="1:21" x14ac:dyDescent="0.25">
      <c r="A111" s="31" t="s">
        <v>655</v>
      </c>
      <c r="B111" s="31" t="s">
        <v>2104</v>
      </c>
      <c r="C111" s="31" t="s">
        <v>1222</v>
      </c>
      <c r="D111" s="31">
        <f>IFERROR(ROUND(VLOOKUP(A111,institutions!A:E,4,0),2),"")</f>
        <v>2.58</v>
      </c>
      <c r="E111" s="31">
        <f>IFERROR(ROUND(VLOOKUP(A111,institutions!A:X,7,0),2),"")</f>
        <v>1.39</v>
      </c>
      <c r="F111" s="31">
        <f>IFERROR(ROUND(VLOOKUP(A111,institutions!A:X,10,0),2),"")</f>
        <v>1.71</v>
      </c>
      <c r="G111" s="31">
        <f>IFERROR(ROUND(VLOOKUP(A111,institutions!A:X,13,0),2),"")</f>
        <v>3.18</v>
      </c>
      <c r="H111" s="31">
        <f>IFERROR(ROUND(VLOOKUP(A111,institutions!A:X,16,0),2),"")</f>
        <v>3.6</v>
      </c>
      <c r="I111" s="31">
        <f t="shared" si="6"/>
        <v>0.81</v>
      </c>
      <c r="J111" s="31">
        <f t="shared" si="7"/>
        <v>0.39200000000000002</v>
      </c>
      <c r="K111" s="31">
        <f t="shared" si="8"/>
        <v>0.64500000000000002</v>
      </c>
      <c r="L111" s="31">
        <f t="shared" si="9"/>
        <v>0.84199999999999997</v>
      </c>
      <c r="M111" s="31">
        <f t="shared" si="10"/>
        <v>0.81299999999999994</v>
      </c>
      <c r="N111" t="e">
        <f>VLOOKUP(A111,#REF!,11,0)</f>
        <v>#REF!</v>
      </c>
      <c r="O111" t="e">
        <f>VLOOKUP(A111,#REF!,12,0)</f>
        <v>#REF!</v>
      </c>
      <c r="P111" t="e">
        <f>VLOOKUP(A111,#REF!,13,0)</f>
        <v>#REF!</v>
      </c>
      <c r="Q111" t="e">
        <f>VLOOKUP(A111,#REF!,14,0)</f>
        <v>#REF!</v>
      </c>
      <c r="R111">
        <v>1.235411193172701</v>
      </c>
      <c r="S111">
        <v>-1.0936210551094521</v>
      </c>
      <c r="T111" s="31" t="str">
        <f>VLOOKUP(C111,V:W,2,0)</f>
        <v>ITA</v>
      </c>
      <c r="U111" t="str">
        <f t="shared" si="11"/>
        <v/>
      </c>
    </row>
    <row r="112" spans="1:21" x14ac:dyDescent="0.25">
      <c r="A112" s="31" t="s">
        <v>861</v>
      </c>
      <c r="B112" s="31" t="s">
        <v>1536</v>
      </c>
      <c r="C112" s="31" t="s">
        <v>1216</v>
      </c>
      <c r="D112" s="31">
        <f>IFERROR(ROUND(VLOOKUP(A112,institutions!A:E,4,0),2),"")</f>
        <v>2.58</v>
      </c>
      <c r="E112" s="31">
        <f>IFERROR(ROUND(VLOOKUP(A112,institutions!A:X,7,0),2),"")</f>
        <v>2.39</v>
      </c>
      <c r="F112" s="31">
        <f>IFERROR(ROUND(VLOOKUP(A112,institutions!A:X,10,0),2),"")</f>
        <v>2.13</v>
      </c>
      <c r="G112" s="31">
        <f>IFERROR(ROUND(VLOOKUP(A112,institutions!A:X,13,0),2),"")</f>
        <v>2.4500000000000002</v>
      </c>
      <c r="H112" s="31">
        <f>IFERROR(ROUND(VLOOKUP(A112,institutions!A:X,16,0),2),"")</f>
        <v>4.0199999999999996</v>
      </c>
      <c r="I112" s="31">
        <f t="shared" si="6"/>
        <v>0.81</v>
      </c>
      <c r="J112" s="31">
        <f t="shared" si="7"/>
        <v>0.85299999999999998</v>
      </c>
      <c r="K112" s="31">
        <f t="shared" si="8"/>
        <v>0.78</v>
      </c>
      <c r="L112" s="31">
        <f t="shared" si="9"/>
        <v>0.66800000000000004</v>
      </c>
      <c r="M112" s="31">
        <f t="shared" si="10"/>
        <v>0.878</v>
      </c>
      <c r="N112" t="e">
        <f>VLOOKUP(A112,#REF!,11,0)</f>
        <v>#REF!</v>
      </c>
      <c r="O112" t="e">
        <f>VLOOKUP(A112,#REF!,12,0)</f>
        <v>#REF!</v>
      </c>
      <c r="P112" t="e">
        <f>VLOOKUP(A112,#REF!,13,0)</f>
        <v>#REF!</v>
      </c>
      <c r="Q112" t="e">
        <f>VLOOKUP(A112,#REF!,14,0)</f>
        <v>#REF!</v>
      </c>
      <c r="R112">
        <v>2.0104535836553592</v>
      </c>
      <c r="S112">
        <v>0.2740264494924009</v>
      </c>
      <c r="T112" s="31" t="str">
        <f>VLOOKUP(C112,V:W,2,0)</f>
        <v>UK</v>
      </c>
      <c r="U112" t="str">
        <f t="shared" si="11"/>
        <v/>
      </c>
    </row>
    <row r="113" spans="1:21" x14ac:dyDescent="0.25">
      <c r="A113" s="31" t="s">
        <v>662</v>
      </c>
      <c r="B113" s="31" t="s">
        <v>1902</v>
      </c>
      <c r="C113" s="31" t="s">
        <v>1271</v>
      </c>
      <c r="D113" s="31">
        <f>IFERROR(ROUND(VLOOKUP(A113,institutions!A:E,4,0),2),"")</f>
        <v>2.83</v>
      </c>
      <c r="E113" s="31">
        <f>IFERROR(ROUND(VLOOKUP(A113,institutions!A:X,7,0),2),"")</f>
        <v>1.34</v>
      </c>
      <c r="F113" s="31">
        <f>IFERROR(ROUND(VLOOKUP(A113,institutions!A:X,10,0),2),"")</f>
        <v>1.4</v>
      </c>
      <c r="G113" s="31">
        <f>IFERROR(ROUND(VLOOKUP(A113,institutions!A:X,13,0),2),"")</f>
        <v>3.59</v>
      </c>
      <c r="H113" s="31">
        <f>IFERROR(ROUND(VLOOKUP(A113,institutions!A:X,16,0),2),"")</f>
        <v>3.96</v>
      </c>
      <c r="I113" s="31">
        <f t="shared" si="6"/>
        <v>0.84799999999999998</v>
      </c>
      <c r="J113" s="31">
        <f t="shared" si="7"/>
        <v>0.34200000000000003</v>
      </c>
      <c r="K113" s="31">
        <f t="shared" si="8"/>
        <v>0.44</v>
      </c>
      <c r="L113" s="31">
        <f t="shared" si="9"/>
        <v>0.90300000000000002</v>
      </c>
      <c r="M113" s="31">
        <f t="shared" si="10"/>
        <v>0.87</v>
      </c>
      <c r="N113" t="e">
        <f>VLOOKUP(A113,#REF!,11,0)</f>
        <v>#REF!</v>
      </c>
      <c r="O113" t="e">
        <f>VLOOKUP(A113,#REF!,12,0)</f>
        <v>#REF!</v>
      </c>
      <c r="P113" t="e">
        <f>VLOOKUP(A113,#REF!,13,0)</f>
        <v>#REF!</v>
      </c>
      <c r="Q113" t="e">
        <f>VLOOKUP(A113,#REF!,14,0)</f>
        <v>#REF!</v>
      </c>
      <c r="R113">
        <v>1.0169916076657191</v>
      </c>
      <c r="S113">
        <v>-1.6907269476887929</v>
      </c>
      <c r="T113" s="31" t="str">
        <f>VLOOKUP(C113,V:W,2,0)</f>
        <v>DEU</v>
      </c>
      <c r="U113" t="str">
        <f t="shared" si="11"/>
        <v>Leuphana</v>
      </c>
    </row>
    <row r="114" spans="1:21" x14ac:dyDescent="0.25">
      <c r="A114" s="31" t="s">
        <v>792</v>
      </c>
      <c r="B114" s="31" t="s">
        <v>1889</v>
      </c>
      <c r="C114" s="31" t="s">
        <v>1239</v>
      </c>
      <c r="D114" s="31">
        <f>IFERROR(ROUND(VLOOKUP(A114,institutions!A:E,4,0),2),"")</f>
        <v>2.5099999999999998</v>
      </c>
      <c r="E114" s="31">
        <f>IFERROR(ROUND(VLOOKUP(A114,institutions!A:X,7,0),2),"")</f>
        <v>2.39</v>
      </c>
      <c r="F114" s="31">
        <f>IFERROR(ROUND(VLOOKUP(A114,institutions!A:X,10,0),2),"")</f>
        <v>1.21</v>
      </c>
      <c r="G114" s="31">
        <f>IFERROR(ROUND(VLOOKUP(A114,institutions!A:X,13,0),2),"")</f>
        <v>3.16</v>
      </c>
      <c r="H114" s="31">
        <f>IFERROR(ROUND(VLOOKUP(A114,institutions!A:X,16,0),2),"")</f>
        <v>3.11</v>
      </c>
      <c r="I114" s="31">
        <f t="shared" si="6"/>
        <v>0.78500000000000003</v>
      </c>
      <c r="J114" s="31">
        <f t="shared" si="7"/>
        <v>0.85299999999999998</v>
      </c>
      <c r="K114" s="31">
        <f t="shared" si="8"/>
        <v>0.245</v>
      </c>
      <c r="L114" s="31">
        <f t="shared" si="9"/>
        <v>0.83799999999999997</v>
      </c>
      <c r="M114" s="31">
        <f t="shared" si="10"/>
        <v>0.70299999999999996</v>
      </c>
      <c r="N114" t="e">
        <f>VLOOKUP(A114,#REF!,11,0)</f>
        <v>#REF!</v>
      </c>
      <c r="O114" t="e">
        <f>VLOOKUP(A114,#REF!,12,0)</f>
        <v>#REF!</v>
      </c>
      <c r="P114" t="e">
        <f>VLOOKUP(A114,#REF!,13,0)</f>
        <v>#REF!</v>
      </c>
      <c r="Q114" t="e">
        <f>VLOOKUP(A114,#REF!,14,0)</f>
        <v>#REF!</v>
      </c>
      <c r="R114">
        <v>1.083830035615643</v>
      </c>
      <c r="S114">
        <v>-0.51013002958738363</v>
      </c>
      <c r="T114" s="31" t="str">
        <f>VLOOKUP(C114,V:W,2,0)</f>
        <v>CHL</v>
      </c>
      <c r="U114" t="str">
        <f t="shared" si="11"/>
        <v/>
      </c>
    </row>
    <row r="115" spans="1:21" x14ac:dyDescent="0.25">
      <c r="A115" s="31" t="s">
        <v>809</v>
      </c>
      <c r="B115" s="31" t="s">
        <v>2105</v>
      </c>
      <c r="C115" s="31" t="s">
        <v>1217</v>
      </c>
      <c r="D115" s="31">
        <f>IFERROR(ROUND(VLOOKUP(A115,institutions!A:E,4,0),2),"")</f>
        <v>2.62</v>
      </c>
      <c r="E115" s="31">
        <f>IFERROR(ROUND(VLOOKUP(A115,institutions!A:X,7,0),2),"")</f>
        <v>2.1</v>
      </c>
      <c r="F115" s="31">
        <f>IFERROR(ROUND(VLOOKUP(A115,institutions!A:X,10,0),2),"")</f>
        <v>4.47</v>
      </c>
      <c r="G115" s="31">
        <f>IFERROR(ROUND(VLOOKUP(A115,institutions!A:X,13,0),2),"")</f>
        <v>2.2799999999999998</v>
      </c>
      <c r="H115" s="31">
        <f>IFERROR(ROUND(VLOOKUP(A115,institutions!A:X,16,0),2),"")</f>
        <v>4.45</v>
      </c>
      <c r="I115" s="31">
        <f t="shared" si="6"/>
        <v>0.81799999999999995</v>
      </c>
      <c r="J115" s="31">
        <f t="shared" si="7"/>
        <v>0.78800000000000003</v>
      </c>
      <c r="K115" s="31">
        <f t="shared" si="8"/>
        <v>0.96499999999999997</v>
      </c>
      <c r="L115" s="31">
        <f t="shared" si="9"/>
        <v>0.59299999999999997</v>
      </c>
      <c r="M115" s="31">
        <f t="shared" si="10"/>
        <v>0.91200000000000003</v>
      </c>
      <c r="N115" t="e">
        <f>VLOOKUP(A115,#REF!,11,0)</f>
        <v>#REF!</v>
      </c>
      <c r="O115" t="e">
        <f>VLOOKUP(A115,#REF!,12,0)</f>
        <v>#REF!</v>
      </c>
      <c r="P115" t="e">
        <f>VLOOKUP(A115,#REF!,13,0)</f>
        <v>#REF!</v>
      </c>
      <c r="Q115" t="e">
        <f>VLOOKUP(A115,#REF!,14,0)</f>
        <v>#REF!</v>
      </c>
      <c r="R115">
        <v>2.1500555475406409</v>
      </c>
      <c r="S115">
        <v>0.47545463944262728</v>
      </c>
      <c r="T115" s="31" t="str">
        <f>VLOOKUP(C115,V:W,2,0)</f>
        <v>USA</v>
      </c>
      <c r="U115" t="str">
        <f t="shared" si="11"/>
        <v/>
      </c>
    </row>
    <row r="116" spans="1:21" x14ac:dyDescent="0.25">
      <c r="A116" s="31" t="s">
        <v>683</v>
      </c>
      <c r="B116" s="31" t="s">
        <v>1891</v>
      </c>
      <c r="C116" s="31" t="s">
        <v>1228</v>
      </c>
      <c r="D116" s="31">
        <f>IFERROR(ROUND(VLOOKUP(A116,institutions!A:E,4,0),2),"")</f>
        <v>2.67</v>
      </c>
      <c r="E116" s="31">
        <f>IFERROR(ROUND(VLOOKUP(A116,institutions!A:X,7,0),2),"")</f>
        <v>2.2200000000000002</v>
      </c>
      <c r="F116" s="31">
        <f>IFERROR(ROUND(VLOOKUP(A116,institutions!A:X,10,0),2),"")</f>
        <v>1.92</v>
      </c>
      <c r="G116" s="31">
        <f>IFERROR(ROUND(VLOOKUP(A116,institutions!A:X,13,0),2),"")</f>
        <v>3.1</v>
      </c>
      <c r="H116" s="31">
        <f>IFERROR(ROUND(VLOOKUP(A116,institutions!A:X,16,0),2),"")</f>
        <v>3.68</v>
      </c>
      <c r="I116" s="31">
        <f t="shared" si="6"/>
        <v>0.82799999999999996</v>
      </c>
      <c r="J116" s="31">
        <f t="shared" si="7"/>
        <v>0.82199999999999995</v>
      </c>
      <c r="K116" s="31">
        <f t="shared" si="8"/>
        <v>0.71199999999999997</v>
      </c>
      <c r="L116" s="31">
        <f t="shared" si="9"/>
        <v>0.83299999999999996</v>
      </c>
      <c r="M116" s="31">
        <f t="shared" si="10"/>
        <v>0.83</v>
      </c>
      <c r="N116" t="e">
        <f>VLOOKUP(A116,#REF!,11,0)</f>
        <v>#REF!</v>
      </c>
      <c r="O116" t="e">
        <f>VLOOKUP(A116,#REF!,12,0)</f>
        <v>#REF!</v>
      </c>
      <c r="P116" t="e">
        <f>VLOOKUP(A116,#REF!,13,0)</f>
        <v>#REF!</v>
      </c>
      <c r="Q116" t="e">
        <f>VLOOKUP(A116,#REF!,14,0)</f>
        <v>#REF!</v>
      </c>
      <c r="R116">
        <v>2.0524960329629591</v>
      </c>
      <c r="S116">
        <v>-8.9892680493640742E-2</v>
      </c>
      <c r="T116" s="31" t="str">
        <f>VLOOKUP(C116,V:W,2,0)</f>
        <v>DEN</v>
      </c>
      <c r="U116" t="str">
        <f t="shared" si="11"/>
        <v/>
      </c>
    </row>
    <row r="117" spans="1:21" x14ac:dyDescent="0.25">
      <c r="A117" s="31" t="s">
        <v>731</v>
      </c>
      <c r="B117" s="31" t="s">
        <v>1905</v>
      </c>
      <c r="C117" s="31" t="s">
        <v>1229</v>
      </c>
      <c r="D117" s="31">
        <f>IFERROR(ROUND(VLOOKUP(A117,institutions!A:E,4,0),2),"")</f>
        <v>2.56</v>
      </c>
      <c r="E117" s="31">
        <f>IFERROR(ROUND(VLOOKUP(A117,institutions!A:X,7,0),2),"")</f>
        <v>2.54</v>
      </c>
      <c r="F117" s="31">
        <f>IFERROR(ROUND(VLOOKUP(A117,institutions!A:X,10,0),2),"")</f>
        <v>2.34</v>
      </c>
      <c r="G117" s="31">
        <f>IFERROR(ROUND(VLOOKUP(A117,institutions!A:X,13,0),2),"")</f>
        <v>2.4500000000000002</v>
      </c>
      <c r="H117" s="31">
        <f>IFERROR(ROUND(VLOOKUP(A117,institutions!A:X,16,0),2),"")</f>
        <v>2.78</v>
      </c>
      <c r="I117" s="31">
        <f t="shared" si="6"/>
        <v>0.80200000000000005</v>
      </c>
      <c r="J117" s="31">
        <f t="shared" si="7"/>
        <v>0.87</v>
      </c>
      <c r="K117" s="31">
        <f t="shared" si="8"/>
        <v>0.81699999999999995</v>
      </c>
      <c r="L117" s="31">
        <f t="shared" si="9"/>
        <v>0.66800000000000004</v>
      </c>
      <c r="M117" s="31">
        <f t="shared" si="10"/>
        <v>0.63300000000000001</v>
      </c>
      <c r="N117" t="e">
        <f>VLOOKUP(A117,#REF!,11,0)</f>
        <v>#REF!</v>
      </c>
      <c r="O117" t="e">
        <f>VLOOKUP(A117,#REF!,12,0)</f>
        <v>#REF!</v>
      </c>
      <c r="P117" t="e">
        <f>VLOOKUP(A117,#REF!,13,0)</f>
        <v>#REF!</v>
      </c>
      <c r="Q117" t="e">
        <f>VLOOKUP(A117,#REF!,14,0)</f>
        <v>#REF!</v>
      </c>
      <c r="R117">
        <v>1.658426849727429</v>
      </c>
      <c r="S117">
        <v>0.75276001802499959</v>
      </c>
      <c r="T117" s="31" t="str">
        <f>VLOOKUP(C117,V:W,2,0)</f>
        <v>SWE</v>
      </c>
      <c r="U117" t="str">
        <f t="shared" si="11"/>
        <v/>
      </c>
    </row>
    <row r="118" spans="1:21" x14ac:dyDescent="0.25">
      <c r="A118" s="31" t="s">
        <v>825</v>
      </c>
      <c r="B118" s="31" t="s">
        <v>1710</v>
      </c>
      <c r="C118" s="31" t="s">
        <v>1217</v>
      </c>
      <c r="D118" s="31">
        <f>IFERROR(ROUND(VLOOKUP(A118,institutions!A:E,4,0),2),"")</f>
        <v>2.54</v>
      </c>
      <c r="E118" s="31">
        <f>IFERROR(ROUND(VLOOKUP(A118,institutions!A:X,7,0),2),"")</f>
        <v>2.36</v>
      </c>
      <c r="F118" s="31">
        <f>IFERROR(ROUND(VLOOKUP(A118,institutions!A:X,10,0),2),"")</f>
        <v>4.0199999999999996</v>
      </c>
      <c r="G118" s="31">
        <f>IFERROR(ROUND(VLOOKUP(A118,institutions!A:X,13,0),2),"")</f>
        <v>2.25</v>
      </c>
      <c r="H118" s="31">
        <f>IFERROR(ROUND(VLOOKUP(A118,institutions!A:X,16,0),2),"")</f>
        <v>2.9</v>
      </c>
      <c r="I118" s="31">
        <f t="shared" si="6"/>
        <v>0.79300000000000004</v>
      </c>
      <c r="J118" s="31">
        <f t="shared" si="7"/>
        <v>0.84699999999999998</v>
      </c>
      <c r="K118" s="31">
        <f t="shared" si="8"/>
        <v>0.94799999999999995</v>
      </c>
      <c r="L118" s="31">
        <f t="shared" si="9"/>
        <v>0.57499999999999996</v>
      </c>
      <c r="M118" s="31">
        <f t="shared" si="10"/>
        <v>0.66500000000000004</v>
      </c>
      <c r="N118" t="e">
        <f>VLOOKUP(A118,#REF!,11,0)</f>
        <v>#REF!</v>
      </c>
      <c r="O118" t="e">
        <f>VLOOKUP(A118,#REF!,12,0)</f>
        <v>#REF!</v>
      </c>
      <c r="P118" t="e">
        <f>VLOOKUP(A118,#REF!,13,0)</f>
        <v>#REF!</v>
      </c>
      <c r="Q118" t="e">
        <f>VLOOKUP(A118,#REF!,14,0)</f>
        <v>#REF!</v>
      </c>
      <c r="R118">
        <v>1.737232455043429</v>
      </c>
      <c r="S118">
        <v>0.99845943768020584</v>
      </c>
      <c r="T118" s="31" t="str">
        <f>VLOOKUP(C118,V:W,2,0)</f>
        <v>USA</v>
      </c>
      <c r="U118" t="str">
        <f t="shared" si="11"/>
        <v/>
      </c>
    </row>
    <row r="119" spans="1:21" x14ac:dyDescent="0.25">
      <c r="A119" s="31" t="s">
        <v>735</v>
      </c>
      <c r="B119" s="31" t="s">
        <v>1545</v>
      </c>
      <c r="C119" s="31" t="s">
        <v>1217</v>
      </c>
      <c r="D119" s="31">
        <f>IFERROR(ROUND(VLOOKUP(A119,institutions!A:E,4,0),2),"")</f>
        <v>2.57</v>
      </c>
      <c r="E119" s="31">
        <f>IFERROR(ROUND(VLOOKUP(A119,institutions!A:X,7,0),2),"")</f>
        <v>1.94</v>
      </c>
      <c r="F119" s="31">
        <f>IFERROR(ROUND(VLOOKUP(A119,institutions!A:X,10,0),2),"")</f>
        <v>2.0499999999999998</v>
      </c>
      <c r="G119" s="31">
        <f>IFERROR(ROUND(VLOOKUP(A119,institutions!A:X,13,0),2),"")</f>
        <v>3.88</v>
      </c>
      <c r="H119" s="31">
        <f>IFERROR(ROUND(VLOOKUP(A119,institutions!A:X,16,0),2),"")</f>
        <v>4.95</v>
      </c>
      <c r="I119" s="31">
        <f t="shared" si="6"/>
        <v>0.80500000000000005</v>
      </c>
      <c r="J119" s="31">
        <f t="shared" si="7"/>
        <v>0.73499999999999999</v>
      </c>
      <c r="K119" s="31">
        <f t="shared" si="8"/>
        <v>0.755</v>
      </c>
      <c r="L119" s="31">
        <f t="shared" si="9"/>
        <v>0.93</v>
      </c>
      <c r="M119" s="31">
        <f t="shared" si="10"/>
        <v>0.93799999999999994</v>
      </c>
      <c r="N119" t="e">
        <f>VLOOKUP(A119,#REF!,11,0)</f>
        <v>#REF!</v>
      </c>
      <c r="O119" t="e">
        <f>VLOOKUP(A119,#REF!,12,0)</f>
        <v>#REF!</v>
      </c>
      <c r="P119" t="e">
        <f>VLOOKUP(A119,#REF!,13,0)</f>
        <v>#REF!</v>
      </c>
      <c r="Q119" t="e">
        <f>VLOOKUP(A119,#REF!,14,0)</f>
        <v>#REF!</v>
      </c>
      <c r="R119">
        <v>2.3549253664902539</v>
      </c>
      <c r="S119">
        <v>-0.5460100152521864</v>
      </c>
      <c r="T119" s="31" t="str">
        <f>VLOOKUP(C119,V:W,2,0)</f>
        <v>USA</v>
      </c>
      <c r="U119" t="str">
        <f t="shared" si="11"/>
        <v/>
      </c>
    </row>
    <row r="120" spans="1:21" x14ac:dyDescent="0.25">
      <c r="A120" s="31" t="s">
        <v>713</v>
      </c>
      <c r="B120" s="31" t="s">
        <v>2100</v>
      </c>
      <c r="C120" s="31" t="s">
        <v>1226</v>
      </c>
      <c r="D120" s="31">
        <f>IFERROR(ROUND(VLOOKUP(A120,institutions!A:E,4,0),2),"")</f>
        <v>2.59</v>
      </c>
      <c r="E120" s="31">
        <f>IFERROR(ROUND(VLOOKUP(A120,institutions!A:X,7,0),2),"")</f>
        <v>1.52</v>
      </c>
      <c r="F120" s="31">
        <f>IFERROR(ROUND(VLOOKUP(A120,institutions!A:X,10,0),2),"")</f>
        <v>2.9</v>
      </c>
      <c r="G120" s="31">
        <f>IFERROR(ROUND(VLOOKUP(A120,institutions!A:X,13,0),2),"")</f>
        <v>3.31</v>
      </c>
      <c r="H120" s="31">
        <f>IFERROR(ROUND(VLOOKUP(A120,institutions!A:X,16,0),2),"")</f>
        <v>3.4</v>
      </c>
      <c r="I120" s="31">
        <f t="shared" si="6"/>
        <v>0.81200000000000006</v>
      </c>
      <c r="J120" s="31">
        <f t="shared" si="7"/>
        <v>0.52</v>
      </c>
      <c r="K120" s="31">
        <f t="shared" si="8"/>
        <v>0.88</v>
      </c>
      <c r="L120" s="31">
        <f t="shared" si="9"/>
        <v>0.86299999999999999</v>
      </c>
      <c r="M120" s="31">
        <f t="shared" si="10"/>
        <v>0.77</v>
      </c>
      <c r="N120" t="e">
        <f>VLOOKUP(A120,#REF!,11,0)</f>
        <v>#REF!</v>
      </c>
      <c r="O120" t="e">
        <f>VLOOKUP(A120,#REF!,12,0)</f>
        <v>#REF!</v>
      </c>
      <c r="P120" t="e">
        <f>VLOOKUP(A120,#REF!,13,0)</f>
        <v>#REF!</v>
      </c>
      <c r="Q120" t="e">
        <f>VLOOKUP(A120,#REF!,14,0)</f>
        <v>#REF!</v>
      </c>
      <c r="R120">
        <v>1.801519356048906</v>
      </c>
      <c r="S120">
        <v>-0.44513005538534589</v>
      </c>
      <c r="T120" s="31" t="str">
        <f>VLOOKUP(C120,V:W,2,0)</f>
        <v>SGP</v>
      </c>
      <c r="U120" t="str">
        <f t="shared" si="11"/>
        <v/>
      </c>
    </row>
    <row r="121" spans="1:21" x14ac:dyDescent="0.25">
      <c r="A121" s="31" t="s">
        <v>837</v>
      </c>
      <c r="B121" s="31" t="s">
        <v>1544</v>
      </c>
      <c r="C121" s="31" t="s">
        <v>1271</v>
      </c>
      <c r="D121" s="31">
        <f>IFERROR(ROUND(VLOOKUP(A121,institutions!A:E,4,0),2),"")</f>
        <v>2.54</v>
      </c>
      <c r="E121" s="31">
        <f>IFERROR(ROUND(VLOOKUP(A121,institutions!A:X,7,0),2),"")</f>
        <v>2.14</v>
      </c>
      <c r="F121" s="31">
        <f>IFERROR(ROUND(VLOOKUP(A121,institutions!A:X,10,0),2),"")</f>
        <v>1.39</v>
      </c>
      <c r="G121" s="31">
        <f>IFERROR(ROUND(VLOOKUP(A121,institutions!A:X,13,0),2),"")</f>
        <v>3.98</v>
      </c>
      <c r="H121" s="31">
        <f>IFERROR(ROUND(VLOOKUP(A121,institutions!A:X,16,0),2),"")</f>
        <v>5.71</v>
      </c>
      <c r="I121" s="31">
        <f t="shared" si="6"/>
        <v>0.79300000000000004</v>
      </c>
      <c r="J121" s="31">
        <f t="shared" si="7"/>
        <v>0.80500000000000005</v>
      </c>
      <c r="K121" s="31">
        <f t="shared" si="8"/>
        <v>0.435</v>
      </c>
      <c r="L121" s="31">
        <f t="shared" si="9"/>
        <v>0.94199999999999995</v>
      </c>
      <c r="M121" s="31">
        <f t="shared" si="10"/>
        <v>0.96799999999999997</v>
      </c>
      <c r="N121" t="e">
        <f>VLOOKUP(A121,#REF!,11,0)</f>
        <v>#REF!</v>
      </c>
      <c r="O121" t="e">
        <f>VLOOKUP(A121,#REF!,12,0)</f>
        <v>#REF!</v>
      </c>
      <c r="P121" t="e">
        <f>VLOOKUP(A121,#REF!,13,0)</f>
        <v>#REF!</v>
      </c>
      <c r="Q121" t="e">
        <f>VLOOKUP(A121,#REF!,14,0)</f>
        <v>#REF!</v>
      </c>
      <c r="R121">
        <v>1.9958146644366379</v>
      </c>
      <c r="S121">
        <v>-0.92974668227835233</v>
      </c>
      <c r="T121" s="31" t="str">
        <f>VLOOKUP(C121,V:W,2,0)</f>
        <v>DEU</v>
      </c>
      <c r="U121" t="str">
        <f t="shared" si="11"/>
        <v>Munich</v>
      </c>
    </row>
    <row r="122" spans="1:21" x14ac:dyDescent="0.25">
      <c r="A122" s="31" t="s">
        <v>716</v>
      </c>
      <c r="B122" s="31" t="s">
        <v>1542</v>
      </c>
      <c r="C122" s="31" t="s">
        <v>1219</v>
      </c>
      <c r="D122" s="31">
        <f>IFERROR(ROUND(VLOOKUP(A122,institutions!A:E,4,0),2),"")</f>
        <v>2.56</v>
      </c>
      <c r="E122" s="31">
        <f>IFERROR(ROUND(VLOOKUP(A122,institutions!A:X,7,0),2),"")</f>
        <v>1.96</v>
      </c>
      <c r="F122" s="31">
        <f>IFERROR(ROUND(VLOOKUP(A122,institutions!A:X,10,0),2),"")</f>
        <v>1.58</v>
      </c>
      <c r="G122" s="31">
        <f>IFERROR(ROUND(VLOOKUP(A122,institutions!A:X,13,0),2),"")</f>
        <v>3.04</v>
      </c>
      <c r="H122" s="31">
        <f>IFERROR(ROUND(VLOOKUP(A122,institutions!A:X,16,0),2),"")</f>
        <v>3.53</v>
      </c>
      <c r="I122" s="31">
        <f t="shared" si="6"/>
        <v>0.80200000000000005</v>
      </c>
      <c r="J122" s="31">
        <f t="shared" si="7"/>
        <v>0.74</v>
      </c>
      <c r="K122" s="31">
        <f t="shared" si="8"/>
        <v>0.57799999999999996</v>
      </c>
      <c r="L122" s="31">
        <f t="shared" si="9"/>
        <v>0.81699999999999995</v>
      </c>
      <c r="M122" s="31">
        <f t="shared" si="10"/>
        <v>0.8</v>
      </c>
      <c r="N122" t="e">
        <f>VLOOKUP(A122,#REF!,11,0)</f>
        <v>#REF!</v>
      </c>
      <c r="O122" t="e">
        <f>VLOOKUP(A122,#REF!,12,0)</f>
        <v>#REF!</v>
      </c>
      <c r="P122" t="e">
        <f>VLOOKUP(A122,#REF!,13,0)</f>
        <v>#REF!</v>
      </c>
      <c r="Q122" t="e">
        <f>VLOOKUP(A122,#REF!,14,0)</f>
        <v>#REF!</v>
      </c>
      <c r="R122">
        <v>1.6096344030622309</v>
      </c>
      <c r="S122">
        <v>-0.38573648391175491</v>
      </c>
      <c r="T122" s="31" t="str">
        <f>VLOOKUP(C122,V:W,2,0)</f>
        <v>CHE</v>
      </c>
      <c r="U122" t="str">
        <f t="shared" si="11"/>
        <v/>
      </c>
    </row>
    <row r="123" spans="1:21" x14ac:dyDescent="0.25">
      <c r="A123" s="31" t="s">
        <v>771</v>
      </c>
      <c r="B123" s="31" t="s">
        <v>1709</v>
      </c>
      <c r="C123" s="31" t="s">
        <v>1217</v>
      </c>
      <c r="D123" s="31">
        <f>IFERROR(ROUND(VLOOKUP(A123,institutions!A:E,4,0),2),"")</f>
        <v>2.5099999999999998</v>
      </c>
      <c r="E123" s="31">
        <f>IFERROR(ROUND(VLOOKUP(A123,institutions!A:X,7,0),2),"")</f>
        <v>2.48</v>
      </c>
      <c r="F123" s="31">
        <f>IFERROR(ROUND(VLOOKUP(A123,institutions!A:X,10,0),2),"")</f>
        <v>1.99</v>
      </c>
      <c r="G123" s="31">
        <f>IFERROR(ROUND(VLOOKUP(A123,institutions!A:X,13,0),2),"")</f>
        <v>2.59</v>
      </c>
      <c r="H123" s="31">
        <f>IFERROR(ROUND(VLOOKUP(A123,institutions!A:X,16,0),2),"")</f>
        <v>2.86</v>
      </c>
      <c r="I123" s="31">
        <f t="shared" si="6"/>
        <v>0.78500000000000003</v>
      </c>
      <c r="J123" s="31">
        <f t="shared" si="7"/>
        <v>0.86199999999999999</v>
      </c>
      <c r="K123" s="31">
        <f t="shared" si="8"/>
        <v>0.74199999999999999</v>
      </c>
      <c r="L123" s="31">
        <f t="shared" si="9"/>
        <v>0.71499999999999997</v>
      </c>
      <c r="M123" s="31">
        <f t="shared" si="10"/>
        <v>0.66</v>
      </c>
      <c r="N123" t="e">
        <f>VLOOKUP(A123,#REF!,11,0)</f>
        <v>#REF!</v>
      </c>
      <c r="O123" t="e">
        <f>VLOOKUP(A123,#REF!,12,0)</f>
        <v>#REF!</v>
      </c>
      <c r="P123" t="e">
        <f>VLOOKUP(A123,#REF!,13,0)</f>
        <v>#REF!</v>
      </c>
      <c r="Q123" t="e">
        <f>VLOOKUP(A123,#REF!,14,0)</f>
        <v>#REF!</v>
      </c>
      <c r="R123">
        <v>1.6501394946006891</v>
      </c>
      <c r="S123">
        <v>0.50541209094433659</v>
      </c>
      <c r="T123" s="31" t="str">
        <f>VLOOKUP(C123,V:W,2,0)</f>
        <v>USA</v>
      </c>
      <c r="U123" t="str">
        <f t="shared" si="11"/>
        <v/>
      </c>
    </row>
    <row r="124" spans="1:21" x14ac:dyDescent="0.25">
      <c r="A124" s="31" t="s">
        <v>652</v>
      </c>
      <c r="B124" s="31" t="s">
        <v>1911</v>
      </c>
      <c r="C124" s="31" t="s">
        <v>1225</v>
      </c>
      <c r="D124" s="31">
        <f>IFERROR(ROUND(VLOOKUP(A124,institutions!A:E,4,0),2),"")</f>
        <v>2.65</v>
      </c>
      <c r="E124" s="31">
        <f>IFERROR(ROUND(VLOOKUP(A124,institutions!A:X,7,0),2),"")</f>
        <v>1.1399999999999999</v>
      </c>
      <c r="F124" s="31" t="str">
        <f>IFERROR(ROUND(VLOOKUP(A124,institutions!A:X,10,0),2),"")</f>
        <v/>
      </c>
      <c r="G124" s="31">
        <f>IFERROR(ROUND(VLOOKUP(A124,institutions!A:X,13,0),2),"")</f>
        <v>2.93</v>
      </c>
      <c r="H124" s="31">
        <f>IFERROR(ROUND(VLOOKUP(A124,institutions!A:X,16,0),2),"")</f>
        <v>3.97</v>
      </c>
      <c r="I124" s="31">
        <f t="shared" si="6"/>
        <v>0.82299999999999995</v>
      </c>
      <c r="J124" s="31">
        <f t="shared" si="7"/>
        <v>8.7999999999999995E-2</v>
      </c>
      <c r="K124" s="31">
        <f t="shared" si="8"/>
        <v>0</v>
      </c>
      <c r="L124" s="31">
        <f t="shared" si="9"/>
        <v>0.79</v>
      </c>
      <c r="M124" s="31">
        <f t="shared" si="10"/>
        <v>0.872</v>
      </c>
      <c r="N124" t="e">
        <f>VLOOKUP(A124,#REF!,11,0)</f>
        <v>#REF!</v>
      </c>
      <c r="O124" t="e">
        <f>VLOOKUP(A124,#REF!,12,0)</f>
        <v>#REF!</v>
      </c>
      <c r="P124" t="e">
        <f>VLOOKUP(A124,#REF!,13,0)</f>
        <v>#REF!</v>
      </c>
      <c r="Q124" t="e">
        <f>VLOOKUP(A124,#REF!,14,0)</f>
        <v>#REF!</v>
      </c>
      <c r="R124">
        <v>-0.33918771681674381</v>
      </c>
      <c r="S124">
        <v>-2.6882591466671109</v>
      </c>
      <c r="T124" s="31" t="str">
        <f>VLOOKUP(C124,V:W,2,0)</f>
        <v>FIN</v>
      </c>
      <c r="U124" t="str">
        <f t="shared" si="11"/>
        <v/>
      </c>
    </row>
    <row r="125" spans="1:21" x14ac:dyDescent="0.25">
      <c r="A125" s="31" t="s">
        <v>752</v>
      </c>
      <c r="B125" s="31" t="s">
        <v>1713</v>
      </c>
      <c r="C125" s="31" t="s">
        <v>1233</v>
      </c>
      <c r="D125" s="31">
        <f>IFERROR(ROUND(VLOOKUP(A125,institutions!A:E,4,0),2),"")</f>
        <v>2.48</v>
      </c>
      <c r="E125" s="31">
        <f>IFERROR(ROUND(VLOOKUP(A125,institutions!A:X,7,0),2),"")</f>
        <v>1.94</v>
      </c>
      <c r="F125" s="31">
        <f>IFERROR(ROUND(VLOOKUP(A125,institutions!A:X,10,0),2),"")</f>
        <v>2.2799999999999998</v>
      </c>
      <c r="G125" s="31">
        <f>IFERROR(ROUND(VLOOKUP(A125,institutions!A:X,13,0),2),"")</f>
        <v>3.09</v>
      </c>
      <c r="H125" s="31">
        <f>IFERROR(ROUND(VLOOKUP(A125,institutions!A:X,16,0),2),"")</f>
        <v>3.47</v>
      </c>
      <c r="I125" s="31">
        <f t="shared" si="6"/>
        <v>0.78</v>
      </c>
      <c r="J125" s="31">
        <f t="shared" si="7"/>
        <v>0.73499999999999999</v>
      </c>
      <c r="K125" s="31">
        <f t="shared" si="8"/>
        <v>0.79800000000000004</v>
      </c>
      <c r="L125" s="31">
        <f t="shared" si="9"/>
        <v>0.82699999999999996</v>
      </c>
      <c r="M125" s="31">
        <f t="shared" si="10"/>
        <v>0.78700000000000003</v>
      </c>
      <c r="N125" t="e">
        <f>VLOOKUP(A125,#REF!,11,0)</f>
        <v>#REF!</v>
      </c>
      <c r="O125" t="e">
        <f>VLOOKUP(A125,#REF!,12,0)</f>
        <v>#REF!</v>
      </c>
      <c r="P125" t="e">
        <f>VLOOKUP(A125,#REF!,13,0)</f>
        <v>#REF!</v>
      </c>
      <c r="Q125" t="e">
        <f>VLOOKUP(A125,#REF!,14,0)</f>
        <v>#REF!</v>
      </c>
      <c r="R125">
        <v>1.971864228429195</v>
      </c>
      <c r="S125">
        <v>-7.2330615945135665E-2</v>
      </c>
      <c r="T125" s="31" t="str">
        <f>VLOOKUP(C125,V:W,2,0)</f>
        <v>NED</v>
      </c>
      <c r="U125" t="str">
        <f t="shared" si="11"/>
        <v/>
      </c>
    </row>
    <row r="126" spans="1:21" x14ac:dyDescent="0.25">
      <c r="A126" s="31" t="s">
        <v>776</v>
      </c>
      <c r="B126" s="31" t="s">
        <v>1703</v>
      </c>
      <c r="C126" s="31" t="s">
        <v>1217</v>
      </c>
      <c r="D126" s="31">
        <f>IFERROR(ROUND(VLOOKUP(A126,institutions!A:E,4,0),2),"")</f>
        <v>2.56</v>
      </c>
      <c r="E126" s="31">
        <f>IFERROR(ROUND(VLOOKUP(A126,institutions!A:X,7,0),2),"")</f>
        <v>1.98</v>
      </c>
      <c r="F126" s="31">
        <f>IFERROR(ROUND(VLOOKUP(A126,institutions!A:X,10,0),2),"")</f>
        <v>2.1800000000000002</v>
      </c>
      <c r="G126" s="31">
        <f>IFERROR(ROUND(VLOOKUP(A126,institutions!A:X,13,0),2),"")</f>
        <v>3.35</v>
      </c>
      <c r="H126" s="31">
        <f>IFERROR(ROUND(VLOOKUP(A126,institutions!A:X,16,0),2),"")</f>
        <v>7.96</v>
      </c>
      <c r="I126" s="31">
        <f t="shared" si="6"/>
        <v>0.80200000000000005</v>
      </c>
      <c r="J126" s="31">
        <f t="shared" si="7"/>
        <v>0.747</v>
      </c>
      <c r="K126" s="31">
        <f t="shared" si="8"/>
        <v>0.78500000000000003</v>
      </c>
      <c r="L126" s="31">
        <f t="shared" si="9"/>
        <v>0.872</v>
      </c>
      <c r="M126" s="31">
        <f t="shared" si="10"/>
        <v>0.998</v>
      </c>
      <c r="N126" t="e">
        <f>VLOOKUP(A126,#REF!,11,0)</f>
        <v>#REF!</v>
      </c>
      <c r="O126" t="e">
        <f>VLOOKUP(A126,#REF!,12,0)</f>
        <v>#REF!</v>
      </c>
      <c r="P126" t="e">
        <f>VLOOKUP(A126,#REF!,13,0)</f>
        <v>#REF!</v>
      </c>
      <c r="Q126" t="e">
        <f>VLOOKUP(A126,#REF!,14,0)</f>
        <v>#REF!</v>
      </c>
      <c r="R126">
        <v>2.4302102479287528</v>
      </c>
      <c r="S126">
        <v>-0.47526375289780909</v>
      </c>
      <c r="T126" s="31" t="str">
        <f>VLOOKUP(C126,V:W,2,0)</f>
        <v>USA</v>
      </c>
      <c r="U126" t="str">
        <f t="shared" si="11"/>
        <v/>
      </c>
    </row>
    <row r="127" spans="1:21" x14ac:dyDescent="0.25">
      <c r="A127" s="31" t="s">
        <v>784</v>
      </c>
      <c r="B127" s="31" t="s">
        <v>1908</v>
      </c>
      <c r="C127" s="31" t="s">
        <v>1217</v>
      </c>
      <c r="D127" s="31">
        <f>IFERROR(ROUND(VLOOKUP(A127,institutions!A:E,4,0),2),"")</f>
        <v>2.4</v>
      </c>
      <c r="E127" s="31">
        <f>IFERROR(ROUND(VLOOKUP(A127,institutions!A:X,7,0),2),"")</f>
        <v>1.89</v>
      </c>
      <c r="F127" s="31">
        <f>IFERROR(ROUND(VLOOKUP(A127,institutions!A:X,10,0),2),"")</f>
        <v>1.29</v>
      </c>
      <c r="G127" s="31">
        <f>IFERROR(ROUND(VLOOKUP(A127,institutions!A:X,13,0),2),"")</f>
        <v>5.59</v>
      </c>
      <c r="H127" s="31">
        <f>IFERROR(ROUND(VLOOKUP(A127,institutions!A:X,16,0),2),"")</f>
        <v>2.61</v>
      </c>
      <c r="I127" s="31">
        <f t="shared" si="6"/>
        <v>0.75800000000000001</v>
      </c>
      <c r="J127" s="31">
        <f t="shared" si="7"/>
        <v>0.72199999999999998</v>
      </c>
      <c r="K127" s="31">
        <f t="shared" si="8"/>
        <v>0.33800000000000002</v>
      </c>
      <c r="L127" s="31">
        <f t="shared" si="9"/>
        <v>0.99199999999999999</v>
      </c>
      <c r="M127" s="31">
        <f t="shared" si="10"/>
        <v>0.58299999999999996</v>
      </c>
      <c r="N127" t="e">
        <f>VLOOKUP(A127,#REF!,11,0)</f>
        <v>#REF!</v>
      </c>
      <c r="O127" t="e">
        <f>VLOOKUP(A127,#REF!,12,0)</f>
        <v>#REF!</v>
      </c>
      <c r="P127" t="e">
        <f>VLOOKUP(A127,#REF!,13,0)</f>
        <v>#REF!</v>
      </c>
      <c r="Q127" t="e">
        <f>VLOOKUP(A127,#REF!,14,0)</f>
        <v>#REF!</v>
      </c>
      <c r="R127">
        <v>1.091280060094078</v>
      </c>
      <c r="S127">
        <v>-0.72078610236005558</v>
      </c>
      <c r="T127" s="31" t="str">
        <f>VLOOKUP(C127,V:W,2,0)</f>
        <v>USA</v>
      </c>
      <c r="U127" t="str">
        <f t="shared" si="11"/>
        <v/>
      </c>
    </row>
    <row r="128" spans="1:21" x14ac:dyDescent="0.25">
      <c r="A128" s="31" t="s">
        <v>728</v>
      </c>
      <c r="B128" s="31" t="s">
        <v>1707</v>
      </c>
      <c r="C128" s="31" t="s">
        <v>1217</v>
      </c>
      <c r="D128" s="31">
        <f>IFERROR(ROUND(VLOOKUP(A128,institutions!A:E,4,0),2),"")</f>
        <v>2.56</v>
      </c>
      <c r="E128" s="31">
        <f>IFERROR(ROUND(VLOOKUP(A128,institutions!A:X,7,0),2),"")</f>
        <v>1.57</v>
      </c>
      <c r="F128" s="31">
        <f>IFERROR(ROUND(VLOOKUP(A128,institutions!A:X,10,0),2),"")</f>
        <v>2.13</v>
      </c>
      <c r="G128" s="31">
        <f>IFERROR(ROUND(VLOOKUP(A128,institutions!A:X,13,0),2),"")</f>
        <v>3.5</v>
      </c>
      <c r="H128" s="31">
        <f>IFERROR(ROUND(VLOOKUP(A128,institutions!A:X,16,0),2),"")</f>
        <v>3.61</v>
      </c>
      <c r="I128" s="31">
        <f t="shared" si="6"/>
        <v>0.80200000000000005</v>
      </c>
      <c r="J128" s="31">
        <f t="shared" si="7"/>
        <v>0.55700000000000005</v>
      </c>
      <c r="K128" s="31">
        <f t="shared" si="8"/>
        <v>0.78</v>
      </c>
      <c r="L128" s="31">
        <f t="shared" si="9"/>
        <v>0.89</v>
      </c>
      <c r="M128" s="31">
        <f t="shared" si="10"/>
        <v>0.81699999999999995</v>
      </c>
      <c r="N128" t="e">
        <f>VLOOKUP(A128,#REF!,11,0)</f>
        <v>#REF!</v>
      </c>
      <c r="O128" t="e">
        <f>VLOOKUP(A128,#REF!,12,0)</f>
        <v>#REF!</v>
      </c>
      <c r="P128" t="e">
        <f>VLOOKUP(A128,#REF!,13,0)</f>
        <v>#REF!</v>
      </c>
      <c r="Q128" t="e">
        <f>VLOOKUP(A128,#REF!,14,0)</f>
        <v>#REF!</v>
      </c>
      <c r="R128">
        <v>1.8229398983813669</v>
      </c>
      <c r="S128">
        <v>-0.6311643202378443</v>
      </c>
      <c r="T128" s="31" t="str">
        <f>VLOOKUP(C128,V:W,2,0)</f>
        <v>USA</v>
      </c>
      <c r="U128" t="str">
        <f t="shared" si="11"/>
        <v/>
      </c>
    </row>
    <row r="129" spans="1:21" x14ac:dyDescent="0.25">
      <c r="A129" s="31" t="s">
        <v>797</v>
      </c>
      <c r="B129" s="31" t="s">
        <v>1547</v>
      </c>
      <c r="C129" s="31" t="s">
        <v>1216</v>
      </c>
      <c r="D129" s="31">
        <f>IFERROR(ROUND(VLOOKUP(A129,institutions!A:E,4,0),2),"")</f>
        <v>2.52</v>
      </c>
      <c r="E129" s="31">
        <f>IFERROR(ROUND(VLOOKUP(A129,institutions!A:X,7,0),2),"")</f>
        <v>2</v>
      </c>
      <c r="F129" s="31">
        <f>IFERROR(ROUND(VLOOKUP(A129,institutions!A:X,10,0),2),"")</f>
        <v>1.58</v>
      </c>
      <c r="G129" s="31">
        <f>IFERROR(ROUND(VLOOKUP(A129,institutions!A:X,13,0),2),"")</f>
        <v>4.74</v>
      </c>
      <c r="H129" s="31">
        <f>IFERROR(ROUND(VLOOKUP(A129,institutions!A:X,16,0),2),"")</f>
        <v>8</v>
      </c>
      <c r="I129" s="31">
        <f t="shared" si="6"/>
        <v>0.78700000000000003</v>
      </c>
      <c r="J129" s="31">
        <f t="shared" si="7"/>
        <v>0.753</v>
      </c>
      <c r="K129" s="31">
        <f t="shared" si="8"/>
        <v>0.57799999999999996</v>
      </c>
      <c r="L129" s="31">
        <f t="shared" si="9"/>
        <v>0.97</v>
      </c>
      <c r="M129" s="31">
        <f t="shared" si="10"/>
        <v>1</v>
      </c>
      <c r="N129" t="e">
        <f>VLOOKUP(A129,#REF!,11,0)</f>
        <v>#REF!</v>
      </c>
      <c r="O129" t="e">
        <f>VLOOKUP(A129,#REF!,12,0)</f>
        <v>#REF!</v>
      </c>
      <c r="P129" t="e">
        <f>VLOOKUP(A129,#REF!,13,0)</f>
        <v>#REF!</v>
      </c>
      <c r="Q129" t="e">
        <f>VLOOKUP(A129,#REF!,14,0)</f>
        <v>#REF!</v>
      </c>
      <c r="R129">
        <v>2.2646873773355272</v>
      </c>
      <c r="S129">
        <v>-0.93011053520302067</v>
      </c>
      <c r="T129" s="31" t="str">
        <f>VLOOKUP(C129,V:W,2,0)</f>
        <v>UK</v>
      </c>
      <c r="U129" t="str">
        <f t="shared" si="11"/>
        <v/>
      </c>
    </row>
    <row r="130" spans="1:21" x14ac:dyDescent="0.25">
      <c r="A130" s="31" t="s">
        <v>739</v>
      </c>
      <c r="B130" s="31" t="s">
        <v>1705</v>
      </c>
      <c r="C130" s="31" t="s">
        <v>1224</v>
      </c>
      <c r="D130" s="31">
        <f>IFERROR(ROUND(VLOOKUP(A130,institutions!A:E,4,0),2),"")</f>
        <v>2.57</v>
      </c>
      <c r="E130" s="31">
        <f>IFERROR(ROUND(VLOOKUP(A130,institutions!A:X,7,0),2),"")</f>
        <v>1.69</v>
      </c>
      <c r="F130" s="31">
        <f>IFERROR(ROUND(VLOOKUP(A130,institutions!A:X,10,0),2),"")</f>
        <v>2.08</v>
      </c>
      <c r="G130" s="31">
        <f>IFERROR(ROUND(VLOOKUP(A130,institutions!A:X,13,0),2),"")</f>
        <v>3.67</v>
      </c>
      <c r="H130" s="31">
        <f>IFERROR(ROUND(VLOOKUP(A130,institutions!A:X,16,0),2),"")</f>
        <v>3.9</v>
      </c>
      <c r="I130" s="31">
        <f t="shared" si="6"/>
        <v>0.80500000000000005</v>
      </c>
      <c r="J130" s="31">
        <f t="shared" si="7"/>
        <v>0.63200000000000001</v>
      </c>
      <c r="K130" s="31">
        <f t="shared" si="8"/>
        <v>0.76500000000000001</v>
      </c>
      <c r="L130" s="31">
        <f t="shared" si="9"/>
        <v>0.91500000000000004</v>
      </c>
      <c r="M130" s="31">
        <f t="shared" si="10"/>
        <v>0.86199999999999999</v>
      </c>
      <c r="N130" t="e">
        <f>VLOOKUP(A130,#REF!,11,0)</f>
        <v>#REF!</v>
      </c>
      <c r="O130" t="e">
        <f>VLOOKUP(A130,#REF!,12,0)</f>
        <v>#REF!</v>
      </c>
      <c r="P130" t="e">
        <f>VLOOKUP(A130,#REF!,13,0)</f>
        <v>#REF!</v>
      </c>
      <c r="Q130" t="e">
        <f>VLOOKUP(A130,#REF!,14,0)</f>
        <v>#REF!</v>
      </c>
      <c r="R130">
        <v>2.0431952360756722</v>
      </c>
      <c r="S130">
        <v>-0.60586604669073207</v>
      </c>
      <c r="T130" s="31" t="str">
        <f>VLOOKUP(C130,V:W,2,0)</f>
        <v>CAN</v>
      </c>
      <c r="U130" t="str">
        <f t="shared" si="11"/>
        <v/>
      </c>
    </row>
    <row r="131" spans="1:21" x14ac:dyDescent="0.25">
      <c r="A131" s="31" t="s">
        <v>689</v>
      </c>
      <c r="B131" s="31" t="s">
        <v>2103</v>
      </c>
      <c r="C131" s="31" t="s">
        <v>1217</v>
      </c>
      <c r="D131" s="31">
        <f>IFERROR(ROUND(VLOOKUP(A131,institutions!A:E,4,0),2),"")</f>
        <v>2.63</v>
      </c>
      <c r="E131" s="31">
        <f>IFERROR(ROUND(VLOOKUP(A131,institutions!A:X,7,0),2),"")</f>
        <v>1.55</v>
      </c>
      <c r="F131" s="31">
        <f>IFERROR(ROUND(VLOOKUP(A131,institutions!A:X,10,0),2),"")</f>
        <v>4.1500000000000004</v>
      </c>
      <c r="G131" s="31">
        <f>IFERROR(ROUND(VLOOKUP(A131,institutions!A:X,13,0),2),"")</f>
        <v>3.17</v>
      </c>
      <c r="H131" s="31">
        <f>IFERROR(ROUND(VLOOKUP(A131,institutions!A:X,16,0),2),"")</f>
        <v>3.94</v>
      </c>
      <c r="I131" s="31">
        <f t="shared" si="6"/>
        <v>0.82</v>
      </c>
      <c r="J131" s="31">
        <f t="shared" si="7"/>
        <v>0.54300000000000004</v>
      </c>
      <c r="K131" s="31">
        <f t="shared" si="8"/>
        <v>0.95299999999999996</v>
      </c>
      <c r="L131" s="31">
        <f t="shared" si="9"/>
        <v>0.84</v>
      </c>
      <c r="M131" s="31">
        <f t="shared" si="10"/>
        <v>0.86499999999999999</v>
      </c>
      <c r="N131" t="e">
        <f>VLOOKUP(A131,#REF!,11,0)</f>
        <v>#REF!</v>
      </c>
      <c r="O131" t="e">
        <f>VLOOKUP(A131,#REF!,12,0)</f>
        <v>#REF!</v>
      </c>
      <c r="P131" t="e">
        <f>VLOOKUP(A131,#REF!,13,0)</f>
        <v>#REF!</v>
      </c>
      <c r="Q131" t="e">
        <f>VLOOKUP(A131,#REF!,14,0)</f>
        <v>#REF!</v>
      </c>
      <c r="R131">
        <v>2.093541481709531</v>
      </c>
      <c r="S131">
        <v>-0.4021521956450374</v>
      </c>
      <c r="T131" s="31" t="str">
        <f>VLOOKUP(C131,V:W,2,0)</f>
        <v>USA</v>
      </c>
      <c r="U131" t="str">
        <f t="shared" si="11"/>
        <v/>
      </c>
    </row>
    <row r="132" spans="1:21" x14ac:dyDescent="0.25">
      <c r="A132" s="31" t="s">
        <v>849</v>
      </c>
      <c r="B132" s="31" t="s">
        <v>1540</v>
      </c>
      <c r="C132" s="31" t="s">
        <v>1217</v>
      </c>
      <c r="D132" s="31">
        <f>IFERROR(ROUND(VLOOKUP(A132,institutions!A:E,4,0),2),"")</f>
        <v>2.42</v>
      </c>
      <c r="E132" s="31">
        <f>IFERROR(ROUND(VLOOKUP(A132,institutions!A:X,7,0),2),"")</f>
        <v>2.0299999999999998</v>
      </c>
      <c r="F132" s="31">
        <f>IFERROR(ROUND(VLOOKUP(A132,institutions!A:X,10,0),2),"")</f>
        <v>2.4900000000000002</v>
      </c>
      <c r="G132" s="31">
        <f>IFERROR(ROUND(VLOOKUP(A132,institutions!A:X,13,0),2),"")</f>
        <v>3.29</v>
      </c>
      <c r="H132" s="31">
        <f>IFERROR(ROUND(VLOOKUP(A132,institutions!A:X,16,0),2),"")</f>
        <v>3.78</v>
      </c>
      <c r="I132" s="31">
        <f t="shared" ref="I132:I195" si="12">ROUND(IFERROR((601-_xlfn.RANK.EQ(D132,D:D))/600,0),3)</f>
        <v>0.76300000000000001</v>
      </c>
      <c r="J132" s="31">
        <f t="shared" ref="J132:J195" si="13">ROUND(IFERROR((601-IFERROR(_xlfn.RANK.EQ(E132,E:E),""))/600,0),3)</f>
        <v>0.76800000000000002</v>
      </c>
      <c r="K132" s="31">
        <f t="shared" ref="K132:K195" si="14">ROUND(IFERROR((601-IFERROR(_xlfn.RANK.EQ(F132,F:F),""))/600,0),3)</f>
        <v>0.83</v>
      </c>
      <c r="L132" s="31">
        <f t="shared" ref="L132:L195" si="15">ROUND(IFERROR((601-IFERROR(_xlfn.RANK.EQ(G132,G:G),""))/600,0),3)</f>
        <v>0.85799999999999998</v>
      </c>
      <c r="M132" s="31">
        <f t="shared" ref="M132:M195" si="16">ROUND(IFERROR((601-IFERROR(_xlfn.RANK.EQ(H132,H:H),""))/600,0),3)</f>
        <v>0.84199999999999997</v>
      </c>
      <c r="N132" t="e">
        <f>VLOOKUP(A132,#REF!,11,0)</f>
        <v>#REF!</v>
      </c>
      <c r="O132" t="e">
        <f>VLOOKUP(A132,#REF!,12,0)</f>
        <v>#REF!</v>
      </c>
      <c r="P132" t="e">
        <f>VLOOKUP(A132,#REF!,13,0)</f>
        <v>#REF!</v>
      </c>
      <c r="Q132" t="e">
        <f>VLOOKUP(A132,#REF!,14,0)</f>
        <v>#REF!</v>
      </c>
      <c r="R132">
        <v>2.233985809764353</v>
      </c>
      <c r="S132">
        <v>-9.4184806350788519E-2</v>
      </c>
      <c r="T132" s="31" t="str">
        <f>VLOOKUP(C132,V:W,2,0)</f>
        <v>USA</v>
      </c>
      <c r="U132" t="str">
        <f t="shared" ref="U132:U195" si="17">IF(T132=T$1,B132,IF(T132=T$2,B132,IF(T132=U$1,B132,"")))</f>
        <v/>
      </c>
    </row>
    <row r="133" spans="1:21" x14ac:dyDescent="0.25">
      <c r="A133" s="31" t="s">
        <v>851</v>
      </c>
      <c r="B133" s="31" t="s">
        <v>1546</v>
      </c>
      <c r="C133" s="31" t="s">
        <v>1271</v>
      </c>
      <c r="D133" s="31">
        <f>IFERROR(ROUND(VLOOKUP(A133,institutions!A:E,4,0),2),"")</f>
        <v>2.4300000000000002</v>
      </c>
      <c r="E133" s="31">
        <f>IFERROR(ROUND(VLOOKUP(A133,institutions!A:X,7,0),2),"")</f>
        <v>2.06</v>
      </c>
      <c r="F133" s="31">
        <f>IFERROR(ROUND(VLOOKUP(A133,institutions!A:X,10,0),2),"")</f>
        <v>2.5499999999999998</v>
      </c>
      <c r="G133" s="31">
        <f>IFERROR(ROUND(VLOOKUP(A133,institutions!A:X,13,0),2),"")</f>
        <v>3.03</v>
      </c>
      <c r="H133" s="31">
        <f>IFERROR(ROUND(VLOOKUP(A133,institutions!A:X,16,0),2),"")</f>
        <v>3.03</v>
      </c>
      <c r="I133" s="31">
        <f t="shared" si="12"/>
        <v>0.76800000000000002</v>
      </c>
      <c r="J133" s="31">
        <f t="shared" si="13"/>
        <v>0.77800000000000002</v>
      </c>
      <c r="K133" s="31">
        <f t="shared" si="14"/>
        <v>0.83799999999999997</v>
      </c>
      <c r="L133" s="31">
        <f t="shared" si="15"/>
        <v>0.81299999999999994</v>
      </c>
      <c r="M133" s="31">
        <f t="shared" si="16"/>
        <v>0.68799999999999994</v>
      </c>
      <c r="N133" t="e">
        <f>VLOOKUP(A133,#REF!,11,0)</f>
        <v>#REF!</v>
      </c>
      <c r="O133" t="e">
        <f>VLOOKUP(A133,#REF!,12,0)</f>
        <v>#REF!</v>
      </c>
      <c r="P133" t="e">
        <f>VLOOKUP(A133,#REF!,13,0)</f>
        <v>#REF!</v>
      </c>
      <c r="Q133" t="e">
        <f>VLOOKUP(A133,#REF!,14,0)</f>
        <v>#REF!</v>
      </c>
      <c r="R133">
        <v>1.905231355371229</v>
      </c>
      <c r="S133">
        <v>0.25804325140766632</v>
      </c>
      <c r="T133" s="31" t="str">
        <f>VLOOKUP(C133,V:W,2,0)</f>
        <v>DEU</v>
      </c>
      <c r="U133" t="str">
        <f t="shared" si="17"/>
        <v>Mannheim</v>
      </c>
    </row>
    <row r="134" spans="1:21" x14ac:dyDescent="0.25">
      <c r="A134" s="31" t="s">
        <v>734</v>
      </c>
      <c r="B134" s="31" t="s">
        <v>1531</v>
      </c>
      <c r="C134" s="31" t="s">
        <v>1220</v>
      </c>
      <c r="D134" s="31">
        <f>IFERROR(ROUND(VLOOKUP(A134,institutions!A:E,4,0),2),"")</f>
        <v>2.58</v>
      </c>
      <c r="E134" s="31">
        <f>IFERROR(ROUND(VLOOKUP(A134,institutions!A:X,7,0),2),"")</f>
        <v>2.13</v>
      </c>
      <c r="F134" s="31">
        <f>IFERROR(ROUND(VLOOKUP(A134,institutions!A:X,10,0),2),"")</f>
        <v>1.96</v>
      </c>
      <c r="G134" s="31">
        <f>IFERROR(ROUND(VLOOKUP(A134,institutions!A:X,13,0),2),"")</f>
        <v>2.93</v>
      </c>
      <c r="H134" s="31">
        <f>IFERROR(ROUND(VLOOKUP(A134,institutions!A:X,16,0),2),"")</f>
        <v>4.62</v>
      </c>
      <c r="I134" s="31">
        <f t="shared" si="12"/>
        <v>0.81</v>
      </c>
      <c r="J134" s="31">
        <f t="shared" si="13"/>
        <v>0.80300000000000005</v>
      </c>
      <c r="K134" s="31">
        <f t="shared" si="14"/>
        <v>0.73</v>
      </c>
      <c r="L134" s="31">
        <f t="shared" si="15"/>
        <v>0.79</v>
      </c>
      <c r="M134" s="31">
        <f t="shared" si="16"/>
        <v>0.92300000000000004</v>
      </c>
      <c r="N134" t="e">
        <f>VLOOKUP(A134,#REF!,11,0)</f>
        <v>#REF!</v>
      </c>
      <c r="O134" t="e">
        <f>VLOOKUP(A134,#REF!,12,0)</f>
        <v>#REF!</v>
      </c>
      <c r="P134" t="e">
        <f>VLOOKUP(A134,#REF!,13,0)</f>
        <v>#REF!</v>
      </c>
      <c r="Q134" t="e">
        <f>VLOOKUP(A134,#REF!,14,0)</f>
        <v>#REF!</v>
      </c>
      <c r="R134">
        <v>2.1440470576514641</v>
      </c>
      <c r="S134">
        <v>-0.18013667500423869</v>
      </c>
      <c r="T134" s="31" t="str">
        <f>VLOOKUP(C134,V:W,2,0)</f>
        <v>SPAIN</v>
      </c>
      <c r="U134" t="str">
        <f t="shared" si="17"/>
        <v>Navarra</v>
      </c>
    </row>
    <row r="135" spans="1:21" x14ac:dyDescent="0.25">
      <c r="A135" s="31" t="s">
        <v>730</v>
      </c>
      <c r="B135" s="31" t="s">
        <v>2102</v>
      </c>
      <c r="C135" s="31" t="s">
        <v>1217</v>
      </c>
      <c r="D135" s="31">
        <f>IFERROR(ROUND(VLOOKUP(A135,institutions!A:E,4,0),2),"")</f>
        <v>2.54</v>
      </c>
      <c r="E135" s="31">
        <f>IFERROR(ROUND(VLOOKUP(A135,institutions!A:X,7,0),2),"")</f>
        <v>1.79</v>
      </c>
      <c r="F135" s="31">
        <f>IFERROR(ROUND(VLOOKUP(A135,institutions!A:X,10,0),2),"")</f>
        <v>2.2200000000000002</v>
      </c>
      <c r="G135" s="31">
        <f>IFERROR(ROUND(VLOOKUP(A135,institutions!A:X,13,0),2),"")</f>
        <v>3.45</v>
      </c>
      <c r="H135" s="31">
        <f>IFERROR(ROUND(VLOOKUP(A135,institutions!A:X,16,0),2),"")</f>
        <v>3.81</v>
      </c>
      <c r="I135" s="31">
        <f t="shared" si="12"/>
        <v>0.79300000000000004</v>
      </c>
      <c r="J135" s="31">
        <f t="shared" si="13"/>
        <v>0.67300000000000004</v>
      </c>
      <c r="K135" s="31">
        <f t="shared" si="14"/>
        <v>0.79200000000000004</v>
      </c>
      <c r="L135" s="31">
        <f t="shared" si="15"/>
        <v>0.88500000000000001</v>
      </c>
      <c r="M135" s="31">
        <f t="shared" si="16"/>
        <v>0.85</v>
      </c>
      <c r="N135" t="e">
        <f>VLOOKUP(A135,#REF!,11,0)</f>
        <v>#REF!</v>
      </c>
      <c r="O135" t="e">
        <f>VLOOKUP(A135,#REF!,12,0)</f>
        <v>#REF!</v>
      </c>
      <c r="P135" t="e">
        <f>VLOOKUP(A135,#REF!,13,0)</f>
        <v>#REF!</v>
      </c>
      <c r="Q135" t="e">
        <f>VLOOKUP(A135,#REF!,14,0)</f>
        <v>#REF!</v>
      </c>
      <c r="R135">
        <v>2.0797061734653548</v>
      </c>
      <c r="S135">
        <v>-0.41001188955392459</v>
      </c>
      <c r="T135" s="31" t="str">
        <f>VLOOKUP(C135,V:W,2,0)</f>
        <v>USA</v>
      </c>
      <c r="U135" t="str">
        <f t="shared" si="17"/>
        <v/>
      </c>
    </row>
    <row r="136" spans="1:21" x14ac:dyDescent="0.25">
      <c r="A136" s="31" t="s">
        <v>762</v>
      </c>
      <c r="B136" s="31" t="s">
        <v>1548</v>
      </c>
      <c r="C136" s="31" t="s">
        <v>1217</v>
      </c>
      <c r="D136" s="31">
        <f>IFERROR(ROUND(VLOOKUP(A136,institutions!A:E,4,0),2),"")</f>
        <v>2.44</v>
      </c>
      <c r="E136" s="31">
        <f>IFERROR(ROUND(VLOOKUP(A136,institutions!A:X,7,0),2),"")</f>
        <v>1.69</v>
      </c>
      <c r="F136" s="31">
        <f>IFERROR(ROUND(VLOOKUP(A136,institutions!A:X,10,0),2),"")</f>
        <v>3.64</v>
      </c>
      <c r="G136" s="31">
        <f>IFERROR(ROUND(VLOOKUP(A136,institutions!A:X,13,0),2),"")</f>
        <v>3.39</v>
      </c>
      <c r="H136" s="31">
        <f>IFERROR(ROUND(VLOOKUP(A136,institutions!A:X,16,0),2),"")</f>
        <v>3.77</v>
      </c>
      <c r="I136" s="31">
        <f t="shared" si="12"/>
        <v>0.77200000000000002</v>
      </c>
      <c r="J136" s="31">
        <f t="shared" si="13"/>
        <v>0.63200000000000001</v>
      </c>
      <c r="K136" s="31">
        <f t="shared" si="14"/>
        <v>0.92800000000000005</v>
      </c>
      <c r="L136" s="31">
        <f t="shared" si="15"/>
        <v>0.875</v>
      </c>
      <c r="M136" s="31">
        <f t="shared" si="16"/>
        <v>0.83799999999999997</v>
      </c>
      <c r="N136" t="e">
        <f>VLOOKUP(A136,#REF!,11,0)</f>
        <v>#REF!</v>
      </c>
      <c r="O136" t="e">
        <f>VLOOKUP(A136,#REF!,12,0)</f>
        <v>#REF!</v>
      </c>
      <c r="P136" t="e">
        <f>VLOOKUP(A136,#REF!,13,0)</f>
        <v>#REF!</v>
      </c>
      <c r="Q136" t="e">
        <f>VLOOKUP(A136,#REF!,14,0)</f>
        <v>#REF!</v>
      </c>
      <c r="R136">
        <v>2.206937401228191</v>
      </c>
      <c r="S136">
        <v>-0.26397223685374249</v>
      </c>
      <c r="T136" s="31" t="str">
        <f>VLOOKUP(C136,V:W,2,0)</f>
        <v>USA</v>
      </c>
      <c r="U136" t="str">
        <f t="shared" si="17"/>
        <v/>
      </c>
    </row>
    <row r="137" spans="1:21" x14ac:dyDescent="0.25">
      <c r="A137" s="31" t="s">
        <v>763</v>
      </c>
      <c r="B137" s="31" t="s">
        <v>1541</v>
      </c>
      <c r="C137" s="31" t="s">
        <v>1217</v>
      </c>
      <c r="D137" s="31">
        <f>IFERROR(ROUND(VLOOKUP(A137,institutions!A:E,4,0),2),"")</f>
        <v>2.4900000000000002</v>
      </c>
      <c r="E137" s="31">
        <f>IFERROR(ROUND(VLOOKUP(A137,institutions!A:X,7,0),2),"")</f>
        <v>1.74</v>
      </c>
      <c r="F137" s="31">
        <f>IFERROR(ROUND(VLOOKUP(A137,institutions!A:X,10,0),2),"")</f>
        <v>3.05</v>
      </c>
      <c r="G137" s="31">
        <f>IFERROR(ROUND(VLOOKUP(A137,institutions!A:X,13,0),2),"")</f>
        <v>2.54</v>
      </c>
      <c r="H137" s="31">
        <f>IFERROR(ROUND(VLOOKUP(A137,institutions!A:X,16,0),2),"")</f>
        <v>5.93</v>
      </c>
      <c r="I137" s="31">
        <f t="shared" si="12"/>
        <v>0.78200000000000003</v>
      </c>
      <c r="J137" s="31">
        <f t="shared" si="13"/>
        <v>0.65700000000000003</v>
      </c>
      <c r="K137" s="31">
        <f t="shared" si="14"/>
        <v>0.88700000000000001</v>
      </c>
      <c r="L137" s="31">
        <f t="shared" si="15"/>
        <v>0.70699999999999996</v>
      </c>
      <c r="M137" s="31">
        <f t="shared" si="16"/>
        <v>0.97199999999999998</v>
      </c>
      <c r="N137" t="e">
        <f>VLOOKUP(A137,#REF!,11,0)</f>
        <v>#REF!</v>
      </c>
      <c r="O137" t="e">
        <f>VLOOKUP(A137,#REF!,12,0)</f>
        <v>#REF!</v>
      </c>
      <c r="P137" t="e">
        <f>VLOOKUP(A137,#REF!,13,0)</f>
        <v>#REF!</v>
      </c>
      <c r="Q137" t="e">
        <f>VLOOKUP(A137,#REF!,14,0)</f>
        <v>#REF!</v>
      </c>
      <c r="R137">
        <v>2.1190252566832459</v>
      </c>
      <c r="S137">
        <v>-0.2028782744335498</v>
      </c>
      <c r="T137" s="31" t="str">
        <f>VLOOKUP(C137,V:W,2,0)</f>
        <v>USA</v>
      </c>
      <c r="U137" t="str">
        <f t="shared" si="17"/>
        <v/>
      </c>
    </row>
    <row r="138" spans="1:21" x14ac:dyDescent="0.25">
      <c r="A138" s="31" t="s">
        <v>986</v>
      </c>
      <c r="B138" s="31" t="s">
        <v>1535</v>
      </c>
      <c r="C138" s="31" t="s">
        <v>1221</v>
      </c>
      <c r="D138" s="31">
        <f>IFERROR(ROUND(VLOOKUP(A138,institutions!A:E,4,0),2),"")</f>
        <v>2.4</v>
      </c>
      <c r="E138" s="31">
        <f>IFERROR(ROUND(VLOOKUP(A138,institutions!A:X,7,0),2),"")</f>
        <v>2.5099999999999998</v>
      </c>
      <c r="F138" s="31">
        <f>IFERROR(ROUND(VLOOKUP(A138,institutions!A:X,10,0),2),"")</f>
        <v>1.35</v>
      </c>
      <c r="G138" s="31">
        <f>IFERROR(ROUND(VLOOKUP(A138,institutions!A:X,13,0),2),"")</f>
        <v>1.67</v>
      </c>
      <c r="H138" s="31">
        <f>IFERROR(ROUND(VLOOKUP(A138,institutions!A:X,16,0),2),"")</f>
        <v>1.71</v>
      </c>
      <c r="I138" s="31">
        <f t="shared" si="12"/>
        <v>0.75800000000000001</v>
      </c>
      <c r="J138" s="31">
        <f t="shared" si="13"/>
        <v>0.86499999999999999</v>
      </c>
      <c r="K138" s="31">
        <f t="shared" si="14"/>
        <v>0.40200000000000002</v>
      </c>
      <c r="L138" s="31">
        <f t="shared" si="15"/>
        <v>0.28199999999999997</v>
      </c>
      <c r="M138" s="31">
        <f t="shared" si="16"/>
        <v>0.19</v>
      </c>
      <c r="N138" t="e">
        <f>VLOOKUP(A138,#REF!,11,0)</f>
        <v>#REF!</v>
      </c>
      <c r="O138" t="e">
        <f>VLOOKUP(A138,#REF!,12,0)</f>
        <v>#REF!</v>
      </c>
      <c r="P138" t="e">
        <f>VLOOKUP(A138,#REF!,13,0)</f>
        <v>#REF!</v>
      </c>
      <c r="Q138" t="e">
        <f>VLOOKUP(A138,#REF!,14,0)</f>
        <v>#REF!</v>
      </c>
      <c r="R138">
        <v>-0.54752311065659409</v>
      </c>
      <c r="S138">
        <v>1.4839702351370181</v>
      </c>
      <c r="T138" s="31" t="str">
        <f>VLOOKUP(C138,V:W,2,0)</f>
        <v>NOR</v>
      </c>
      <c r="U138" t="str">
        <f t="shared" si="17"/>
        <v/>
      </c>
    </row>
    <row r="139" spans="1:21" x14ac:dyDescent="0.25">
      <c r="A139" s="31" t="s">
        <v>736</v>
      </c>
      <c r="B139" s="31" t="s">
        <v>1537</v>
      </c>
      <c r="C139" s="31" t="s">
        <v>1224</v>
      </c>
      <c r="D139" s="31">
        <f>IFERROR(ROUND(VLOOKUP(A139,institutions!A:E,4,0),2),"")</f>
        <v>2.54</v>
      </c>
      <c r="E139" s="31">
        <f>IFERROR(ROUND(VLOOKUP(A139,institutions!A:X,7,0),2),"")</f>
        <v>1.86</v>
      </c>
      <c r="F139" s="31" t="str">
        <f>IFERROR(ROUND(VLOOKUP(A139,institutions!A:X,10,0),2),"")</f>
        <v/>
      </c>
      <c r="G139" s="31">
        <f>IFERROR(ROUND(VLOOKUP(A139,institutions!A:X,13,0),2),"")</f>
        <v>3.26</v>
      </c>
      <c r="H139" s="31">
        <f>IFERROR(ROUND(VLOOKUP(A139,institutions!A:X,16,0),2),"")</f>
        <v>3.68</v>
      </c>
      <c r="I139" s="31">
        <f t="shared" si="12"/>
        <v>0.79300000000000004</v>
      </c>
      <c r="J139" s="31">
        <f t="shared" si="13"/>
        <v>0.70699999999999996</v>
      </c>
      <c r="K139" s="31">
        <f t="shared" si="14"/>
        <v>0</v>
      </c>
      <c r="L139" s="31">
        <f t="shared" si="15"/>
        <v>0.85299999999999998</v>
      </c>
      <c r="M139" s="31">
        <f t="shared" si="16"/>
        <v>0.83</v>
      </c>
      <c r="N139" t="e">
        <f>VLOOKUP(A139,#REF!,11,0)</f>
        <v>#REF!</v>
      </c>
      <c r="O139" t="e">
        <f>VLOOKUP(A139,#REF!,12,0)</f>
        <v>#REF!</v>
      </c>
      <c r="P139" t="e">
        <f>VLOOKUP(A139,#REF!,13,0)</f>
        <v>#REF!</v>
      </c>
      <c r="Q139" t="e">
        <f>VLOOKUP(A139,#REF!,14,0)</f>
        <v>#REF!</v>
      </c>
      <c r="R139">
        <v>0.68778528331465072</v>
      </c>
      <c r="S139">
        <v>-1.4048205371570011</v>
      </c>
      <c r="T139" s="31" t="str">
        <f>VLOOKUP(C139,V:W,2,0)</f>
        <v>CAN</v>
      </c>
      <c r="U139" t="str">
        <f t="shared" si="17"/>
        <v/>
      </c>
    </row>
    <row r="140" spans="1:21" x14ac:dyDescent="0.25">
      <c r="A140" s="31" t="s">
        <v>941</v>
      </c>
      <c r="B140" s="31" t="s">
        <v>1910</v>
      </c>
      <c r="C140" s="31" t="s">
        <v>1217</v>
      </c>
      <c r="D140" s="31">
        <f>IFERROR(ROUND(VLOOKUP(A140,institutions!A:E,4,0),2),"")</f>
        <v>2.36</v>
      </c>
      <c r="E140" s="31">
        <f>IFERROR(ROUND(VLOOKUP(A140,institutions!A:X,7,0),2),"")</f>
        <v>2.2599999999999998</v>
      </c>
      <c r="F140" s="31">
        <f>IFERROR(ROUND(VLOOKUP(A140,institutions!A:X,10,0),2),"")</f>
        <v>1.74</v>
      </c>
      <c r="G140" s="31" t="str">
        <f>IFERROR(ROUND(VLOOKUP(A140,institutions!A:X,13,0),2),"")</f>
        <v/>
      </c>
      <c r="H140" s="31" t="str">
        <f>IFERROR(ROUND(VLOOKUP(A140,institutions!A:X,16,0),2),"")</f>
        <v/>
      </c>
      <c r="I140" s="31">
        <f t="shared" si="12"/>
        <v>0.74</v>
      </c>
      <c r="J140" s="31">
        <f t="shared" si="13"/>
        <v>0.82799999999999996</v>
      </c>
      <c r="K140" s="31">
        <f t="shared" si="14"/>
        <v>0.66300000000000003</v>
      </c>
      <c r="L140" s="31">
        <f t="shared" si="15"/>
        <v>0</v>
      </c>
      <c r="M140" s="31">
        <f t="shared" si="16"/>
        <v>0</v>
      </c>
      <c r="N140" t="e">
        <f>VLOOKUP(A140,#REF!,11,0)</f>
        <v>#REF!</v>
      </c>
      <c r="O140" t="e">
        <f>VLOOKUP(A140,#REF!,12,0)</f>
        <v>#REF!</v>
      </c>
      <c r="P140" t="e">
        <f>VLOOKUP(A140,#REF!,13,0)</f>
        <v>#REF!</v>
      </c>
      <c r="Q140" t="e">
        <f>VLOOKUP(A140,#REF!,14,0)</f>
        <v>#REF!</v>
      </c>
      <c r="R140">
        <v>-1.0072558509518219</v>
      </c>
      <c r="S140">
        <v>2.5559468525881122</v>
      </c>
      <c r="T140" s="31" t="str">
        <f>VLOOKUP(C140,V:W,2,0)</f>
        <v>USA</v>
      </c>
      <c r="U140" t="str">
        <f t="shared" si="17"/>
        <v/>
      </c>
    </row>
    <row r="141" spans="1:21" x14ac:dyDescent="0.25">
      <c r="A141" s="31" t="s">
        <v>775</v>
      </c>
      <c r="B141" s="31" t="s">
        <v>1906</v>
      </c>
      <c r="C141" s="31" t="s">
        <v>1217</v>
      </c>
      <c r="D141" s="31">
        <f>IFERROR(ROUND(VLOOKUP(A141,institutions!A:E,4,0),2),"")</f>
        <v>2.48</v>
      </c>
      <c r="E141" s="31">
        <f>IFERROR(ROUND(VLOOKUP(A141,institutions!A:X,7,0),2),"")</f>
        <v>2.0099999999999998</v>
      </c>
      <c r="F141" s="31">
        <f>IFERROR(ROUND(VLOOKUP(A141,institutions!A:X,10,0),2),"")</f>
        <v>1.75</v>
      </c>
      <c r="G141" s="31">
        <f>IFERROR(ROUND(VLOOKUP(A141,institutions!A:X,13,0),2),"")</f>
        <v>3.04</v>
      </c>
      <c r="H141" s="31">
        <f>IFERROR(ROUND(VLOOKUP(A141,institutions!A:X,16,0),2),"")</f>
        <v>3.8</v>
      </c>
      <c r="I141" s="31">
        <f t="shared" si="12"/>
        <v>0.78</v>
      </c>
      <c r="J141" s="31">
        <f t="shared" si="13"/>
        <v>0.755</v>
      </c>
      <c r="K141" s="31">
        <f t="shared" si="14"/>
        <v>0.67200000000000004</v>
      </c>
      <c r="L141" s="31">
        <f t="shared" si="15"/>
        <v>0.81699999999999995</v>
      </c>
      <c r="M141" s="31">
        <f t="shared" si="16"/>
        <v>0.84699999999999998</v>
      </c>
      <c r="N141" t="e">
        <f>VLOOKUP(A141,#REF!,11,0)</f>
        <v>#REF!</v>
      </c>
      <c r="O141" t="e">
        <f>VLOOKUP(A141,#REF!,12,0)</f>
        <v>#REF!</v>
      </c>
      <c r="P141" t="e">
        <f>VLOOKUP(A141,#REF!,13,0)</f>
        <v>#REF!</v>
      </c>
      <c r="Q141" t="e">
        <f>VLOOKUP(A141,#REF!,14,0)</f>
        <v>#REF!</v>
      </c>
      <c r="R141">
        <v>1.879103471777444</v>
      </c>
      <c r="S141">
        <v>-0.29147209402586333</v>
      </c>
      <c r="T141" s="31" t="str">
        <f>VLOOKUP(C141,V:W,2,0)</f>
        <v>USA</v>
      </c>
      <c r="U141" t="str">
        <f t="shared" si="17"/>
        <v/>
      </c>
    </row>
    <row r="142" spans="1:21" x14ac:dyDescent="0.25">
      <c r="A142" s="31" t="s">
        <v>835</v>
      </c>
      <c r="B142" s="31" t="s">
        <v>1924</v>
      </c>
      <c r="C142" s="31" t="s">
        <v>1217</v>
      </c>
      <c r="D142" s="31">
        <f>IFERROR(ROUND(VLOOKUP(A142,institutions!A:E,4,0),2),"")</f>
        <v>2.41</v>
      </c>
      <c r="E142" s="31">
        <f>IFERROR(ROUND(VLOOKUP(A142,institutions!A:X,7,0),2),"")</f>
        <v>2.15</v>
      </c>
      <c r="F142" s="31">
        <f>IFERROR(ROUND(VLOOKUP(A142,institutions!A:X,10,0),2),"")</f>
        <v>3.22</v>
      </c>
      <c r="G142" s="31">
        <f>IFERROR(ROUND(VLOOKUP(A142,institutions!A:X,13,0),2),"")</f>
        <v>2.2400000000000002</v>
      </c>
      <c r="H142" s="31">
        <f>IFERROR(ROUND(VLOOKUP(A142,institutions!A:X,16,0),2),"")</f>
        <v>2.85</v>
      </c>
      <c r="I142" s="31">
        <f t="shared" si="12"/>
        <v>0.76200000000000001</v>
      </c>
      <c r="J142" s="31">
        <f t="shared" si="13"/>
        <v>0.80700000000000005</v>
      </c>
      <c r="K142" s="31">
        <f t="shared" si="14"/>
        <v>0.89800000000000002</v>
      </c>
      <c r="L142" s="31">
        <f t="shared" si="15"/>
        <v>0.56999999999999995</v>
      </c>
      <c r="M142" s="31">
        <f t="shared" si="16"/>
        <v>0.65300000000000002</v>
      </c>
      <c r="N142" t="e">
        <f>VLOOKUP(A142,#REF!,11,0)</f>
        <v>#REF!</v>
      </c>
      <c r="O142" t="e">
        <f>VLOOKUP(A142,#REF!,12,0)</f>
        <v>#REF!</v>
      </c>
      <c r="P142" t="e">
        <f>VLOOKUP(A142,#REF!,13,0)</f>
        <v>#REF!</v>
      </c>
      <c r="Q142" t="e">
        <f>VLOOKUP(A142,#REF!,14,0)</f>
        <v>#REF!</v>
      </c>
      <c r="R142">
        <v>1.557217253364426</v>
      </c>
      <c r="S142">
        <v>0.86765317716260448</v>
      </c>
      <c r="T142" s="31" t="str">
        <f>VLOOKUP(C142,V:W,2,0)</f>
        <v>USA</v>
      </c>
      <c r="U142" t="str">
        <f t="shared" si="17"/>
        <v/>
      </c>
    </row>
    <row r="143" spans="1:21" x14ac:dyDescent="0.25">
      <c r="A143" s="31" t="s">
        <v>692</v>
      </c>
      <c r="B143" s="31" t="s">
        <v>1704</v>
      </c>
      <c r="C143" s="31" t="s">
        <v>1217</v>
      </c>
      <c r="D143" s="31">
        <f>IFERROR(ROUND(VLOOKUP(A143,institutions!A:E,4,0),2),"")</f>
        <v>2.46</v>
      </c>
      <c r="E143" s="31">
        <f>IFERROR(ROUND(VLOOKUP(A143,institutions!A:X,7,0),2),"")</f>
        <v>1.45</v>
      </c>
      <c r="F143" s="31">
        <f>IFERROR(ROUND(VLOOKUP(A143,institutions!A:X,10,0),2),"")</f>
        <v>1.88</v>
      </c>
      <c r="G143" s="31">
        <f>IFERROR(ROUND(VLOOKUP(A143,institutions!A:X,13,0),2),"")</f>
        <v>4.1900000000000004</v>
      </c>
      <c r="H143" s="31">
        <f>IFERROR(ROUND(VLOOKUP(A143,institutions!A:X,16,0),2),"")</f>
        <v>5.43</v>
      </c>
      <c r="I143" s="31">
        <f t="shared" si="12"/>
        <v>0.77500000000000002</v>
      </c>
      <c r="J143" s="31">
        <f t="shared" si="13"/>
        <v>0.45300000000000001</v>
      </c>
      <c r="K143" s="31">
        <f t="shared" si="14"/>
        <v>0.70199999999999996</v>
      </c>
      <c r="L143" s="31">
        <f t="shared" si="15"/>
        <v>0.94799999999999995</v>
      </c>
      <c r="M143" s="31">
        <f t="shared" si="16"/>
        <v>0.95199999999999996</v>
      </c>
      <c r="N143" t="e">
        <f>VLOOKUP(A143,#REF!,11,0)</f>
        <v>#REF!</v>
      </c>
      <c r="O143" t="e">
        <f>VLOOKUP(A143,#REF!,12,0)</f>
        <v>#REF!</v>
      </c>
      <c r="P143" t="e">
        <f>VLOOKUP(A143,#REF!,13,0)</f>
        <v>#REF!</v>
      </c>
      <c r="Q143" t="e">
        <f>VLOOKUP(A143,#REF!,14,0)</f>
        <v>#REF!</v>
      </c>
      <c r="R143">
        <v>1.8705983070423531</v>
      </c>
      <c r="S143">
        <v>-1.277497570439422</v>
      </c>
      <c r="T143" s="31" t="str">
        <f>VLOOKUP(C143,V:W,2,0)</f>
        <v>USA</v>
      </c>
      <c r="U143" t="str">
        <f t="shared" si="17"/>
        <v/>
      </c>
    </row>
    <row r="144" spans="1:21" x14ac:dyDescent="0.25">
      <c r="A144" s="31" t="s">
        <v>753</v>
      </c>
      <c r="B144" s="31" t="s">
        <v>1556</v>
      </c>
      <c r="C144" s="31" t="s">
        <v>1223</v>
      </c>
      <c r="D144" s="31">
        <f>IFERROR(ROUND(VLOOKUP(A144,institutions!A:E,4,0),2),"")</f>
        <v>2.4</v>
      </c>
      <c r="E144" s="31">
        <f>IFERROR(ROUND(VLOOKUP(A144,institutions!A:X,7,0),2),"")</f>
        <v>1.73</v>
      </c>
      <c r="F144" s="31">
        <f>IFERROR(ROUND(VLOOKUP(A144,institutions!A:X,10,0),2),"")</f>
        <v>2.34</v>
      </c>
      <c r="G144" s="31">
        <f>IFERROR(ROUND(VLOOKUP(A144,institutions!A:X,13,0),2),"")</f>
        <v>2.66</v>
      </c>
      <c r="H144" s="31">
        <f>IFERROR(ROUND(VLOOKUP(A144,institutions!A:X,16,0),2),"")</f>
        <v>2.35</v>
      </c>
      <c r="I144" s="31">
        <f t="shared" si="12"/>
        <v>0.75800000000000001</v>
      </c>
      <c r="J144" s="31">
        <f t="shared" si="13"/>
        <v>0.65300000000000002</v>
      </c>
      <c r="K144" s="31">
        <f t="shared" si="14"/>
        <v>0.81699999999999995</v>
      </c>
      <c r="L144" s="31">
        <f t="shared" si="15"/>
        <v>0.73499999999999999</v>
      </c>
      <c r="M144" s="31">
        <f t="shared" si="16"/>
        <v>0.48799999999999999</v>
      </c>
      <c r="N144" t="e">
        <f>VLOOKUP(A144,#REF!,11,0)</f>
        <v>#REF!</v>
      </c>
      <c r="O144" t="e">
        <f>VLOOKUP(A144,#REF!,12,0)</f>
        <v>#REF!</v>
      </c>
      <c r="P144" t="e">
        <f>VLOOKUP(A144,#REF!,13,0)</f>
        <v>#REF!</v>
      </c>
      <c r="Q144" t="e">
        <f>VLOOKUP(A144,#REF!,14,0)</f>
        <v>#REF!</v>
      </c>
      <c r="R144">
        <v>1.1689679153150869</v>
      </c>
      <c r="S144">
        <v>0.40774153476895031</v>
      </c>
      <c r="T144" s="31" t="str">
        <f>VLOOKUP(C144,V:W,2,0)</f>
        <v>HKG</v>
      </c>
      <c r="U144" t="str">
        <f t="shared" si="17"/>
        <v/>
      </c>
    </row>
    <row r="145" spans="1:21" x14ac:dyDescent="0.25">
      <c r="A145" s="31" t="s">
        <v>778</v>
      </c>
      <c r="B145" s="31" t="s">
        <v>1553</v>
      </c>
      <c r="C145" s="31" t="s">
        <v>1217</v>
      </c>
      <c r="D145" s="31">
        <f>IFERROR(ROUND(VLOOKUP(A145,institutions!A:E,4,0),2),"")</f>
        <v>2.38</v>
      </c>
      <c r="E145" s="31">
        <f>IFERROR(ROUND(VLOOKUP(A145,institutions!A:X,7,0),2),"")</f>
        <v>2.11</v>
      </c>
      <c r="F145" s="31">
        <f>IFERROR(ROUND(VLOOKUP(A145,institutions!A:X,10,0),2),"")</f>
        <v>3.25</v>
      </c>
      <c r="G145" s="31">
        <f>IFERROR(ROUND(VLOOKUP(A145,institutions!A:X,13,0),2),"")</f>
        <v>1.18</v>
      </c>
      <c r="H145" s="31">
        <f>IFERROR(ROUND(VLOOKUP(A145,institutions!A:X,16,0),2),"")</f>
        <v>3.18</v>
      </c>
      <c r="I145" s="31">
        <f t="shared" si="12"/>
        <v>0.74299999999999999</v>
      </c>
      <c r="J145" s="31">
        <f t="shared" si="13"/>
        <v>0.79300000000000004</v>
      </c>
      <c r="K145" s="31">
        <f t="shared" si="14"/>
        <v>0.9</v>
      </c>
      <c r="L145" s="31">
        <f t="shared" si="15"/>
        <v>8.3000000000000004E-2</v>
      </c>
      <c r="M145" s="31">
        <f t="shared" si="16"/>
        <v>0.71799999999999997</v>
      </c>
      <c r="N145" t="e">
        <f>VLOOKUP(A145,#REF!,11,0)</f>
        <v>#REF!</v>
      </c>
      <c r="O145" t="e">
        <f>VLOOKUP(A145,#REF!,12,0)</f>
        <v>#REF!</v>
      </c>
      <c r="P145" t="e">
        <f>VLOOKUP(A145,#REF!,13,0)</f>
        <v>#REF!</v>
      </c>
      <c r="Q145" t="e">
        <f>VLOOKUP(A145,#REF!,14,0)</f>
        <v>#REF!</v>
      </c>
      <c r="R145">
        <v>0.78640336135017574</v>
      </c>
      <c r="S145">
        <v>1.548967252033365</v>
      </c>
      <c r="T145" s="31" t="str">
        <f>VLOOKUP(C145,V:W,2,0)</f>
        <v>USA</v>
      </c>
      <c r="U145" t="str">
        <f t="shared" si="17"/>
        <v/>
      </c>
    </row>
    <row r="146" spans="1:21" x14ac:dyDescent="0.25">
      <c r="A146" s="31" t="s">
        <v>909</v>
      </c>
      <c r="B146" s="31" t="s">
        <v>1706</v>
      </c>
      <c r="C146" s="31" t="s">
        <v>1242</v>
      </c>
      <c r="D146" s="31">
        <f>IFERROR(ROUND(VLOOKUP(A146,institutions!A:E,4,0),2),"")</f>
        <v>2.4300000000000002</v>
      </c>
      <c r="E146" s="31">
        <f>IFERROR(ROUND(VLOOKUP(A146,institutions!A:X,7,0),2),"")</f>
        <v>2.2799999999999998</v>
      </c>
      <c r="F146" s="31">
        <f>IFERROR(ROUND(VLOOKUP(A146,institutions!A:X,10,0),2),"")</f>
        <v>2.0499999999999998</v>
      </c>
      <c r="G146" s="31">
        <f>IFERROR(ROUND(VLOOKUP(A146,institutions!A:X,13,0),2),"")</f>
        <v>3.1</v>
      </c>
      <c r="H146" s="31">
        <f>IFERROR(ROUND(VLOOKUP(A146,institutions!A:X,16,0),2),"")</f>
        <v>3.34</v>
      </c>
      <c r="I146" s="31">
        <f t="shared" si="12"/>
        <v>0.76800000000000002</v>
      </c>
      <c r="J146" s="31">
        <f t="shared" si="13"/>
        <v>0.83699999999999997</v>
      </c>
      <c r="K146" s="31">
        <f t="shared" si="14"/>
        <v>0.755</v>
      </c>
      <c r="L146" s="31">
        <f t="shared" si="15"/>
        <v>0.83299999999999996</v>
      </c>
      <c r="M146" s="31">
        <f t="shared" si="16"/>
        <v>0.747</v>
      </c>
      <c r="N146" t="e">
        <f>VLOOKUP(A146,#REF!,11,0)</f>
        <v>#REF!</v>
      </c>
      <c r="O146" t="e">
        <f>VLOOKUP(A146,#REF!,12,0)</f>
        <v>#REF!</v>
      </c>
      <c r="P146" t="e">
        <f>VLOOKUP(A146,#REF!,13,0)</f>
        <v>#REF!</v>
      </c>
      <c r="Q146" t="e">
        <f>VLOOKUP(A146,#REF!,14,0)</f>
        <v>#REF!</v>
      </c>
      <c r="R146">
        <v>2.000071195995186</v>
      </c>
      <c r="S146">
        <v>0.13635340798253659</v>
      </c>
      <c r="T146" s="31" t="str">
        <f>VLOOKUP(C146,V:W,2,0)</f>
        <v>ISR</v>
      </c>
      <c r="U146" t="str">
        <f t="shared" si="17"/>
        <v/>
      </c>
    </row>
    <row r="147" spans="1:21" x14ac:dyDescent="0.25">
      <c r="A147" s="31" t="s">
        <v>714</v>
      </c>
      <c r="B147" s="31" t="s">
        <v>1912</v>
      </c>
      <c r="C147" s="31" t="s">
        <v>1231</v>
      </c>
      <c r="D147" s="31">
        <f>IFERROR(ROUND(VLOOKUP(A147,institutions!A:E,4,0),2),"")</f>
        <v>2.46</v>
      </c>
      <c r="E147" s="31">
        <f>IFERROR(ROUND(VLOOKUP(A147,institutions!A:X,7,0),2),"")</f>
        <v>1.75</v>
      </c>
      <c r="F147" s="31">
        <f>IFERROR(ROUND(VLOOKUP(A147,institutions!A:X,10,0),2),"")</f>
        <v>1.9</v>
      </c>
      <c r="G147" s="31">
        <f>IFERROR(ROUND(VLOOKUP(A147,institutions!A:X,13,0),2),"")</f>
        <v>2.97</v>
      </c>
      <c r="H147" s="31">
        <f>IFERROR(ROUND(VLOOKUP(A147,institutions!A:X,16,0),2),"")</f>
        <v>3.95</v>
      </c>
      <c r="I147" s="31">
        <f t="shared" si="12"/>
        <v>0.77500000000000002</v>
      </c>
      <c r="J147" s="31">
        <f t="shared" si="13"/>
        <v>0.66300000000000003</v>
      </c>
      <c r="K147" s="31">
        <f t="shared" si="14"/>
        <v>0.70699999999999996</v>
      </c>
      <c r="L147" s="31">
        <f t="shared" si="15"/>
        <v>0.80300000000000005</v>
      </c>
      <c r="M147" s="31">
        <f t="shared" si="16"/>
        <v>0.86699999999999999</v>
      </c>
      <c r="N147" t="e">
        <f>VLOOKUP(A147,#REF!,11,0)</f>
        <v>#REF!</v>
      </c>
      <c r="O147" t="e">
        <f>VLOOKUP(A147,#REF!,12,0)</f>
        <v>#REF!</v>
      </c>
      <c r="P147" t="e">
        <f>VLOOKUP(A147,#REF!,13,0)</f>
        <v>#REF!</v>
      </c>
      <c r="Q147" t="e">
        <f>VLOOKUP(A147,#REF!,14,0)</f>
        <v>#REF!</v>
      </c>
      <c r="R147">
        <v>1.8028324742389279</v>
      </c>
      <c r="S147">
        <v>-0.44539263857635669</v>
      </c>
      <c r="T147" s="31" t="str">
        <f>VLOOKUP(C147,V:W,2,0)</f>
        <v>PRT</v>
      </c>
      <c r="U147" t="str">
        <f t="shared" si="17"/>
        <v/>
      </c>
    </row>
    <row r="148" spans="1:21" x14ac:dyDescent="0.25">
      <c r="A148" s="31" t="s">
        <v>685</v>
      </c>
      <c r="B148" s="31" t="s">
        <v>1708</v>
      </c>
      <c r="C148" s="31" t="s">
        <v>1225</v>
      </c>
      <c r="D148" s="31">
        <f>IFERROR(ROUND(VLOOKUP(A148,institutions!A:E,4,0),2),"")</f>
        <v>2.56</v>
      </c>
      <c r="E148" s="31">
        <f>IFERROR(ROUND(VLOOKUP(A148,institutions!A:X,7,0),2),"")</f>
        <v>1.89</v>
      </c>
      <c r="F148" s="31">
        <f>IFERROR(ROUND(VLOOKUP(A148,institutions!A:X,10,0),2),"")</f>
        <v>2.5099999999999998</v>
      </c>
      <c r="G148" s="31">
        <f>IFERROR(ROUND(VLOOKUP(A148,institutions!A:X,13,0),2),"")</f>
        <v>2.5299999999999998</v>
      </c>
      <c r="H148" s="31">
        <f>IFERROR(ROUND(VLOOKUP(A148,institutions!A:X,16,0),2),"")</f>
        <v>3.64</v>
      </c>
      <c r="I148" s="31">
        <f t="shared" si="12"/>
        <v>0.80200000000000005</v>
      </c>
      <c r="J148" s="31">
        <f t="shared" si="13"/>
        <v>0.72199999999999998</v>
      </c>
      <c r="K148" s="31">
        <f t="shared" si="14"/>
        <v>0.83199999999999996</v>
      </c>
      <c r="L148" s="31">
        <f t="shared" si="15"/>
        <v>0.70299999999999996</v>
      </c>
      <c r="M148" s="31">
        <f t="shared" si="16"/>
        <v>0.82199999999999995</v>
      </c>
      <c r="N148" t="e">
        <f>VLOOKUP(A148,#REF!,11,0)</f>
        <v>#REF!</v>
      </c>
      <c r="O148" t="e">
        <f>VLOOKUP(A148,#REF!,12,0)</f>
        <v>#REF!</v>
      </c>
      <c r="P148" t="e">
        <f>VLOOKUP(A148,#REF!,13,0)</f>
        <v>#REF!</v>
      </c>
      <c r="Q148" t="e">
        <f>VLOOKUP(A148,#REF!,14,0)</f>
        <v>#REF!</v>
      </c>
      <c r="R148">
        <v>1.8510382195543611</v>
      </c>
      <c r="S148">
        <v>0.1004676809369705</v>
      </c>
      <c r="T148" s="31" t="str">
        <f>VLOOKUP(C148,V:W,2,0)</f>
        <v>FIN</v>
      </c>
      <c r="U148" t="str">
        <f t="shared" si="17"/>
        <v/>
      </c>
    </row>
    <row r="149" spans="1:21" x14ac:dyDescent="0.25">
      <c r="A149" s="31" t="s">
        <v>960</v>
      </c>
      <c r="B149" s="31" t="s">
        <v>1723</v>
      </c>
      <c r="C149" s="31" t="s">
        <v>1217</v>
      </c>
      <c r="D149" s="31">
        <f>IFERROR(ROUND(VLOOKUP(A149,institutions!A:E,4,0),2),"")</f>
        <v>2.29</v>
      </c>
      <c r="E149" s="31">
        <f>IFERROR(ROUND(VLOOKUP(A149,institutions!A:X,7,0),2),"")</f>
        <v>2.02</v>
      </c>
      <c r="F149" s="31">
        <f>IFERROR(ROUND(VLOOKUP(A149,institutions!A:X,10,0),2),"")</f>
        <v>1.53</v>
      </c>
      <c r="G149" s="31">
        <f>IFERROR(ROUND(VLOOKUP(A149,institutions!A:X,13,0),2),"")</f>
        <v>2.89</v>
      </c>
      <c r="H149" s="31">
        <f>IFERROR(ROUND(VLOOKUP(A149,institutions!A:X,16,0),2),"")</f>
        <v>2.59</v>
      </c>
      <c r="I149" s="31">
        <f t="shared" si="12"/>
        <v>0.71499999999999997</v>
      </c>
      <c r="J149" s="31">
        <f t="shared" si="13"/>
        <v>0.76300000000000001</v>
      </c>
      <c r="K149" s="31">
        <f t="shared" si="14"/>
        <v>0.55200000000000005</v>
      </c>
      <c r="L149" s="31">
        <f t="shared" si="15"/>
        <v>0.78300000000000003</v>
      </c>
      <c r="M149" s="31">
        <f t="shared" si="16"/>
        <v>0.57799999999999996</v>
      </c>
      <c r="N149" t="e">
        <f>VLOOKUP(A149,#REF!,11,0)</f>
        <v>#REF!</v>
      </c>
      <c r="O149" t="e">
        <f>VLOOKUP(A149,#REF!,12,0)</f>
        <v>#REF!</v>
      </c>
      <c r="P149" t="e">
        <f>VLOOKUP(A149,#REF!,13,0)</f>
        <v>#REF!</v>
      </c>
      <c r="Q149" t="e">
        <f>VLOOKUP(A149,#REF!,14,0)</f>
        <v>#REF!</v>
      </c>
      <c r="R149">
        <v>1.140426236147192</v>
      </c>
      <c r="S149">
        <v>3.4304735169235628E-2</v>
      </c>
      <c r="T149" s="31" t="str">
        <f>VLOOKUP(C149,V:W,2,0)</f>
        <v>USA</v>
      </c>
      <c r="U149" t="str">
        <f t="shared" si="17"/>
        <v/>
      </c>
    </row>
    <row r="150" spans="1:21" x14ac:dyDescent="0.25">
      <c r="A150" s="31" t="s">
        <v>998</v>
      </c>
      <c r="B150" s="31" t="s">
        <v>998</v>
      </c>
      <c r="C150" s="31" t="s">
        <v>1271</v>
      </c>
      <c r="D150" s="31">
        <f>IFERROR(ROUND(VLOOKUP(A150,institutions!A:E,4,0),2),"")</f>
        <v>2.25</v>
      </c>
      <c r="E150" s="31">
        <f>IFERROR(ROUND(VLOOKUP(A150,institutions!A:X,7,0),2),"")</f>
        <v>2.11</v>
      </c>
      <c r="F150" s="31">
        <f>IFERROR(ROUND(VLOOKUP(A150,institutions!A:X,10,0),2),"")</f>
        <v>1.37</v>
      </c>
      <c r="G150" s="31">
        <f>IFERROR(ROUND(VLOOKUP(A150,institutions!A:X,13,0),2),"")</f>
        <v>2.21</v>
      </c>
      <c r="H150" s="31">
        <f>IFERROR(ROUND(VLOOKUP(A150,institutions!A:X,16,0),2),"")</f>
        <v>2.2599999999999998</v>
      </c>
      <c r="I150" s="31">
        <f t="shared" si="12"/>
        <v>0.7</v>
      </c>
      <c r="J150" s="31">
        <f t="shared" si="13"/>
        <v>0.79300000000000004</v>
      </c>
      <c r="K150" s="31">
        <f t="shared" si="14"/>
        <v>0.42199999999999999</v>
      </c>
      <c r="L150" s="31">
        <f t="shared" si="15"/>
        <v>0.55500000000000005</v>
      </c>
      <c r="M150" s="31">
        <f t="shared" si="16"/>
        <v>0.45</v>
      </c>
      <c r="N150" t="e">
        <f>VLOOKUP(A150,#REF!,11,0)</f>
        <v>#REF!</v>
      </c>
      <c r="O150" t="e">
        <f>VLOOKUP(A150,#REF!,12,0)</f>
        <v>#REF!</v>
      </c>
      <c r="P150" t="e">
        <f>VLOOKUP(A150,#REF!,13,0)</f>
        <v>#REF!</v>
      </c>
      <c r="Q150" t="e">
        <f>VLOOKUP(A150,#REF!,14,0)</f>
        <v>#REF!</v>
      </c>
      <c r="R150">
        <v>0.32823421234974942</v>
      </c>
      <c r="S150">
        <v>0.49209407000787769</v>
      </c>
      <c r="T150" s="31" t="str">
        <f>VLOOKUP(C150,V:W,2,0)</f>
        <v>DEU</v>
      </c>
      <c r="U150" t="str">
        <f t="shared" si="17"/>
        <v>Ifo Institut</v>
      </c>
    </row>
    <row r="151" spans="1:21" x14ac:dyDescent="0.25">
      <c r="A151" s="31" t="s">
        <v>806</v>
      </c>
      <c r="B151" s="31" t="s">
        <v>2093</v>
      </c>
      <c r="C151" s="31" t="s">
        <v>1226</v>
      </c>
      <c r="D151" s="31">
        <f>IFERROR(ROUND(VLOOKUP(A151,institutions!A:E,4,0),2),"")</f>
        <v>2.33</v>
      </c>
      <c r="E151" s="31">
        <f>IFERROR(ROUND(VLOOKUP(A151,institutions!A:X,7,0),2),"")</f>
        <v>1.85</v>
      </c>
      <c r="F151" s="31">
        <f>IFERROR(ROUND(VLOOKUP(A151,institutions!A:X,10,0),2),"")</f>
        <v>2.09</v>
      </c>
      <c r="G151" s="31">
        <f>IFERROR(ROUND(VLOOKUP(A151,institutions!A:X,13,0),2),"")</f>
        <v>3.05</v>
      </c>
      <c r="H151" s="31">
        <f>IFERROR(ROUND(VLOOKUP(A151,institutions!A:X,16,0),2),"")</f>
        <v>3.55</v>
      </c>
      <c r="I151" s="31">
        <f t="shared" si="12"/>
        <v>0.73</v>
      </c>
      <c r="J151" s="31">
        <f t="shared" si="13"/>
        <v>0.70299999999999996</v>
      </c>
      <c r="K151" s="31">
        <f t="shared" si="14"/>
        <v>0.76800000000000002</v>
      </c>
      <c r="L151" s="31">
        <f t="shared" si="15"/>
        <v>0.82199999999999995</v>
      </c>
      <c r="M151" s="31">
        <f t="shared" si="16"/>
        <v>0.80500000000000005</v>
      </c>
      <c r="N151" t="e">
        <f>VLOOKUP(A151,#REF!,11,0)</f>
        <v>#REF!</v>
      </c>
      <c r="O151" t="e">
        <f>VLOOKUP(A151,#REF!,12,0)</f>
        <v>#REF!</v>
      </c>
      <c r="P151" t="e">
        <f>VLOOKUP(A151,#REF!,13,0)</f>
        <v>#REF!</v>
      </c>
      <c r="Q151" t="e">
        <f>VLOOKUP(A151,#REF!,14,0)</f>
        <v>#REF!</v>
      </c>
      <c r="R151">
        <v>1.8929937220026269</v>
      </c>
      <c r="S151">
        <v>-0.2045346297758957</v>
      </c>
      <c r="T151" s="31" t="str">
        <f>VLOOKUP(C151,V:W,2,0)</f>
        <v>SGP</v>
      </c>
      <c r="U151" t="str">
        <f t="shared" si="17"/>
        <v/>
      </c>
    </row>
    <row r="152" spans="1:21" x14ac:dyDescent="0.25">
      <c r="A152" s="31" t="s">
        <v>779</v>
      </c>
      <c r="B152" s="31" t="s">
        <v>1551</v>
      </c>
      <c r="C152" s="31" t="s">
        <v>1237</v>
      </c>
      <c r="D152" s="31">
        <f>IFERROR(ROUND(VLOOKUP(A152,institutions!A:E,4,0),2),"")</f>
        <v>2.38</v>
      </c>
      <c r="E152" s="31">
        <f>IFERROR(ROUND(VLOOKUP(A152,institutions!A:X,7,0),2),"")</f>
        <v>1.6</v>
      </c>
      <c r="F152" s="31">
        <f>IFERROR(ROUND(VLOOKUP(A152,institutions!A:X,10,0),2),"")</f>
        <v>2.1</v>
      </c>
      <c r="G152" s="31">
        <f>IFERROR(ROUND(VLOOKUP(A152,institutions!A:X,13,0),2),"")</f>
        <v>4.01</v>
      </c>
      <c r="H152" s="31">
        <f>IFERROR(ROUND(VLOOKUP(A152,institutions!A:X,16,0),2),"")</f>
        <v>4.1500000000000004</v>
      </c>
      <c r="I152" s="31">
        <f t="shared" si="12"/>
        <v>0.74299999999999999</v>
      </c>
      <c r="J152" s="31">
        <f t="shared" si="13"/>
        <v>0.56799999999999995</v>
      </c>
      <c r="K152" s="31">
        <f t="shared" si="14"/>
        <v>0.77200000000000002</v>
      </c>
      <c r="L152" s="31">
        <f t="shared" si="15"/>
        <v>0.94299999999999995</v>
      </c>
      <c r="M152" s="31">
        <f t="shared" si="16"/>
        <v>0.88700000000000001</v>
      </c>
      <c r="N152" t="e">
        <f>VLOOKUP(A152,#REF!,11,0)</f>
        <v>#REF!</v>
      </c>
      <c r="O152" t="e">
        <f>VLOOKUP(A152,#REF!,12,0)</f>
        <v>#REF!</v>
      </c>
      <c r="P152" t="e">
        <f>VLOOKUP(A152,#REF!,13,0)</f>
        <v>#REF!</v>
      </c>
      <c r="Q152" t="e">
        <f>VLOOKUP(A152,#REF!,14,0)</f>
        <v>#REF!</v>
      </c>
      <c r="R152">
        <v>2.047878973242975</v>
      </c>
      <c r="S152">
        <v>-0.81864670156588892</v>
      </c>
      <c r="T152" s="31" t="str">
        <f>VLOOKUP(C152,V:W,2,0)</f>
        <v>AUS</v>
      </c>
      <c r="U152" t="str">
        <f t="shared" si="17"/>
        <v/>
      </c>
    </row>
    <row r="153" spans="1:21" x14ac:dyDescent="0.25">
      <c r="A153" s="31" t="s">
        <v>887</v>
      </c>
      <c r="B153" s="31" t="s">
        <v>1774</v>
      </c>
      <c r="C153" s="31" t="s">
        <v>1237</v>
      </c>
      <c r="D153" s="31">
        <f>IFERROR(ROUND(VLOOKUP(A153,institutions!A:E,4,0),2),"")</f>
        <v>2.34</v>
      </c>
      <c r="E153" s="31">
        <f>IFERROR(ROUND(VLOOKUP(A153,institutions!A:X,7,0),2),"")</f>
        <v>1.54</v>
      </c>
      <c r="F153" s="31">
        <f>IFERROR(ROUND(VLOOKUP(A153,institutions!A:X,10,0),2),"")</f>
        <v>1.41</v>
      </c>
      <c r="G153" s="31">
        <f>IFERROR(ROUND(VLOOKUP(A153,institutions!A:X,13,0),2),"")</f>
        <v>2.33</v>
      </c>
      <c r="H153" s="31">
        <f>IFERROR(ROUND(VLOOKUP(A153,institutions!A:X,16,0),2),"")</f>
        <v>2.37</v>
      </c>
      <c r="I153" s="31">
        <f t="shared" si="12"/>
        <v>0.73499999999999999</v>
      </c>
      <c r="J153" s="31">
        <f t="shared" si="13"/>
        <v>0.53300000000000003</v>
      </c>
      <c r="K153" s="31">
        <f t="shared" si="14"/>
        <v>0.45300000000000001</v>
      </c>
      <c r="L153" s="31">
        <f t="shared" si="15"/>
        <v>0.60499999999999998</v>
      </c>
      <c r="M153" s="31">
        <f t="shared" si="16"/>
        <v>0.497</v>
      </c>
      <c r="N153" t="e">
        <f>VLOOKUP(A153,#REF!,11,0)</f>
        <v>#REF!</v>
      </c>
      <c r="O153" t="e">
        <f>VLOOKUP(A153,#REF!,12,0)</f>
        <v>#REF!</v>
      </c>
      <c r="P153" t="e">
        <f>VLOOKUP(A153,#REF!,13,0)</f>
        <v>#REF!</v>
      </c>
      <c r="Q153" t="e">
        <f>VLOOKUP(A153,#REF!,14,0)</f>
        <v>#REF!</v>
      </c>
      <c r="R153">
        <v>0.13932391506616421</v>
      </c>
      <c r="S153">
        <v>-0.17584284782447329</v>
      </c>
      <c r="T153" s="31" t="str">
        <f>VLOOKUP(C153,V:W,2,0)</f>
        <v>AUS</v>
      </c>
      <c r="U153" t="str">
        <f t="shared" si="17"/>
        <v/>
      </c>
    </row>
    <row r="154" spans="1:21" x14ac:dyDescent="0.25">
      <c r="A154" s="31" t="s">
        <v>759</v>
      </c>
      <c r="B154" s="31" t="s">
        <v>2098</v>
      </c>
      <c r="C154" s="31" t="s">
        <v>1217</v>
      </c>
      <c r="D154" s="31">
        <f>IFERROR(ROUND(VLOOKUP(A154,institutions!A:E,4,0),2),"")</f>
        <v>2.39</v>
      </c>
      <c r="E154" s="31">
        <f>IFERROR(ROUND(VLOOKUP(A154,institutions!A:X,7,0),2),"")</f>
        <v>2.0699999999999998</v>
      </c>
      <c r="F154" s="31">
        <f>IFERROR(ROUND(VLOOKUP(A154,institutions!A:X,10,0),2),"")</f>
        <v>1.96</v>
      </c>
      <c r="G154" s="31">
        <f>IFERROR(ROUND(VLOOKUP(A154,institutions!A:X,13,0),2),"")</f>
        <v>2.4900000000000002</v>
      </c>
      <c r="H154" s="31">
        <f>IFERROR(ROUND(VLOOKUP(A154,institutions!A:X,16,0),2),"")</f>
        <v>3.58</v>
      </c>
      <c r="I154" s="31">
        <f t="shared" si="12"/>
        <v>0.752</v>
      </c>
      <c r="J154" s="31">
        <f t="shared" si="13"/>
        <v>0.78500000000000003</v>
      </c>
      <c r="K154" s="31">
        <f t="shared" si="14"/>
        <v>0.73</v>
      </c>
      <c r="L154" s="31">
        <f t="shared" si="15"/>
        <v>0.68799999999999994</v>
      </c>
      <c r="M154" s="31">
        <f t="shared" si="16"/>
        <v>0.81</v>
      </c>
      <c r="N154" t="e">
        <f>VLOOKUP(A154,#REF!,11,0)</f>
        <v>#REF!</v>
      </c>
      <c r="O154" t="e">
        <f>VLOOKUP(A154,#REF!,12,0)</f>
        <v>#REF!</v>
      </c>
      <c r="P154" t="e">
        <f>VLOOKUP(A154,#REF!,13,0)</f>
        <v>#REF!</v>
      </c>
      <c r="Q154" t="e">
        <f>VLOOKUP(A154,#REF!,14,0)</f>
        <v>#REF!</v>
      </c>
      <c r="R154">
        <v>1.729131498839183</v>
      </c>
      <c r="S154">
        <v>0.13059873468744429</v>
      </c>
      <c r="T154" s="31" t="str">
        <f>VLOOKUP(C154,V:W,2,0)</f>
        <v>USA</v>
      </c>
      <c r="U154" t="str">
        <f t="shared" si="17"/>
        <v/>
      </c>
    </row>
    <row r="155" spans="1:21" x14ac:dyDescent="0.25">
      <c r="A155" s="31" t="s">
        <v>834</v>
      </c>
      <c r="B155" s="31" t="s">
        <v>1579</v>
      </c>
      <c r="C155" s="31" t="s">
        <v>1240</v>
      </c>
      <c r="D155" s="31">
        <f>IFERROR(ROUND(VLOOKUP(A155,institutions!A:E,4,0),2),"")</f>
        <v>2.35</v>
      </c>
      <c r="E155" s="31">
        <f>IFERROR(ROUND(VLOOKUP(A155,institutions!A:X,7,0),2),"")</f>
        <v>2.36</v>
      </c>
      <c r="F155" s="31">
        <f>IFERROR(ROUND(VLOOKUP(A155,institutions!A:X,10,0),2),"")</f>
        <v>1.79</v>
      </c>
      <c r="G155" s="31">
        <f>IFERROR(ROUND(VLOOKUP(A155,institutions!A:X,13,0),2),"")</f>
        <v>2.39</v>
      </c>
      <c r="H155" s="31">
        <f>IFERROR(ROUND(VLOOKUP(A155,institutions!A:X,16,0),2),"")</f>
        <v>2.0299999999999998</v>
      </c>
      <c r="I155" s="31">
        <f t="shared" si="12"/>
        <v>0.73699999999999999</v>
      </c>
      <c r="J155" s="31">
        <f t="shared" si="13"/>
        <v>0.84699999999999998</v>
      </c>
      <c r="K155" s="31">
        <f t="shared" si="14"/>
        <v>0.67800000000000005</v>
      </c>
      <c r="L155" s="31">
        <f t="shared" si="15"/>
        <v>0.63700000000000001</v>
      </c>
      <c r="M155" s="31">
        <f t="shared" si="16"/>
        <v>0.33500000000000002</v>
      </c>
      <c r="N155" t="e">
        <f>VLOOKUP(A155,#REF!,11,0)</f>
        <v>#REF!</v>
      </c>
      <c r="O155" t="e">
        <f>VLOOKUP(A155,#REF!,12,0)</f>
        <v>#REF!</v>
      </c>
      <c r="P155" t="e">
        <f>VLOOKUP(A155,#REF!,13,0)</f>
        <v>#REF!</v>
      </c>
      <c r="Q155" t="e">
        <f>VLOOKUP(A155,#REF!,14,0)</f>
        <v>#REF!</v>
      </c>
      <c r="R155">
        <v>0.79067464993352876</v>
      </c>
      <c r="S155">
        <v>1.0256920233356841</v>
      </c>
      <c r="T155" s="31" t="str">
        <f>VLOOKUP(C155,V:W,2,0)</f>
        <v>AUT</v>
      </c>
      <c r="U155" t="str">
        <f t="shared" si="17"/>
        <v/>
      </c>
    </row>
    <row r="156" spans="1:21" x14ac:dyDescent="0.25">
      <c r="A156" s="31" t="s">
        <v>726</v>
      </c>
      <c r="B156" s="31" t="s">
        <v>2090</v>
      </c>
      <c r="C156" s="31" t="s">
        <v>1218</v>
      </c>
      <c r="D156" s="31">
        <f>IFERROR(ROUND(VLOOKUP(A156,institutions!A:E,4,0),2),"")</f>
        <v>2.4300000000000002</v>
      </c>
      <c r="E156" s="31">
        <f>IFERROR(ROUND(VLOOKUP(A156,institutions!A:X,7,0),2),"")</f>
        <v>1.98</v>
      </c>
      <c r="F156" s="31">
        <f>IFERROR(ROUND(VLOOKUP(A156,institutions!A:X,10,0),2),"")</f>
        <v>1.41</v>
      </c>
      <c r="G156" s="31">
        <f>IFERROR(ROUND(VLOOKUP(A156,institutions!A:X,13,0),2),"")</f>
        <v>2.77</v>
      </c>
      <c r="H156" s="31">
        <f>IFERROR(ROUND(VLOOKUP(A156,institutions!A:X,16,0),2),"")</f>
        <v>2.83</v>
      </c>
      <c r="I156" s="31">
        <f t="shared" si="12"/>
        <v>0.76800000000000002</v>
      </c>
      <c r="J156" s="31">
        <f t="shared" si="13"/>
        <v>0.747</v>
      </c>
      <c r="K156" s="31">
        <f t="shared" si="14"/>
        <v>0.45300000000000001</v>
      </c>
      <c r="L156" s="31">
        <f t="shared" si="15"/>
        <v>0.76700000000000002</v>
      </c>
      <c r="M156" s="31">
        <f t="shared" si="16"/>
        <v>0.64700000000000002</v>
      </c>
      <c r="N156" t="e">
        <f>VLOOKUP(A156,#REF!,11,0)</f>
        <v>#REF!</v>
      </c>
      <c r="O156" t="e">
        <f>VLOOKUP(A156,#REF!,12,0)</f>
        <v>#REF!</v>
      </c>
      <c r="P156" t="e">
        <f>VLOOKUP(A156,#REF!,13,0)</f>
        <v>#REF!</v>
      </c>
      <c r="Q156" t="e">
        <f>VLOOKUP(A156,#REF!,14,0)</f>
        <v>#REF!</v>
      </c>
      <c r="R156">
        <v>1.0417387565603731</v>
      </c>
      <c r="S156">
        <v>-0.22669987614505699</v>
      </c>
      <c r="T156" s="31" t="str">
        <f>VLOOKUP(C156,V:W,2,0)</f>
        <v>FRA</v>
      </c>
      <c r="U156" t="str">
        <f t="shared" si="17"/>
        <v>heSam</v>
      </c>
    </row>
    <row r="157" spans="1:21" x14ac:dyDescent="0.25">
      <c r="A157" s="31" t="s">
        <v>741</v>
      </c>
      <c r="B157" s="31" t="s">
        <v>1538</v>
      </c>
      <c r="C157" s="31" t="s">
        <v>1224</v>
      </c>
      <c r="D157" s="31">
        <f>IFERROR(ROUND(VLOOKUP(A157,institutions!A:E,4,0),2),"")</f>
        <v>2.41</v>
      </c>
      <c r="E157" s="31">
        <f>IFERROR(ROUND(VLOOKUP(A157,institutions!A:X,7,0),2),"")</f>
        <v>1.69</v>
      </c>
      <c r="F157" s="31">
        <f>IFERROR(ROUND(VLOOKUP(A157,institutions!A:X,10,0),2),"")</f>
        <v>1.59</v>
      </c>
      <c r="G157" s="31">
        <f>IFERROR(ROUND(VLOOKUP(A157,institutions!A:X,13,0),2),"")</f>
        <v>3.58</v>
      </c>
      <c r="H157" s="31">
        <f>IFERROR(ROUND(VLOOKUP(A157,institutions!A:X,16,0),2),"")</f>
        <v>4.4000000000000004</v>
      </c>
      <c r="I157" s="31">
        <f t="shared" si="12"/>
        <v>0.76200000000000001</v>
      </c>
      <c r="J157" s="31">
        <f t="shared" si="13"/>
        <v>0.63200000000000001</v>
      </c>
      <c r="K157" s="31">
        <f t="shared" si="14"/>
        <v>0.59199999999999997</v>
      </c>
      <c r="L157" s="31">
        <f t="shared" si="15"/>
        <v>0.90200000000000002</v>
      </c>
      <c r="M157" s="31">
        <f t="shared" si="16"/>
        <v>0.90300000000000002</v>
      </c>
      <c r="N157" t="e">
        <f>VLOOKUP(A157,#REF!,11,0)</f>
        <v>#REF!</v>
      </c>
      <c r="O157" t="e">
        <f>VLOOKUP(A157,#REF!,12,0)</f>
        <v>#REF!</v>
      </c>
      <c r="P157" t="e">
        <f>VLOOKUP(A157,#REF!,13,0)</f>
        <v>#REF!</v>
      </c>
      <c r="Q157" t="e">
        <f>VLOOKUP(A157,#REF!,14,0)</f>
        <v>#REF!</v>
      </c>
      <c r="R157">
        <v>1.798472371968086</v>
      </c>
      <c r="S157">
        <v>-0.90097081400418788</v>
      </c>
      <c r="T157" s="31" t="str">
        <f>VLOOKUP(C157,V:W,2,0)</f>
        <v>CAN</v>
      </c>
      <c r="U157" t="str">
        <f t="shared" si="17"/>
        <v/>
      </c>
    </row>
    <row r="158" spans="1:21" x14ac:dyDescent="0.25">
      <c r="A158" s="31" t="s">
        <v>789</v>
      </c>
      <c r="B158" s="31" t="s">
        <v>1701</v>
      </c>
      <c r="C158" s="31" t="s">
        <v>1224</v>
      </c>
      <c r="D158" s="31">
        <f>IFERROR(ROUND(VLOOKUP(A158,institutions!A:E,4,0),2),"")</f>
        <v>2.44</v>
      </c>
      <c r="E158" s="31">
        <f>IFERROR(ROUND(VLOOKUP(A158,institutions!A:X,7,0),2),"")</f>
        <v>1.53</v>
      </c>
      <c r="F158" s="31">
        <f>IFERROR(ROUND(VLOOKUP(A158,institutions!A:X,10,0),2),"")</f>
        <v>1.45</v>
      </c>
      <c r="G158" s="31">
        <f>IFERROR(ROUND(VLOOKUP(A158,institutions!A:X,13,0),2),"")</f>
        <v>3.7</v>
      </c>
      <c r="H158" s="31">
        <f>IFERROR(ROUND(VLOOKUP(A158,institutions!A:X,16,0),2),"")</f>
        <v>5.09</v>
      </c>
      <c r="I158" s="31">
        <f t="shared" si="12"/>
        <v>0.77200000000000002</v>
      </c>
      <c r="J158" s="31">
        <f t="shared" si="13"/>
        <v>0.52500000000000002</v>
      </c>
      <c r="K158" s="31">
        <f t="shared" si="14"/>
        <v>0.48499999999999999</v>
      </c>
      <c r="L158" s="31">
        <f t="shared" si="15"/>
        <v>0.91700000000000004</v>
      </c>
      <c r="M158" s="31">
        <f t="shared" si="16"/>
        <v>0.94</v>
      </c>
      <c r="N158" t="e">
        <f>VLOOKUP(A158,#REF!,11,0)</f>
        <v>#REF!</v>
      </c>
      <c r="O158" t="e">
        <f>VLOOKUP(A158,#REF!,12,0)</f>
        <v>#REF!</v>
      </c>
      <c r="P158" t="e">
        <f>VLOOKUP(A158,#REF!,13,0)</f>
        <v>#REF!</v>
      </c>
      <c r="Q158" t="e">
        <f>VLOOKUP(A158,#REF!,14,0)</f>
        <v>#REF!</v>
      </c>
      <c r="R158">
        <v>1.5380628833841139</v>
      </c>
      <c r="S158">
        <v>-1.368828353787412</v>
      </c>
      <c r="T158" s="31" t="str">
        <f>VLOOKUP(C158,V:W,2,0)</f>
        <v>CAN</v>
      </c>
      <c r="U158" t="str">
        <f t="shared" si="17"/>
        <v/>
      </c>
    </row>
    <row r="159" spans="1:21" x14ac:dyDescent="0.25">
      <c r="A159" s="31" t="s">
        <v>826</v>
      </c>
      <c r="B159" s="31" t="s">
        <v>1718</v>
      </c>
      <c r="C159" s="31" t="s">
        <v>1217</v>
      </c>
      <c r="D159" s="31">
        <f>IFERROR(ROUND(VLOOKUP(A159,institutions!A:E,4,0),2),"")</f>
        <v>2.31</v>
      </c>
      <c r="E159" s="31">
        <f>IFERROR(ROUND(VLOOKUP(A159,institutions!A:X,7,0),2),"")</f>
        <v>1.82</v>
      </c>
      <c r="F159" s="31">
        <f>IFERROR(ROUND(VLOOKUP(A159,institutions!A:X,10,0),2),"")</f>
        <v>2.71</v>
      </c>
      <c r="G159" s="31">
        <f>IFERROR(ROUND(VLOOKUP(A159,institutions!A:X,13,0),2),"")</f>
        <v>2.95</v>
      </c>
      <c r="H159" s="31">
        <f>IFERROR(ROUND(VLOOKUP(A159,institutions!A:X,16,0),2),"")</f>
        <v>2.92</v>
      </c>
      <c r="I159" s="31">
        <f t="shared" si="12"/>
        <v>0.72299999999999998</v>
      </c>
      <c r="J159" s="31">
        <f t="shared" si="13"/>
        <v>0.69199999999999995</v>
      </c>
      <c r="K159" s="31">
        <f t="shared" si="14"/>
        <v>0.86</v>
      </c>
      <c r="L159" s="31">
        <f t="shared" si="15"/>
        <v>0.79700000000000004</v>
      </c>
      <c r="M159" s="31">
        <f t="shared" si="16"/>
        <v>0.66800000000000004</v>
      </c>
      <c r="N159" t="e">
        <f>VLOOKUP(A159,#REF!,11,0)</f>
        <v>#REF!</v>
      </c>
      <c r="O159" t="e">
        <f>VLOOKUP(A159,#REF!,12,0)</f>
        <v>#REF!</v>
      </c>
      <c r="P159" t="e">
        <f>VLOOKUP(A159,#REF!,13,0)</f>
        <v>#REF!</v>
      </c>
      <c r="Q159" t="e">
        <f>VLOOKUP(A159,#REF!,14,0)</f>
        <v>#REF!</v>
      </c>
      <c r="R159">
        <v>1.7405458320806371</v>
      </c>
      <c r="S159">
        <v>0.16479444241991989</v>
      </c>
      <c r="T159" s="31" t="str">
        <f>VLOOKUP(C159,V:W,2,0)</f>
        <v>USA</v>
      </c>
      <c r="U159" t="str">
        <f t="shared" si="17"/>
        <v/>
      </c>
    </row>
    <row r="160" spans="1:21" x14ac:dyDescent="0.25">
      <c r="A160" s="31" t="s">
        <v>830</v>
      </c>
      <c r="B160" s="31" t="s">
        <v>1719</v>
      </c>
      <c r="C160" s="31" t="s">
        <v>1225</v>
      </c>
      <c r="D160" s="31">
        <f>IFERROR(ROUND(VLOOKUP(A160,institutions!A:E,4,0),2),"")</f>
        <v>2.31</v>
      </c>
      <c r="E160" s="31">
        <f>IFERROR(ROUND(VLOOKUP(A160,institutions!A:X,7,0),2),"")</f>
        <v>1.82</v>
      </c>
      <c r="F160" s="31">
        <f>IFERROR(ROUND(VLOOKUP(A160,institutions!A:X,10,0),2),"")</f>
        <v>2.71</v>
      </c>
      <c r="G160" s="31">
        <f>IFERROR(ROUND(VLOOKUP(A160,institutions!A:X,13,0),2),"")</f>
        <v>2.95</v>
      </c>
      <c r="H160" s="31">
        <f>IFERROR(ROUND(VLOOKUP(A160,institutions!A:X,16,0),2),"")</f>
        <v>2.92</v>
      </c>
      <c r="I160" s="31">
        <f t="shared" si="12"/>
        <v>0.72299999999999998</v>
      </c>
      <c r="J160" s="31">
        <f t="shared" si="13"/>
        <v>0.69199999999999995</v>
      </c>
      <c r="K160" s="31">
        <f t="shared" si="14"/>
        <v>0.86</v>
      </c>
      <c r="L160" s="31">
        <f t="shared" si="15"/>
        <v>0.79700000000000004</v>
      </c>
      <c r="M160" s="31">
        <f t="shared" si="16"/>
        <v>0.66800000000000004</v>
      </c>
      <c r="N160" t="e">
        <f>VLOOKUP(A160,#REF!,11,0)</f>
        <v>#REF!</v>
      </c>
      <c r="O160" t="e">
        <f>VLOOKUP(A160,#REF!,12,0)</f>
        <v>#REF!</v>
      </c>
      <c r="P160" t="e">
        <f>VLOOKUP(A160,#REF!,13,0)</f>
        <v>#REF!</v>
      </c>
      <c r="Q160" t="e">
        <f>VLOOKUP(A160,#REF!,14,0)</f>
        <v>#REF!</v>
      </c>
      <c r="R160">
        <v>1.7405458320806371</v>
      </c>
      <c r="S160">
        <v>0.16479444241991989</v>
      </c>
      <c r="T160" s="31" t="str">
        <f>VLOOKUP(C160,V:W,2,0)</f>
        <v>FIN</v>
      </c>
      <c r="U160" t="str">
        <f t="shared" si="17"/>
        <v/>
      </c>
    </row>
    <row r="161" spans="1:21" x14ac:dyDescent="0.25">
      <c r="A161" s="31" t="s">
        <v>866</v>
      </c>
      <c r="B161" s="31" t="s">
        <v>1892</v>
      </c>
      <c r="C161" s="31" t="s">
        <v>1218</v>
      </c>
      <c r="D161" s="31">
        <f>IFERROR(ROUND(VLOOKUP(A161,institutions!A:E,4,0),2),"")</f>
        <v>2.25</v>
      </c>
      <c r="E161" s="31">
        <f>IFERROR(ROUND(VLOOKUP(A161,institutions!A:X,7,0),2),"")</f>
        <v>2.74</v>
      </c>
      <c r="F161" s="31">
        <f>IFERROR(ROUND(VLOOKUP(A161,institutions!A:X,10,0),2),"")</f>
        <v>1.41</v>
      </c>
      <c r="G161" s="31">
        <f>IFERROR(ROUND(VLOOKUP(A161,institutions!A:X,13,0),2),"")</f>
        <v>2.41</v>
      </c>
      <c r="H161" s="31">
        <f>IFERROR(ROUND(VLOOKUP(A161,institutions!A:X,16,0),2),"")</f>
        <v>2.2400000000000002</v>
      </c>
      <c r="I161" s="31">
        <f t="shared" si="12"/>
        <v>0.7</v>
      </c>
      <c r="J161" s="31">
        <f t="shared" si="13"/>
        <v>0.89</v>
      </c>
      <c r="K161" s="31">
        <f t="shared" si="14"/>
        <v>0.45300000000000001</v>
      </c>
      <c r="L161" s="31">
        <f t="shared" si="15"/>
        <v>0.64500000000000002</v>
      </c>
      <c r="M161" s="31">
        <f t="shared" si="16"/>
        <v>0.437</v>
      </c>
      <c r="N161" t="e">
        <f>VLOOKUP(A161,#REF!,11,0)</f>
        <v>#REF!</v>
      </c>
      <c r="O161" t="e">
        <f>VLOOKUP(A161,#REF!,12,0)</f>
        <v>#REF!</v>
      </c>
      <c r="P161" t="e">
        <f>VLOOKUP(A161,#REF!,13,0)</f>
        <v>#REF!</v>
      </c>
      <c r="Q161" t="e">
        <f>VLOOKUP(A161,#REF!,14,0)</f>
        <v>#REF!</v>
      </c>
      <c r="R161">
        <v>0.6735505994075488</v>
      </c>
      <c r="S161">
        <v>0.61500181717256086</v>
      </c>
      <c r="T161" s="31" t="str">
        <f>VLOOKUP(C161,V:W,2,0)</f>
        <v>FRA</v>
      </c>
      <c r="U161" t="str">
        <f t="shared" si="17"/>
        <v>ESSEC BS</v>
      </c>
    </row>
    <row r="162" spans="1:21" x14ac:dyDescent="0.25">
      <c r="A162" s="31" t="s">
        <v>712</v>
      </c>
      <c r="B162" s="31" t="s">
        <v>1909</v>
      </c>
      <c r="C162" s="31" t="s">
        <v>1220</v>
      </c>
      <c r="D162" s="31">
        <f>IFERROR(ROUND(VLOOKUP(A162,institutions!A:E,4,0),2),"")</f>
        <v>2.39</v>
      </c>
      <c r="E162" s="31">
        <f>IFERROR(ROUND(VLOOKUP(A162,institutions!A:X,7,0),2),"")</f>
        <v>1.41</v>
      </c>
      <c r="F162" s="31">
        <f>IFERROR(ROUND(VLOOKUP(A162,institutions!A:X,10,0),2),"")</f>
        <v>2.34</v>
      </c>
      <c r="G162" s="31">
        <f>IFERROR(ROUND(VLOOKUP(A162,institutions!A:X,13,0),2),"")</f>
        <v>2.79</v>
      </c>
      <c r="H162" s="31">
        <f>IFERROR(ROUND(VLOOKUP(A162,institutions!A:X,16,0),2),"")</f>
        <v>3.48</v>
      </c>
      <c r="I162" s="31">
        <f t="shared" si="12"/>
        <v>0.752</v>
      </c>
      <c r="J162" s="31">
        <f t="shared" si="13"/>
        <v>0.42199999999999999</v>
      </c>
      <c r="K162" s="31">
        <f t="shared" si="14"/>
        <v>0.81699999999999995</v>
      </c>
      <c r="L162" s="31">
        <f t="shared" si="15"/>
        <v>0.77200000000000002</v>
      </c>
      <c r="M162" s="31">
        <f t="shared" si="16"/>
        <v>0.79200000000000004</v>
      </c>
      <c r="N162" t="e">
        <f>VLOOKUP(A162,#REF!,11,0)</f>
        <v>#REF!</v>
      </c>
      <c r="O162" t="e">
        <f>VLOOKUP(A162,#REF!,12,0)</f>
        <v>#REF!</v>
      </c>
      <c r="P162" t="e">
        <f>VLOOKUP(A162,#REF!,13,0)</f>
        <v>#REF!</v>
      </c>
      <c r="Q162" t="e">
        <f>VLOOKUP(A162,#REF!,14,0)</f>
        <v>#REF!</v>
      </c>
      <c r="R162">
        <v>1.41440081768452</v>
      </c>
      <c r="S162">
        <v>-0.6293454762507491</v>
      </c>
      <c r="T162" s="31" t="str">
        <f>VLOOKUP(C162,V:W,2,0)</f>
        <v>SPAIN</v>
      </c>
      <c r="U162" t="str">
        <f t="shared" si="17"/>
        <v>IE Univ</v>
      </c>
    </row>
    <row r="163" spans="1:21" x14ac:dyDescent="0.25">
      <c r="A163" s="31" t="s">
        <v>697</v>
      </c>
      <c r="B163" s="31" t="s">
        <v>2029</v>
      </c>
      <c r="C163" s="31" t="s">
        <v>1217</v>
      </c>
      <c r="D163" s="31">
        <f>IFERROR(ROUND(VLOOKUP(A163,institutions!A:E,4,0),2),"")</f>
        <v>2.64</v>
      </c>
      <c r="E163" s="31">
        <f>IFERROR(ROUND(VLOOKUP(A163,institutions!A:X,7,0),2),"")</f>
        <v>1.75</v>
      </c>
      <c r="F163" s="31">
        <f>IFERROR(ROUND(VLOOKUP(A163,institutions!A:X,10,0),2),"")</f>
        <v>1.35</v>
      </c>
      <c r="G163" s="31">
        <f>IFERROR(ROUND(VLOOKUP(A163,institutions!A:X,13,0),2),"")</f>
        <v>2.67</v>
      </c>
      <c r="H163" s="31">
        <f>IFERROR(ROUND(VLOOKUP(A163,institutions!A:X,16,0),2),"")</f>
        <v>6.05</v>
      </c>
      <c r="I163" s="31">
        <f t="shared" si="12"/>
        <v>0.82199999999999995</v>
      </c>
      <c r="J163" s="31">
        <f t="shared" si="13"/>
        <v>0.66300000000000003</v>
      </c>
      <c r="K163" s="31">
        <f t="shared" si="14"/>
        <v>0.40200000000000002</v>
      </c>
      <c r="L163" s="31">
        <f t="shared" si="15"/>
        <v>0.74199999999999999</v>
      </c>
      <c r="M163" s="31">
        <f t="shared" si="16"/>
        <v>0.97699999999999998</v>
      </c>
      <c r="N163" t="e">
        <f>VLOOKUP(A163,#REF!,11,0)</f>
        <v>#REF!</v>
      </c>
      <c r="O163" t="e">
        <f>VLOOKUP(A163,#REF!,12,0)</f>
        <v>#REF!</v>
      </c>
      <c r="P163" t="e">
        <f>VLOOKUP(A163,#REF!,13,0)</f>
        <v>#REF!</v>
      </c>
      <c r="Q163" t="e">
        <f>VLOOKUP(A163,#REF!,14,0)</f>
        <v>#REF!</v>
      </c>
      <c r="R163">
        <v>1.371528233848367</v>
      </c>
      <c r="S163">
        <v>-0.96203945667642454</v>
      </c>
      <c r="T163" s="31" t="str">
        <f>VLOOKUP(C163,V:W,2,0)</f>
        <v>USA</v>
      </c>
      <c r="U163" t="str">
        <f t="shared" si="17"/>
        <v/>
      </c>
    </row>
    <row r="164" spans="1:21" x14ac:dyDescent="0.25">
      <c r="A164" s="31" t="s">
        <v>769</v>
      </c>
      <c r="B164" s="31" t="s">
        <v>1738</v>
      </c>
      <c r="C164" s="31" t="s">
        <v>1217</v>
      </c>
      <c r="D164" s="31">
        <f>IFERROR(ROUND(VLOOKUP(A164,institutions!A:E,4,0),2),"")</f>
        <v>2.3199999999999998</v>
      </c>
      <c r="E164" s="31">
        <f>IFERROR(ROUND(VLOOKUP(A164,institutions!A:X,7,0),2),"")</f>
        <v>2.11</v>
      </c>
      <c r="F164" s="31">
        <f>IFERROR(ROUND(VLOOKUP(A164,institutions!A:X,10,0),2),"")</f>
        <v>2.36</v>
      </c>
      <c r="G164" s="31">
        <f>IFERROR(ROUND(VLOOKUP(A164,institutions!A:X,13,0),2),"")</f>
        <v>2.2999999999999998</v>
      </c>
      <c r="H164" s="31">
        <f>IFERROR(ROUND(VLOOKUP(A164,institutions!A:X,16,0),2),"")</f>
        <v>3.07</v>
      </c>
      <c r="I164" s="31">
        <f t="shared" si="12"/>
        <v>0.72699999999999998</v>
      </c>
      <c r="J164" s="31">
        <f t="shared" si="13"/>
        <v>0.79300000000000004</v>
      </c>
      <c r="K164" s="31">
        <f t="shared" si="14"/>
        <v>0.81799999999999995</v>
      </c>
      <c r="L164" s="31">
        <f t="shared" si="15"/>
        <v>0.59799999999999998</v>
      </c>
      <c r="M164" s="31">
        <f t="shared" si="16"/>
        <v>0.69799999999999995</v>
      </c>
      <c r="N164" t="e">
        <f>VLOOKUP(A164,#REF!,11,0)</f>
        <v>#REF!</v>
      </c>
      <c r="O164" t="e">
        <f>VLOOKUP(A164,#REF!,12,0)</f>
        <v>#REF!</v>
      </c>
      <c r="P164" t="e">
        <f>VLOOKUP(A164,#REF!,13,0)</f>
        <v>#REF!</v>
      </c>
      <c r="Q164" t="e">
        <f>VLOOKUP(A164,#REF!,14,0)</f>
        <v>#REF!</v>
      </c>
      <c r="R164">
        <v>1.5293818034371209</v>
      </c>
      <c r="S164">
        <v>0.60332389266978426</v>
      </c>
      <c r="T164" s="31" t="str">
        <f>VLOOKUP(C164,V:W,2,0)</f>
        <v>USA</v>
      </c>
      <c r="U164" t="str">
        <f t="shared" si="17"/>
        <v/>
      </c>
    </row>
    <row r="165" spans="1:21" x14ac:dyDescent="0.25">
      <c r="A165" s="31" t="s">
        <v>904</v>
      </c>
      <c r="B165" s="31" t="s">
        <v>2080</v>
      </c>
      <c r="C165" s="31" t="s">
        <v>1271</v>
      </c>
      <c r="D165" s="31">
        <f>IFERROR(ROUND(VLOOKUP(A165,institutions!A:E,4,0),2),"")</f>
        <v>2.15</v>
      </c>
      <c r="E165" s="31">
        <f>IFERROR(ROUND(VLOOKUP(A165,institutions!A:X,7,0),2),"")</f>
        <v>1.84</v>
      </c>
      <c r="F165" s="31">
        <f>IFERROR(ROUND(VLOOKUP(A165,institutions!A:X,10,0),2),"")</f>
        <v>3.58</v>
      </c>
      <c r="G165" s="31">
        <f>IFERROR(ROUND(VLOOKUP(A165,institutions!A:X,13,0),2),"")</f>
        <v>1.28</v>
      </c>
      <c r="H165" s="31">
        <f>IFERROR(ROUND(VLOOKUP(A165,institutions!A:X,16,0),2),"")</f>
        <v>2.37</v>
      </c>
      <c r="I165" s="31">
        <f t="shared" si="12"/>
        <v>0.64500000000000002</v>
      </c>
      <c r="J165" s="31">
        <f t="shared" si="13"/>
        <v>0.70199999999999996</v>
      </c>
      <c r="K165" s="31">
        <f t="shared" si="14"/>
        <v>0.92500000000000004</v>
      </c>
      <c r="L165" s="31">
        <f t="shared" si="15"/>
        <v>0.112</v>
      </c>
      <c r="M165" s="31">
        <f t="shared" si="16"/>
        <v>0.497</v>
      </c>
      <c r="N165" t="e">
        <f>VLOOKUP(A165,#REF!,11,0)</f>
        <v>#REF!</v>
      </c>
      <c r="O165" t="e">
        <f>VLOOKUP(A165,#REF!,12,0)</f>
        <v>#REF!</v>
      </c>
      <c r="P165" t="e">
        <f>VLOOKUP(A165,#REF!,13,0)</f>
        <v>#REF!</v>
      </c>
      <c r="Q165" t="e">
        <f>VLOOKUP(A165,#REF!,14,0)</f>
        <v>#REF!</v>
      </c>
      <c r="R165">
        <v>0.33618065497676458</v>
      </c>
      <c r="S165">
        <v>1.693237220544521</v>
      </c>
      <c r="T165" s="31" t="str">
        <f>VLOOKUP(C165,V:W,2,0)</f>
        <v>DEU</v>
      </c>
      <c r="U165" t="str">
        <f t="shared" si="17"/>
        <v>Humboldt</v>
      </c>
    </row>
    <row r="166" spans="1:21" x14ac:dyDescent="0.25">
      <c r="A166" s="31" t="s">
        <v>727</v>
      </c>
      <c r="B166" s="31" t="s">
        <v>1907</v>
      </c>
      <c r="C166" s="31" t="s">
        <v>1230</v>
      </c>
      <c r="D166" s="31">
        <f>IFERROR(ROUND(VLOOKUP(A166,institutions!A:E,4,0),2),"")</f>
        <v>2.31</v>
      </c>
      <c r="E166" s="31">
        <f>IFERROR(ROUND(VLOOKUP(A166,institutions!A:X,7,0),2),"")</f>
        <v>1.75</v>
      </c>
      <c r="F166" s="31">
        <f>IFERROR(ROUND(VLOOKUP(A166,institutions!A:X,10,0),2),"")</f>
        <v>1.82</v>
      </c>
      <c r="G166" s="31">
        <f>IFERROR(ROUND(VLOOKUP(A166,institutions!A:X,13,0),2),"")</f>
        <v>2.69</v>
      </c>
      <c r="H166" s="31">
        <f>IFERROR(ROUND(VLOOKUP(A166,institutions!A:X,16,0),2),"")</f>
        <v>3.36</v>
      </c>
      <c r="I166" s="31">
        <f t="shared" si="12"/>
        <v>0.72299999999999998</v>
      </c>
      <c r="J166" s="31">
        <f t="shared" si="13"/>
        <v>0.66300000000000003</v>
      </c>
      <c r="K166" s="31">
        <f t="shared" si="14"/>
        <v>0.68700000000000006</v>
      </c>
      <c r="L166" s="31">
        <f t="shared" si="15"/>
        <v>0.747</v>
      </c>
      <c r="M166" s="31">
        <f t="shared" si="16"/>
        <v>0.753</v>
      </c>
      <c r="N166" t="e">
        <f>VLOOKUP(A166,#REF!,11,0)</f>
        <v>#REF!</v>
      </c>
      <c r="O166" t="e">
        <f>VLOOKUP(A166,#REF!,12,0)</f>
        <v>#REF!</v>
      </c>
      <c r="P166" t="e">
        <f>VLOOKUP(A166,#REF!,13,0)</f>
        <v>#REF!</v>
      </c>
      <c r="Q166" t="e">
        <f>VLOOKUP(A166,#REF!,14,0)</f>
        <v>#REF!</v>
      </c>
      <c r="R166">
        <v>1.462843699459651</v>
      </c>
      <c r="S166">
        <v>-0.20037790625528579</v>
      </c>
      <c r="T166" s="31" t="str">
        <f>VLOOKUP(C166,V:W,2,0)</f>
        <v>CHN</v>
      </c>
      <c r="U166" t="str">
        <f t="shared" si="17"/>
        <v/>
      </c>
    </row>
    <row r="167" spans="1:21" x14ac:dyDescent="0.25">
      <c r="A167" s="31" t="s">
        <v>827</v>
      </c>
      <c r="B167" s="31" t="s">
        <v>1730</v>
      </c>
      <c r="C167" s="31" t="s">
        <v>1217</v>
      </c>
      <c r="D167" s="31">
        <f>IFERROR(ROUND(VLOOKUP(A167,institutions!A:E,4,0),2),"")</f>
        <v>2.29</v>
      </c>
      <c r="E167" s="31">
        <f>IFERROR(ROUND(VLOOKUP(A167,institutions!A:X,7,0),2),"")</f>
        <v>2.4300000000000002</v>
      </c>
      <c r="F167" s="31">
        <f>IFERROR(ROUND(VLOOKUP(A167,institutions!A:X,10,0),2),"")</f>
        <v>2.52</v>
      </c>
      <c r="G167" s="31">
        <f>IFERROR(ROUND(VLOOKUP(A167,institutions!A:X,13,0),2),"")</f>
        <v>2.23</v>
      </c>
      <c r="H167" s="31">
        <f>IFERROR(ROUND(VLOOKUP(A167,institutions!A:X,16,0),2),"")</f>
        <v>2.1800000000000002</v>
      </c>
      <c r="I167" s="31">
        <f t="shared" si="12"/>
        <v>0.71499999999999997</v>
      </c>
      <c r="J167" s="31">
        <f t="shared" si="13"/>
        <v>0.85799999999999998</v>
      </c>
      <c r="K167" s="31">
        <f t="shared" si="14"/>
        <v>0.83299999999999996</v>
      </c>
      <c r="L167" s="31">
        <f t="shared" si="15"/>
        <v>0.56299999999999994</v>
      </c>
      <c r="M167" s="31">
        <f t="shared" si="16"/>
        <v>0.41</v>
      </c>
      <c r="N167" t="e">
        <f>VLOOKUP(A167,#REF!,11,0)</f>
        <v>#REF!</v>
      </c>
      <c r="O167" t="e">
        <f>VLOOKUP(A167,#REF!,12,0)</f>
        <v>#REF!</v>
      </c>
      <c r="P167" t="e">
        <f>VLOOKUP(A167,#REF!,13,0)</f>
        <v>#REF!</v>
      </c>
      <c r="Q167" t="e">
        <f>VLOOKUP(A167,#REF!,14,0)</f>
        <v>#REF!</v>
      </c>
      <c r="R167">
        <v>1.076445811375337</v>
      </c>
      <c r="S167">
        <v>1.2790581712310261</v>
      </c>
      <c r="T167" s="31" t="str">
        <f>VLOOKUP(C167,V:W,2,0)</f>
        <v>USA</v>
      </c>
      <c r="U167" t="str">
        <f t="shared" si="17"/>
        <v/>
      </c>
    </row>
    <row r="168" spans="1:21" x14ac:dyDescent="0.25">
      <c r="A168" s="31" t="s">
        <v>766</v>
      </c>
      <c r="B168" s="31" t="s">
        <v>1555</v>
      </c>
      <c r="C168" s="31" t="s">
        <v>1224</v>
      </c>
      <c r="D168" s="31">
        <f>IFERROR(ROUND(VLOOKUP(A168,institutions!A:E,4,0),2),"")</f>
        <v>2.36</v>
      </c>
      <c r="E168" s="31">
        <f>IFERROR(ROUND(VLOOKUP(A168,institutions!A:X,7,0),2),"")</f>
        <v>2.12</v>
      </c>
      <c r="F168" s="31">
        <f>IFERROR(ROUND(VLOOKUP(A168,institutions!A:X,10,0),2),"")</f>
        <v>1.43</v>
      </c>
      <c r="G168" s="31">
        <f>IFERROR(ROUND(VLOOKUP(A168,institutions!A:X,13,0),2),"")</f>
        <v>2.7</v>
      </c>
      <c r="H168" s="31">
        <f>IFERROR(ROUND(VLOOKUP(A168,institutions!A:X,16,0),2),"")</f>
        <v>3.36</v>
      </c>
      <c r="I168" s="31">
        <f t="shared" si="12"/>
        <v>0.74</v>
      </c>
      <c r="J168" s="31">
        <f t="shared" si="13"/>
        <v>0.8</v>
      </c>
      <c r="K168" s="31">
        <f t="shared" si="14"/>
        <v>0.47299999999999998</v>
      </c>
      <c r="L168" s="31">
        <f t="shared" si="15"/>
        <v>0.75</v>
      </c>
      <c r="M168" s="31">
        <f t="shared" si="16"/>
        <v>0.753</v>
      </c>
      <c r="N168" t="e">
        <f>VLOOKUP(A168,#REF!,11,0)</f>
        <v>#REF!</v>
      </c>
      <c r="O168" t="e">
        <f>VLOOKUP(A168,#REF!,12,0)</f>
        <v>#REF!</v>
      </c>
      <c r="P168" t="e">
        <f>VLOOKUP(A168,#REF!,13,0)</f>
        <v>#REF!</v>
      </c>
      <c r="Q168" t="e">
        <f>VLOOKUP(A168,#REF!,14,0)</f>
        <v>#REF!</v>
      </c>
      <c r="R168">
        <v>1.3217857330415861</v>
      </c>
      <c r="S168">
        <v>-0.22422584197887849</v>
      </c>
      <c r="T168" s="31" t="str">
        <f>VLOOKUP(C168,V:W,2,0)</f>
        <v>CAN</v>
      </c>
      <c r="U168" t="str">
        <f t="shared" si="17"/>
        <v/>
      </c>
    </row>
    <row r="169" spans="1:21" x14ac:dyDescent="0.25">
      <c r="A169" s="31" t="s">
        <v>963</v>
      </c>
      <c r="B169" s="31" t="s">
        <v>2091</v>
      </c>
      <c r="C169" s="31" t="s">
        <v>1271</v>
      </c>
      <c r="D169" s="31">
        <f>IFERROR(ROUND(VLOOKUP(A169,institutions!A:E,4,0),2),"")</f>
        <v>2.27</v>
      </c>
      <c r="E169" s="31">
        <f>IFERROR(ROUND(VLOOKUP(A169,institutions!A:X,7,0),2),"")</f>
        <v>2.1800000000000002</v>
      </c>
      <c r="F169" s="31">
        <f>IFERROR(ROUND(VLOOKUP(A169,institutions!A:X,10,0),2),"")</f>
        <v>1.73</v>
      </c>
      <c r="G169" s="31" t="str">
        <f>IFERROR(ROUND(VLOOKUP(A169,institutions!A:X,13,0),2),"")</f>
        <v/>
      </c>
      <c r="H169" s="31" t="str">
        <f>IFERROR(ROUND(VLOOKUP(A169,institutions!A:X,16,0),2),"")</f>
        <v/>
      </c>
      <c r="I169" s="31">
        <f t="shared" si="12"/>
        <v>0.71199999999999997</v>
      </c>
      <c r="J169" s="31">
        <f t="shared" si="13"/>
        <v>0.81200000000000006</v>
      </c>
      <c r="K169" s="31">
        <f t="shared" si="14"/>
        <v>0.65500000000000003</v>
      </c>
      <c r="L169" s="31">
        <f t="shared" si="15"/>
        <v>0</v>
      </c>
      <c r="M169" s="31">
        <f t="shared" si="16"/>
        <v>0</v>
      </c>
      <c r="N169" t="e">
        <f>VLOOKUP(A169,#REF!,11,0)</f>
        <v>#REF!</v>
      </c>
      <c r="O169" t="e">
        <f>VLOOKUP(A169,#REF!,12,0)</f>
        <v>#REF!</v>
      </c>
      <c r="P169" t="e">
        <f>VLOOKUP(A169,#REF!,13,0)</f>
        <v>#REF!</v>
      </c>
      <c r="Q169" t="e">
        <f>VLOOKUP(A169,#REF!,14,0)</f>
        <v>#REF!</v>
      </c>
      <c r="R169">
        <v>-1.0465227605053939</v>
      </c>
      <c r="S169">
        <v>2.510140210505448</v>
      </c>
      <c r="T169" s="31" t="str">
        <f>VLOOKUP(C169,V:W,2,0)</f>
        <v>DEU</v>
      </c>
      <c r="U169" t="str">
        <f t="shared" si="17"/>
        <v>Europ Cent Bank</v>
      </c>
    </row>
    <row r="170" spans="1:21" x14ac:dyDescent="0.25">
      <c r="A170" s="31" t="s">
        <v>788</v>
      </c>
      <c r="B170" s="31" t="s">
        <v>1717</v>
      </c>
      <c r="C170" s="31" t="s">
        <v>1217</v>
      </c>
      <c r="D170" s="31">
        <f>IFERROR(ROUND(VLOOKUP(A170,institutions!A:E,4,0),2),"")</f>
        <v>2.34</v>
      </c>
      <c r="E170" s="31">
        <f>IFERROR(ROUND(VLOOKUP(A170,institutions!A:X,7,0),2),"")</f>
        <v>1.77</v>
      </c>
      <c r="F170" s="31">
        <f>IFERROR(ROUND(VLOOKUP(A170,institutions!A:X,10,0),2),"")</f>
        <v>2.2999999999999998</v>
      </c>
      <c r="G170" s="31">
        <f>IFERROR(ROUND(VLOOKUP(A170,institutions!A:X,13,0),2),"")</f>
        <v>2.83</v>
      </c>
      <c r="H170" s="31">
        <f>IFERROR(ROUND(VLOOKUP(A170,institutions!A:X,16,0),2),"")</f>
        <v>3.64</v>
      </c>
      <c r="I170" s="31">
        <f t="shared" si="12"/>
        <v>0.73499999999999999</v>
      </c>
      <c r="J170" s="31">
        <f t="shared" si="13"/>
        <v>0.67</v>
      </c>
      <c r="K170" s="31">
        <f t="shared" si="14"/>
        <v>0.80300000000000005</v>
      </c>
      <c r="L170" s="31">
        <f t="shared" si="15"/>
        <v>0.77800000000000002</v>
      </c>
      <c r="M170" s="31">
        <f t="shared" si="16"/>
        <v>0.82199999999999995</v>
      </c>
      <c r="N170" t="e">
        <f>VLOOKUP(A170,#REF!,11,0)</f>
        <v>#REF!</v>
      </c>
      <c r="O170" t="e">
        <f>VLOOKUP(A170,#REF!,12,0)</f>
        <v>#REF!</v>
      </c>
      <c r="P170" t="e">
        <f>VLOOKUP(A170,#REF!,13,0)</f>
        <v>#REF!</v>
      </c>
      <c r="Q170" t="e">
        <f>VLOOKUP(A170,#REF!,14,0)</f>
        <v>#REF!</v>
      </c>
      <c r="R170">
        <v>1.8521578001044909</v>
      </c>
      <c r="S170">
        <v>-0.17772741387710131</v>
      </c>
      <c r="T170" s="31" t="str">
        <f>VLOOKUP(C170,V:W,2,0)</f>
        <v>USA</v>
      </c>
      <c r="U170" t="str">
        <f t="shared" si="17"/>
        <v/>
      </c>
    </row>
    <row r="171" spans="1:21" x14ac:dyDescent="0.25">
      <c r="A171" s="31" t="s">
        <v>785</v>
      </c>
      <c r="B171" s="31" t="s">
        <v>2092</v>
      </c>
      <c r="C171" s="31" t="s">
        <v>1233</v>
      </c>
      <c r="D171" s="31">
        <f>IFERROR(ROUND(VLOOKUP(A171,institutions!A:E,4,0),2),"")</f>
        <v>2.2999999999999998</v>
      </c>
      <c r="E171" s="31">
        <f>IFERROR(ROUND(VLOOKUP(A171,institutions!A:X,7,0),2),"")</f>
        <v>1.65</v>
      </c>
      <c r="F171" s="31">
        <f>IFERROR(ROUND(VLOOKUP(A171,institutions!A:X,10,0),2),"")</f>
        <v>2.09</v>
      </c>
      <c r="G171" s="31">
        <f>IFERROR(ROUND(VLOOKUP(A171,institutions!A:X,13,0),2),"")</f>
        <v>3.14</v>
      </c>
      <c r="H171" s="31">
        <f>IFERROR(ROUND(VLOOKUP(A171,institutions!A:X,16,0),2),"")</f>
        <v>3.37</v>
      </c>
      <c r="I171" s="31">
        <f t="shared" si="12"/>
        <v>0.71699999999999997</v>
      </c>
      <c r="J171" s="31">
        <f t="shared" si="13"/>
        <v>0.60799999999999998</v>
      </c>
      <c r="K171" s="31">
        <f t="shared" si="14"/>
        <v>0.76800000000000002</v>
      </c>
      <c r="L171" s="31">
        <f t="shared" si="15"/>
        <v>0.83699999999999997</v>
      </c>
      <c r="M171" s="31">
        <f t="shared" si="16"/>
        <v>0.76</v>
      </c>
      <c r="N171" t="e">
        <f>VLOOKUP(A171,#REF!,11,0)</f>
        <v>#REF!</v>
      </c>
      <c r="O171" t="e">
        <f>VLOOKUP(A171,#REF!,12,0)</f>
        <v>#REF!</v>
      </c>
      <c r="P171" t="e">
        <f>VLOOKUP(A171,#REF!,13,0)</f>
        <v>#REF!</v>
      </c>
      <c r="Q171" t="e">
        <f>VLOOKUP(A171,#REF!,14,0)</f>
        <v>#REF!</v>
      </c>
      <c r="R171">
        <v>1.68650579129097</v>
      </c>
      <c r="S171">
        <v>-0.36101112244423988</v>
      </c>
      <c r="T171" s="31" t="str">
        <f>VLOOKUP(C171,V:W,2,0)</f>
        <v>NED</v>
      </c>
      <c r="U171" t="str">
        <f t="shared" si="17"/>
        <v/>
      </c>
    </row>
    <row r="172" spans="1:21" x14ac:dyDescent="0.25">
      <c r="A172" s="31" t="s">
        <v>711</v>
      </c>
      <c r="B172" s="31" t="s">
        <v>1893</v>
      </c>
      <c r="C172" s="31" t="s">
        <v>1218</v>
      </c>
      <c r="D172" s="31">
        <f>IFERROR(ROUND(VLOOKUP(A172,institutions!A:E,4,0),2),"")</f>
        <v>2.39</v>
      </c>
      <c r="E172" s="31">
        <f>IFERROR(ROUND(VLOOKUP(A172,institutions!A:X,7,0),2),"")</f>
        <v>1.29</v>
      </c>
      <c r="F172" s="31">
        <f>IFERROR(ROUND(VLOOKUP(A172,institutions!A:X,10,0),2),"")</f>
        <v>1.44</v>
      </c>
      <c r="G172" s="31">
        <f>IFERROR(ROUND(VLOOKUP(A172,institutions!A:X,13,0),2),"")</f>
        <v>2.8</v>
      </c>
      <c r="H172" s="31">
        <f>IFERROR(ROUND(VLOOKUP(A172,institutions!A:X,16,0),2),"")</f>
        <v>2.97</v>
      </c>
      <c r="I172" s="31">
        <f t="shared" si="12"/>
        <v>0.752</v>
      </c>
      <c r="J172" s="31">
        <f t="shared" si="13"/>
        <v>0.26800000000000002</v>
      </c>
      <c r="K172" s="31">
        <f t="shared" si="14"/>
        <v>0.48</v>
      </c>
      <c r="L172" s="31">
        <f t="shared" si="15"/>
        <v>0.77300000000000002</v>
      </c>
      <c r="M172" s="31">
        <f t="shared" si="16"/>
        <v>0.68200000000000005</v>
      </c>
      <c r="N172" t="e">
        <f>VLOOKUP(A172,#REF!,11,0)</f>
        <v>#REF!</v>
      </c>
      <c r="O172" t="e">
        <f>VLOOKUP(A172,#REF!,12,0)</f>
        <v>#REF!</v>
      </c>
      <c r="P172" t="e">
        <f>VLOOKUP(A172,#REF!,13,0)</f>
        <v>#REF!</v>
      </c>
      <c r="Q172" t="e">
        <f>VLOOKUP(A172,#REF!,14,0)</f>
        <v>#REF!</v>
      </c>
      <c r="R172">
        <v>0.39540041083511313</v>
      </c>
      <c r="S172">
        <v>-1.275759012428958</v>
      </c>
      <c r="T172" s="31" t="str">
        <f>VLOOKUP(C172,V:W,2,0)</f>
        <v>FRA</v>
      </c>
      <c r="U172" t="str">
        <f t="shared" si="17"/>
        <v>ESCP BS</v>
      </c>
    </row>
    <row r="173" spans="1:21" x14ac:dyDescent="0.25">
      <c r="A173" s="31" t="s">
        <v>708</v>
      </c>
      <c r="B173" s="31" t="s">
        <v>2101</v>
      </c>
      <c r="C173" s="31" t="s">
        <v>1216</v>
      </c>
      <c r="D173" s="31">
        <f>IFERROR(ROUND(VLOOKUP(A173,institutions!A:E,4,0),2),"")</f>
        <v>2.4700000000000002</v>
      </c>
      <c r="E173" s="31">
        <f>IFERROR(ROUND(VLOOKUP(A173,institutions!A:X,7,0),2),"")</f>
        <v>1.39</v>
      </c>
      <c r="F173" s="31">
        <f>IFERROR(ROUND(VLOOKUP(A173,institutions!A:X,10,0),2),"")</f>
        <v>1.6</v>
      </c>
      <c r="G173" s="31">
        <f>IFERROR(ROUND(VLOOKUP(A173,institutions!A:X,13,0),2),"")</f>
        <v>3.57</v>
      </c>
      <c r="H173" s="31">
        <f>IFERROR(ROUND(VLOOKUP(A173,institutions!A:X,16,0),2),"")</f>
        <v>4.9000000000000004</v>
      </c>
      <c r="I173" s="31">
        <f t="shared" si="12"/>
        <v>0.77700000000000002</v>
      </c>
      <c r="J173" s="31">
        <f t="shared" si="13"/>
        <v>0.39200000000000002</v>
      </c>
      <c r="K173" s="31">
        <f t="shared" si="14"/>
        <v>0.6</v>
      </c>
      <c r="L173" s="31">
        <f t="shared" si="15"/>
        <v>0.9</v>
      </c>
      <c r="M173" s="31">
        <f t="shared" si="16"/>
        <v>0.93700000000000006</v>
      </c>
      <c r="N173">
        <v>1</v>
      </c>
      <c r="O173" t="e">
        <f>VLOOKUP(A173,#REF!,12,0)</f>
        <v>#REF!</v>
      </c>
      <c r="P173" t="e">
        <f>VLOOKUP(A173,#REF!,13,0)</f>
        <v>#REF!</v>
      </c>
      <c r="Q173" t="e">
        <f>VLOOKUP(A173,#REF!,14,0)</f>
        <v>#REF!</v>
      </c>
      <c r="R173">
        <v>1.485979497152053</v>
      </c>
      <c r="S173">
        <v>-1.452411201413444</v>
      </c>
      <c r="T173" s="31" t="str">
        <f>VLOOKUP(C173,V:W,2,0)</f>
        <v>UK</v>
      </c>
      <c r="U173" t="str">
        <f t="shared" si="17"/>
        <v/>
      </c>
    </row>
    <row r="174" spans="1:21" x14ac:dyDescent="0.25">
      <c r="A174" s="31" t="s">
        <v>751</v>
      </c>
      <c r="B174" s="31" t="s">
        <v>1715</v>
      </c>
      <c r="C174" s="31" t="s">
        <v>1217</v>
      </c>
      <c r="D174" s="31">
        <f>IFERROR(ROUND(VLOOKUP(A174,institutions!A:E,4,0),2),"")</f>
        <v>2.27</v>
      </c>
      <c r="E174" s="31">
        <f>IFERROR(ROUND(VLOOKUP(A174,institutions!A:X,7,0),2),"")</f>
        <v>1.68</v>
      </c>
      <c r="F174" s="31">
        <f>IFERROR(ROUND(VLOOKUP(A174,institutions!A:X,10,0),2),"")</f>
        <v>2.2799999999999998</v>
      </c>
      <c r="G174" s="31">
        <f>IFERROR(ROUND(VLOOKUP(A174,institutions!A:X,13,0),2),"")</f>
        <v>2.59</v>
      </c>
      <c r="H174" s="31">
        <f>IFERROR(ROUND(VLOOKUP(A174,institutions!A:X,16,0),2),"")</f>
        <v>2.78</v>
      </c>
      <c r="I174" s="31">
        <f t="shared" si="12"/>
        <v>0.71199999999999997</v>
      </c>
      <c r="J174" s="31">
        <f t="shared" si="13"/>
        <v>0.62</v>
      </c>
      <c r="K174" s="31">
        <f t="shared" si="14"/>
        <v>0.79800000000000004</v>
      </c>
      <c r="L174" s="31">
        <f t="shared" si="15"/>
        <v>0.71499999999999997</v>
      </c>
      <c r="M174" s="31">
        <f t="shared" si="16"/>
        <v>0.63300000000000001</v>
      </c>
      <c r="N174" t="e">
        <f>VLOOKUP(A174,#REF!,11,0)</f>
        <v>#REF!</v>
      </c>
      <c r="O174" t="e">
        <f>VLOOKUP(A174,#REF!,12,0)</f>
        <v>#REF!</v>
      </c>
      <c r="P174" t="e">
        <f>VLOOKUP(A174,#REF!,13,0)</f>
        <v>#REF!</v>
      </c>
      <c r="Q174" t="e">
        <f>VLOOKUP(A174,#REF!,14,0)</f>
        <v>#REF!</v>
      </c>
      <c r="R174">
        <v>1.309863514962851</v>
      </c>
      <c r="S174">
        <v>0.1129659258485312</v>
      </c>
      <c r="T174" s="31" t="str">
        <f>VLOOKUP(C174,V:W,2,0)</f>
        <v>USA</v>
      </c>
      <c r="U174" t="str">
        <f t="shared" si="17"/>
        <v/>
      </c>
    </row>
    <row r="175" spans="1:21" x14ac:dyDescent="0.25">
      <c r="A175" s="31" t="s">
        <v>700</v>
      </c>
      <c r="B175" s="31" t="s">
        <v>1913</v>
      </c>
      <c r="C175" s="31" t="s">
        <v>1220</v>
      </c>
      <c r="D175" s="31">
        <f>IFERROR(ROUND(VLOOKUP(A175,institutions!A:E,4,0),2),"")</f>
        <v>2.39</v>
      </c>
      <c r="E175" s="31">
        <f>IFERROR(ROUND(VLOOKUP(A175,institutions!A:X,7,0),2),"")</f>
        <v>1.55</v>
      </c>
      <c r="F175" s="31">
        <f>IFERROR(ROUND(VLOOKUP(A175,institutions!A:X,10,0),2),"")</f>
        <v>1.63</v>
      </c>
      <c r="G175" s="31">
        <f>IFERROR(ROUND(VLOOKUP(A175,institutions!A:X,13,0),2),"")</f>
        <v>2.76</v>
      </c>
      <c r="H175" s="31">
        <f>IFERROR(ROUND(VLOOKUP(A175,institutions!A:X,16,0),2),"")</f>
        <v>3.22</v>
      </c>
      <c r="I175" s="31">
        <f t="shared" si="12"/>
        <v>0.752</v>
      </c>
      <c r="J175" s="31">
        <f t="shared" si="13"/>
        <v>0.54300000000000004</v>
      </c>
      <c r="K175" s="31">
        <f t="shared" si="14"/>
        <v>0.61299999999999999</v>
      </c>
      <c r="L175" s="31">
        <f t="shared" si="15"/>
        <v>0.76200000000000001</v>
      </c>
      <c r="M175" s="31">
        <f t="shared" si="16"/>
        <v>0.72499999999999998</v>
      </c>
      <c r="N175" t="e">
        <f>VLOOKUP(A175,#REF!,11,0)</f>
        <v>#REF!</v>
      </c>
      <c r="O175" t="e">
        <f>VLOOKUP(A175,#REF!,12,0)</f>
        <v>#REF!</v>
      </c>
      <c r="P175" t="e">
        <f>VLOOKUP(A175,#REF!,13,0)</f>
        <v>#REF!</v>
      </c>
      <c r="Q175" t="e">
        <f>VLOOKUP(A175,#REF!,14,0)</f>
        <v>#REF!</v>
      </c>
      <c r="R175">
        <v>1.1206317411808511</v>
      </c>
      <c r="S175">
        <v>-0.54488024987986916</v>
      </c>
      <c r="T175" s="31" t="str">
        <f>VLOOKUP(C175,V:W,2,0)</f>
        <v>SPAIN</v>
      </c>
      <c r="U175" t="str">
        <f t="shared" si="17"/>
        <v>Ramon Llull</v>
      </c>
    </row>
    <row r="176" spans="1:21" x14ac:dyDescent="0.25">
      <c r="A176" s="31" t="s">
        <v>822</v>
      </c>
      <c r="B176" s="31" t="s">
        <v>1720</v>
      </c>
      <c r="C176" s="31" t="s">
        <v>1217</v>
      </c>
      <c r="D176" s="31">
        <f>IFERROR(ROUND(VLOOKUP(A176,institutions!A:E,4,0),2),"")</f>
        <v>2.27</v>
      </c>
      <c r="E176" s="31">
        <f>IFERROR(ROUND(VLOOKUP(A176,institutions!A:X,7,0),2),"")</f>
        <v>2</v>
      </c>
      <c r="F176" s="31">
        <f>IFERROR(ROUND(VLOOKUP(A176,institutions!A:X,10,0),2),"")</f>
        <v>1.69</v>
      </c>
      <c r="G176" s="31">
        <f>IFERROR(ROUND(VLOOKUP(A176,institutions!A:X,13,0),2),"")</f>
        <v>2.64</v>
      </c>
      <c r="H176" s="31">
        <f>IFERROR(ROUND(VLOOKUP(A176,institutions!A:X,16,0),2),"")</f>
        <v>3.65</v>
      </c>
      <c r="I176" s="31">
        <f t="shared" si="12"/>
        <v>0.71199999999999997</v>
      </c>
      <c r="J176" s="31">
        <f t="shared" si="13"/>
        <v>0.753</v>
      </c>
      <c r="K176" s="31">
        <f t="shared" si="14"/>
        <v>0.63</v>
      </c>
      <c r="L176" s="31">
        <f t="shared" si="15"/>
        <v>0.72499999999999998</v>
      </c>
      <c r="M176" s="31">
        <f t="shared" si="16"/>
        <v>0.82499999999999996</v>
      </c>
      <c r="N176" t="e">
        <f>VLOOKUP(A176,#REF!,11,0)</f>
        <v>#REF!</v>
      </c>
      <c r="O176" t="e">
        <f>VLOOKUP(A176,#REF!,12,0)</f>
        <v>#REF!</v>
      </c>
      <c r="P176" t="e">
        <f>VLOOKUP(A176,#REF!,13,0)</f>
        <v>#REF!</v>
      </c>
      <c r="Q176" t="e">
        <f>VLOOKUP(A176,#REF!,14,0)</f>
        <v>#REF!</v>
      </c>
      <c r="R176">
        <v>1.6002152383614749</v>
      </c>
      <c r="S176">
        <v>-0.1686813714445882</v>
      </c>
      <c r="T176" s="31" t="str">
        <f>VLOOKUP(C176,V:W,2,0)</f>
        <v>USA</v>
      </c>
      <c r="U176" t="str">
        <f t="shared" si="17"/>
        <v/>
      </c>
    </row>
    <row r="177" spans="1:21" x14ac:dyDescent="0.25">
      <c r="A177" s="31" t="s">
        <v>699</v>
      </c>
      <c r="B177" s="31" t="s">
        <v>1916</v>
      </c>
      <c r="C177" s="31" t="s">
        <v>1225</v>
      </c>
      <c r="D177" s="31">
        <f>IFERROR(ROUND(VLOOKUP(A177,institutions!A:E,4,0),2),"")</f>
        <v>2.39</v>
      </c>
      <c r="E177" s="31">
        <f>IFERROR(ROUND(VLOOKUP(A177,institutions!A:X,7,0),2),"")</f>
        <v>1.77</v>
      </c>
      <c r="F177" s="31">
        <f>IFERROR(ROUND(VLOOKUP(A177,institutions!A:X,10,0),2),"")</f>
        <v>1.76</v>
      </c>
      <c r="G177" s="31">
        <f>IFERROR(ROUND(VLOOKUP(A177,institutions!A:X,13,0),2),"")</f>
        <v>2.4700000000000002</v>
      </c>
      <c r="H177" s="31">
        <f>IFERROR(ROUND(VLOOKUP(A177,institutions!A:X,16,0),2),"")</f>
        <v>3.37</v>
      </c>
      <c r="I177" s="31">
        <f t="shared" si="12"/>
        <v>0.752</v>
      </c>
      <c r="J177" s="31">
        <f t="shared" si="13"/>
        <v>0.67</v>
      </c>
      <c r="K177" s="31">
        <f t="shared" si="14"/>
        <v>0.67300000000000004</v>
      </c>
      <c r="L177" s="31">
        <f t="shared" si="15"/>
        <v>0.67700000000000005</v>
      </c>
      <c r="M177" s="31">
        <f t="shared" si="16"/>
        <v>0.76</v>
      </c>
      <c r="N177" t="e">
        <f>VLOOKUP(A177,#REF!,11,0)</f>
        <v>#REF!</v>
      </c>
      <c r="O177" t="e">
        <f>VLOOKUP(A177,#REF!,12,0)</f>
        <v>#REF!</v>
      </c>
      <c r="P177" t="e">
        <f>VLOOKUP(A177,#REF!,13,0)</f>
        <v>#REF!</v>
      </c>
      <c r="Q177" t="e">
        <f>VLOOKUP(A177,#REF!,14,0)</f>
        <v>#REF!</v>
      </c>
      <c r="R177">
        <v>1.3378280949556001</v>
      </c>
      <c r="S177">
        <v>-0.1002769884427212</v>
      </c>
      <c r="T177" s="31" t="str">
        <f>VLOOKUP(C177,V:W,2,0)</f>
        <v>FIN</v>
      </c>
      <c r="U177" t="str">
        <f t="shared" si="17"/>
        <v/>
      </c>
    </row>
    <row r="178" spans="1:21" x14ac:dyDescent="0.25">
      <c r="A178" s="31" t="s">
        <v>857</v>
      </c>
      <c r="B178" s="31" t="s">
        <v>1922</v>
      </c>
      <c r="C178" s="31" t="s">
        <v>1224</v>
      </c>
      <c r="D178" s="31">
        <f>IFERROR(ROUND(VLOOKUP(A178,institutions!A:E,4,0),2),"")</f>
        <v>2.33</v>
      </c>
      <c r="E178" s="31">
        <f>IFERROR(ROUND(VLOOKUP(A178,institutions!A:X,7,0),2),"")</f>
        <v>2.21</v>
      </c>
      <c r="F178" s="31">
        <f>IFERROR(ROUND(VLOOKUP(A178,institutions!A:X,10,0),2),"")</f>
        <v>1.59</v>
      </c>
      <c r="G178" s="31">
        <f>IFERROR(ROUND(VLOOKUP(A178,institutions!A:X,13,0),2),"")</f>
        <v>1.0900000000000001</v>
      </c>
      <c r="H178" s="31">
        <f>IFERROR(ROUND(VLOOKUP(A178,institutions!A:X,16,0),2),"")</f>
        <v>2.86</v>
      </c>
      <c r="I178" s="31">
        <f t="shared" si="12"/>
        <v>0.73</v>
      </c>
      <c r="J178" s="31">
        <f t="shared" si="13"/>
        <v>0.82</v>
      </c>
      <c r="K178" s="31">
        <f t="shared" si="14"/>
        <v>0.59199999999999997</v>
      </c>
      <c r="L178" s="31">
        <f t="shared" si="15"/>
        <v>6.7000000000000004E-2</v>
      </c>
      <c r="M178" s="31">
        <f t="shared" si="16"/>
        <v>0.66</v>
      </c>
      <c r="N178" t="e">
        <f>VLOOKUP(A178,#REF!,11,0)</f>
        <v>#REF!</v>
      </c>
      <c r="O178" t="e">
        <f>VLOOKUP(A178,#REF!,12,0)</f>
        <v>#REF!</v>
      </c>
      <c r="P178" t="e">
        <f>VLOOKUP(A178,#REF!,13,0)</f>
        <v>#REF!</v>
      </c>
      <c r="Q178" t="e">
        <f>VLOOKUP(A178,#REF!,14,0)</f>
        <v>#REF!</v>
      </c>
      <c r="R178">
        <v>0.17010374693032301</v>
      </c>
      <c r="S178">
        <v>1.2770989008105991</v>
      </c>
      <c r="T178" s="31" t="str">
        <f>VLOOKUP(C178,V:W,2,0)</f>
        <v>CAN</v>
      </c>
      <c r="U178" t="str">
        <f t="shared" si="17"/>
        <v/>
      </c>
    </row>
    <row r="179" spans="1:21" x14ac:dyDescent="0.25">
      <c r="A179" s="31" t="s">
        <v>722</v>
      </c>
      <c r="B179" s="31" t="s">
        <v>1558</v>
      </c>
      <c r="C179" s="31" t="s">
        <v>1216</v>
      </c>
      <c r="D179" s="31">
        <f>IFERROR(ROUND(VLOOKUP(A179,institutions!A:E,4,0),2),"")</f>
        <v>2.34</v>
      </c>
      <c r="E179" s="31">
        <f>IFERROR(ROUND(VLOOKUP(A179,institutions!A:X,7,0),2),"")</f>
        <v>1.46</v>
      </c>
      <c r="F179" s="31">
        <f>IFERROR(ROUND(VLOOKUP(A179,institutions!A:X,10,0),2),"")</f>
        <v>1.71</v>
      </c>
      <c r="G179" s="31">
        <f>IFERROR(ROUND(VLOOKUP(A179,institutions!A:X,13,0),2),"")</f>
        <v>2.95</v>
      </c>
      <c r="H179" s="31">
        <f>IFERROR(ROUND(VLOOKUP(A179,institutions!A:X,16,0),2),"")</f>
        <v>3.79</v>
      </c>
      <c r="I179" s="31">
        <f t="shared" si="12"/>
        <v>0.73499999999999999</v>
      </c>
      <c r="J179" s="31">
        <f t="shared" si="13"/>
        <v>0.46800000000000003</v>
      </c>
      <c r="K179" s="31">
        <f t="shared" si="14"/>
        <v>0.64500000000000002</v>
      </c>
      <c r="L179" s="31">
        <f t="shared" si="15"/>
        <v>0.79700000000000004</v>
      </c>
      <c r="M179" s="31">
        <f t="shared" si="16"/>
        <v>0.84299999999999997</v>
      </c>
      <c r="N179" t="e">
        <f>VLOOKUP(A179,#REF!,11,0)</f>
        <v>#REF!</v>
      </c>
      <c r="O179" t="e">
        <f>VLOOKUP(A179,#REF!,12,0)</f>
        <v>#REF!</v>
      </c>
      <c r="P179" t="e">
        <f>VLOOKUP(A179,#REF!,13,0)</f>
        <v>#REF!</v>
      </c>
      <c r="Q179" t="e">
        <f>VLOOKUP(A179,#REF!,14,0)</f>
        <v>#REF!</v>
      </c>
      <c r="R179">
        <v>1.3308668678918301</v>
      </c>
      <c r="S179">
        <v>-0.90394169305797889</v>
      </c>
      <c r="T179" s="31" t="str">
        <f>VLOOKUP(C179,V:W,2,0)</f>
        <v>UK</v>
      </c>
      <c r="U179" t="str">
        <f t="shared" si="17"/>
        <v/>
      </c>
    </row>
    <row r="180" spans="1:21" x14ac:dyDescent="0.25">
      <c r="A180" s="31" t="s">
        <v>1011</v>
      </c>
      <c r="B180" s="31" t="s">
        <v>1724</v>
      </c>
      <c r="C180" s="31" t="s">
        <v>1246</v>
      </c>
      <c r="D180" s="31">
        <f>IFERROR(ROUND(VLOOKUP(A180,institutions!A:E,4,0),2),"")</f>
        <v>2.13</v>
      </c>
      <c r="E180" s="31">
        <f>IFERROR(ROUND(VLOOKUP(A180,institutions!A:X,7,0),2),"")</f>
        <v>2.06</v>
      </c>
      <c r="F180" s="31">
        <f>IFERROR(ROUND(VLOOKUP(A180,institutions!A:X,10,0),2),"")</f>
        <v>1.5</v>
      </c>
      <c r="G180" s="31">
        <f>IFERROR(ROUND(VLOOKUP(A180,institutions!A:X,13,0),2),"")</f>
        <v>2.34</v>
      </c>
      <c r="H180" s="31">
        <f>IFERROR(ROUND(VLOOKUP(A180,institutions!A:X,16,0),2),"")</f>
        <v>2.96</v>
      </c>
      <c r="I180" s="31">
        <f t="shared" si="12"/>
        <v>0.63700000000000001</v>
      </c>
      <c r="J180" s="31">
        <f t="shared" si="13"/>
        <v>0.77800000000000002</v>
      </c>
      <c r="K180" s="31">
        <f t="shared" si="14"/>
        <v>0.52700000000000002</v>
      </c>
      <c r="L180" s="31">
        <f t="shared" si="15"/>
        <v>0.61199999999999999</v>
      </c>
      <c r="M180" s="31">
        <f t="shared" si="16"/>
        <v>0.67500000000000004</v>
      </c>
      <c r="N180" t="e">
        <f>VLOOKUP(A180,#REF!,11,0)</f>
        <v>#REF!</v>
      </c>
      <c r="O180" t="e">
        <f>VLOOKUP(A180,#REF!,12,0)</f>
        <v>#REF!</v>
      </c>
      <c r="P180" t="e">
        <f>VLOOKUP(A180,#REF!,13,0)</f>
        <v>#REF!</v>
      </c>
      <c r="Q180" t="e">
        <f>VLOOKUP(A180,#REF!,14,0)</f>
        <v>#REF!</v>
      </c>
      <c r="R180">
        <v>0.99167785937730502</v>
      </c>
      <c r="S180">
        <v>0.16101073756894849</v>
      </c>
      <c r="T180" s="31" t="str">
        <f>VLOOKUP(C180,V:W,2,0)</f>
        <v>JAP</v>
      </c>
      <c r="U180" t="str">
        <f t="shared" si="17"/>
        <v/>
      </c>
    </row>
    <row r="181" spans="1:21" x14ac:dyDescent="0.25">
      <c r="A181" s="31" t="s">
        <v>772</v>
      </c>
      <c r="B181" s="31" t="s">
        <v>1926</v>
      </c>
      <c r="C181" s="31" t="s">
        <v>1218</v>
      </c>
      <c r="D181" s="31">
        <f>IFERROR(ROUND(VLOOKUP(A181,institutions!A:E,4,0),2),"")</f>
        <v>2.31</v>
      </c>
      <c r="E181" s="31">
        <f>IFERROR(ROUND(VLOOKUP(A181,institutions!A:X,7,0),2),"")</f>
        <v>1.67</v>
      </c>
      <c r="F181" s="31">
        <f>IFERROR(ROUND(VLOOKUP(A181,institutions!A:X,10,0),2),"")</f>
        <v>1.17</v>
      </c>
      <c r="G181" s="31">
        <f>IFERROR(ROUND(VLOOKUP(A181,institutions!A:X,13,0),2),"")</f>
        <v>3.07</v>
      </c>
      <c r="H181" s="31">
        <f>IFERROR(ROUND(VLOOKUP(A181,institutions!A:X,16,0),2),"")</f>
        <v>2.5299999999999998</v>
      </c>
      <c r="I181" s="31">
        <f t="shared" si="12"/>
        <v>0.72299999999999998</v>
      </c>
      <c r="J181" s="31">
        <f t="shared" si="13"/>
        <v>0.61499999999999999</v>
      </c>
      <c r="K181" s="31">
        <f t="shared" si="14"/>
        <v>0.193</v>
      </c>
      <c r="L181" s="31">
        <f t="shared" si="15"/>
        <v>0.82299999999999995</v>
      </c>
      <c r="M181" s="31">
        <f t="shared" si="16"/>
        <v>0.55800000000000005</v>
      </c>
      <c r="N181" t="e">
        <f>VLOOKUP(A181,#REF!,11,0)</f>
        <v>#REF!</v>
      </c>
      <c r="O181" t="e">
        <f>VLOOKUP(A181,#REF!,12,0)</f>
        <v>#REF!</v>
      </c>
      <c r="P181" t="e">
        <f>VLOOKUP(A181,#REF!,13,0)</f>
        <v>#REF!</v>
      </c>
      <c r="Q181" t="e">
        <f>VLOOKUP(A181,#REF!,14,0)</f>
        <v>#REF!</v>
      </c>
      <c r="R181">
        <v>0.32557667559223818</v>
      </c>
      <c r="S181">
        <v>-0.83903591869993099</v>
      </c>
      <c r="T181" s="31" t="str">
        <f>VLOOKUP(C181,V:W,2,0)</f>
        <v>FRA</v>
      </c>
      <c r="U181" t="str">
        <f t="shared" si="17"/>
        <v>IESEG S Man</v>
      </c>
    </row>
    <row r="182" spans="1:21" x14ac:dyDescent="0.25">
      <c r="A182" s="31" t="s">
        <v>757</v>
      </c>
      <c r="B182" s="31" t="s">
        <v>1712</v>
      </c>
      <c r="C182" s="31" t="s">
        <v>1222</v>
      </c>
      <c r="D182" s="31">
        <f>IFERROR(ROUND(VLOOKUP(A182,institutions!A:E,4,0),2),"")</f>
        <v>2.3199999999999998</v>
      </c>
      <c r="E182" s="31">
        <f>IFERROR(ROUND(VLOOKUP(A182,institutions!A:X,7,0),2),"")</f>
        <v>1.71</v>
      </c>
      <c r="F182" s="31">
        <f>IFERROR(ROUND(VLOOKUP(A182,institutions!A:X,10,0),2),"")</f>
        <v>1.23</v>
      </c>
      <c r="G182" s="31">
        <f>IFERROR(ROUND(VLOOKUP(A182,institutions!A:X,13,0),2),"")</f>
        <v>2.96</v>
      </c>
      <c r="H182" s="31">
        <f>IFERROR(ROUND(VLOOKUP(A182,institutions!A:X,16,0),2),"")</f>
        <v>4.7300000000000004</v>
      </c>
      <c r="I182" s="31">
        <f t="shared" si="12"/>
        <v>0.72699999999999998</v>
      </c>
      <c r="J182" s="31">
        <f t="shared" si="13"/>
        <v>0.64300000000000002</v>
      </c>
      <c r="K182" s="31">
        <f t="shared" si="14"/>
        <v>0.26800000000000002</v>
      </c>
      <c r="L182" s="31">
        <f t="shared" si="15"/>
        <v>0.80200000000000005</v>
      </c>
      <c r="M182" s="31">
        <f t="shared" si="16"/>
        <v>0.92700000000000005</v>
      </c>
      <c r="N182" t="e">
        <f>VLOOKUP(A182,#REF!,11,0)</f>
        <v>#REF!</v>
      </c>
      <c r="O182" t="e">
        <f>VLOOKUP(A182,#REF!,12,0)</f>
        <v>#REF!</v>
      </c>
      <c r="P182" t="e">
        <f>VLOOKUP(A182,#REF!,13,0)</f>
        <v>#REF!</v>
      </c>
      <c r="Q182" t="e">
        <f>VLOOKUP(A182,#REF!,14,0)</f>
        <v>#REF!</v>
      </c>
      <c r="R182">
        <v>1.127393893747572</v>
      </c>
      <c r="S182">
        <v>-1.22039335443118</v>
      </c>
      <c r="T182" s="31" t="str">
        <f>VLOOKUP(C182,V:W,2,0)</f>
        <v>ITA</v>
      </c>
      <c r="U182" t="str">
        <f t="shared" si="17"/>
        <v/>
      </c>
    </row>
    <row r="183" spans="1:21" x14ac:dyDescent="0.25">
      <c r="A183" s="31" t="s">
        <v>847</v>
      </c>
      <c r="B183" s="31" t="s">
        <v>1560</v>
      </c>
      <c r="C183" s="31" t="s">
        <v>1233</v>
      </c>
      <c r="D183" s="31">
        <f>IFERROR(ROUND(VLOOKUP(A183,institutions!A:E,4,0),2),"")</f>
        <v>2.2599999999999998</v>
      </c>
      <c r="E183" s="31">
        <f>IFERROR(ROUND(VLOOKUP(A183,institutions!A:X,7,0),2),"")</f>
        <v>1.93</v>
      </c>
      <c r="F183" s="31">
        <f>IFERROR(ROUND(VLOOKUP(A183,institutions!A:X,10,0),2),"")</f>
        <v>2.67</v>
      </c>
      <c r="G183" s="31">
        <f>IFERROR(ROUND(VLOOKUP(A183,institutions!A:X,13,0),2),"")</f>
        <v>2.66</v>
      </c>
      <c r="H183" s="31">
        <f>IFERROR(ROUND(VLOOKUP(A183,institutions!A:X,16,0),2),"")</f>
        <v>2.7</v>
      </c>
      <c r="I183" s="31">
        <f t="shared" si="12"/>
        <v>0.70299999999999996</v>
      </c>
      <c r="J183" s="31">
        <f t="shared" si="13"/>
        <v>0.73199999999999998</v>
      </c>
      <c r="K183" s="31">
        <f t="shared" si="14"/>
        <v>0.85199999999999998</v>
      </c>
      <c r="L183" s="31">
        <f t="shared" si="15"/>
        <v>0.73499999999999999</v>
      </c>
      <c r="M183" s="31">
        <f t="shared" si="16"/>
        <v>0.61</v>
      </c>
      <c r="N183" t="e">
        <f>VLOOKUP(A183,#REF!,11,0)</f>
        <v>#REF!</v>
      </c>
      <c r="O183" t="e">
        <f>VLOOKUP(A183,#REF!,12,0)</f>
        <v>#REF!</v>
      </c>
      <c r="P183" t="e">
        <f>VLOOKUP(A183,#REF!,13,0)</f>
        <v>#REF!</v>
      </c>
      <c r="Q183" t="e">
        <f>VLOOKUP(A183,#REF!,14,0)</f>
        <v>#REF!</v>
      </c>
      <c r="R183">
        <v>1.5754765853133821</v>
      </c>
      <c r="S183">
        <v>0.43386020854862789</v>
      </c>
      <c r="T183" s="31" t="str">
        <f>VLOOKUP(C183,V:W,2,0)</f>
        <v>NED</v>
      </c>
      <c r="U183" t="str">
        <f t="shared" si="17"/>
        <v/>
      </c>
    </row>
    <row r="184" spans="1:21" x14ac:dyDescent="0.25">
      <c r="A184" s="31" t="s">
        <v>938</v>
      </c>
      <c r="B184" s="31" t="s">
        <v>1930</v>
      </c>
      <c r="C184" s="31" t="s">
        <v>1217</v>
      </c>
      <c r="D184" s="31">
        <f>IFERROR(ROUND(VLOOKUP(A184,institutions!A:E,4,0),2),"")</f>
        <v>2.2200000000000002</v>
      </c>
      <c r="E184" s="31">
        <f>IFERROR(ROUND(VLOOKUP(A184,institutions!A:X,7,0),2),"")</f>
        <v>2.02</v>
      </c>
      <c r="F184" s="31">
        <f>IFERROR(ROUND(VLOOKUP(A184,institutions!A:X,10,0),2),"")</f>
        <v>3.73</v>
      </c>
      <c r="G184" s="31">
        <f>IFERROR(ROUND(VLOOKUP(A184,institutions!A:X,13,0),2),"")</f>
        <v>2.06</v>
      </c>
      <c r="H184" s="31">
        <f>IFERROR(ROUND(VLOOKUP(A184,institutions!A:X,16,0),2),"")</f>
        <v>2.2000000000000002</v>
      </c>
      <c r="I184" s="31">
        <f t="shared" si="12"/>
        <v>0.68300000000000005</v>
      </c>
      <c r="J184" s="31">
        <f t="shared" si="13"/>
        <v>0.76300000000000001</v>
      </c>
      <c r="K184" s="31">
        <f t="shared" si="14"/>
        <v>0.93200000000000005</v>
      </c>
      <c r="L184" s="31">
        <f t="shared" si="15"/>
        <v>0.48699999999999999</v>
      </c>
      <c r="M184" s="31">
        <f t="shared" si="16"/>
        <v>0.41699999999999998</v>
      </c>
      <c r="N184" t="e">
        <f>VLOOKUP(A184,#REF!,11,0)</f>
        <v>#REF!</v>
      </c>
      <c r="O184" t="e">
        <f>VLOOKUP(A184,#REF!,12,0)</f>
        <v>#REF!</v>
      </c>
      <c r="P184" t="e">
        <f>VLOOKUP(A184,#REF!,13,0)</f>
        <v>#REF!</v>
      </c>
      <c r="Q184" t="e">
        <f>VLOOKUP(A184,#REF!,14,0)</f>
        <v>#REF!</v>
      </c>
      <c r="R184">
        <v>0.97057945262776335</v>
      </c>
      <c r="S184">
        <v>1.3357766757129399</v>
      </c>
      <c r="T184" s="31" t="str">
        <f>VLOOKUP(C184,V:W,2,0)</f>
        <v>USA</v>
      </c>
      <c r="U184" t="str">
        <f t="shared" si="17"/>
        <v/>
      </c>
    </row>
    <row r="185" spans="1:21" x14ac:dyDescent="0.25">
      <c r="A185" s="31" t="s">
        <v>975</v>
      </c>
      <c r="B185" s="31" t="s">
        <v>1915</v>
      </c>
      <c r="C185" s="31" t="s">
        <v>1222</v>
      </c>
      <c r="D185" s="31">
        <f>IFERROR(ROUND(VLOOKUP(A185,institutions!A:E,4,0),2),"")</f>
        <v>2.14</v>
      </c>
      <c r="E185" s="31">
        <f>IFERROR(ROUND(VLOOKUP(A185,institutions!A:X,7,0),2),"")</f>
        <v>2.12</v>
      </c>
      <c r="F185" s="31">
        <f>IFERROR(ROUND(VLOOKUP(A185,institutions!A:X,10,0),2),"")</f>
        <v>1.49</v>
      </c>
      <c r="G185" s="31" t="str">
        <f>IFERROR(ROUND(VLOOKUP(A185,institutions!A:X,13,0),2),"")</f>
        <v/>
      </c>
      <c r="H185" s="31" t="str">
        <f>IFERROR(ROUND(VLOOKUP(A185,institutions!A:X,16,0),2),"")</f>
        <v/>
      </c>
      <c r="I185" s="31">
        <f t="shared" si="12"/>
        <v>0.64</v>
      </c>
      <c r="J185" s="31">
        <f t="shared" si="13"/>
        <v>0.8</v>
      </c>
      <c r="K185" s="31">
        <f t="shared" si="14"/>
        <v>0.51800000000000002</v>
      </c>
      <c r="L185" s="31">
        <f t="shared" si="15"/>
        <v>0</v>
      </c>
      <c r="M185" s="31">
        <f t="shared" si="16"/>
        <v>0</v>
      </c>
      <c r="N185" t="e">
        <f>VLOOKUP(A185,#REF!,11,0)</f>
        <v>#REF!</v>
      </c>
      <c r="O185" t="e">
        <f>VLOOKUP(A185,#REF!,12,0)</f>
        <v>#REF!</v>
      </c>
      <c r="P185" t="e">
        <f>VLOOKUP(A185,#REF!,13,0)</f>
        <v>#REF!</v>
      </c>
      <c r="Q185" t="e">
        <f>VLOOKUP(A185,#REF!,14,0)</f>
        <v>#REF!</v>
      </c>
      <c r="R185">
        <v>-1.299779080790904</v>
      </c>
      <c r="S185">
        <v>2.285165630392807</v>
      </c>
      <c r="T185" s="31" t="str">
        <f>VLOOKUP(C185,V:W,2,0)</f>
        <v>ITA</v>
      </c>
      <c r="U185" t="str">
        <f t="shared" si="17"/>
        <v/>
      </c>
    </row>
    <row r="186" spans="1:21" x14ac:dyDescent="0.25">
      <c r="A186" s="31" t="s">
        <v>745</v>
      </c>
      <c r="B186" s="31" t="s">
        <v>1923</v>
      </c>
      <c r="C186" s="31" t="s">
        <v>1217</v>
      </c>
      <c r="D186" s="31">
        <f>IFERROR(ROUND(VLOOKUP(A186,institutions!A:E,4,0),2),"")</f>
        <v>2.2400000000000002</v>
      </c>
      <c r="E186" s="31">
        <f>IFERROR(ROUND(VLOOKUP(A186,institutions!A:X,7,0),2),"")</f>
        <v>1.8</v>
      </c>
      <c r="F186" s="31">
        <f>IFERROR(ROUND(VLOOKUP(A186,institutions!A:X,10,0),2),"")</f>
        <v>1.96</v>
      </c>
      <c r="G186" s="31">
        <f>IFERROR(ROUND(VLOOKUP(A186,institutions!A:X,13,0),2),"")</f>
        <v>2.4500000000000002</v>
      </c>
      <c r="H186" s="31">
        <f>IFERROR(ROUND(VLOOKUP(A186,institutions!A:X,16,0),2),"")</f>
        <v>2.86</v>
      </c>
      <c r="I186" s="31">
        <f t="shared" si="12"/>
        <v>0.69499999999999995</v>
      </c>
      <c r="J186" s="31">
        <f t="shared" si="13"/>
        <v>0.67800000000000005</v>
      </c>
      <c r="K186" s="31">
        <f t="shared" si="14"/>
        <v>0.73</v>
      </c>
      <c r="L186" s="31">
        <f t="shared" si="15"/>
        <v>0.66800000000000004</v>
      </c>
      <c r="M186" s="31">
        <f t="shared" si="16"/>
        <v>0.66</v>
      </c>
      <c r="N186" t="e">
        <f>VLOOKUP(A186,#REF!,11,0)</f>
        <v>#REF!</v>
      </c>
      <c r="O186" t="e">
        <f>VLOOKUP(A186,#REF!,12,0)</f>
        <v>#REF!</v>
      </c>
      <c r="P186" t="e">
        <f>VLOOKUP(A186,#REF!,13,0)</f>
        <v>#REF!</v>
      </c>
      <c r="Q186" t="e">
        <f>VLOOKUP(A186,#REF!,14,0)</f>
        <v>#REF!</v>
      </c>
      <c r="R186">
        <v>1.251358454979445</v>
      </c>
      <c r="S186">
        <v>0.17335174434167569</v>
      </c>
      <c r="T186" s="31" t="str">
        <f>VLOOKUP(C186,V:W,2,0)</f>
        <v>USA</v>
      </c>
      <c r="U186" t="str">
        <f t="shared" si="17"/>
        <v/>
      </c>
    </row>
    <row r="187" spans="1:21" x14ac:dyDescent="0.25">
      <c r="A187" s="31" t="s">
        <v>829</v>
      </c>
      <c r="B187" s="31" t="s">
        <v>1721</v>
      </c>
      <c r="C187" s="31" t="s">
        <v>1217</v>
      </c>
      <c r="D187" s="31">
        <f>IFERROR(ROUND(VLOOKUP(A187,institutions!A:E,4,0),2),"")</f>
        <v>2.19</v>
      </c>
      <c r="E187" s="31">
        <f>IFERROR(ROUND(VLOOKUP(A187,institutions!A:X,7,0),2),"")</f>
        <v>1.49</v>
      </c>
      <c r="F187" s="31">
        <f>IFERROR(ROUND(VLOOKUP(A187,institutions!A:X,10,0),2),"")</f>
        <v>1.43</v>
      </c>
      <c r="G187" s="31">
        <f>IFERROR(ROUND(VLOOKUP(A187,institutions!A:X,13,0),2),"")</f>
        <v>3.42</v>
      </c>
      <c r="H187" s="31">
        <f>IFERROR(ROUND(VLOOKUP(A187,institutions!A:X,16,0),2),"")</f>
        <v>4.1100000000000003</v>
      </c>
      <c r="I187" s="31">
        <f t="shared" si="12"/>
        <v>0.66700000000000004</v>
      </c>
      <c r="J187" s="31">
        <f t="shared" si="13"/>
        <v>0.49</v>
      </c>
      <c r="K187" s="31">
        <f t="shared" si="14"/>
        <v>0.47299999999999998</v>
      </c>
      <c r="L187" s="31">
        <f t="shared" si="15"/>
        <v>0.88</v>
      </c>
      <c r="M187" s="31">
        <f t="shared" si="16"/>
        <v>0.88300000000000001</v>
      </c>
      <c r="N187" t="e">
        <f>VLOOKUP(A187,#REF!,11,0)</f>
        <v>#REF!</v>
      </c>
      <c r="O187" t="e">
        <f>VLOOKUP(A187,#REF!,12,0)</f>
        <v>#REF!</v>
      </c>
      <c r="P187" t="e">
        <f>VLOOKUP(A187,#REF!,13,0)</f>
        <v>#REF!</v>
      </c>
      <c r="Q187" t="e">
        <f>VLOOKUP(A187,#REF!,14,0)</f>
        <v>#REF!</v>
      </c>
      <c r="R187">
        <v>1.292589526123149</v>
      </c>
      <c r="S187">
        <v>-1.3089738090259819</v>
      </c>
      <c r="T187" s="31" t="str">
        <f>VLOOKUP(C187,V:W,2,0)</f>
        <v>USA</v>
      </c>
      <c r="U187" t="str">
        <f t="shared" si="17"/>
        <v/>
      </c>
    </row>
    <row r="188" spans="1:21" x14ac:dyDescent="0.25">
      <c r="A188" s="31" t="s">
        <v>754</v>
      </c>
      <c r="B188" s="31" t="s">
        <v>1557</v>
      </c>
      <c r="C188" s="31" t="s">
        <v>1222</v>
      </c>
      <c r="D188" s="31">
        <f>IFERROR(ROUND(VLOOKUP(A188,institutions!A:E,4,0),2),"")</f>
        <v>2.2400000000000002</v>
      </c>
      <c r="E188" s="31">
        <f>IFERROR(ROUND(VLOOKUP(A188,institutions!A:X,7,0),2),"")</f>
        <v>1.8</v>
      </c>
      <c r="F188" s="31">
        <f>IFERROR(ROUND(VLOOKUP(A188,institutions!A:X,10,0),2),"")</f>
        <v>1.96</v>
      </c>
      <c r="G188" s="31">
        <f>IFERROR(ROUND(VLOOKUP(A188,institutions!A:X,13,0),2),"")</f>
        <v>2.4500000000000002</v>
      </c>
      <c r="H188" s="31">
        <f>IFERROR(ROUND(VLOOKUP(A188,institutions!A:X,16,0),2),"")</f>
        <v>2.86</v>
      </c>
      <c r="I188" s="31">
        <f t="shared" si="12"/>
        <v>0.69499999999999995</v>
      </c>
      <c r="J188" s="31">
        <f t="shared" si="13"/>
        <v>0.67800000000000005</v>
      </c>
      <c r="K188" s="31">
        <f t="shared" si="14"/>
        <v>0.73</v>
      </c>
      <c r="L188" s="31">
        <f t="shared" si="15"/>
        <v>0.66800000000000004</v>
      </c>
      <c r="M188" s="31">
        <f t="shared" si="16"/>
        <v>0.66</v>
      </c>
      <c r="N188" t="e">
        <f>VLOOKUP(A188,#REF!,11,0)</f>
        <v>#REF!</v>
      </c>
      <c r="O188" t="e">
        <f>VLOOKUP(A188,#REF!,12,0)</f>
        <v>#REF!</v>
      </c>
      <c r="P188" t="e">
        <f>VLOOKUP(A188,#REF!,13,0)</f>
        <v>#REF!</v>
      </c>
      <c r="Q188" t="e">
        <f>VLOOKUP(A188,#REF!,14,0)</f>
        <v>#REF!</v>
      </c>
      <c r="R188">
        <v>1.251358454979445</v>
      </c>
      <c r="S188">
        <v>0.17335174434167569</v>
      </c>
      <c r="T188" s="31" t="str">
        <f>VLOOKUP(C188,V:W,2,0)</f>
        <v>ITA</v>
      </c>
      <c r="U188" t="str">
        <f t="shared" si="17"/>
        <v/>
      </c>
    </row>
    <row r="189" spans="1:21" x14ac:dyDescent="0.25">
      <c r="A189" s="31" t="s">
        <v>690</v>
      </c>
      <c r="B189" s="31" t="s">
        <v>1914</v>
      </c>
      <c r="C189" s="31" t="s">
        <v>1271</v>
      </c>
      <c r="D189" s="31">
        <f>IFERROR(ROUND(VLOOKUP(A189,institutions!A:E,4,0),2),"")</f>
        <v>2.4</v>
      </c>
      <c r="E189" s="31">
        <f>IFERROR(ROUND(VLOOKUP(A189,institutions!A:X,7,0),2),"")</f>
        <v>1.26</v>
      </c>
      <c r="F189" s="31">
        <f>IFERROR(ROUND(VLOOKUP(A189,institutions!A:X,10,0),2),"")</f>
        <v>2</v>
      </c>
      <c r="G189" s="31">
        <f>IFERROR(ROUND(VLOOKUP(A189,institutions!A:X,13,0),2),"")</f>
        <v>2.4700000000000002</v>
      </c>
      <c r="H189" s="31">
        <f>IFERROR(ROUND(VLOOKUP(A189,institutions!A:X,16,0),2),"")</f>
        <v>3.82</v>
      </c>
      <c r="I189" s="31">
        <f t="shared" si="12"/>
        <v>0.75800000000000001</v>
      </c>
      <c r="J189" s="31">
        <f t="shared" si="13"/>
        <v>0.22800000000000001</v>
      </c>
      <c r="K189" s="31">
        <f t="shared" si="14"/>
        <v>0.74299999999999999</v>
      </c>
      <c r="L189" s="31">
        <f t="shared" si="15"/>
        <v>0.67700000000000005</v>
      </c>
      <c r="M189" s="31">
        <f t="shared" si="16"/>
        <v>0.85299999999999998</v>
      </c>
      <c r="N189" t="e">
        <f>VLOOKUP(A189,#REF!,11,0)</f>
        <v>#REF!</v>
      </c>
      <c r="O189" t="e">
        <f>VLOOKUP(A189,#REF!,12,0)</f>
        <v>#REF!</v>
      </c>
      <c r="P189" t="e">
        <f>VLOOKUP(A189,#REF!,13,0)</f>
        <v>#REF!</v>
      </c>
      <c r="Q189" t="e">
        <f>VLOOKUP(A189,#REF!,14,0)</f>
        <v>#REF!</v>
      </c>
      <c r="R189">
        <v>0.91818289792297425</v>
      </c>
      <c r="S189">
        <v>-1.0897549050238911</v>
      </c>
      <c r="T189" s="31" t="str">
        <f>VLOOKUP(C189,V:W,2,0)</f>
        <v>DEU</v>
      </c>
      <c r="U189" t="str">
        <f t="shared" si="17"/>
        <v>WHU</v>
      </c>
    </row>
    <row r="190" spans="1:21" x14ac:dyDescent="0.25">
      <c r="A190" s="31" t="s">
        <v>1048</v>
      </c>
      <c r="B190" s="31" t="s">
        <v>2075</v>
      </c>
      <c r="C190" s="31" t="s">
        <v>1222</v>
      </c>
      <c r="D190" s="31">
        <f>IFERROR(ROUND(VLOOKUP(A190,institutions!A:E,4,0),2),"")</f>
        <v>2.16</v>
      </c>
      <c r="E190" s="31">
        <f>IFERROR(ROUND(VLOOKUP(A190,institutions!A:X,7,0),2),"")</f>
        <v>2.13</v>
      </c>
      <c r="F190" s="31">
        <f>IFERROR(ROUND(VLOOKUP(A190,institutions!A:X,10,0),2),"")</f>
        <v>1.1299999999999999</v>
      </c>
      <c r="G190" s="31" t="str">
        <f>IFERROR(ROUND(VLOOKUP(A190,institutions!A:X,13,0),2),"")</f>
        <v/>
      </c>
      <c r="H190" s="31" t="str">
        <f>IFERROR(ROUND(VLOOKUP(A190,institutions!A:X,16,0),2),"")</f>
        <v/>
      </c>
      <c r="I190" s="31">
        <f t="shared" si="12"/>
        <v>0.65500000000000003</v>
      </c>
      <c r="J190" s="31">
        <f t="shared" si="13"/>
        <v>0.80300000000000005</v>
      </c>
      <c r="K190" s="31">
        <f t="shared" si="14"/>
        <v>0.14299999999999999</v>
      </c>
      <c r="L190" s="31">
        <f t="shared" si="15"/>
        <v>0</v>
      </c>
      <c r="M190" s="31">
        <f t="shared" si="16"/>
        <v>0</v>
      </c>
      <c r="N190" t="e">
        <f>VLOOKUP(A190,#REF!,11,0)</f>
        <v>#REF!</v>
      </c>
      <c r="O190" t="e">
        <f>VLOOKUP(A190,#REF!,12,0)</f>
        <v>#REF!</v>
      </c>
      <c r="P190" t="e">
        <f>VLOOKUP(A190,#REF!,13,0)</f>
        <v>#REF!</v>
      </c>
      <c r="Q190" t="e">
        <f>VLOOKUP(A190,#REF!,14,0)</f>
        <v>#REF!</v>
      </c>
      <c r="R190">
        <v>-1.9356456268702531</v>
      </c>
      <c r="S190">
        <v>1.7459049188801219</v>
      </c>
      <c r="T190" s="31" t="str">
        <f>VLOOKUP(C190,V:W,2,0)</f>
        <v>ITA</v>
      </c>
      <c r="U190" t="str">
        <f t="shared" si="17"/>
        <v/>
      </c>
    </row>
    <row r="191" spans="1:21" x14ac:dyDescent="0.25">
      <c r="A191" s="31" t="s">
        <v>1010</v>
      </c>
      <c r="B191" s="31" t="s">
        <v>1550</v>
      </c>
      <c r="C191" s="31" t="s">
        <v>1242</v>
      </c>
      <c r="D191" s="31">
        <f>IFERROR(ROUND(VLOOKUP(A191,institutions!A:E,4,0),2),"")</f>
        <v>2.1800000000000002</v>
      </c>
      <c r="E191" s="31">
        <f>IFERROR(ROUND(VLOOKUP(A191,institutions!A:X,7,0),2),"")</f>
        <v>2.2400000000000002</v>
      </c>
      <c r="F191" s="31">
        <f>IFERROR(ROUND(VLOOKUP(A191,institutions!A:X,10,0),2),"")</f>
        <v>1.87</v>
      </c>
      <c r="G191" s="31">
        <f>IFERROR(ROUND(VLOOKUP(A191,institutions!A:X,13,0),2),"")</f>
        <v>1.01</v>
      </c>
      <c r="H191" s="31">
        <f>IFERROR(ROUND(VLOOKUP(A191,institutions!A:X,16,0),2),"")</f>
        <v>2.3199999999999998</v>
      </c>
      <c r="I191" s="31">
        <f t="shared" si="12"/>
        <v>0.66</v>
      </c>
      <c r="J191" s="31">
        <f t="shared" si="13"/>
        <v>0.82499999999999996</v>
      </c>
      <c r="K191" s="31">
        <f t="shared" si="14"/>
        <v>0.69799999999999995</v>
      </c>
      <c r="L191" s="31">
        <f t="shared" si="15"/>
        <v>5.7000000000000002E-2</v>
      </c>
      <c r="M191" s="31">
        <f t="shared" si="16"/>
        <v>0.47199999999999998</v>
      </c>
      <c r="N191" t="e">
        <f>VLOOKUP(A191,#REF!,11,0)</f>
        <v>#REF!</v>
      </c>
      <c r="O191" t="e">
        <f>VLOOKUP(A191,#REF!,12,0)</f>
        <v>#REF!</v>
      </c>
      <c r="P191" t="e">
        <f>VLOOKUP(A191,#REF!,13,0)</f>
        <v>#REF!</v>
      </c>
      <c r="Q191" t="e">
        <f>VLOOKUP(A191,#REF!,14,0)</f>
        <v>#REF!</v>
      </c>
      <c r="R191">
        <v>1.846465595797207E-3</v>
      </c>
      <c r="S191">
        <v>1.756864506531574</v>
      </c>
      <c r="T191" s="31" t="str">
        <f>VLOOKUP(C191,V:W,2,0)</f>
        <v>ISR</v>
      </c>
      <c r="U191" t="str">
        <f t="shared" si="17"/>
        <v/>
      </c>
    </row>
    <row r="192" spans="1:21" x14ac:dyDescent="0.25">
      <c r="A192" s="31" t="s">
        <v>787</v>
      </c>
      <c r="B192" s="31" t="s">
        <v>2081</v>
      </c>
      <c r="C192" s="31" t="s">
        <v>1238</v>
      </c>
      <c r="D192" s="31">
        <f>IFERROR(ROUND(VLOOKUP(A192,institutions!A:E,4,0),2),"")</f>
        <v>2.19</v>
      </c>
      <c r="E192" s="31">
        <f>IFERROR(ROUND(VLOOKUP(A192,institutions!A:X,7,0),2),"")</f>
        <v>1.81</v>
      </c>
      <c r="F192" s="31">
        <f>IFERROR(ROUND(VLOOKUP(A192,institutions!A:X,10,0),2),"")</f>
        <v>1.6</v>
      </c>
      <c r="G192" s="31">
        <f>IFERROR(ROUND(VLOOKUP(A192,institutions!A:X,13,0),2),"")</f>
        <v>1.95</v>
      </c>
      <c r="H192" s="31">
        <f>IFERROR(ROUND(VLOOKUP(A192,institutions!A:X,16,0),2),"")</f>
        <v>3.59</v>
      </c>
      <c r="I192" s="31">
        <f t="shared" si="12"/>
        <v>0.66700000000000004</v>
      </c>
      <c r="J192" s="31">
        <f t="shared" si="13"/>
        <v>0.68500000000000005</v>
      </c>
      <c r="K192" s="31">
        <f t="shared" si="14"/>
        <v>0.6</v>
      </c>
      <c r="L192" s="31">
        <f t="shared" si="15"/>
        <v>0.44500000000000001</v>
      </c>
      <c r="M192" s="31">
        <f t="shared" si="16"/>
        <v>0.81200000000000006</v>
      </c>
      <c r="N192" t="e">
        <f>VLOOKUP(A192,#REF!,11,0)</f>
        <v>#REF!</v>
      </c>
      <c r="O192" t="e">
        <f>VLOOKUP(A192,#REF!,12,0)</f>
        <v>#REF!</v>
      </c>
      <c r="P192" t="e">
        <f>VLOOKUP(A192,#REF!,13,0)</f>
        <v>#REF!</v>
      </c>
      <c r="Q192" t="e">
        <f>VLOOKUP(A192,#REF!,14,0)</f>
        <v>#REF!</v>
      </c>
      <c r="R192">
        <v>0.91693548023487148</v>
      </c>
      <c r="S192">
        <v>0.12959059891009941</v>
      </c>
      <c r="T192" s="31" t="str">
        <f>VLOOKUP(C192,V:W,2,0)</f>
        <v>TUR</v>
      </c>
      <c r="U192" t="str">
        <f t="shared" si="17"/>
        <v/>
      </c>
    </row>
    <row r="193" spans="1:21" x14ac:dyDescent="0.25">
      <c r="A193" s="31" t="s">
        <v>750</v>
      </c>
      <c r="B193" s="31" t="s">
        <v>1725</v>
      </c>
      <c r="C193" s="31" t="s">
        <v>1216</v>
      </c>
      <c r="D193" s="31">
        <f>IFERROR(ROUND(VLOOKUP(A193,institutions!A:E,4,0),2),"")</f>
        <v>2.27</v>
      </c>
      <c r="E193" s="31">
        <f>IFERROR(ROUND(VLOOKUP(A193,institutions!A:X,7,0),2),"")</f>
        <v>1.8</v>
      </c>
      <c r="F193" s="31">
        <f>IFERROR(ROUND(VLOOKUP(A193,institutions!A:X,10,0),2),"")</f>
        <v>1.96</v>
      </c>
      <c r="G193" s="31">
        <f>IFERROR(ROUND(VLOOKUP(A193,institutions!A:X,13,0),2),"")</f>
        <v>2.68</v>
      </c>
      <c r="H193" s="31">
        <f>IFERROR(ROUND(VLOOKUP(A193,institutions!A:X,16,0),2),"")</f>
        <v>2.62</v>
      </c>
      <c r="I193" s="31">
        <f t="shared" si="12"/>
        <v>0.71199999999999997</v>
      </c>
      <c r="J193" s="31">
        <f t="shared" si="13"/>
        <v>0.67800000000000005</v>
      </c>
      <c r="K193" s="31">
        <f t="shared" si="14"/>
        <v>0.73</v>
      </c>
      <c r="L193" s="31">
        <f t="shared" si="15"/>
        <v>0.74299999999999999</v>
      </c>
      <c r="M193" s="31">
        <f t="shared" si="16"/>
        <v>0.58799999999999997</v>
      </c>
      <c r="N193" t="e">
        <f>VLOOKUP(A193,#REF!,11,0)</f>
        <v>#REF!</v>
      </c>
      <c r="O193" t="e">
        <f>VLOOKUP(A193,#REF!,12,0)</f>
        <v>#REF!</v>
      </c>
      <c r="P193" t="e">
        <f>VLOOKUP(A193,#REF!,13,0)</f>
        <v>#REF!</v>
      </c>
      <c r="Q193" t="e">
        <f>VLOOKUP(A193,#REF!,14,0)</f>
        <v>#REF!</v>
      </c>
      <c r="R193">
        <v>1.255198087858358</v>
      </c>
      <c r="S193">
        <v>0.16259242833479859</v>
      </c>
      <c r="T193" s="31" t="str">
        <f>VLOOKUP(C193,V:W,2,0)</f>
        <v>UK</v>
      </c>
      <c r="U193" t="str">
        <f t="shared" si="17"/>
        <v/>
      </c>
    </row>
    <row r="194" spans="1:21" x14ac:dyDescent="0.25">
      <c r="A194" s="31" t="s">
        <v>748</v>
      </c>
      <c r="B194" s="31" t="s">
        <v>2083</v>
      </c>
      <c r="C194" s="31" t="s">
        <v>1223</v>
      </c>
      <c r="D194" s="31">
        <f>IFERROR(ROUND(VLOOKUP(A194,institutions!A:E,4,0),2),"")</f>
        <v>2.2200000000000002</v>
      </c>
      <c r="E194" s="31">
        <f>IFERROR(ROUND(VLOOKUP(A194,institutions!A:X,7,0),2),"")</f>
        <v>2.0499999999999998</v>
      </c>
      <c r="F194" s="31">
        <f>IFERROR(ROUND(VLOOKUP(A194,institutions!A:X,10,0),2),"")</f>
        <v>1.89</v>
      </c>
      <c r="G194" s="31">
        <f>IFERROR(ROUND(VLOOKUP(A194,institutions!A:X,13,0),2),"")</f>
        <v>1.87</v>
      </c>
      <c r="H194" s="31">
        <f>IFERROR(ROUND(VLOOKUP(A194,institutions!A:X,16,0),2),"")</f>
        <v>2.4900000000000002</v>
      </c>
      <c r="I194" s="31">
        <f t="shared" si="12"/>
        <v>0.68300000000000005</v>
      </c>
      <c r="J194" s="31">
        <f t="shared" si="13"/>
        <v>0.77200000000000002</v>
      </c>
      <c r="K194" s="31">
        <f t="shared" si="14"/>
        <v>0.70499999999999996</v>
      </c>
      <c r="L194" s="31">
        <f t="shared" si="15"/>
        <v>0.40699999999999997</v>
      </c>
      <c r="M194" s="31">
        <f t="shared" si="16"/>
        <v>0.54500000000000004</v>
      </c>
      <c r="N194" t="e">
        <f>VLOOKUP(A194,#REF!,11,0)</f>
        <v>#REF!</v>
      </c>
      <c r="O194" t="e">
        <f>VLOOKUP(A194,#REF!,12,0)</f>
        <v>#REF!</v>
      </c>
      <c r="P194" t="e">
        <f>VLOOKUP(A194,#REF!,13,0)</f>
        <v>#REF!</v>
      </c>
      <c r="Q194" t="e">
        <f>VLOOKUP(A194,#REF!,14,0)</f>
        <v>#REF!</v>
      </c>
      <c r="R194">
        <v>0.6855273522277302</v>
      </c>
      <c r="S194">
        <v>0.95495314082171201</v>
      </c>
      <c r="T194" s="31" t="str">
        <f>VLOOKUP(C194,V:W,2,0)</f>
        <v>HKG</v>
      </c>
      <c r="U194" t="str">
        <f t="shared" si="17"/>
        <v/>
      </c>
    </row>
    <row r="195" spans="1:21" x14ac:dyDescent="0.25">
      <c r="A195" s="31" t="s">
        <v>694</v>
      </c>
      <c r="B195" s="31" t="s">
        <v>1552</v>
      </c>
      <c r="C195" s="31" t="s">
        <v>1222</v>
      </c>
      <c r="D195" s="31">
        <f>IFERROR(ROUND(VLOOKUP(A195,institutions!A:E,4,0),2),"")</f>
        <v>2.2400000000000002</v>
      </c>
      <c r="E195" s="31">
        <f>IFERROR(ROUND(VLOOKUP(A195,institutions!A:X,7,0),2),"")</f>
        <v>1.1599999999999999</v>
      </c>
      <c r="F195" s="31" t="str">
        <f>IFERROR(ROUND(VLOOKUP(A195,institutions!A:X,10,0),2),"")</f>
        <v/>
      </c>
      <c r="G195" s="31">
        <f>IFERROR(ROUND(VLOOKUP(A195,institutions!A:X,13,0),2),"")</f>
        <v>2.76</v>
      </c>
      <c r="H195" s="31">
        <f>IFERROR(ROUND(VLOOKUP(A195,institutions!A:X,16,0),2),"")</f>
        <v>2.98</v>
      </c>
      <c r="I195" s="31">
        <f t="shared" si="12"/>
        <v>0.69499999999999995</v>
      </c>
      <c r="J195" s="31">
        <f t="shared" si="13"/>
        <v>0.108</v>
      </c>
      <c r="K195" s="31">
        <f t="shared" si="14"/>
        <v>0</v>
      </c>
      <c r="L195" s="31">
        <f t="shared" si="15"/>
        <v>0.76200000000000001</v>
      </c>
      <c r="M195" s="31">
        <f t="shared" si="16"/>
        <v>0.68300000000000005</v>
      </c>
      <c r="N195" t="e">
        <f>VLOOKUP(A195,#REF!,11,0)</f>
        <v>#REF!</v>
      </c>
      <c r="O195" t="e">
        <f>VLOOKUP(A195,#REF!,12,0)</f>
        <v>#REF!</v>
      </c>
      <c r="P195" t="e">
        <f>VLOOKUP(A195,#REF!,13,0)</f>
        <v>#REF!</v>
      </c>
      <c r="Q195" t="e">
        <f>VLOOKUP(A195,#REF!,14,0)</f>
        <v>#REF!</v>
      </c>
      <c r="R195">
        <v>-0.69847348166512868</v>
      </c>
      <c r="S195">
        <v>-2.2991289054155102</v>
      </c>
      <c r="T195" s="31" t="str">
        <f>VLOOKUP(C195,V:W,2,0)</f>
        <v>ITA</v>
      </c>
      <c r="U195" t="str">
        <f t="shared" si="17"/>
        <v/>
      </c>
    </row>
    <row r="196" spans="1:21" x14ac:dyDescent="0.25">
      <c r="A196" s="31" t="s">
        <v>821</v>
      </c>
      <c r="B196" s="31" t="s">
        <v>1574</v>
      </c>
      <c r="C196" s="31" t="s">
        <v>1223</v>
      </c>
      <c r="D196" s="31">
        <f>IFERROR(ROUND(VLOOKUP(A196,institutions!A:E,4,0),2),"")</f>
        <v>2.17</v>
      </c>
      <c r="E196" s="31">
        <f>IFERROR(ROUND(VLOOKUP(A196,institutions!A:X,7,0),2),"")</f>
        <v>1.88</v>
      </c>
      <c r="F196" s="31">
        <f>IFERROR(ROUND(VLOOKUP(A196,institutions!A:X,10,0),2),"")</f>
        <v>2.76</v>
      </c>
      <c r="G196" s="31">
        <f>IFERROR(ROUND(VLOOKUP(A196,institutions!A:X,13,0),2),"")</f>
        <v>2.0299999999999998</v>
      </c>
      <c r="H196" s="31">
        <f>IFERROR(ROUND(VLOOKUP(A196,institutions!A:X,16,0),2),"")</f>
        <v>2.44</v>
      </c>
      <c r="I196" s="31">
        <f t="shared" ref="I196:I259" si="18">ROUND(IFERROR((601-_xlfn.RANK.EQ(D196,D:D))/600,0),3)</f>
        <v>0.65800000000000003</v>
      </c>
      <c r="J196" s="31">
        <f t="shared" ref="J196:J259" si="19">ROUND(IFERROR((601-IFERROR(_xlfn.RANK.EQ(E196,E:E),""))/600,0),3)</f>
        <v>0.71199999999999997</v>
      </c>
      <c r="K196" s="31">
        <f t="shared" ref="K196:K259" si="20">ROUND(IFERROR((601-IFERROR(_xlfn.RANK.EQ(F196,F:F),""))/600,0),3)</f>
        <v>0.86799999999999999</v>
      </c>
      <c r="L196" s="31">
        <f t="shared" ref="L196:L259" si="21">ROUND(IFERROR((601-IFERROR(_xlfn.RANK.EQ(G196,G:G),""))/600,0),3)</f>
        <v>0.48</v>
      </c>
      <c r="M196" s="31">
        <f t="shared" ref="M196:M259" si="22">ROUND(IFERROR((601-IFERROR(_xlfn.RANK.EQ(H196,H:H),""))/600,0),3)</f>
        <v>0.51800000000000002</v>
      </c>
      <c r="N196" t="e">
        <f>VLOOKUP(A196,#REF!,11,0)</f>
        <v>#REF!</v>
      </c>
      <c r="O196" t="e">
        <f>VLOOKUP(A196,#REF!,12,0)</f>
        <v>#REF!</v>
      </c>
      <c r="P196" t="e">
        <f>VLOOKUP(A196,#REF!,13,0)</f>
        <v>#REF!</v>
      </c>
      <c r="Q196" t="e">
        <f>VLOOKUP(A196,#REF!,14,0)</f>
        <v>#REF!</v>
      </c>
      <c r="R196">
        <v>0.94954027446063116</v>
      </c>
      <c r="S196">
        <v>0.98521335668389831</v>
      </c>
      <c r="T196" s="31" t="str">
        <f>VLOOKUP(C196,V:W,2,0)</f>
        <v>HKG</v>
      </c>
      <c r="U196" t="str">
        <f t="shared" ref="U196:U259" si="23">IF(T196=T$1,B196,IF(T196=T$2,B196,IF(T196=U$1,B196,"")))</f>
        <v/>
      </c>
    </row>
    <row r="197" spans="1:21" x14ac:dyDescent="0.25">
      <c r="A197" s="31" t="s">
        <v>868</v>
      </c>
      <c r="B197" s="31" t="s">
        <v>1714</v>
      </c>
      <c r="C197" s="31" t="s">
        <v>1217</v>
      </c>
      <c r="D197" s="31">
        <f>IFERROR(ROUND(VLOOKUP(A197,institutions!A:E,4,0),2),"")</f>
        <v>2.2200000000000002</v>
      </c>
      <c r="E197" s="31">
        <f>IFERROR(ROUND(VLOOKUP(A197,institutions!A:X,7,0),2),"")</f>
        <v>1.52</v>
      </c>
      <c r="F197" s="31">
        <f>IFERROR(ROUND(VLOOKUP(A197,institutions!A:X,10,0),2),"")</f>
        <v>4.54</v>
      </c>
      <c r="G197" s="31">
        <f>IFERROR(ROUND(VLOOKUP(A197,institutions!A:X,13,0),2),"")</f>
        <v>3.2</v>
      </c>
      <c r="H197" s="31">
        <f>IFERROR(ROUND(VLOOKUP(A197,institutions!A:X,16,0),2),"")</f>
        <v>4</v>
      </c>
      <c r="I197" s="31">
        <f t="shared" si="18"/>
        <v>0.68300000000000005</v>
      </c>
      <c r="J197" s="31">
        <f t="shared" si="19"/>
        <v>0.52</v>
      </c>
      <c r="K197" s="31">
        <f t="shared" si="20"/>
        <v>0.96699999999999997</v>
      </c>
      <c r="L197" s="31">
        <f t="shared" si="21"/>
        <v>0.84699999999999998</v>
      </c>
      <c r="M197" s="31">
        <f t="shared" si="22"/>
        <v>0.875</v>
      </c>
      <c r="N197" t="e">
        <f>VLOOKUP(A197,#REF!,11,0)</f>
        <v>#REF!</v>
      </c>
      <c r="O197" t="e">
        <f>VLOOKUP(A197,#REF!,12,0)</f>
        <v>#REF!</v>
      </c>
      <c r="P197" t="e">
        <f>VLOOKUP(A197,#REF!,13,0)</f>
        <v>#REF!</v>
      </c>
      <c r="Q197" t="e">
        <f>VLOOKUP(A197,#REF!,14,0)</f>
        <v>#REF!</v>
      </c>
      <c r="R197">
        <v>2.111213150414748</v>
      </c>
      <c r="S197">
        <v>-0.45841761727868258</v>
      </c>
      <c r="T197" s="31" t="str">
        <f>VLOOKUP(C197,V:W,2,0)</f>
        <v>USA</v>
      </c>
      <c r="U197" t="str">
        <f t="shared" si="23"/>
        <v/>
      </c>
    </row>
    <row r="198" spans="1:21" x14ac:dyDescent="0.25">
      <c r="A198" s="31" t="s">
        <v>717</v>
      </c>
      <c r="B198" s="31" t="s">
        <v>1568</v>
      </c>
      <c r="C198" s="31" t="s">
        <v>1225</v>
      </c>
      <c r="D198" s="31">
        <f>IFERROR(ROUND(VLOOKUP(A198,institutions!A:E,4,0),2),"")</f>
        <v>2.2400000000000002</v>
      </c>
      <c r="E198" s="31">
        <f>IFERROR(ROUND(VLOOKUP(A198,institutions!A:X,7,0),2),"")</f>
        <v>1.43</v>
      </c>
      <c r="F198" s="31">
        <f>IFERROR(ROUND(VLOOKUP(A198,institutions!A:X,10,0),2),"")</f>
        <v>1.59</v>
      </c>
      <c r="G198" s="31">
        <f>IFERROR(ROUND(VLOOKUP(A198,institutions!A:X,13,0),2),"")</f>
        <v>3.22</v>
      </c>
      <c r="H198" s="31">
        <f>IFERROR(ROUND(VLOOKUP(A198,institutions!A:X,16,0),2),"")</f>
        <v>2.1800000000000002</v>
      </c>
      <c r="I198" s="31">
        <f t="shared" si="18"/>
        <v>0.69499999999999995</v>
      </c>
      <c r="J198" s="31">
        <f t="shared" si="19"/>
        <v>0.442</v>
      </c>
      <c r="K198" s="31">
        <f t="shared" si="20"/>
        <v>0.59199999999999997</v>
      </c>
      <c r="L198" s="31">
        <f t="shared" si="21"/>
        <v>0.84799999999999998</v>
      </c>
      <c r="M198" s="31">
        <f t="shared" si="22"/>
        <v>0.41</v>
      </c>
      <c r="N198" t="e">
        <f>VLOOKUP(A198,#REF!,11,0)</f>
        <v>#REF!</v>
      </c>
      <c r="O198" t="e">
        <f>VLOOKUP(A198,#REF!,12,0)</f>
        <v>#REF!</v>
      </c>
      <c r="P198" t="e">
        <f>VLOOKUP(A198,#REF!,13,0)</f>
        <v>#REF!</v>
      </c>
      <c r="Q198" t="e">
        <f>VLOOKUP(A198,#REF!,14,0)</f>
        <v>#REF!</v>
      </c>
      <c r="R198">
        <v>0.50780451592675147</v>
      </c>
      <c r="S198">
        <v>-0.43477426058007518</v>
      </c>
      <c r="T198" s="31" t="str">
        <f>VLOOKUP(C198,V:W,2,0)</f>
        <v>FIN</v>
      </c>
      <c r="U198" t="str">
        <f t="shared" si="23"/>
        <v/>
      </c>
    </row>
    <row r="199" spans="1:21" x14ac:dyDescent="0.25">
      <c r="A199" s="31" t="s">
        <v>783</v>
      </c>
      <c r="B199" s="31" t="s">
        <v>1919</v>
      </c>
      <c r="C199" s="31" t="s">
        <v>1233</v>
      </c>
      <c r="D199" s="31">
        <f>IFERROR(ROUND(VLOOKUP(A199,institutions!A:E,4,0),2),"")</f>
        <v>2.2599999999999998</v>
      </c>
      <c r="E199" s="31">
        <f>IFERROR(ROUND(VLOOKUP(A199,institutions!A:X,7,0),2),"")</f>
        <v>1.59</v>
      </c>
      <c r="F199" s="31">
        <f>IFERROR(ROUND(VLOOKUP(A199,institutions!A:X,10,0),2),"")</f>
        <v>1.62</v>
      </c>
      <c r="G199" s="31">
        <f>IFERROR(ROUND(VLOOKUP(A199,institutions!A:X,13,0),2),"")</f>
        <v>3.3</v>
      </c>
      <c r="H199" s="31">
        <f>IFERROR(ROUND(VLOOKUP(A199,institutions!A:X,16,0),2),"")</f>
        <v>4</v>
      </c>
      <c r="I199" s="31">
        <f t="shared" si="18"/>
        <v>0.70299999999999996</v>
      </c>
      <c r="J199" s="31">
        <f t="shared" si="19"/>
        <v>0.56299999999999994</v>
      </c>
      <c r="K199" s="31">
        <f t="shared" si="20"/>
        <v>0.60799999999999998</v>
      </c>
      <c r="L199" s="31">
        <f t="shared" si="21"/>
        <v>0.86199999999999999</v>
      </c>
      <c r="M199" s="31">
        <f t="shared" si="22"/>
        <v>0.875</v>
      </c>
      <c r="N199" t="e">
        <f>VLOOKUP(A199,#REF!,11,0)</f>
        <v>#REF!</v>
      </c>
      <c r="O199" t="e">
        <f>VLOOKUP(A199,#REF!,12,0)</f>
        <v>#REF!</v>
      </c>
      <c r="P199" t="e">
        <f>VLOOKUP(A199,#REF!,13,0)</f>
        <v>#REF!</v>
      </c>
      <c r="Q199" t="e">
        <f>VLOOKUP(A199,#REF!,14,0)</f>
        <v>#REF!</v>
      </c>
      <c r="R199">
        <v>1.593452576610862</v>
      </c>
      <c r="S199">
        <v>-0.91397380408747186</v>
      </c>
      <c r="T199" s="31" t="str">
        <f>VLOOKUP(C199,V:W,2,0)</f>
        <v>NED</v>
      </c>
      <c r="U199" t="str">
        <f t="shared" si="23"/>
        <v/>
      </c>
    </row>
    <row r="200" spans="1:21" x14ac:dyDescent="0.25">
      <c r="A200" s="31" t="s">
        <v>756</v>
      </c>
      <c r="B200" s="31" t="s">
        <v>1728</v>
      </c>
      <c r="C200" s="31" t="s">
        <v>1227</v>
      </c>
      <c r="D200" s="31">
        <f>IFERROR(ROUND(VLOOKUP(A200,institutions!A:E,4,0),2),"")</f>
        <v>2.2200000000000002</v>
      </c>
      <c r="E200" s="31">
        <f>IFERROR(ROUND(VLOOKUP(A200,institutions!A:X,7,0),2),"")</f>
        <v>1.73</v>
      </c>
      <c r="F200" s="31">
        <f>IFERROR(ROUND(VLOOKUP(A200,institutions!A:X,10,0),2),"")</f>
        <v>2.69</v>
      </c>
      <c r="G200" s="31">
        <f>IFERROR(ROUND(VLOOKUP(A200,institutions!A:X,13,0),2),"")</f>
        <v>2.99</v>
      </c>
      <c r="H200" s="31">
        <f>IFERROR(ROUND(VLOOKUP(A200,institutions!A:X,16,0),2),"")</f>
        <v>2.2400000000000002</v>
      </c>
      <c r="I200" s="31">
        <f t="shared" si="18"/>
        <v>0.68300000000000005</v>
      </c>
      <c r="J200" s="31">
        <f t="shared" si="19"/>
        <v>0.65300000000000002</v>
      </c>
      <c r="K200" s="31">
        <f t="shared" si="20"/>
        <v>0.85699999999999998</v>
      </c>
      <c r="L200" s="31">
        <f t="shared" si="21"/>
        <v>0.81200000000000006</v>
      </c>
      <c r="M200" s="31">
        <f t="shared" si="22"/>
        <v>0.437</v>
      </c>
      <c r="N200" t="e">
        <f>VLOOKUP(A200,#REF!,11,0)</f>
        <v>#REF!</v>
      </c>
      <c r="O200" t="e">
        <f>VLOOKUP(A200,#REF!,12,0)</f>
        <v>#REF!</v>
      </c>
      <c r="P200" t="e">
        <f>VLOOKUP(A200,#REF!,13,0)</f>
        <v>#REF!</v>
      </c>
      <c r="Q200" t="e">
        <f>VLOOKUP(A200,#REF!,14,0)</f>
        <v>#REF!</v>
      </c>
      <c r="R200">
        <v>1.2826382611842211</v>
      </c>
      <c r="S200">
        <v>0.41854645820021918</v>
      </c>
      <c r="T200" s="31" t="str">
        <f>VLOOKUP(C200,V:W,2,0)</f>
        <v>BEL</v>
      </c>
      <c r="U200" t="str">
        <f t="shared" si="23"/>
        <v/>
      </c>
    </row>
    <row r="201" spans="1:21" x14ac:dyDescent="0.25">
      <c r="A201" s="31" t="s">
        <v>686</v>
      </c>
      <c r="B201" s="31" t="s">
        <v>1711</v>
      </c>
      <c r="C201" s="31" t="s">
        <v>1229</v>
      </c>
      <c r="D201" s="31">
        <f>IFERROR(ROUND(VLOOKUP(A201,institutions!A:E,4,0),2),"")</f>
        <v>2.2200000000000002</v>
      </c>
      <c r="E201" s="31">
        <f>IFERROR(ROUND(VLOOKUP(A201,institutions!A:X,7,0),2),"")</f>
        <v>1.1499999999999999</v>
      </c>
      <c r="F201" s="31">
        <f>IFERROR(ROUND(VLOOKUP(A201,institutions!A:X,10,0),2),"")</f>
        <v>1.1599999999999999</v>
      </c>
      <c r="G201" s="31">
        <f>IFERROR(ROUND(VLOOKUP(A201,institutions!A:X,13,0),2),"")</f>
        <v>2.99</v>
      </c>
      <c r="H201" s="31">
        <f>IFERROR(ROUND(VLOOKUP(A201,institutions!A:X,16,0),2),"")</f>
        <v>2.8</v>
      </c>
      <c r="I201" s="31">
        <f t="shared" si="18"/>
        <v>0.68300000000000005</v>
      </c>
      <c r="J201" s="31">
        <f t="shared" si="19"/>
        <v>0.1</v>
      </c>
      <c r="K201" s="31">
        <f t="shared" si="20"/>
        <v>0.187</v>
      </c>
      <c r="L201" s="31">
        <f t="shared" si="21"/>
        <v>0.81200000000000006</v>
      </c>
      <c r="M201" s="31">
        <f t="shared" si="22"/>
        <v>0.64</v>
      </c>
      <c r="N201" t="e">
        <f>VLOOKUP(A201,#REF!,11,0)</f>
        <v>#REF!</v>
      </c>
      <c r="O201" t="e">
        <f>VLOOKUP(A201,#REF!,12,0)</f>
        <v>#REF!</v>
      </c>
      <c r="P201" t="e">
        <f>VLOOKUP(A201,#REF!,13,0)</f>
        <v>#REF!</v>
      </c>
      <c r="Q201" t="e">
        <f>VLOOKUP(A201,#REF!,14,0)</f>
        <v>#REF!</v>
      </c>
      <c r="R201">
        <v>-0.38020505831617202</v>
      </c>
      <c r="S201">
        <v>-2.05920929511564</v>
      </c>
      <c r="T201" s="31" t="str">
        <f>VLOOKUP(C201,V:W,2,0)</f>
        <v>SWE</v>
      </c>
      <c r="U201" t="str">
        <f t="shared" si="23"/>
        <v/>
      </c>
    </row>
    <row r="202" spans="1:21" x14ac:dyDescent="0.25">
      <c r="A202" s="31" t="s">
        <v>1015</v>
      </c>
      <c r="B202" s="31" t="s">
        <v>1928</v>
      </c>
      <c r="C202" s="31" t="s">
        <v>1271</v>
      </c>
      <c r="D202" s="31">
        <f>IFERROR(ROUND(VLOOKUP(A202,institutions!A:E,4,0),2),"")</f>
        <v>2.19</v>
      </c>
      <c r="E202" s="31">
        <f>IFERROR(ROUND(VLOOKUP(A202,institutions!A:X,7,0),2),"")</f>
        <v>2.19</v>
      </c>
      <c r="F202" s="31">
        <f>IFERROR(ROUND(VLOOKUP(A202,institutions!A:X,10,0),2),"")</f>
        <v>1.38</v>
      </c>
      <c r="G202" s="31" t="str">
        <f>IFERROR(ROUND(VLOOKUP(A202,institutions!A:X,13,0),2),"")</f>
        <v/>
      </c>
      <c r="H202" s="31">
        <f>IFERROR(ROUND(VLOOKUP(A202,institutions!A:X,16,0),2),"")</f>
        <v>1.47</v>
      </c>
      <c r="I202" s="31">
        <f t="shared" si="18"/>
        <v>0.66700000000000004</v>
      </c>
      <c r="J202" s="31">
        <f t="shared" si="19"/>
        <v>0.81499999999999995</v>
      </c>
      <c r="K202" s="31">
        <f t="shared" si="20"/>
        <v>0.42699999999999999</v>
      </c>
      <c r="L202" s="31">
        <f t="shared" si="21"/>
        <v>0</v>
      </c>
      <c r="M202" s="31">
        <f t="shared" si="22"/>
        <v>0.1</v>
      </c>
      <c r="N202" t="e">
        <f>VLOOKUP(A202,#REF!,11,0)</f>
        <v>#REF!</v>
      </c>
      <c r="O202" t="e">
        <f>VLOOKUP(A202,#REF!,12,0)</f>
        <v>#REF!</v>
      </c>
      <c r="P202" t="e">
        <f>VLOOKUP(A202,#REF!,13,0)</f>
        <v>#REF!</v>
      </c>
      <c r="Q202" t="e">
        <f>VLOOKUP(A202,#REF!,14,0)</f>
        <v>#REF!</v>
      </c>
      <c r="R202">
        <v>-1.2506609355035381</v>
      </c>
      <c r="S202">
        <v>2.026171355960571</v>
      </c>
      <c r="T202" s="31" t="str">
        <f>VLOOKUP(C202,V:W,2,0)</f>
        <v>DEU</v>
      </c>
      <c r="U202" t="str">
        <f t="shared" si="23"/>
        <v>Kiel I World Econ</v>
      </c>
    </row>
    <row r="203" spans="1:21" x14ac:dyDescent="0.25">
      <c r="A203" s="31" t="s">
        <v>732</v>
      </c>
      <c r="B203" s="31" t="s">
        <v>1549</v>
      </c>
      <c r="C203" s="31" t="s">
        <v>1216</v>
      </c>
      <c r="D203" s="31">
        <f>IFERROR(ROUND(VLOOKUP(A203,institutions!A:E,4,0),2),"")</f>
        <v>2.25</v>
      </c>
      <c r="E203" s="31">
        <f>IFERROR(ROUND(VLOOKUP(A203,institutions!A:X,7,0),2),"")</f>
        <v>1.38</v>
      </c>
      <c r="F203" s="31">
        <f>IFERROR(ROUND(VLOOKUP(A203,institutions!A:X,10,0),2),"")</f>
        <v>1.42</v>
      </c>
      <c r="G203" s="31">
        <f>IFERROR(ROUND(VLOOKUP(A203,institutions!A:X,13,0),2),"")</f>
        <v>2.75</v>
      </c>
      <c r="H203" s="31">
        <f>IFERROR(ROUND(VLOOKUP(A203,institutions!A:X,16,0),2),"")</f>
        <v>3.49</v>
      </c>
      <c r="I203" s="31">
        <f t="shared" si="18"/>
        <v>0.7</v>
      </c>
      <c r="J203" s="31">
        <f t="shared" si="19"/>
        <v>0.372</v>
      </c>
      <c r="K203" s="31">
        <f t="shared" si="20"/>
        <v>0.45800000000000002</v>
      </c>
      <c r="L203" s="31">
        <f t="shared" si="21"/>
        <v>0.75700000000000001</v>
      </c>
      <c r="M203" s="31">
        <f t="shared" si="22"/>
        <v>0.79300000000000004</v>
      </c>
      <c r="N203" t="e">
        <f>VLOOKUP(A203,#REF!,11,0)</f>
        <v>#REF!</v>
      </c>
      <c r="O203" t="e">
        <f>VLOOKUP(A203,#REF!,12,0)</f>
        <v>#REF!</v>
      </c>
      <c r="P203" t="e">
        <f>VLOOKUP(A203,#REF!,13,0)</f>
        <v>#REF!</v>
      </c>
      <c r="Q203" t="e">
        <f>VLOOKUP(A203,#REF!,14,0)</f>
        <v>#REF!</v>
      </c>
      <c r="R203">
        <v>0.69610489303278966</v>
      </c>
      <c r="S203">
        <v>-1.2350929139918749</v>
      </c>
      <c r="T203" s="31" t="str">
        <f>VLOOKUP(C203,V:W,2,0)</f>
        <v>UK</v>
      </c>
      <c r="U203" t="str">
        <f t="shared" si="23"/>
        <v/>
      </c>
    </row>
    <row r="204" spans="1:21" x14ac:dyDescent="0.25">
      <c r="A204" s="31" t="s">
        <v>853</v>
      </c>
      <c r="B204" s="31" t="s">
        <v>1741</v>
      </c>
      <c r="C204" s="31" t="s">
        <v>1230</v>
      </c>
      <c r="D204" s="31">
        <f>IFERROR(ROUND(VLOOKUP(A204,institutions!A:E,4,0),2),"")</f>
        <v>2.09</v>
      </c>
      <c r="E204" s="31">
        <f>IFERROR(ROUND(VLOOKUP(A204,institutions!A:X,7,0),2),"")</f>
        <v>1.86</v>
      </c>
      <c r="F204" s="31">
        <f>IFERROR(ROUND(VLOOKUP(A204,institutions!A:X,10,0),2),"")</f>
        <v>1.74</v>
      </c>
      <c r="G204" s="31">
        <f>IFERROR(ROUND(VLOOKUP(A204,institutions!A:X,13,0),2),"")</f>
        <v>2.39</v>
      </c>
      <c r="H204" s="31">
        <f>IFERROR(ROUND(VLOOKUP(A204,institutions!A:X,16,0),2),"")</f>
        <v>2.4500000000000002</v>
      </c>
      <c r="I204" s="31">
        <f t="shared" si="18"/>
        <v>0.61199999999999999</v>
      </c>
      <c r="J204" s="31">
        <f t="shared" si="19"/>
        <v>0.70699999999999996</v>
      </c>
      <c r="K204" s="31">
        <f t="shared" si="20"/>
        <v>0.66300000000000003</v>
      </c>
      <c r="L204" s="31">
        <f t="shared" si="21"/>
        <v>0.63700000000000001</v>
      </c>
      <c r="M204" s="31">
        <f t="shared" si="22"/>
        <v>0.52300000000000002</v>
      </c>
      <c r="N204" t="e">
        <f>VLOOKUP(A204,#REF!,11,0)</f>
        <v>#REF!</v>
      </c>
      <c r="O204" t="e">
        <f>VLOOKUP(A204,#REF!,12,0)</f>
        <v>#REF!</v>
      </c>
      <c r="P204" t="e">
        <f>VLOOKUP(A204,#REF!,13,0)</f>
        <v>#REF!</v>
      </c>
      <c r="Q204" t="e">
        <f>VLOOKUP(A204,#REF!,14,0)</f>
        <v>#REF!</v>
      </c>
      <c r="R204">
        <v>0.88055740886315526</v>
      </c>
      <c r="S204">
        <v>0.40672912800444599</v>
      </c>
      <c r="T204" s="31" t="str">
        <f>VLOOKUP(C204,V:W,2,0)</f>
        <v>CHN</v>
      </c>
      <c r="U204" t="str">
        <f t="shared" si="23"/>
        <v/>
      </c>
    </row>
    <row r="205" spans="1:21" x14ac:dyDescent="0.25">
      <c r="A205" s="31" t="s">
        <v>794</v>
      </c>
      <c r="B205" s="31" t="s">
        <v>2088</v>
      </c>
      <c r="C205" s="31" t="s">
        <v>1216</v>
      </c>
      <c r="D205" s="31">
        <f>IFERROR(ROUND(VLOOKUP(A205,institutions!A:E,4,0),2),"")</f>
        <v>2.2400000000000002</v>
      </c>
      <c r="E205" s="31">
        <f>IFERROR(ROUND(VLOOKUP(A205,institutions!A:X,7,0),2),"")</f>
        <v>1.69</v>
      </c>
      <c r="F205" s="31">
        <f>IFERROR(ROUND(VLOOKUP(A205,institutions!A:X,10,0),2),"")</f>
        <v>1.59</v>
      </c>
      <c r="G205" s="31">
        <f>IFERROR(ROUND(VLOOKUP(A205,institutions!A:X,13,0),2),"")</f>
        <v>2.4</v>
      </c>
      <c r="H205" s="31">
        <f>IFERROR(ROUND(VLOOKUP(A205,institutions!A:X,16,0),2),"")</f>
        <v>3.08</v>
      </c>
      <c r="I205" s="31">
        <f t="shared" si="18"/>
        <v>0.69499999999999995</v>
      </c>
      <c r="J205" s="31">
        <f t="shared" si="19"/>
        <v>0.63200000000000001</v>
      </c>
      <c r="K205" s="31">
        <f t="shared" si="20"/>
        <v>0.59199999999999997</v>
      </c>
      <c r="L205" s="31">
        <f t="shared" si="21"/>
        <v>0.64300000000000002</v>
      </c>
      <c r="M205" s="31">
        <f t="shared" si="22"/>
        <v>0.7</v>
      </c>
      <c r="N205" t="e">
        <f>VLOOKUP(A205,#REF!,11,0)</f>
        <v>#REF!</v>
      </c>
      <c r="O205" t="e">
        <f>VLOOKUP(A205,#REF!,12,0)</f>
        <v>#REF!</v>
      </c>
      <c r="P205" t="e">
        <f>VLOOKUP(A205,#REF!,13,0)</f>
        <v>#REF!</v>
      </c>
      <c r="Q205" t="e">
        <f>VLOOKUP(A205,#REF!,14,0)</f>
        <v>#REF!</v>
      </c>
      <c r="R205">
        <v>0.96960911624489532</v>
      </c>
      <c r="S205">
        <v>-0.14747125243648809</v>
      </c>
      <c r="T205" s="31" t="str">
        <f>VLOOKUP(C205,V:W,2,0)</f>
        <v>UK</v>
      </c>
      <c r="U205" t="str">
        <f t="shared" si="23"/>
        <v/>
      </c>
    </row>
    <row r="206" spans="1:21" x14ac:dyDescent="0.25">
      <c r="A206" s="31" t="s">
        <v>810</v>
      </c>
      <c r="B206" s="31" t="s">
        <v>1918</v>
      </c>
      <c r="C206" s="31" t="s">
        <v>1235</v>
      </c>
      <c r="D206" s="31">
        <f>IFERROR(ROUND(VLOOKUP(A206,institutions!A:E,4,0),2),"")</f>
        <v>2.16</v>
      </c>
      <c r="E206" s="31">
        <f>IFERROR(ROUND(VLOOKUP(A206,institutions!A:X,7,0),2),"")</f>
        <v>1.08</v>
      </c>
      <c r="F206" s="31" t="str">
        <f>IFERROR(ROUND(VLOOKUP(A206,institutions!A:X,10,0),2),"")</f>
        <v/>
      </c>
      <c r="G206" s="31">
        <f>IFERROR(ROUND(VLOOKUP(A206,institutions!A:X,13,0),2),"")</f>
        <v>2.83</v>
      </c>
      <c r="H206" s="31">
        <f>IFERROR(ROUND(VLOOKUP(A206,institutions!A:X,16,0),2),"")</f>
        <v>3.25</v>
      </c>
      <c r="I206" s="31">
        <f t="shared" si="18"/>
        <v>0.65500000000000003</v>
      </c>
      <c r="J206" s="31">
        <f t="shared" si="19"/>
        <v>0.04</v>
      </c>
      <c r="K206" s="31">
        <f t="shared" si="20"/>
        <v>0</v>
      </c>
      <c r="L206" s="31">
        <f t="shared" si="21"/>
        <v>0.77800000000000002</v>
      </c>
      <c r="M206" s="31">
        <f t="shared" si="22"/>
        <v>0.73</v>
      </c>
      <c r="N206" t="e">
        <f>VLOOKUP(A206,#REF!,11,0)</f>
        <v>#REF!</v>
      </c>
      <c r="O206" t="e">
        <f>VLOOKUP(A206,#REF!,12,0)</f>
        <v>#REF!</v>
      </c>
      <c r="P206" t="e">
        <f>VLOOKUP(A206,#REF!,13,0)</f>
        <v>#REF!</v>
      </c>
      <c r="Q206" t="e">
        <f>VLOOKUP(A206,#REF!,14,0)</f>
        <v>#REF!</v>
      </c>
      <c r="R206">
        <v>-0.693837500712712</v>
      </c>
      <c r="S206">
        <v>-2.5455375656261512</v>
      </c>
      <c r="T206" s="31" t="str">
        <f>VLOOKUP(C206,V:W,2,0)</f>
        <v>MEX</v>
      </c>
      <c r="U206" t="str">
        <f t="shared" si="23"/>
        <v/>
      </c>
    </row>
    <row r="207" spans="1:21" x14ac:dyDescent="0.25">
      <c r="A207" s="31" t="s">
        <v>777</v>
      </c>
      <c r="B207" s="31" t="s">
        <v>1534</v>
      </c>
      <c r="C207" s="31" t="s">
        <v>1224</v>
      </c>
      <c r="D207" s="31">
        <f>IFERROR(ROUND(VLOOKUP(A207,institutions!A:E,4,0),2),"")</f>
        <v>2.27</v>
      </c>
      <c r="E207" s="31">
        <f>IFERROR(ROUND(VLOOKUP(A207,institutions!A:X,7,0),2),"")</f>
        <v>1.33</v>
      </c>
      <c r="F207" s="31">
        <f>IFERROR(ROUND(VLOOKUP(A207,institutions!A:X,10,0),2),"")</f>
        <v>1.88</v>
      </c>
      <c r="G207" s="31">
        <f>IFERROR(ROUND(VLOOKUP(A207,institutions!A:X,13,0),2),"")</f>
        <v>3.46</v>
      </c>
      <c r="H207" s="31">
        <f>IFERROR(ROUND(VLOOKUP(A207,institutions!A:X,16,0),2),"")</f>
        <v>5.79</v>
      </c>
      <c r="I207" s="31">
        <f t="shared" si="18"/>
        <v>0.71199999999999997</v>
      </c>
      <c r="J207" s="31">
        <f t="shared" si="19"/>
        <v>0.33</v>
      </c>
      <c r="K207" s="31">
        <f t="shared" si="20"/>
        <v>0.70199999999999996</v>
      </c>
      <c r="L207" s="31">
        <f t="shared" si="21"/>
        <v>0.88700000000000001</v>
      </c>
      <c r="M207" s="31">
        <f t="shared" si="22"/>
        <v>0.97</v>
      </c>
      <c r="N207" t="e">
        <f>VLOOKUP(A207,#REF!,11,0)</f>
        <v>#REF!</v>
      </c>
      <c r="O207" t="e">
        <f>VLOOKUP(A207,#REF!,12,0)</f>
        <v>#REF!</v>
      </c>
      <c r="P207" t="e">
        <f>VLOOKUP(A207,#REF!,13,0)</f>
        <v>#REF!</v>
      </c>
      <c r="Q207" t="e">
        <f>VLOOKUP(A207,#REF!,14,0)</f>
        <v>#REF!</v>
      </c>
      <c r="R207">
        <v>1.5974341915028869</v>
      </c>
      <c r="S207">
        <v>-1.4670638443969941</v>
      </c>
      <c r="T207" s="31" t="str">
        <f>VLOOKUP(C207,V:W,2,0)</f>
        <v>CAN</v>
      </c>
      <c r="U207" t="str">
        <f t="shared" si="23"/>
        <v/>
      </c>
    </row>
    <row r="208" spans="1:21" x14ac:dyDescent="0.25">
      <c r="A208" s="31" t="s">
        <v>819</v>
      </c>
      <c r="B208" s="31" t="s">
        <v>1565</v>
      </c>
      <c r="C208" s="31" t="s">
        <v>1216</v>
      </c>
      <c r="D208" s="31">
        <f>IFERROR(ROUND(VLOOKUP(A208,institutions!A:E,4,0),2),"")</f>
        <v>2.16</v>
      </c>
      <c r="E208" s="31">
        <f>IFERROR(ROUND(VLOOKUP(A208,institutions!A:X,7,0),2),"")</f>
        <v>1.81</v>
      </c>
      <c r="F208" s="31">
        <f>IFERROR(ROUND(VLOOKUP(A208,institutions!A:X,10,0),2),"")</f>
        <v>1.61</v>
      </c>
      <c r="G208" s="31">
        <f>IFERROR(ROUND(VLOOKUP(A208,institutions!A:X,13,0),2),"")</f>
        <v>2.65</v>
      </c>
      <c r="H208" s="31">
        <f>IFERROR(ROUND(VLOOKUP(A208,institutions!A:X,16,0),2),"")</f>
        <v>3.53</v>
      </c>
      <c r="I208" s="31">
        <f t="shared" si="18"/>
        <v>0.65500000000000003</v>
      </c>
      <c r="J208" s="31">
        <f t="shared" si="19"/>
        <v>0.68500000000000005</v>
      </c>
      <c r="K208" s="31">
        <f t="shared" si="20"/>
        <v>0.60499999999999998</v>
      </c>
      <c r="L208" s="31">
        <f t="shared" si="21"/>
        <v>0.73</v>
      </c>
      <c r="M208" s="31">
        <f t="shared" si="22"/>
        <v>0.8</v>
      </c>
      <c r="N208" t="e">
        <f>VLOOKUP(A208,#REF!,11,0)</f>
        <v>#REF!</v>
      </c>
      <c r="O208" t="e">
        <f>VLOOKUP(A208,#REF!,12,0)</f>
        <v>#REF!</v>
      </c>
      <c r="P208" t="e">
        <f>VLOOKUP(A208,#REF!,13,0)</f>
        <v>#REF!</v>
      </c>
      <c r="Q208" t="e">
        <f>VLOOKUP(A208,#REF!,14,0)</f>
        <v>#REF!</v>
      </c>
      <c r="R208">
        <v>1.412484241817469</v>
      </c>
      <c r="S208">
        <v>-0.31894176110423222</v>
      </c>
      <c r="T208" s="31" t="str">
        <f>VLOOKUP(C208,V:W,2,0)</f>
        <v>UK</v>
      </c>
      <c r="U208" t="str">
        <f t="shared" si="23"/>
        <v/>
      </c>
    </row>
    <row r="209" spans="1:21" x14ac:dyDescent="0.25">
      <c r="A209" s="31" t="s">
        <v>781</v>
      </c>
      <c r="B209" s="31" t="s">
        <v>1572</v>
      </c>
      <c r="C209" s="31" t="s">
        <v>1216</v>
      </c>
      <c r="D209" s="31">
        <f>IFERROR(ROUND(VLOOKUP(A209,institutions!A:E,4,0),2),"")</f>
        <v>2.21</v>
      </c>
      <c r="E209" s="31">
        <f>IFERROR(ROUND(VLOOKUP(A209,institutions!A:X,7,0),2),"")</f>
        <v>2.06</v>
      </c>
      <c r="F209" s="31">
        <f>IFERROR(ROUND(VLOOKUP(A209,institutions!A:X,10,0),2),"")</f>
        <v>1.28</v>
      </c>
      <c r="G209" s="31">
        <f>IFERROR(ROUND(VLOOKUP(A209,institutions!A:X,13,0),2),"")</f>
        <v>2.21</v>
      </c>
      <c r="H209" s="31">
        <f>IFERROR(ROUND(VLOOKUP(A209,institutions!A:X,16,0),2),"")</f>
        <v>3.45</v>
      </c>
      <c r="I209" s="31">
        <f t="shared" si="18"/>
        <v>0.67200000000000004</v>
      </c>
      <c r="J209" s="31">
        <f t="shared" si="19"/>
        <v>0.77800000000000002</v>
      </c>
      <c r="K209" s="31">
        <f t="shared" si="20"/>
        <v>0.32800000000000001</v>
      </c>
      <c r="L209" s="31">
        <f t="shared" si="21"/>
        <v>0.55500000000000005</v>
      </c>
      <c r="M209" s="31">
        <f t="shared" si="22"/>
        <v>0.77800000000000002</v>
      </c>
      <c r="N209">
        <v>1</v>
      </c>
      <c r="O209" t="e">
        <f>VLOOKUP(A209,#REF!,12,0)</f>
        <v>#REF!</v>
      </c>
      <c r="P209" t="e">
        <f>VLOOKUP(A209,#REF!,13,0)</f>
        <v>#REF!</v>
      </c>
      <c r="Q209" t="e">
        <f>VLOOKUP(A209,#REF!,14,0)</f>
        <v>#REF!</v>
      </c>
      <c r="R209">
        <v>0.73596688909110375</v>
      </c>
      <c r="S209">
        <v>-0.19695603717272031</v>
      </c>
      <c r="T209" s="31" t="str">
        <f>VLOOKUP(C209,V:W,2,0)</f>
        <v>UK</v>
      </c>
      <c r="U209" t="str">
        <f t="shared" si="23"/>
        <v/>
      </c>
    </row>
    <row r="210" spans="1:21" x14ac:dyDescent="0.25">
      <c r="A210" s="31" t="s">
        <v>944</v>
      </c>
      <c r="B210" s="31" t="s">
        <v>1740</v>
      </c>
      <c r="C210" s="31" t="s">
        <v>1217</v>
      </c>
      <c r="D210" s="31">
        <f>IFERROR(ROUND(VLOOKUP(A210,institutions!A:E,4,0),2),"")</f>
        <v>2.17</v>
      </c>
      <c r="E210" s="31">
        <f>IFERROR(ROUND(VLOOKUP(A210,institutions!A:X,7,0),2),"")</f>
        <v>2.09</v>
      </c>
      <c r="F210" s="31">
        <f>IFERROR(ROUND(VLOOKUP(A210,institutions!A:X,10,0),2),"")</f>
        <v>2.77</v>
      </c>
      <c r="G210" s="31">
        <f>IFERROR(ROUND(VLOOKUP(A210,institutions!A:X,13,0),2),"")</f>
        <v>2.08</v>
      </c>
      <c r="H210" s="31">
        <f>IFERROR(ROUND(VLOOKUP(A210,institutions!A:X,16,0),2),"")</f>
        <v>2.79</v>
      </c>
      <c r="I210" s="31">
        <f t="shared" si="18"/>
        <v>0.65800000000000003</v>
      </c>
      <c r="J210" s="31">
        <f t="shared" si="19"/>
        <v>0.78700000000000003</v>
      </c>
      <c r="K210" s="31">
        <f t="shared" si="20"/>
        <v>0.87</v>
      </c>
      <c r="L210" s="31">
        <f t="shared" si="21"/>
        <v>0.502</v>
      </c>
      <c r="M210" s="31">
        <f t="shared" si="22"/>
        <v>0.63800000000000001</v>
      </c>
      <c r="N210" t="e">
        <f>VLOOKUP(A210,#REF!,11,0)</f>
        <v>#REF!</v>
      </c>
      <c r="O210" t="e">
        <f>VLOOKUP(A210,#REF!,12,0)</f>
        <v>#REF!</v>
      </c>
      <c r="P210" t="e">
        <f>VLOOKUP(A210,#REF!,13,0)</f>
        <v>#REF!</v>
      </c>
      <c r="Q210" t="e">
        <f>VLOOKUP(A210,#REF!,14,0)</f>
        <v>#REF!</v>
      </c>
      <c r="R210">
        <v>1.3289250111675559</v>
      </c>
      <c r="S210">
        <v>0.92128970818957212</v>
      </c>
      <c r="T210" s="31" t="str">
        <f>VLOOKUP(C210,V:W,2,0)</f>
        <v>USA</v>
      </c>
      <c r="U210" t="str">
        <f t="shared" si="23"/>
        <v/>
      </c>
    </row>
    <row r="211" spans="1:21" x14ac:dyDescent="0.25">
      <c r="A211" s="31" t="s">
        <v>786</v>
      </c>
      <c r="B211" s="31" t="s">
        <v>1716</v>
      </c>
      <c r="C211" s="31" t="s">
        <v>1217</v>
      </c>
      <c r="D211" s="31">
        <f>IFERROR(ROUND(VLOOKUP(A211,institutions!A:E,4,0),2),"")</f>
        <v>2.2200000000000002</v>
      </c>
      <c r="E211" s="31">
        <f>IFERROR(ROUND(VLOOKUP(A211,institutions!A:X,7,0),2),"")</f>
        <v>1.66</v>
      </c>
      <c r="F211" s="31">
        <f>IFERROR(ROUND(VLOOKUP(A211,institutions!A:X,10,0),2),"")</f>
        <v>2.27</v>
      </c>
      <c r="G211" s="31">
        <f>IFERROR(ROUND(VLOOKUP(A211,institutions!A:X,13,0),2),"")</f>
        <v>2.99</v>
      </c>
      <c r="H211" s="31">
        <f>IFERROR(ROUND(VLOOKUP(A211,institutions!A:X,16,0),2),"")</f>
        <v>3.47</v>
      </c>
      <c r="I211" s="31">
        <f t="shared" si="18"/>
        <v>0.68300000000000005</v>
      </c>
      <c r="J211" s="31">
        <f t="shared" si="19"/>
        <v>0.61199999999999999</v>
      </c>
      <c r="K211" s="31">
        <f t="shared" si="20"/>
        <v>0.79500000000000004</v>
      </c>
      <c r="L211" s="31">
        <f t="shared" si="21"/>
        <v>0.81200000000000006</v>
      </c>
      <c r="M211" s="31">
        <f t="shared" si="22"/>
        <v>0.78700000000000003</v>
      </c>
      <c r="N211" t="e">
        <f>VLOOKUP(A211,#REF!,11,0)</f>
        <v>#REF!</v>
      </c>
      <c r="O211" t="e">
        <f>VLOOKUP(A211,#REF!,12,0)</f>
        <v>#REF!</v>
      </c>
      <c r="P211" t="e">
        <f>VLOOKUP(A211,#REF!,13,0)</f>
        <v>#REF!</v>
      </c>
      <c r="Q211" t="e">
        <f>VLOOKUP(A211,#REF!,14,0)</f>
        <v>#REF!</v>
      </c>
      <c r="R211">
        <v>1.743171350077843</v>
      </c>
      <c r="S211">
        <v>-0.31435352301002539</v>
      </c>
      <c r="T211" s="31" t="str">
        <f>VLOOKUP(C211,V:W,2,0)</f>
        <v>USA</v>
      </c>
      <c r="U211" t="str">
        <f t="shared" si="23"/>
        <v/>
      </c>
    </row>
    <row r="212" spans="1:21" x14ac:dyDescent="0.25">
      <c r="A212" s="31" t="s">
        <v>905</v>
      </c>
      <c r="B212" s="31" t="s">
        <v>1739</v>
      </c>
      <c r="C212" s="31" t="s">
        <v>1237</v>
      </c>
      <c r="D212" s="31">
        <f>IFERROR(ROUND(VLOOKUP(A212,institutions!A:E,4,0),2),"")</f>
        <v>2.11</v>
      </c>
      <c r="E212" s="31">
        <f>IFERROR(ROUND(VLOOKUP(A212,institutions!A:X,7,0),2),"")</f>
        <v>2.2799999999999998</v>
      </c>
      <c r="F212" s="31">
        <f>IFERROR(ROUND(VLOOKUP(A212,institutions!A:X,10,0),2),"")</f>
        <v>1.81</v>
      </c>
      <c r="G212" s="31">
        <f>IFERROR(ROUND(VLOOKUP(A212,institutions!A:X,13,0),2),"")</f>
        <v>1.96</v>
      </c>
      <c r="H212" s="31">
        <f>IFERROR(ROUND(VLOOKUP(A212,institutions!A:X,16,0),2),"")</f>
        <v>2.42</v>
      </c>
      <c r="I212" s="31">
        <f t="shared" si="18"/>
        <v>0.625</v>
      </c>
      <c r="J212" s="31">
        <f t="shared" si="19"/>
        <v>0.83699999999999997</v>
      </c>
      <c r="K212" s="31">
        <f t="shared" si="20"/>
        <v>0.68200000000000005</v>
      </c>
      <c r="L212" s="31">
        <f t="shared" si="21"/>
        <v>0.45</v>
      </c>
      <c r="M212" s="31">
        <f t="shared" si="22"/>
        <v>0.50800000000000001</v>
      </c>
      <c r="N212" t="e">
        <f>VLOOKUP(A212,#REF!,11,0)</f>
        <v>#REF!</v>
      </c>
      <c r="O212" t="e">
        <f>VLOOKUP(A212,#REF!,12,0)</f>
        <v>#REF!</v>
      </c>
      <c r="P212" t="e">
        <f>VLOOKUP(A212,#REF!,13,0)</f>
        <v>#REF!</v>
      </c>
      <c r="Q212" t="e">
        <f>VLOOKUP(A212,#REF!,14,0)</f>
        <v>#REF!</v>
      </c>
      <c r="R212">
        <v>0.7601610600254588</v>
      </c>
      <c r="S212">
        <v>1.047326777236391</v>
      </c>
      <c r="T212" s="31" t="str">
        <f>VLOOKUP(C212,V:W,2,0)</f>
        <v>AUS</v>
      </c>
      <c r="U212" t="str">
        <f t="shared" si="23"/>
        <v/>
      </c>
    </row>
    <row r="213" spans="1:21" x14ac:dyDescent="0.25">
      <c r="A213" s="31" t="s">
        <v>1053</v>
      </c>
      <c r="B213" s="31" t="s">
        <v>1053</v>
      </c>
      <c r="C213" s="31" t="s">
        <v>1217</v>
      </c>
      <c r="D213" s="31">
        <f>IFERROR(ROUND(VLOOKUP(A213,institutions!A:E,4,0),2),"")</f>
        <v>2.0699999999999998</v>
      </c>
      <c r="E213" s="31">
        <f>IFERROR(ROUND(VLOOKUP(A213,institutions!A:X,7,0),2),"")</f>
        <v>2.0699999999999998</v>
      </c>
      <c r="F213" s="31">
        <f>IFERROR(ROUND(VLOOKUP(A213,institutions!A:X,10,0),2),"")</f>
        <v>1.36</v>
      </c>
      <c r="G213" s="31" t="str">
        <f>IFERROR(ROUND(VLOOKUP(A213,institutions!A:X,13,0),2),"")</f>
        <v/>
      </c>
      <c r="H213" s="31" t="str">
        <f>IFERROR(ROUND(VLOOKUP(A213,institutions!A:X,16,0),2),"")</f>
        <v/>
      </c>
      <c r="I213" s="31">
        <f t="shared" si="18"/>
        <v>0.6</v>
      </c>
      <c r="J213" s="31">
        <f t="shared" si="19"/>
        <v>0.78500000000000003</v>
      </c>
      <c r="K213" s="31">
        <f t="shared" si="20"/>
        <v>0.41199999999999998</v>
      </c>
      <c r="L213" s="31">
        <f t="shared" si="21"/>
        <v>0</v>
      </c>
      <c r="M213" s="31">
        <f t="shared" si="22"/>
        <v>0</v>
      </c>
      <c r="N213" t="e">
        <f>VLOOKUP(A213,#REF!,11,0)</f>
        <v>#REF!</v>
      </c>
      <c r="O213" t="e">
        <f>VLOOKUP(A213,#REF!,12,0)</f>
        <v>#REF!</v>
      </c>
      <c r="P213" t="e">
        <f>VLOOKUP(A213,#REF!,13,0)</f>
        <v>#REF!</v>
      </c>
      <c r="Q213" t="e">
        <f>VLOOKUP(A213,#REF!,14,0)</f>
        <v>#REF!</v>
      </c>
      <c r="R213">
        <v>-1.504873523038236</v>
      </c>
      <c r="S213">
        <v>2.0988934266674981</v>
      </c>
      <c r="T213" s="31" t="str">
        <f>VLOOKUP(C213,V:W,2,0)</f>
        <v>USA</v>
      </c>
      <c r="U213" t="str">
        <f t="shared" si="23"/>
        <v/>
      </c>
    </row>
    <row r="214" spans="1:21" x14ac:dyDescent="0.25">
      <c r="A214" s="31" t="s">
        <v>743</v>
      </c>
      <c r="B214" s="31" t="s">
        <v>1894</v>
      </c>
      <c r="C214" s="31" t="s">
        <v>1218</v>
      </c>
      <c r="D214" s="31">
        <f>IFERROR(ROUND(VLOOKUP(A214,institutions!A:E,4,0),2),"")</f>
        <v>2.23</v>
      </c>
      <c r="E214" s="31">
        <f>IFERROR(ROUND(VLOOKUP(A214,institutions!A:X,7,0),2),"")</f>
        <v>1.52</v>
      </c>
      <c r="F214" s="31">
        <f>IFERROR(ROUND(VLOOKUP(A214,institutions!A:X,10,0),2),"")</f>
        <v>1.36</v>
      </c>
      <c r="G214" s="31">
        <f>IFERROR(ROUND(VLOOKUP(A214,institutions!A:X,13,0),2),"")</f>
        <v>2.44</v>
      </c>
      <c r="H214" s="31">
        <f>IFERROR(ROUND(VLOOKUP(A214,institutions!A:X,16,0),2),"")</f>
        <v>3.38</v>
      </c>
      <c r="I214" s="31">
        <f t="shared" si="18"/>
        <v>0.68500000000000005</v>
      </c>
      <c r="J214" s="31">
        <f t="shared" si="19"/>
        <v>0.52</v>
      </c>
      <c r="K214" s="31">
        <f t="shared" si="20"/>
        <v>0.41199999999999998</v>
      </c>
      <c r="L214" s="31">
        <f t="shared" si="21"/>
        <v>0.65800000000000003</v>
      </c>
      <c r="M214" s="31">
        <f t="shared" si="22"/>
        <v>0.76700000000000002</v>
      </c>
      <c r="N214" t="e">
        <f>VLOOKUP(A214,#REF!,11,0)</f>
        <v>#REF!</v>
      </c>
      <c r="O214" t="e">
        <f>VLOOKUP(A214,#REF!,12,0)</f>
        <v>#REF!</v>
      </c>
      <c r="P214" t="e">
        <f>VLOOKUP(A214,#REF!,13,0)</f>
        <v>#REF!</v>
      </c>
      <c r="Q214" t="e">
        <f>VLOOKUP(A214,#REF!,14,0)</f>
        <v>#REF!</v>
      </c>
      <c r="R214">
        <v>0.63065956998956574</v>
      </c>
      <c r="S214">
        <v>-0.77981158172603271</v>
      </c>
      <c r="T214" s="31" t="str">
        <f>VLOOKUP(C214,V:W,2,0)</f>
        <v>FRA</v>
      </c>
      <c r="U214" t="str">
        <f t="shared" si="23"/>
        <v>emlyon BS</v>
      </c>
    </row>
    <row r="215" spans="1:21" x14ac:dyDescent="0.25">
      <c r="A215" s="31" t="s">
        <v>761</v>
      </c>
      <c r="B215" s="31" t="s">
        <v>1576</v>
      </c>
      <c r="C215" s="31" t="s">
        <v>1216</v>
      </c>
      <c r="D215" s="31">
        <f>IFERROR(ROUND(VLOOKUP(A215,institutions!A:E,4,0),2),"")</f>
        <v>2.16</v>
      </c>
      <c r="E215" s="31">
        <f>IFERROR(ROUND(VLOOKUP(A215,institutions!A:X,7,0),2),"")</f>
        <v>1.46</v>
      </c>
      <c r="F215" s="31">
        <f>IFERROR(ROUND(VLOOKUP(A215,institutions!A:X,10,0),2),"")</f>
        <v>1.53</v>
      </c>
      <c r="G215" s="31">
        <f>IFERROR(ROUND(VLOOKUP(A215,institutions!A:X,13,0),2),"")</f>
        <v>2.37</v>
      </c>
      <c r="H215" s="31">
        <f>IFERROR(ROUND(VLOOKUP(A215,institutions!A:X,16,0),2),"")</f>
        <v>3.36</v>
      </c>
      <c r="I215" s="31">
        <f t="shared" si="18"/>
        <v>0.65500000000000003</v>
      </c>
      <c r="J215" s="31">
        <f t="shared" si="19"/>
        <v>0.46800000000000003</v>
      </c>
      <c r="K215" s="31">
        <f t="shared" si="20"/>
        <v>0.55200000000000005</v>
      </c>
      <c r="L215" s="31">
        <f t="shared" si="21"/>
        <v>0.622</v>
      </c>
      <c r="M215" s="31">
        <f t="shared" si="22"/>
        <v>0.753</v>
      </c>
      <c r="N215" t="e">
        <f>VLOOKUP(A215,#REF!,11,0)</f>
        <v>#REF!</v>
      </c>
      <c r="O215" t="e">
        <f>VLOOKUP(A215,#REF!,12,0)</f>
        <v>#REF!</v>
      </c>
      <c r="P215" t="e">
        <f>VLOOKUP(A215,#REF!,13,0)</f>
        <v>#REF!</v>
      </c>
      <c r="Q215" t="e">
        <f>VLOOKUP(A215,#REF!,14,0)</f>
        <v>#REF!</v>
      </c>
      <c r="R215">
        <v>0.6971076500061707</v>
      </c>
      <c r="S215">
        <v>-0.60494941273307046</v>
      </c>
      <c r="T215" s="31" t="str">
        <f>VLOOKUP(C215,V:W,2,0)</f>
        <v>UK</v>
      </c>
      <c r="U215" t="str">
        <f t="shared" si="23"/>
        <v/>
      </c>
    </row>
    <row r="216" spans="1:21" x14ac:dyDescent="0.25">
      <c r="A216" s="31" t="s">
        <v>820</v>
      </c>
      <c r="B216" s="31" t="s">
        <v>1929</v>
      </c>
      <c r="C216" s="31" t="s">
        <v>1240</v>
      </c>
      <c r="D216" s="31">
        <f>IFERROR(ROUND(VLOOKUP(A216,institutions!A:E,4,0),2),"")</f>
        <v>2.2400000000000002</v>
      </c>
      <c r="E216" s="31">
        <f>IFERROR(ROUND(VLOOKUP(A216,institutions!A:X,7,0),2),"")</f>
        <v>1.82</v>
      </c>
      <c r="F216" s="31">
        <f>IFERROR(ROUND(VLOOKUP(A216,institutions!A:X,10,0),2),"")</f>
        <v>2.0699999999999998</v>
      </c>
      <c r="G216" s="31">
        <f>IFERROR(ROUND(VLOOKUP(A216,institutions!A:X,13,0),2),"")</f>
        <v>3.33</v>
      </c>
      <c r="H216" s="31">
        <f>IFERROR(ROUND(VLOOKUP(A216,institutions!A:X,16,0),2),"")</f>
        <v>3.7</v>
      </c>
      <c r="I216" s="31">
        <f t="shared" si="18"/>
        <v>0.69499999999999995</v>
      </c>
      <c r="J216" s="31">
        <f t="shared" si="19"/>
        <v>0.69199999999999995</v>
      </c>
      <c r="K216" s="31">
        <f t="shared" si="20"/>
        <v>0.76200000000000001</v>
      </c>
      <c r="L216" s="31">
        <f t="shared" si="21"/>
        <v>0.86699999999999999</v>
      </c>
      <c r="M216" s="31">
        <f t="shared" si="22"/>
        <v>0.83499999999999996</v>
      </c>
      <c r="N216" t="e">
        <f>VLOOKUP(A216,#REF!,11,0)</f>
        <v>#REF!</v>
      </c>
      <c r="O216" t="e">
        <f>VLOOKUP(A216,#REF!,12,0)</f>
        <v>#REF!</v>
      </c>
      <c r="P216" t="e">
        <f>VLOOKUP(A216,#REF!,13,0)</f>
        <v>#REF!</v>
      </c>
      <c r="Q216" t="e">
        <f>VLOOKUP(A216,#REF!,14,0)</f>
        <v>#REF!</v>
      </c>
      <c r="R216">
        <v>1.999637060223793</v>
      </c>
      <c r="S216">
        <v>-0.35931201354743919</v>
      </c>
      <c r="T216" s="31" t="str">
        <f>VLOOKUP(C216,V:W,2,0)</f>
        <v>AUT</v>
      </c>
      <c r="U216" t="str">
        <f t="shared" si="23"/>
        <v/>
      </c>
    </row>
    <row r="217" spans="1:21" x14ac:dyDescent="0.25">
      <c r="A217" s="31" t="s">
        <v>864</v>
      </c>
      <c r="B217" s="31" t="s">
        <v>2051</v>
      </c>
      <c r="C217" s="31" t="s">
        <v>1220</v>
      </c>
      <c r="D217" s="31">
        <f>IFERROR(ROUND(VLOOKUP(A217,institutions!A:E,4,0),2),"")</f>
        <v>2.2200000000000002</v>
      </c>
      <c r="E217" s="31">
        <f>IFERROR(ROUND(VLOOKUP(A217,institutions!A:X,7,0),2),"")</f>
        <v>2.02</v>
      </c>
      <c r="F217" s="31">
        <f>IFERROR(ROUND(VLOOKUP(A217,institutions!A:X,10,0),2),"")</f>
        <v>1.32</v>
      </c>
      <c r="G217" s="31">
        <f>IFERROR(ROUND(VLOOKUP(A217,institutions!A:X,13,0),2),"")</f>
        <v>3.2</v>
      </c>
      <c r="H217" s="31">
        <f>IFERROR(ROUND(VLOOKUP(A217,institutions!A:X,16,0),2),"")</f>
        <v>3.01</v>
      </c>
      <c r="I217" s="31">
        <f t="shared" si="18"/>
        <v>0.68300000000000005</v>
      </c>
      <c r="J217" s="31">
        <f t="shared" si="19"/>
        <v>0.76300000000000001</v>
      </c>
      <c r="K217" s="31">
        <f t="shared" si="20"/>
        <v>0.36499999999999999</v>
      </c>
      <c r="L217" s="31">
        <f t="shared" si="21"/>
        <v>0.84699999999999998</v>
      </c>
      <c r="M217" s="31">
        <f t="shared" si="22"/>
        <v>0.68500000000000005</v>
      </c>
      <c r="N217" t="e">
        <f>VLOOKUP(A217,#REF!,11,0)</f>
        <v>#REF!</v>
      </c>
      <c r="O217" t="e">
        <f>VLOOKUP(A217,#REF!,12,0)</f>
        <v>#REF!</v>
      </c>
      <c r="P217" t="e">
        <f>VLOOKUP(A217,#REF!,13,0)</f>
        <v>#REF!</v>
      </c>
      <c r="Q217" t="e">
        <f>VLOOKUP(A217,#REF!,14,0)</f>
        <v>#REF!</v>
      </c>
      <c r="R217">
        <v>1.1284046971591439</v>
      </c>
      <c r="S217">
        <v>-0.51414427023206577</v>
      </c>
      <c r="T217" s="31" t="str">
        <f>VLOOKUP(C217,V:W,2,0)</f>
        <v>SPAIN</v>
      </c>
      <c r="U217" t="str">
        <f t="shared" si="23"/>
        <v>Auton Barcelona</v>
      </c>
    </row>
    <row r="218" spans="1:21" x14ac:dyDescent="0.25">
      <c r="A218" s="31" t="s">
        <v>718</v>
      </c>
      <c r="B218" s="31" t="s">
        <v>1559</v>
      </c>
      <c r="C218" s="31" t="s">
        <v>1229</v>
      </c>
      <c r="D218" s="31">
        <f>IFERROR(ROUND(VLOOKUP(A218,institutions!A:E,4,0),2),"")</f>
        <v>2.12</v>
      </c>
      <c r="E218" s="31" t="str">
        <f>IFERROR(ROUND(VLOOKUP(A218,institutions!A:X,7,0),2),"")</f>
        <v/>
      </c>
      <c r="F218" s="31" t="str">
        <f>IFERROR(ROUND(VLOOKUP(A218,institutions!A:X,10,0),2),"")</f>
        <v/>
      </c>
      <c r="G218" s="31">
        <f>IFERROR(ROUND(VLOOKUP(A218,institutions!A:X,13,0),2),"")</f>
        <v>2.52</v>
      </c>
      <c r="H218" s="31">
        <f>IFERROR(ROUND(VLOOKUP(A218,institutions!A:X,16,0),2),"")</f>
        <v>3.22</v>
      </c>
      <c r="I218" s="31">
        <f t="shared" si="18"/>
        <v>0.63</v>
      </c>
      <c r="J218" s="31">
        <f t="shared" si="19"/>
        <v>0</v>
      </c>
      <c r="K218" s="31">
        <f t="shared" si="20"/>
        <v>0</v>
      </c>
      <c r="L218" s="31">
        <f t="shared" si="21"/>
        <v>0.7</v>
      </c>
      <c r="M218" s="31">
        <f t="shared" si="22"/>
        <v>0.72499999999999998</v>
      </c>
      <c r="N218" t="e">
        <f>VLOOKUP(A218,#REF!,11,0)</f>
        <v>#REF!</v>
      </c>
      <c r="O218" t="e">
        <f>VLOOKUP(A218,#REF!,12,0)</f>
        <v>#REF!</v>
      </c>
      <c r="P218" t="e">
        <f>VLOOKUP(A218,#REF!,13,0)</f>
        <v>#REF!</v>
      </c>
      <c r="Q218" t="e">
        <f>VLOOKUP(A218,#REF!,14,0)</f>
        <v>#REF!</v>
      </c>
      <c r="R218">
        <v>-0.90608211788066129</v>
      </c>
      <c r="S218">
        <v>-2.4930649651392969</v>
      </c>
      <c r="T218" s="31" t="str">
        <f>VLOOKUP(C218,V:W,2,0)</f>
        <v>SWE</v>
      </c>
      <c r="U218" t="str">
        <f t="shared" si="23"/>
        <v/>
      </c>
    </row>
    <row r="219" spans="1:21" x14ac:dyDescent="0.25">
      <c r="A219" s="31" t="s">
        <v>721</v>
      </c>
      <c r="B219" s="31" t="s">
        <v>1896</v>
      </c>
      <c r="C219" s="31" t="s">
        <v>1218</v>
      </c>
      <c r="D219" s="31">
        <f>IFERROR(ROUND(VLOOKUP(A219,institutions!A:E,4,0),2),"")</f>
        <v>2.21</v>
      </c>
      <c r="E219" s="31">
        <f>IFERROR(ROUND(VLOOKUP(A219,institutions!A:X,7,0),2),"")</f>
        <v>1.55</v>
      </c>
      <c r="F219" s="31" t="str">
        <f>IFERROR(ROUND(VLOOKUP(A219,institutions!A:X,10,0),2),"")</f>
        <v/>
      </c>
      <c r="G219" s="31">
        <f>IFERROR(ROUND(VLOOKUP(A219,institutions!A:X,13,0),2),"")</f>
        <v>2</v>
      </c>
      <c r="H219" s="31">
        <f>IFERROR(ROUND(VLOOKUP(A219,institutions!A:X,16,0),2),"")</f>
        <v>3.17</v>
      </c>
      <c r="I219" s="31">
        <f t="shared" si="18"/>
        <v>0.67200000000000004</v>
      </c>
      <c r="J219" s="31">
        <f t="shared" si="19"/>
        <v>0.54300000000000004</v>
      </c>
      <c r="K219" s="31">
        <f t="shared" si="20"/>
        <v>0</v>
      </c>
      <c r="L219" s="31">
        <f t="shared" si="21"/>
        <v>0.47199999999999998</v>
      </c>
      <c r="M219" s="31">
        <f t="shared" si="22"/>
        <v>0.71499999999999997</v>
      </c>
      <c r="N219" t="e">
        <f>VLOOKUP(A219,#REF!,11,0)</f>
        <v>#REF!</v>
      </c>
      <c r="O219" t="e">
        <f>VLOOKUP(A219,#REF!,12,0)</f>
        <v>#REF!</v>
      </c>
      <c r="P219" t="e">
        <f>VLOOKUP(A219,#REF!,13,0)</f>
        <v>#REF!</v>
      </c>
      <c r="Q219" t="e">
        <f>VLOOKUP(A219,#REF!,14,0)</f>
        <v>#REF!</v>
      </c>
      <c r="R219">
        <v>-0.46230417922236039</v>
      </c>
      <c r="S219">
        <v>-0.93783100464102609</v>
      </c>
      <c r="T219" s="31" t="str">
        <f>VLOOKUP(C219,V:W,2,0)</f>
        <v>FRA</v>
      </c>
      <c r="U219" t="str">
        <f t="shared" si="23"/>
        <v>NEOMA BS</v>
      </c>
    </row>
    <row r="220" spans="1:21" x14ac:dyDescent="0.25">
      <c r="A220" s="31" t="s">
        <v>897</v>
      </c>
      <c r="B220" s="31" t="s">
        <v>1585</v>
      </c>
      <c r="C220" s="31" t="s">
        <v>1216</v>
      </c>
      <c r="D220" s="31">
        <f>IFERROR(ROUND(VLOOKUP(A220,institutions!A:E,4,0),2),"")</f>
        <v>2.12</v>
      </c>
      <c r="E220" s="31">
        <f>IFERROR(ROUND(VLOOKUP(A220,institutions!A:X,7,0),2),"")</f>
        <v>2.21</v>
      </c>
      <c r="F220" s="31">
        <f>IFERROR(ROUND(VLOOKUP(A220,institutions!A:X,10,0),2),"")</f>
        <v>1.51</v>
      </c>
      <c r="G220" s="31">
        <f>IFERROR(ROUND(VLOOKUP(A220,institutions!A:X,13,0),2),"")</f>
        <v>1.77</v>
      </c>
      <c r="H220" s="31">
        <f>IFERROR(ROUND(VLOOKUP(A220,institutions!A:X,16,0),2),"")</f>
        <v>2.23</v>
      </c>
      <c r="I220" s="31">
        <f t="shared" si="18"/>
        <v>0.63</v>
      </c>
      <c r="J220" s="31">
        <f t="shared" si="19"/>
        <v>0.82</v>
      </c>
      <c r="K220" s="31">
        <f t="shared" si="20"/>
        <v>0.53300000000000003</v>
      </c>
      <c r="L220" s="31">
        <f t="shared" si="21"/>
        <v>0.35</v>
      </c>
      <c r="M220" s="31">
        <f t="shared" si="22"/>
        <v>0.432</v>
      </c>
      <c r="N220" t="e">
        <f>VLOOKUP(A220,#REF!,11,0)</f>
        <v>#REF!</v>
      </c>
      <c r="O220" t="e">
        <f>VLOOKUP(A220,#REF!,12,0)</f>
        <v>#REF!</v>
      </c>
      <c r="P220" t="e">
        <f>VLOOKUP(A220,#REF!,13,0)</f>
        <v>#REF!</v>
      </c>
      <c r="Q220" t="e">
        <f>VLOOKUP(A220,#REF!,14,0)</f>
        <v>#REF!</v>
      </c>
      <c r="R220">
        <v>0.16267423662659841</v>
      </c>
      <c r="S220">
        <v>1.08136819980774</v>
      </c>
      <c r="T220" s="31" t="str">
        <f>VLOOKUP(C220,V:W,2,0)</f>
        <v>UK</v>
      </c>
      <c r="U220" t="str">
        <f t="shared" si="23"/>
        <v/>
      </c>
    </row>
    <row r="221" spans="1:21" x14ac:dyDescent="0.25">
      <c r="A221" s="31" t="s">
        <v>738</v>
      </c>
      <c r="B221" s="31" t="s">
        <v>1727</v>
      </c>
      <c r="C221" s="31" t="s">
        <v>1217</v>
      </c>
      <c r="D221" s="31">
        <f>IFERROR(ROUND(VLOOKUP(A221,institutions!A:E,4,0),2),"")</f>
        <v>2.13</v>
      </c>
      <c r="E221" s="31">
        <f>IFERROR(ROUND(VLOOKUP(A221,institutions!A:X,7,0),2),"")</f>
        <v>1.26</v>
      </c>
      <c r="F221" s="31">
        <f>IFERROR(ROUND(VLOOKUP(A221,institutions!A:X,10,0),2),"")</f>
        <v>1.51</v>
      </c>
      <c r="G221" s="31">
        <f>IFERROR(ROUND(VLOOKUP(A221,institutions!A:X,13,0),2),"")</f>
        <v>2.64</v>
      </c>
      <c r="H221" s="31">
        <f>IFERROR(ROUND(VLOOKUP(A221,institutions!A:X,16,0),2),"")</f>
        <v>2.4900000000000002</v>
      </c>
      <c r="I221" s="31">
        <f t="shared" si="18"/>
        <v>0.63700000000000001</v>
      </c>
      <c r="J221" s="31">
        <f t="shared" si="19"/>
        <v>0.22800000000000001</v>
      </c>
      <c r="K221" s="31">
        <f t="shared" si="20"/>
        <v>0.53300000000000003</v>
      </c>
      <c r="L221" s="31">
        <f t="shared" si="21"/>
        <v>0.72499999999999998</v>
      </c>
      <c r="M221" s="31">
        <f t="shared" si="22"/>
        <v>0.54500000000000004</v>
      </c>
      <c r="N221" t="e">
        <f>VLOOKUP(A221,#REF!,11,0)</f>
        <v>#REF!</v>
      </c>
      <c r="O221" t="e">
        <f>VLOOKUP(A221,#REF!,12,0)</f>
        <v>#REF!</v>
      </c>
      <c r="P221" t="e">
        <f>VLOOKUP(A221,#REF!,13,0)</f>
        <v>#REF!</v>
      </c>
      <c r="Q221" t="e">
        <f>VLOOKUP(A221,#REF!,14,0)</f>
        <v>#REF!</v>
      </c>
      <c r="R221">
        <v>8.8873247998681085E-2</v>
      </c>
      <c r="S221">
        <v>-0.9867842026615038</v>
      </c>
      <c r="T221" s="31" t="str">
        <f>VLOOKUP(C221,V:W,2,0)</f>
        <v>USA</v>
      </c>
      <c r="U221" t="str">
        <f t="shared" si="23"/>
        <v/>
      </c>
    </row>
    <row r="222" spans="1:21" x14ac:dyDescent="0.25">
      <c r="A222" s="31" t="s">
        <v>824</v>
      </c>
      <c r="B222" s="31" t="s">
        <v>1737</v>
      </c>
      <c r="C222" s="31" t="s">
        <v>1233</v>
      </c>
      <c r="D222" s="31">
        <f>IFERROR(ROUND(VLOOKUP(A222,institutions!A:E,4,0),2),"")</f>
        <v>2.1</v>
      </c>
      <c r="E222" s="31">
        <f>IFERROR(ROUND(VLOOKUP(A222,institutions!A:X,7,0),2),"")</f>
        <v>1.54</v>
      </c>
      <c r="F222" s="31">
        <f>IFERROR(ROUND(VLOOKUP(A222,institutions!A:X,10,0),2),"")</f>
        <v>1.85</v>
      </c>
      <c r="G222" s="31">
        <f>IFERROR(ROUND(VLOOKUP(A222,institutions!A:X,13,0),2),"")</f>
        <v>3.43</v>
      </c>
      <c r="H222" s="31">
        <f>IFERROR(ROUND(VLOOKUP(A222,institutions!A:X,16,0),2),"")</f>
        <v>2.48</v>
      </c>
      <c r="I222" s="31">
        <f t="shared" si="18"/>
        <v>0.61699999999999999</v>
      </c>
      <c r="J222" s="31">
        <f t="shared" si="19"/>
        <v>0.53300000000000003</v>
      </c>
      <c r="K222" s="31">
        <f t="shared" si="20"/>
        <v>0.69199999999999995</v>
      </c>
      <c r="L222" s="31">
        <f t="shared" si="21"/>
        <v>0.88300000000000001</v>
      </c>
      <c r="M222" s="31">
        <f t="shared" si="22"/>
        <v>0.53800000000000003</v>
      </c>
      <c r="N222" t="e">
        <f>VLOOKUP(A222,#REF!,11,0)</f>
        <v>#REF!</v>
      </c>
      <c r="O222" t="e">
        <f>VLOOKUP(A222,#REF!,12,0)</f>
        <v>#REF!</v>
      </c>
      <c r="P222" t="e">
        <f>VLOOKUP(A222,#REF!,13,0)</f>
        <v>#REF!</v>
      </c>
      <c r="Q222" t="e">
        <f>VLOOKUP(A222,#REF!,14,0)</f>
        <v>#REF!</v>
      </c>
      <c r="R222">
        <v>1.117865885431536</v>
      </c>
      <c r="S222">
        <v>-0.35627941620150838</v>
      </c>
      <c r="T222" s="31" t="str">
        <f>VLOOKUP(C222,V:W,2,0)</f>
        <v>NED</v>
      </c>
      <c r="U222" t="str">
        <f t="shared" si="23"/>
        <v/>
      </c>
    </row>
    <row r="223" spans="1:21" x14ac:dyDescent="0.25">
      <c r="A223" s="31" t="s">
        <v>848</v>
      </c>
      <c r="B223" s="31" t="s">
        <v>1590</v>
      </c>
      <c r="C223" s="31" t="s">
        <v>1216</v>
      </c>
      <c r="D223" s="31">
        <f>IFERROR(ROUND(VLOOKUP(A223,institutions!A:E,4,0),2),"")</f>
        <v>2.19</v>
      </c>
      <c r="E223" s="31">
        <f>IFERROR(ROUND(VLOOKUP(A223,institutions!A:X,7,0),2),"")</f>
        <v>1.95</v>
      </c>
      <c r="F223" s="31">
        <f>IFERROR(ROUND(VLOOKUP(A223,institutions!A:X,10,0),2),"")</f>
        <v>1.33</v>
      </c>
      <c r="G223" s="31">
        <f>IFERROR(ROUND(VLOOKUP(A223,institutions!A:X,13,0),2),"")</f>
        <v>2.78</v>
      </c>
      <c r="H223" s="31">
        <f>IFERROR(ROUND(VLOOKUP(A223,institutions!A:X,16,0),2),"")</f>
        <v>2.97</v>
      </c>
      <c r="I223" s="31">
        <f t="shared" si="18"/>
        <v>0.66700000000000004</v>
      </c>
      <c r="J223" s="31">
        <f t="shared" si="19"/>
        <v>0.73799999999999999</v>
      </c>
      <c r="K223" s="31">
        <f t="shared" si="20"/>
        <v>0.38200000000000001</v>
      </c>
      <c r="L223" s="31">
        <f t="shared" si="21"/>
        <v>0.76800000000000002</v>
      </c>
      <c r="M223" s="31">
        <f t="shared" si="22"/>
        <v>0.68200000000000005</v>
      </c>
      <c r="N223" t="e">
        <f>VLOOKUP(A223,#REF!,11,0)</f>
        <v>#REF!</v>
      </c>
      <c r="O223" t="e">
        <f>VLOOKUP(A223,#REF!,12,0)</f>
        <v>#REF!</v>
      </c>
      <c r="P223" t="e">
        <f>VLOOKUP(A223,#REF!,13,0)</f>
        <v>#REF!</v>
      </c>
      <c r="Q223" t="e">
        <f>VLOOKUP(A223,#REF!,14,0)</f>
        <v>#REF!</v>
      </c>
      <c r="R223">
        <v>0.97102993488991252</v>
      </c>
      <c r="S223">
        <v>-0.4064104656284005</v>
      </c>
      <c r="T223" s="31" t="str">
        <f>VLOOKUP(C223,V:W,2,0)</f>
        <v>UK</v>
      </c>
      <c r="U223" t="str">
        <f t="shared" si="23"/>
        <v/>
      </c>
    </row>
    <row r="224" spans="1:21" x14ac:dyDescent="0.25">
      <c r="A224" s="31" t="s">
        <v>765</v>
      </c>
      <c r="B224" s="31" t="s">
        <v>2085</v>
      </c>
      <c r="C224" s="31" t="s">
        <v>1217</v>
      </c>
      <c r="D224" s="31">
        <f>IFERROR(ROUND(VLOOKUP(A224,institutions!A:E,4,0),2),"")</f>
        <v>2.15</v>
      </c>
      <c r="E224" s="31">
        <f>IFERROR(ROUND(VLOOKUP(A224,institutions!A:X,7,0),2),"")</f>
        <v>1.83</v>
      </c>
      <c r="F224" s="31">
        <f>IFERROR(ROUND(VLOOKUP(A224,institutions!A:X,10,0),2),"")</f>
        <v>1.52</v>
      </c>
      <c r="G224" s="31">
        <f>IFERROR(ROUND(VLOOKUP(A224,institutions!A:X,13,0),2),"")</f>
        <v>2.33</v>
      </c>
      <c r="H224" s="31">
        <f>IFERROR(ROUND(VLOOKUP(A224,institutions!A:X,16,0),2),"")</f>
        <v>2.68</v>
      </c>
      <c r="I224" s="31">
        <f t="shared" si="18"/>
        <v>0.64500000000000002</v>
      </c>
      <c r="J224" s="31">
        <f t="shared" si="19"/>
        <v>0.69699999999999995</v>
      </c>
      <c r="K224" s="31">
        <f t="shared" si="20"/>
        <v>0.54300000000000004</v>
      </c>
      <c r="L224" s="31">
        <f t="shared" si="21"/>
        <v>0.60499999999999998</v>
      </c>
      <c r="M224" s="31">
        <f t="shared" si="22"/>
        <v>0.60499999999999998</v>
      </c>
      <c r="N224" t="e">
        <f>VLOOKUP(A224,#REF!,11,0)</f>
        <v>#REF!</v>
      </c>
      <c r="O224" t="e">
        <f>VLOOKUP(A224,#REF!,12,0)</f>
        <v>#REF!</v>
      </c>
      <c r="P224" t="e">
        <f>VLOOKUP(A224,#REF!,13,0)</f>
        <v>#REF!</v>
      </c>
      <c r="Q224" t="e">
        <f>VLOOKUP(A224,#REF!,14,0)</f>
        <v>#REF!</v>
      </c>
      <c r="R224">
        <v>0.75051139110133114</v>
      </c>
      <c r="S224">
        <v>0.13401783845649839</v>
      </c>
      <c r="T224" s="31" t="str">
        <f>VLOOKUP(C224,V:W,2,0)</f>
        <v>USA</v>
      </c>
      <c r="U224" t="str">
        <f t="shared" si="23"/>
        <v/>
      </c>
    </row>
    <row r="225" spans="1:21" x14ac:dyDescent="0.25">
      <c r="A225" s="31" t="s">
        <v>877</v>
      </c>
      <c r="B225" s="31" t="s">
        <v>1564</v>
      </c>
      <c r="C225" s="31" t="s">
        <v>1234</v>
      </c>
      <c r="D225" s="31">
        <f>IFERROR(ROUND(VLOOKUP(A225,institutions!A:E,4,0),2),"")</f>
        <v>2.16</v>
      </c>
      <c r="E225" s="31">
        <f>IFERROR(ROUND(VLOOKUP(A225,institutions!A:X,7,0),2),"")</f>
        <v>1.81</v>
      </c>
      <c r="F225" s="31">
        <f>IFERROR(ROUND(VLOOKUP(A225,institutions!A:X,10,0),2),"")</f>
        <v>1.86</v>
      </c>
      <c r="G225" s="31">
        <f>IFERROR(ROUND(VLOOKUP(A225,institutions!A:X,13,0),2),"")</f>
        <v>2.08</v>
      </c>
      <c r="H225" s="31">
        <f>IFERROR(ROUND(VLOOKUP(A225,institutions!A:X,16,0),2),"")</f>
        <v>2.93</v>
      </c>
      <c r="I225" s="31">
        <f t="shared" si="18"/>
        <v>0.65500000000000003</v>
      </c>
      <c r="J225" s="31">
        <f t="shared" si="19"/>
        <v>0.68500000000000005</v>
      </c>
      <c r="K225" s="31">
        <f t="shared" si="20"/>
        <v>0.69699999999999995</v>
      </c>
      <c r="L225" s="31">
        <f t="shared" si="21"/>
        <v>0.502</v>
      </c>
      <c r="M225" s="31">
        <f t="shared" si="22"/>
        <v>0.67200000000000004</v>
      </c>
      <c r="N225" t="e">
        <f>VLOOKUP(A225,#REF!,11,0)</f>
        <v>#REF!</v>
      </c>
      <c r="O225" t="e">
        <f>VLOOKUP(A225,#REF!,12,0)</f>
        <v>#REF!</v>
      </c>
      <c r="P225" t="e">
        <f>VLOOKUP(A225,#REF!,13,0)</f>
        <v>#REF!</v>
      </c>
      <c r="Q225" t="e">
        <f>VLOOKUP(A225,#REF!,14,0)</f>
        <v>#REF!</v>
      </c>
      <c r="R225">
        <v>0.93156794378660712</v>
      </c>
      <c r="S225">
        <v>0.39782153094775458</v>
      </c>
      <c r="T225" s="31" t="str">
        <f>VLOOKUP(C225,V:W,2,0)</f>
        <v>UK</v>
      </c>
      <c r="U225" t="str">
        <f t="shared" si="23"/>
        <v/>
      </c>
    </row>
    <row r="226" spans="1:21" x14ac:dyDescent="0.25">
      <c r="A226" s="31" t="s">
        <v>803</v>
      </c>
      <c r="B226" s="31" t="s">
        <v>1722</v>
      </c>
      <c r="C226" s="31" t="s">
        <v>1217</v>
      </c>
      <c r="D226" s="31">
        <f>IFERROR(ROUND(VLOOKUP(A226,institutions!A:E,4,0),2),"")</f>
        <v>2.11</v>
      </c>
      <c r="E226" s="31">
        <f>IFERROR(ROUND(VLOOKUP(A226,institutions!A:X,7,0),2),"")</f>
        <v>1.24</v>
      </c>
      <c r="F226" s="31">
        <f>IFERROR(ROUND(VLOOKUP(A226,institutions!A:X,10,0),2),"")</f>
        <v>2.75</v>
      </c>
      <c r="G226" s="31">
        <f>IFERROR(ROUND(VLOOKUP(A226,institutions!A:X,13,0),2),"")</f>
        <v>2.54</v>
      </c>
      <c r="H226" s="31">
        <f>IFERROR(ROUND(VLOOKUP(A226,institutions!A:X,16,0),2),"")</f>
        <v>3.44</v>
      </c>
      <c r="I226" s="31">
        <f t="shared" si="18"/>
        <v>0.625</v>
      </c>
      <c r="J226" s="31">
        <f t="shared" si="19"/>
        <v>0.2</v>
      </c>
      <c r="K226" s="31">
        <f t="shared" si="20"/>
        <v>0.86299999999999999</v>
      </c>
      <c r="L226" s="31">
        <f t="shared" si="21"/>
        <v>0.70699999999999996</v>
      </c>
      <c r="M226" s="31">
        <f t="shared" si="22"/>
        <v>0.77700000000000002</v>
      </c>
      <c r="N226" t="e">
        <f>VLOOKUP(A226,#REF!,11,0)</f>
        <v>#REF!</v>
      </c>
      <c r="O226" t="e">
        <f>VLOOKUP(A226,#REF!,12,0)</f>
        <v>#REF!</v>
      </c>
      <c r="P226" t="e">
        <f>VLOOKUP(A226,#REF!,13,0)</f>
        <v>#REF!</v>
      </c>
      <c r="Q226" t="e">
        <f>VLOOKUP(A226,#REF!,14,0)</f>
        <v>#REF!</v>
      </c>
      <c r="R226">
        <v>0.99469600252198775</v>
      </c>
      <c r="S226">
        <v>-0.90437162658588011</v>
      </c>
      <c r="T226" s="31" t="str">
        <f>VLOOKUP(C226,V:W,2,0)</f>
        <v>USA</v>
      </c>
      <c r="U226" t="str">
        <f t="shared" si="23"/>
        <v/>
      </c>
    </row>
    <row r="227" spans="1:21" x14ac:dyDescent="0.25">
      <c r="A227" s="31" t="s">
        <v>1047</v>
      </c>
      <c r="B227" s="31" t="s">
        <v>1941</v>
      </c>
      <c r="C227" s="31" t="s">
        <v>1271</v>
      </c>
      <c r="D227" s="31">
        <f>IFERROR(ROUND(VLOOKUP(A227,institutions!A:E,4,0),2),"")</f>
        <v>2.11</v>
      </c>
      <c r="E227" s="31">
        <f>IFERROR(ROUND(VLOOKUP(A227,institutions!A:X,7,0),2),"")</f>
        <v>2.0499999999999998</v>
      </c>
      <c r="F227" s="31">
        <f>IFERROR(ROUND(VLOOKUP(A227,institutions!A:X,10,0),2),"")</f>
        <v>1.39</v>
      </c>
      <c r="G227" s="31" t="str">
        <f>IFERROR(ROUND(VLOOKUP(A227,institutions!A:X,13,0),2),"")</f>
        <v/>
      </c>
      <c r="H227" s="31" t="str">
        <f>IFERROR(ROUND(VLOOKUP(A227,institutions!A:X,16,0),2),"")</f>
        <v/>
      </c>
      <c r="I227" s="31">
        <f t="shared" si="18"/>
        <v>0.625</v>
      </c>
      <c r="J227" s="31">
        <f t="shared" si="19"/>
        <v>0.77200000000000002</v>
      </c>
      <c r="K227" s="31">
        <f t="shared" si="20"/>
        <v>0.435</v>
      </c>
      <c r="L227" s="31">
        <f t="shared" si="21"/>
        <v>0</v>
      </c>
      <c r="M227" s="31">
        <f t="shared" si="22"/>
        <v>0</v>
      </c>
      <c r="N227" t="e">
        <f>VLOOKUP(A227,#REF!,11,0)</f>
        <v>#REF!</v>
      </c>
      <c r="O227" t="e">
        <f>VLOOKUP(A227,#REF!,12,0)</f>
        <v>#REF!</v>
      </c>
      <c r="P227" t="e">
        <f>VLOOKUP(A227,#REF!,13,0)</f>
        <v>#REF!</v>
      </c>
      <c r="Q227" t="e">
        <f>VLOOKUP(A227,#REF!,14,0)</f>
        <v>#REF!</v>
      </c>
      <c r="R227">
        <v>-1.486378794878378</v>
      </c>
      <c r="S227">
        <v>2.1046013174352112</v>
      </c>
      <c r="T227" s="31" t="str">
        <f>VLOOKUP(C227,V:W,2,0)</f>
        <v>DEU</v>
      </c>
      <c r="U227" t="str">
        <f t="shared" si="23"/>
        <v>DIW Berlin</v>
      </c>
    </row>
    <row r="228" spans="1:21" x14ac:dyDescent="0.25">
      <c r="A228" s="31" t="s">
        <v>687</v>
      </c>
      <c r="B228" s="31" t="s">
        <v>1747</v>
      </c>
      <c r="C228" s="31" t="s">
        <v>1216</v>
      </c>
      <c r="D228" s="31">
        <f>IFERROR(ROUND(VLOOKUP(A228,institutions!A:E,4,0),2),"")</f>
        <v>2.21</v>
      </c>
      <c r="E228" s="31">
        <f>IFERROR(ROUND(VLOOKUP(A228,institutions!A:X,7,0),2),"")</f>
        <v>1.46</v>
      </c>
      <c r="F228" s="31">
        <f>IFERROR(ROUND(VLOOKUP(A228,institutions!A:X,10,0),2),"")</f>
        <v>1.75</v>
      </c>
      <c r="G228" s="31">
        <f>IFERROR(ROUND(VLOOKUP(A228,institutions!A:X,13,0),2),"")</f>
        <v>2.25</v>
      </c>
      <c r="H228" s="31">
        <f>IFERROR(ROUND(VLOOKUP(A228,institutions!A:X,16,0),2),"")</f>
        <v>3.07</v>
      </c>
      <c r="I228" s="31">
        <f t="shared" si="18"/>
        <v>0.67200000000000004</v>
      </c>
      <c r="J228" s="31">
        <f t="shared" si="19"/>
        <v>0.46800000000000003</v>
      </c>
      <c r="K228" s="31">
        <f t="shared" si="20"/>
        <v>0.67200000000000004</v>
      </c>
      <c r="L228" s="31">
        <f t="shared" si="21"/>
        <v>0.57499999999999996</v>
      </c>
      <c r="M228" s="31">
        <f t="shared" si="22"/>
        <v>0.69799999999999995</v>
      </c>
      <c r="N228" t="e">
        <f>VLOOKUP(A228,#REF!,11,0)</f>
        <v>#REF!</v>
      </c>
      <c r="O228" t="e">
        <f>VLOOKUP(A228,#REF!,12,0)</f>
        <v>#REF!</v>
      </c>
      <c r="P228" t="e">
        <f>VLOOKUP(A228,#REF!,13,0)</f>
        <v>#REF!</v>
      </c>
      <c r="Q228" t="e">
        <f>VLOOKUP(A228,#REF!,14,0)</f>
        <v>#REF!</v>
      </c>
      <c r="R228">
        <v>0.7189108996818534</v>
      </c>
      <c r="S228">
        <v>-0.26479367927582481</v>
      </c>
      <c r="T228" s="31" t="str">
        <f>VLOOKUP(C228,V:W,2,0)</f>
        <v>UK</v>
      </c>
      <c r="U228" t="str">
        <f t="shared" si="23"/>
        <v/>
      </c>
    </row>
    <row r="229" spans="1:21" x14ac:dyDescent="0.25">
      <c r="A229" s="31" t="s">
        <v>846</v>
      </c>
      <c r="B229" s="31" t="s">
        <v>1561</v>
      </c>
      <c r="C229" s="31" t="s">
        <v>1271</v>
      </c>
      <c r="D229" s="31">
        <f>IFERROR(ROUND(VLOOKUP(A229,institutions!A:E,4,0),2),"")</f>
        <v>2.06</v>
      </c>
      <c r="E229" s="31">
        <f>IFERROR(ROUND(VLOOKUP(A229,institutions!A:X,7,0),2),"")</f>
        <v>1.5</v>
      </c>
      <c r="F229" s="31">
        <f>IFERROR(ROUND(VLOOKUP(A229,institutions!A:X,10,0),2),"")</f>
        <v>1.82</v>
      </c>
      <c r="G229" s="31">
        <f>IFERROR(ROUND(VLOOKUP(A229,institutions!A:X,13,0),2),"")</f>
        <v>2.67</v>
      </c>
      <c r="H229" s="31">
        <f>IFERROR(ROUND(VLOOKUP(A229,institutions!A:X,16,0),2),"")</f>
        <v>2.89</v>
      </c>
      <c r="I229" s="31">
        <f t="shared" si="18"/>
        <v>0.59299999999999997</v>
      </c>
      <c r="J229" s="31">
        <f t="shared" si="19"/>
        <v>0.498</v>
      </c>
      <c r="K229" s="31">
        <f t="shared" si="20"/>
        <v>0.68700000000000006</v>
      </c>
      <c r="L229" s="31">
        <f t="shared" si="21"/>
        <v>0.74199999999999999</v>
      </c>
      <c r="M229" s="31">
        <f t="shared" si="22"/>
        <v>0.66300000000000003</v>
      </c>
      <c r="N229" t="e">
        <f>VLOOKUP(A229,#REF!,11,0)</f>
        <v>#REF!</v>
      </c>
      <c r="O229" t="e">
        <f>VLOOKUP(A229,#REF!,12,0)</f>
        <v>#REF!</v>
      </c>
      <c r="P229" t="e">
        <f>VLOOKUP(A229,#REF!,13,0)</f>
        <v>#REF!</v>
      </c>
      <c r="Q229" t="e">
        <f>VLOOKUP(A229,#REF!,14,0)</f>
        <v>#REF!</v>
      </c>
      <c r="R229">
        <v>1.027397731613493</v>
      </c>
      <c r="S229">
        <v>-0.4016330919231374</v>
      </c>
      <c r="T229" s="31" t="str">
        <f>VLOOKUP(C229,V:W,2,0)</f>
        <v>DEU</v>
      </c>
      <c r="U229" t="str">
        <f t="shared" si="23"/>
        <v>Technical Munich</v>
      </c>
    </row>
    <row r="230" spans="1:21" x14ac:dyDescent="0.25">
      <c r="A230" s="31" t="s">
        <v>833</v>
      </c>
      <c r="B230" s="31" t="s">
        <v>1936</v>
      </c>
      <c r="C230" s="31" t="s">
        <v>1232</v>
      </c>
      <c r="D230" s="31">
        <f>IFERROR(ROUND(VLOOKUP(A230,institutions!A:E,4,0),2),"")</f>
        <v>2.09</v>
      </c>
      <c r="E230" s="31">
        <f>IFERROR(ROUND(VLOOKUP(A230,institutions!A:X,7,0),2),"")</f>
        <v>1.71</v>
      </c>
      <c r="F230" s="31">
        <f>IFERROR(ROUND(VLOOKUP(A230,institutions!A:X,10,0),2),"")</f>
        <v>2.2000000000000002</v>
      </c>
      <c r="G230" s="31">
        <f>IFERROR(ROUND(VLOOKUP(A230,institutions!A:X,13,0),2),"")</f>
        <v>2.25</v>
      </c>
      <c r="H230" s="31">
        <f>IFERROR(ROUND(VLOOKUP(A230,institutions!A:X,16,0),2),"")</f>
        <v>2.88</v>
      </c>
      <c r="I230" s="31">
        <f t="shared" si="18"/>
        <v>0.61199999999999999</v>
      </c>
      <c r="J230" s="31">
        <f t="shared" si="19"/>
        <v>0.64300000000000002</v>
      </c>
      <c r="K230" s="31">
        <f t="shared" si="20"/>
        <v>0.79</v>
      </c>
      <c r="L230" s="31">
        <f t="shared" si="21"/>
        <v>0.57499999999999996</v>
      </c>
      <c r="M230" s="31">
        <f t="shared" si="22"/>
        <v>0.66200000000000003</v>
      </c>
      <c r="N230" t="e">
        <f>VLOOKUP(A230,#REF!,11,0)</f>
        <v>#REF!</v>
      </c>
      <c r="O230" t="e">
        <f>VLOOKUP(A230,#REF!,12,0)</f>
        <v>#REF!</v>
      </c>
      <c r="P230" t="e">
        <f>VLOOKUP(A230,#REF!,13,0)</f>
        <v>#REF!</v>
      </c>
      <c r="Q230" t="e">
        <f>VLOOKUP(A230,#REF!,14,0)</f>
        <v>#REF!</v>
      </c>
      <c r="R230">
        <v>1.135488891334798</v>
      </c>
      <c r="S230">
        <v>0.33769679626279808</v>
      </c>
      <c r="T230" s="31" t="str">
        <f>VLOOKUP(C230,V:W,2,0)</f>
        <v>IRL</v>
      </c>
      <c r="U230" t="str">
        <f t="shared" si="23"/>
        <v/>
      </c>
    </row>
    <row r="231" spans="1:21" x14ac:dyDescent="0.25">
      <c r="A231" s="31" t="s">
        <v>818</v>
      </c>
      <c r="B231" s="31" t="s">
        <v>1584</v>
      </c>
      <c r="C231" s="31" t="s">
        <v>1216</v>
      </c>
      <c r="D231" s="31">
        <f>IFERROR(ROUND(VLOOKUP(A231,institutions!A:E,4,0),2),"")</f>
        <v>2.13</v>
      </c>
      <c r="E231" s="31">
        <f>IFERROR(ROUND(VLOOKUP(A231,institutions!A:X,7,0),2),"")</f>
        <v>1.69</v>
      </c>
      <c r="F231" s="31">
        <f>IFERROR(ROUND(VLOOKUP(A231,institutions!A:X,10,0),2),"")</f>
        <v>1.66</v>
      </c>
      <c r="G231" s="31">
        <f>IFERROR(ROUND(VLOOKUP(A231,institutions!A:X,13,0),2),"")</f>
        <v>2.63</v>
      </c>
      <c r="H231" s="31">
        <f>IFERROR(ROUND(VLOOKUP(A231,institutions!A:X,16,0),2),"")</f>
        <v>2.73</v>
      </c>
      <c r="I231" s="31">
        <f t="shared" si="18"/>
        <v>0.63700000000000001</v>
      </c>
      <c r="J231" s="31">
        <f t="shared" si="19"/>
        <v>0.63200000000000001</v>
      </c>
      <c r="K231" s="31">
        <f t="shared" si="20"/>
        <v>0.622</v>
      </c>
      <c r="L231" s="31">
        <f t="shared" si="21"/>
        <v>0.71799999999999997</v>
      </c>
      <c r="M231" s="31">
        <f t="shared" si="22"/>
        <v>0.622</v>
      </c>
      <c r="N231" t="e">
        <f>VLOOKUP(A231,#REF!,11,0)</f>
        <v>#REF!</v>
      </c>
      <c r="O231" t="e">
        <f>VLOOKUP(A231,#REF!,12,0)</f>
        <v>#REF!</v>
      </c>
      <c r="P231" t="e">
        <f>VLOOKUP(A231,#REF!,13,0)</f>
        <v>#REF!</v>
      </c>
      <c r="Q231" t="e">
        <f>VLOOKUP(A231,#REF!,14,0)</f>
        <v>#REF!</v>
      </c>
      <c r="R231">
        <v>1.013866835269861</v>
      </c>
      <c r="S231">
        <v>-0.1050606537871135</v>
      </c>
      <c r="T231" s="31" t="str">
        <f>VLOOKUP(C231,V:W,2,0)</f>
        <v>UK</v>
      </c>
      <c r="U231" t="str">
        <f t="shared" si="23"/>
        <v/>
      </c>
    </row>
    <row r="232" spans="1:21" x14ac:dyDescent="0.25">
      <c r="A232" s="31" t="s">
        <v>901</v>
      </c>
      <c r="B232" s="31" t="s">
        <v>1733</v>
      </c>
      <c r="C232" s="31" t="s">
        <v>1217</v>
      </c>
      <c r="D232" s="31">
        <f>IFERROR(ROUND(VLOOKUP(A232,institutions!A:E,4,0),2),"")</f>
        <v>2.1</v>
      </c>
      <c r="E232" s="31">
        <f>IFERROR(ROUND(VLOOKUP(A232,institutions!A:X,7,0),2),"")</f>
        <v>1.93</v>
      </c>
      <c r="F232" s="31">
        <f>IFERROR(ROUND(VLOOKUP(A232,institutions!A:X,10,0),2),"")</f>
        <v>2.3199999999999998</v>
      </c>
      <c r="G232" s="31">
        <f>IFERROR(ROUND(VLOOKUP(A232,institutions!A:X,13,0),2),"")</f>
        <v>2.09</v>
      </c>
      <c r="H232" s="31">
        <f>IFERROR(ROUND(VLOOKUP(A232,institutions!A:X,16,0),2),"")</f>
        <v>2.25</v>
      </c>
      <c r="I232" s="31">
        <f t="shared" si="18"/>
        <v>0.61699999999999999</v>
      </c>
      <c r="J232" s="31">
        <f t="shared" si="19"/>
        <v>0.73199999999999998</v>
      </c>
      <c r="K232" s="31">
        <f t="shared" si="20"/>
        <v>0.81</v>
      </c>
      <c r="L232" s="31">
        <f t="shared" si="21"/>
        <v>0.505</v>
      </c>
      <c r="M232" s="31">
        <f t="shared" si="22"/>
        <v>0.44</v>
      </c>
      <c r="N232" t="e">
        <f>VLOOKUP(A232,#REF!,11,0)</f>
        <v>#REF!</v>
      </c>
      <c r="O232" t="e">
        <f>VLOOKUP(A232,#REF!,12,0)</f>
        <v>#REF!</v>
      </c>
      <c r="P232" t="e">
        <f>VLOOKUP(A232,#REF!,13,0)</f>
        <v>#REF!</v>
      </c>
      <c r="Q232" t="e">
        <f>VLOOKUP(A232,#REF!,14,0)</f>
        <v>#REF!</v>
      </c>
      <c r="R232">
        <v>0.78621255911687671</v>
      </c>
      <c r="S232">
        <v>1.0255867860350909</v>
      </c>
      <c r="T232" s="31" t="str">
        <f>VLOOKUP(C232,V:W,2,0)</f>
        <v>USA</v>
      </c>
      <c r="U232" t="str">
        <f t="shared" si="23"/>
        <v/>
      </c>
    </row>
    <row r="233" spans="1:21" x14ac:dyDescent="0.25">
      <c r="A233" s="31" t="s">
        <v>867</v>
      </c>
      <c r="B233" s="31" t="s">
        <v>1583</v>
      </c>
      <c r="C233" s="31" t="s">
        <v>1271</v>
      </c>
      <c r="D233" s="31">
        <f>IFERROR(ROUND(VLOOKUP(A233,institutions!A:E,4,0),2),"")</f>
        <v>2.09</v>
      </c>
      <c r="E233" s="31">
        <f>IFERROR(ROUND(VLOOKUP(A233,institutions!A:X,7,0),2),"")</f>
        <v>1.68</v>
      </c>
      <c r="F233" s="31" t="str">
        <f>IFERROR(ROUND(VLOOKUP(A233,institutions!A:X,10,0),2),"")</f>
        <v/>
      </c>
      <c r="G233" s="31">
        <f>IFERROR(ROUND(VLOOKUP(A233,institutions!A:X,13,0),2),"")</f>
        <v>3.05</v>
      </c>
      <c r="H233" s="31">
        <f>IFERROR(ROUND(VLOOKUP(A233,institutions!A:X,16,0),2),"")</f>
        <v>2.97</v>
      </c>
      <c r="I233" s="31">
        <f t="shared" si="18"/>
        <v>0.61199999999999999</v>
      </c>
      <c r="J233" s="31">
        <f t="shared" si="19"/>
        <v>0.62</v>
      </c>
      <c r="K233" s="31">
        <f t="shared" si="20"/>
        <v>0</v>
      </c>
      <c r="L233" s="31">
        <f t="shared" si="21"/>
        <v>0.82199999999999995</v>
      </c>
      <c r="M233" s="31">
        <f t="shared" si="22"/>
        <v>0.68200000000000005</v>
      </c>
      <c r="N233" t="e">
        <f>VLOOKUP(A233,#REF!,11,0)</f>
        <v>#REF!</v>
      </c>
      <c r="O233" t="e">
        <f>VLOOKUP(A233,#REF!,12,0)</f>
        <v>#REF!</v>
      </c>
      <c r="P233" t="e">
        <f>VLOOKUP(A233,#REF!,13,0)</f>
        <v>#REF!</v>
      </c>
      <c r="Q233" t="e">
        <f>VLOOKUP(A233,#REF!,14,0)</f>
        <v>#REF!</v>
      </c>
      <c r="R233">
        <v>0.2259900337072297</v>
      </c>
      <c r="S233">
        <v>-1.304205330971496</v>
      </c>
      <c r="T233" s="31" t="str">
        <f>VLOOKUP(C233,V:W,2,0)</f>
        <v>DEU</v>
      </c>
      <c r="U233" t="str">
        <f t="shared" si="23"/>
        <v>Free Berlin</v>
      </c>
    </row>
    <row r="234" spans="1:21" x14ac:dyDescent="0.25">
      <c r="A234" s="31" t="s">
        <v>804</v>
      </c>
      <c r="B234" s="31" t="s">
        <v>1931</v>
      </c>
      <c r="C234" s="31" t="s">
        <v>1216</v>
      </c>
      <c r="D234" s="31">
        <f>IFERROR(ROUND(VLOOKUP(A234,institutions!A:E,4,0),2),"")</f>
        <v>2.15</v>
      </c>
      <c r="E234" s="31">
        <f>IFERROR(ROUND(VLOOKUP(A234,institutions!A:X,7,0),2),"")</f>
        <v>1.46</v>
      </c>
      <c r="F234" s="31">
        <f>IFERROR(ROUND(VLOOKUP(A234,institutions!A:X,10,0),2),"")</f>
        <v>1.95</v>
      </c>
      <c r="G234" s="31">
        <f>IFERROR(ROUND(VLOOKUP(A234,institutions!A:X,13,0),2),"")</f>
        <v>2.67</v>
      </c>
      <c r="H234" s="31">
        <f>IFERROR(ROUND(VLOOKUP(A234,institutions!A:X,16,0),2),"")</f>
        <v>3.27</v>
      </c>
      <c r="I234" s="31">
        <f t="shared" si="18"/>
        <v>0.64500000000000002</v>
      </c>
      <c r="J234" s="31">
        <f t="shared" si="19"/>
        <v>0.46800000000000003</v>
      </c>
      <c r="K234" s="31">
        <f t="shared" si="20"/>
        <v>0.72</v>
      </c>
      <c r="L234" s="31">
        <f t="shared" si="21"/>
        <v>0.74199999999999999</v>
      </c>
      <c r="M234" s="31">
        <f t="shared" si="22"/>
        <v>0.73199999999999998</v>
      </c>
      <c r="N234" t="e">
        <f>VLOOKUP(A234,#REF!,11,0)</f>
        <v>#REF!</v>
      </c>
      <c r="O234" t="e">
        <f>VLOOKUP(A234,#REF!,12,0)</f>
        <v>#REF!</v>
      </c>
      <c r="P234" t="e">
        <f>VLOOKUP(A234,#REF!,13,0)</f>
        <v>#REF!</v>
      </c>
      <c r="Q234" t="e">
        <f>VLOOKUP(A234,#REF!,14,0)</f>
        <v>#REF!</v>
      </c>
      <c r="R234">
        <v>1.160382699881926</v>
      </c>
      <c r="S234">
        <v>-0.5271157687230994</v>
      </c>
      <c r="T234" s="31" t="str">
        <f>VLOOKUP(C234,V:W,2,0)</f>
        <v>UK</v>
      </c>
      <c r="U234" t="str">
        <f t="shared" si="23"/>
        <v/>
      </c>
    </row>
    <row r="235" spans="1:21" x14ac:dyDescent="0.25">
      <c r="A235" s="31" t="s">
        <v>892</v>
      </c>
      <c r="B235" s="31" t="s">
        <v>1927</v>
      </c>
      <c r="C235" s="31" t="s">
        <v>1220</v>
      </c>
      <c r="D235" s="31">
        <f>IFERROR(ROUND(VLOOKUP(A235,institutions!A:E,4,0),2),"")</f>
        <v>2.11</v>
      </c>
      <c r="E235" s="31">
        <f>IFERROR(ROUND(VLOOKUP(A235,institutions!A:X,7,0),2),"")</f>
        <v>1.7</v>
      </c>
      <c r="F235" s="31">
        <f>IFERROR(ROUND(VLOOKUP(A235,institutions!A:X,10,0),2),"")</f>
        <v>2.02</v>
      </c>
      <c r="G235" s="31">
        <f>IFERROR(ROUND(VLOOKUP(A235,institutions!A:X,13,0),2),"")</f>
        <v>2.96</v>
      </c>
      <c r="H235" s="31">
        <f>IFERROR(ROUND(VLOOKUP(A235,institutions!A:X,16,0),2),"")</f>
        <v>4.18</v>
      </c>
      <c r="I235" s="31">
        <f t="shared" si="18"/>
        <v>0.625</v>
      </c>
      <c r="J235" s="31">
        <f t="shared" si="19"/>
        <v>0.63700000000000001</v>
      </c>
      <c r="K235" s="31">
        <f t="shared" si="20"/>
        <v>0.747</v>
      </c>
      <c r="L235" s="31">
        <f t="shared" si="21"/>
        <v>0.80200000000000005</v>
      </c>
      <c r="M235" s="31">
        <f t="shared" si="22"/>
        <v>0.89</v>
      </c>
      <c r="N235" t="e">
        <f>VLOOKUP(A235,#REF!,11,0)</f>
        <v>#REF!</v>
      </c>
      <c r="O235" t="e">
        <f>VLOOKUP(A235,#REF!,12,0)</f>
        <v>#REF!</v>
      </c>
      <c r="P235" t="e">
        <f>VLOOKUP(A235,#REF!,13,0)</f>
        <v>#REF!</v>
      </c>
      <c r="Q235" t="e">
        <f>VLOOKUP(A235,#REF!,14,0)</f>
        <v>#REF!</v>
      </c>
      <c r="R235">
        <v>1.8693214765585551</v>
      </c>
      <c r="S235">
        <v>-0.47752160735454657</v>
      </c>
      <c r="T235" s="31" t="str">
        <f>VLOOKUP(C235,V:W,2,0)</f>
        <v>SPAIN</v>
      </c>
      <c r="U235" t="str">
        <f t="shared" si="23"/>
        <v>Carlos III</v>
      </c>
    </row>
    <row r="236" spans="1:21" x14ac:dyDescent="0.25">
      <c r="A236" s="31" t="s">
        <v>996</v>
      </c>
      <c r="B236" s="31" t="s">
        <v>1938</v>
      </c>
      <c r="C236" s="31" t="s">
        <v>1271</v>
      </c>
      <c r="D236" s="31">
        <f>IFERROR(ROUND(VLOOKUP(A236,institutions!A:E,4,0),2),"")</f>
        <v>2</v>
      </c>
      <c r="E236" s="31">
        <f>IFERROR(ROUND(VLOOKUP(A236,institutions!A:X,7,0),2),"")</f>
        <v>1.83</v>
      </c>
      <c r="F236" s="31">
        <f>IFERROR(ROUND(VLOOKUP(A236,institutions!A:X,10,0),2),"")</f>
        <v>2.06</v>
      </c>
      <c r="G236" s="31">
        <f>IFERROR(ROUND(VLOOKUP(A236,institutions!A:X,13,0),2),"")</f>
        <v>2.67</v>
      </c>
      <c r="H236" s="31">
        <f>IFERROR(ROUND(VLOOKUP(A236,institutions!A:X,16,0),2),"")</f>
        <v>5.58</v>
      </c>
      <c r="I236" s="31">
        <f t="shared" si="18"/>
        <v>0.56499999999999995</v>
      </c>
      <c r="J236" s="31">
        <f t="shared" si="19"/>
        <v>0.69699999999999995</v>
      </c>
      <c r="K236" s="31">
        <f t="shared" si="20"/>
        <v>0.76</v>
      </c>
      <c r="L236" s="31">
        <f t="shared" si="21"/>
        <v>0.74199999999999999</v>
      </c>
      <c r="M236" s="31">
        <f t="shared" si="22"/>
        <v>0.96199999999999997</v>
      </c>
      <c r="N236" t="e">
        <f>VLOOKUP(A236,#REF!,11,0)</f>
        <v>#REF!</v>
      </c>
      <c r="O236" t="e">
        <f>VLOOKUP(A236,#REF!,12,0)</f>
        <v>#REF!</v>
      </c>
      <c r="P236" t="e">
        <f>VLOOKUP(A236,#REF!,13,0)</f>
        <v>#REF!</v>
      </c>
      <c r="Q236" t="e">
        <f>VLOOKUP(A236,#REF!,14,0)</f>
        <v>#REF!</v>
      </c>
      <c r="R236">
        <v>2.010461683465282</v>
      </c>
      <c r="S236">
        <v>-0.3447159127515762</v>
      </c>
      <c r="T236" s="31" t="str">
        <f>VLOOKUP(C236,V:W,2,0)</f>
        <v>DEU</v>
      </c>
      <c r="U236" t="str">
        <f t="shared" si="23"/>
        <v>Frankfurt</v>
      </c>
    </row>
    <row r="237" spans="1:21" x14ac:dyDescent="0.25">
      <c r="A237" s="31" t="s">
        <v>850</v>
      </c>
      <c r="B237" s="31" t="s">
        <v>1554</v>
      </c>
      <c r="C237" s="31" t="s">
        <v>1234</v>
      </c>
      <c r="D237" s="31">
        <f>IFERROR(ROUND(VLOOKUP(A237,institutions!A:E,4,0),2),"")</f>
        <v>2.16</v>
      </c>
      <c r="E237" s="31">
        <f>IFERROR(ROUND(VLOOKUP(A237,institutions!A:X,7,0),2),"")</f>
        <v>1.98</v>
      </c>
      <c r="F237" s="31">
        <f>IFERROR(ROUND(VLOOKUP(A237,institutions!A:X,10,0),2),"")</f>
        <v>1.34</v>
      </c>
      <c r="G237" s="31">
        <f>IFERROR(ROUND(VLOOKUP(A237,institutions!A:X,13,0),2),"")</f>
        <v>2.44</v>
      </c>
      <c r="H237" s="31">
        <f>IFERROR(ROUND(VLOOKUP(A237,institutions!A:X,16,0),2),"")</f>
        <v>3.4</v>
      </c>
      <c r="I237" s="31">
        <f t="shared" si="18"/>
        <v>0.65500000000000003</v>
      </c>
      <c r="J237" s="31">
        <f t="shared" si="19"/>
        <v>0.747</v>
      </c>
      <c r="K237" s="31">
        <f t="shared" si="20"/>
        <v>0.39</v>
      </c>
      <c r="L237" s="31">
        <f t="shared" si="21"/>
        <v>0.65800000000000003</v>
      </c>
      <c r="M237" s="31">
        <f t="shared" si="22"/>
        <v>0.77</v>
      </c>
      <c r="N237" t="e">
        <f>VLOOKUP(A237,#REF!,11,0)</f>
        <v>#REF!</v>
      </c>
      <c r="O237" t="e">
        <f>VLOOKUP(A237,#REF!,12,0)</f>
        <v>#REF!</v>
      </c>
      <c r="P237" t="e">
        <f>VLOOKUP(A237,#REF!,13,0)</f>
        <v>#REF!</v>
      </c>
      <c r="Q237" t="e">
        <f>VLOOKUP(A237,#REF!,14,0)</f>
        <v>#REF!</v>
      </c>
      <c r="R237">
        <v>0.96168232801318787</v>
      </c>
      <c r="S237">
        <v>-0.33185573294417109</v>
      </c>
      <c r="T237" s="31" t="str">
        <f>VLOOKUP(C237,V:W,2,0)</f>
        <v>UK</v>
      </c>
      <c r="U237" t="str">
        <f t="shared" si="23"/>
        <v/>
      </c>
    </row>
    <row r="238" spans="1:21" x14ac:dyDescent="0.25">
      <c r="A238" s="31" t="s">
        <v>930</v>
      </c>
      <c r="B238" s="31" t="s">
        <v>1563</v>
      </c>
      <c r="C238" s="31" t="s">
        <v>1217</v>
      </c>
      <c r="D238" s="31">
        <f>IFERROR(ROUND(VLOOKUP(A238,institutions!A:E,4,0),2),"")</f>
        <v>2</v>
      </c>
      <c r="E238" s="31">
        <f>IFERROR(ROUND(VLOOKUP(A238,institutions!A:X,7,0),2),"")</f>
        <v>1.84</v>
      </c>
      <c r="F238" s="31">
        <f>IFERROR(ROUND(VLOOKUP(A238,institutions!A:X,10,0),2),"")</f>
        <v>2.46</v>
      </c>
      <c r="G238" s="31">
        <f>IFERROR(ROUND(VLOOKUP(A238,institutions!A:X,13,0),2),"")</f>
        <v>2.1</v>
      </c>
      <c r="H238" s="31">
        <f>IFERROR(ROUND(VLOOKUP(A238,institutions!A:X,16,0),2),"")</f>
        <v>2.16</v>
      </c>
      <c r="I238" s="31">
        <f t="shared" si="18"/>
        <v>0.56499999999999995</v>
      </c>
      <c r="J238" s="31">
        <f t="shared" si="19"/>
        <v>0.70199999999999996</v>
      </c>
      <c r="K238" s="31">
        <f t="shared" si="20"/>
        <v>0.82699999999999996</v>
      </c>
      <c r="L238" s="31">
        <f t="shared" si="21"/>
        <v>0.51300000000000001</v>
      </c>
      <c r="M238" s="31">
        <f t="shared" si="22"/>
        <v>0.39800000000000002</v>
      </c>
      <c r="N238" t="e">
        <f>VLOOKUP(A238,#REF!,11,0)</f>
        <v>#REF!</v>
      </c>
      <c r="O238" t="e">
        <f>VLOOKUP(A238,#REF!,12,0)</f>
        <v>#REF!</v>
      </c>
      <c r="P238" t="e">
        <f>VLOOKUP(A238,#REF!,13,0)</f>
        <v>#REF!</v>
      </c>
      <c r="Q238" t="e">
        <f>VLOOKUP(A238,#REF!,14,0)</f>
        <v>#REF!</v>
      </c>
      <c r="R238">
        <v>0.70568936247841019</v>
      </c>
      <c r="S238">
        <v>1.0395500266610129</v>
      </c>
      <c r="T238" s="31" t="str">
        <f>VLOOKUP(C238,V:W,2,0)</f>
        <v>USA</v>
      </c>
      <c r="U238" t="str">
        <f t="shared" si="23"/>
        <v/>
      </c>
    </row>
    <row r="239" spans="1:21" x14ac:dyDescent="0.25">
      <c r="A239" s="31" t="s">
        <v>800</v>
      </c>
      <c r="B239" s="31" t="s">
        <v>2086</v>
      </c>
      <c r="C239" s="31" t="s">
        <v>1217</v>
      </c>
      <c r="D239" s="31">
        <f>IFERROR(ROUND(VLOOKUP(A239,institutions!A:E,4,0),2),"")</f>
        <v>2.1</v>
      </c>
      <c r="E239" s="31">
        <f>IFERROR(ROUND(VLOOKUP(A239,institutions!A:X,7,0),2),"")</f>
        <v>1.65</v>
      </c>
      <c r="F239" s="31">
        <f>IFERROR(ROUND(VLOOKUP(A239,institutions!A:X,10,0),2),"")</f>
        <v>1.92</v>
      </c>
      <c r="G239" s="31">
        <f>IFERROR(ROUND(VLOOKUP(A239,institutions!A:X,13,0),2),"")</f>
        <v>2.65</v>
      </c>
      <c r="H239" s="31">
        <f>IFERROR(ROUND(VLOOKUP(A239,institutions!A:X,16,0),2),"")</f>
        <v>2.41</v>
      </c>
      <c r="I239" s="31">
        <f t="shared" si="18"/>
        <v>0.61699999999999999</v>
      </c>
      <c r="J239" s="31">
        <f t="shared" si="19"/>
        <v>0.60799999999999998</v>
      </c>
      <c r="K239" s="31">
        <f t="shared" si="20"/>
        <v>0.71199999999999997</v>
      </c>
      <c r="L239" s="31">
        <f t="shared" si="21"/>
        <v>0.73</v>
      </c>
      <c r="M239" s="31">
        <f t="shared" si="22"/>
        <v>0.505</v>
      </c>
      <c r="N239" t="e">
        <f>VLOOKUP(A239,#REF!,11,0)</f>
        <v>#REF!</v>
      </c>
      <c r="O239" t="e">
        <f>VLOOKUP(A239,#REF!,12,0)</f>
        <v>#REF!</v>
      </c>
      <c r="P239" t="e">
        <f>VLOOKUP(A239,#REF!,13,0)</f>
        <v>#REF!</v>
      </c>
      <c r="Q239" t="e">
        <f>VLOOKUP(A239,#REF!,14,0)</f>
        <v>#REF!</v>
      </c>
      <c r="R239">
        <v>0.93935877308752369</v>
      </c>
      <c r="S239">
        <v>0.14023058589886991</v>
      </c>
      <c r="T239" s="31" t="str">
        <f>VLOOKUP(C239,V:W,2,0)</f>
        <v>USA</v>
      </c>
      <c r="U239" t="str">
        <f t="shared" si="23"/>
        <v/>
      </c>
    </row>
    <row r="240" spans="1:21" x14ac:dyDescent="0.25">
      <c r="A240" s="31" t="s">
        <v>760</v>
      </c>
      <c r="B240" s="31" t="s">
        <v>1569</v>
      </c>
      <c r="C240" s="31" t="s">
        <v>1236</v>
      </c>
      <c r="D240" s="31">
        <f>IFERROR(ROUND(VLOOKUP(A240,institutions!A:E,4,0),2),"")</f>
        <v>2.14</v>
      </c>
      <c r="E240" s="31">
        <f>IFERROR(ROUND(VLOOKUP(A240,institutions!A:X,7,0),2),"")</f>
        <v>1.5</v>
      </c>
      <c r="F240" s="31">
        <f>IFERROR(ROUND(VLOOKUP(A240,institutions!A:X,10,0),2),"")</f>
        <v>1.43</v>
      </c>
      <c r="G240" s="31">
        <f>IFERROR(ROUND(VLOOKUP(A240,institutions!A:X,13,0),2),"")</f>
        <v>2.39</v>
      </c>
      <c r="H240" s="31">
        <f>IFERROR(ROUND(VLOOKUP(A240,institutions!A:X,16,0),2),"")</f>
        <v>3.42</v>
      </c>
      <c r="I240" s="31">
        <f t="shared" si="18"/>
        <v>0.64</v>
      </c>
      <c r="J240" s="31">
        <f t="shared" si="19"/>
        <v>0.498</v>
      </c>
      <c r="K240" s="31">
        <f t="shared" si="20"/>
        <v>0.47299999999999998</v>
      </c>
      <c r="L240" s="31">
        <f t="shared" si="21"/>
        <v>0.63700000000000001</v>
      </c>
      <c r="M240" s="31">
        <f t="shared" si="22"/>
        <v>0.77300000000000002</v>
      </c>
      <c r="N240" t="e">
        <f>VLOOKUP(A240,#REF!,11,0)</f>
        <v>#REF!</v>
      </c>
      <c r="O240" t="e">
        <f>VLOOKUP(A240,#REF!,12,0)</f>
        <v>#REF!</v>
      </c>
      <c r="P240" t="e">
        <f>VLOOKUP(A240,#REF!,13,0)</f>
        <v>#REF!</v>
      </c>
      <c r="Q240" t="e">
        <f>VLOOKUP(A240,#REF!,14,0)</f>
        <v>#REF!</v>
      </c>
      <c r="R240">
        <v>0.6730292880149279</v>
      </c>
      <c r="S240">
        <v>-0.71255597379183389</v>
      </c>
      <c r="T240" s="31" t="str">
        <f>VLOOKUP(C240,V:W,2,0)</f>
        <v>NZE</v>
      </c>
      <c r="U240" t="str">
        <f t="shared" si="23"/>
        <v/>
      </c>
    </row>
    <row r="241" spans="1:21" x14ac:dyDescent="0.25">
      <c r="A241" s="31" t="s">
        <v>898</v>
      </c>
      <c r="B241" s="31" t="s">
        <v>1932</v>
      </c>
      <c r="C241" s="31" t="s">
        <v>1237</v>
      </c>
      <c r="D241" s="31">
        <f>IFERROR(ROUND(VLOOKUP(A241,institutions!A:E,4,0),2),"")</f>
        <v>2.0699999999999998</v>
      </c>
      <c r="E241" s="31">
        <f>IFERROR(ROUND(VLOOKUP(A241,institutions!A:X,7,0),2),"")</f>
        <v>2.0699999999999998</v>
      </c>
      <c r="F241" s="31">
        <f>IFERROR(ROUND(VLOOKUP(A241,institutions!A:X,10,0),2),"")</f>
        <v>2.34</v>
      </c>
      <c r="G241" s="31">
        <f>IFERROR(ROUND(VLOOKUP(A241,institutions!A:X,13,0),2),"")</f>
        <v>2.12</v>
      </c>
      <c r="H241" s="31">
        <f>IFERROR(ROUND(VLOOKUP(A241,institutions!A:X,16,0),2),"")</f>
        <v>2.0299999999999998</v>
      </c>
      <c r="I241" s="31">
        <f t="shared" si="18"/>
        <v>0.6</v>
      </c>
      <c r="J241" s="31">
        <f t="shared" si="19"/>
        <v>0.78500000000000003</v>
      </c>
      <c r="K241" s="31">
        <f t="shared" si="20"/>
        <v>0.81699999999999995</v>
      </c>
      <c r="L241" s="31">
        <f t="shared" si="21"/>
        <v>0.52500000000000002</v>
      </c>
      <c r="M241" s="31">
        <f t="shared" si="22"/>
        <v>0.33500000000000002</v>
      </c>
      <c r="N241" t="e">
        <f>VLOOKUP(A241,#REF!,11,0)</f>
        <v>#REF!</v>
      </c>
      <c r="O241" t="e">
        <f>VLOOKUP(A241,#REF!,12,0)</f>
        <v>#REF!</v>
      </c>
      <c r="P241" t="e">
        <f>VLOOKUP(A241,#REF!,13,0)</f>
        <v>#REF!</v>
      </c>
      <c r="Q241" t="e">
        <f>VLOOKUP(A241,#REF!,14,0)</f>
        <v>#REF!</v>
      </c>
      <c r="R241">
        <v>0.72904968560598238</v>
      </c>
      <c r="S241">
        <v>1.2821644360490769</v>
      </c>
      <c r="T241" s="31" t="str">
        <f>VLOOKUP(C241,V:W,2,0)</f>
        <v>AUS</v>
      </c>
      <c r="U241" t="str">
        <f t="shared" si="23"/>
        <v/>
      </c>
    </row>
    <row r="242" spans="1:21" x14ac:dyDescent="0.25">
      <c r="A242" s="31" t="s">
        <v>881</v>
      </c>
      <c r="B242" s="31" t="s">
        <v>1734</v>
      </c>
      <c r="C242" s="31" t="s">
        <v>1217</v>
      </c>
      <c r="D242" s="31">
        <f>IFERROR(ROUND(VLOOKUP(A242,institutions!A:E,4,0),2),"")</f>
        <v>2.0299999999999998</v>
      </c>
      <c r="E242" s="31">
        <f>IFERROR(ROUND(VLOOKUP(A242,institutions!A:X,7,0),2),"")</f>
        <v>1.57</v>
      </c>
      <c r="F242" s="31">
        <f>IFERROR(ROUND(VLOOKUP(A242,institutions!A:X,10,0),2),"")</f>
        <v>1.53</v>
      </c>
      <c r="G242" s="31">
        <f>IFERROR(ROUND(VLOOKUP(A242,institutions!A:X,13,0),2),"")</f>
        <v>2.71</v>
      </c>
      <c r="H242" s="31">
        <f>IFERROR(ROUND(VLOOKUP(A242,institutions!A:X,16,0),2),"")</f>
        <v>2.4300000000000002</v>
      </c>
      <c r="I242" s="31">
        <f t="shared" si="18"/>
        <v>0.58199999999999996</v>
      </c>
      <c r="J242" s="31">
        <f t="shared" si="19"/>
        <v>0.55700000000000005</v>
      </c>
      <c r="K242" s="31">
        <f t="shared" si="20"/>
        <v>0.55200000000000005</v>
      </c>
      <c r="L242" s="31">
        <f t="shared" si="21"/>
        <v>0.753</v>
      </c>
      <c r="M242" s="31">
        <f t="shared" si="22"/>
        <v>0.51500000000000001</v>
      </c>
      <c r="N242" t="e">
        <f>VLOOKUP(A242,#REF!,11,0)</f>
        <v>#REF!</v>
      </c>
      <c r="O242" t="e">
        <f>VLOOKUP(A242,#REF!,12,0)</f>
        <v>#REF!</v>
      </c>
      <c r="P242" t="e">
        <f>VLOOKUP(A242,#REF!,13,0)</f>
        <v>#REF!</v>
      </c>
      <c r="Q242" t="e">
        <f>VLOOKUP(A242,#REF!,14,0)</f>
        <v>#REF!</v>
      </c>
      <c r="R242">
        <v>0.6435196468574822</v>
      </c>
      <c r="S242">
        <v>-0.25567203339882361</v>
      </c>
      <c r="T242" s="31" t="str">
        <f>VLOOKUP(C242,V:W,2,0)</f>
        <v>USA</v>
      </c>
      <c r="U242" t="str">
        <f t="shared" si="23"/>
        <v/>
      </c>
    </row>
    <row r="243" spans="1:21" x14ac:dyDescent="0.25">
      <c r="A243" s="31" t="s">
        <v>768</v>
      </c>
      <c r="B243" s="31" t="s">
        <v>1726</v>
      </c>
      <c r="C243" s="31" t="s">
        <v>1217</v>
      </c>
      <c r="D243" s="31">
        <f>IFERROR(ROUND(VLOOKUP(A243,institutions!A:E,4,0),2),"")</f>
        <v>2.12</v>
      </c>
      <c r="E243" s="31">
        <f>IFERROR(ROUND(VLOOKUP(A243,institutions!A:X,7,0),2),"")</f>
        <v>1.33</v>
      </c>
      <c r="F243" s="31">
        <f>IFERROR(ROUND(VLOOKUP(A243,institutions!A:X,10,0),2),"")</f>
        <v>1.83</v>
      </c>
      <c r="G243" s="31">
        <f>IFERROR(ROUND(VLOOKUP(A243,institutions!A:X,13,0),2),"")</f>
        <v>2.46</v>
      </c>
      <c r="H243" s="31">
        <f>IFERROR(ROUND(VLOOKUP(A243,institutions!A:X,16,0),2),"")</f>
        <v>3.65</v>
      </c>
      <c r="I243" s="31">
        <f t="shared" si="18"/>
        <v>0.63</v>
      </c>
      <c r="J243" s="31">
        <f t="shared" si="19"/>
        <v>0.33</v>
      </c>
      <c r="K243" s="31">
        <f t="shared" si="20"/>
        <v>0.68799999999999994</v>
      </c>
      <c r="L243" s="31">
        <f t="shared" si="21"/>
        <v>0.67200000000000004</v>
      </c>
      <c r="M243" s="31">
        <f t="shared" si="22"/>
        <v>0.82499999999999996</v>
      </c>
      <c r="N243" t="e">
        <f>VLOOKUP(A243,#REF!,11,0)</f>
        <v>#REF!</v>
      </c>
      <c r="O243" t="e">
        <f>VLOOKUP(A243,#REF!,12,0)</f>
        <v>#REF!</v>
      </c>
      <c r="P243" t="e">
        <f>VLOOKUP(A243,#REF!,13,0)</f>
        <v>#REF!</v>
      </c>
      <c r="Q243" t="e">
        <f>VLOOKUP(A243,#REF!,14,0)</f>
        <v>#REF!</v>
      </c>
      <c r="R243">
        <v>0.92792584840660197</v>
      </c>
      <c r="S243">
        <v>-0.89923816250810351</v>
      </c>
      <c r="T243" s="31" t="str">
        <f>VLOOKUP(C243,V:W,2,0)</f>
        <v>USA</v>
      </c>
      <c r="U243" t="str">
        <f t="shared" si="23"/>
        <v/>
      </c>
    </row>
    <row r="244" spans="1:21" x14ac:dyDescent="0.25">
      <c r="A244" s="31" t="s">
        <v>1056</v>
      </c>
      <c r="B244" s="31" t="s">
        <v>1920</v>
      </c>
      <c r="C244" s="31" t="s">
        <v>1249</v>
      </c>
      <c r="D244" s="31">
        <f>IFERROR(ROUND(VLOOKUP(A244,institutions!A:E,4,0),2),"")</f>
        <v>2</v>
      </c>
      <c r="E244" s="31" t="str">
        <f>IFERROR(ROUND(VLOOKUP(A244,institutions!A:X,7,0),2),"")</f>
        <v/>
      </c>
      <c r="F244" s="31" t="str">
        <f>IFERROR(ROUND(VLOOKUP(A244,institutions!A:X,10,0),2),"")</f>
        <v/>
      </c>
      <c r="G244" s="31" t="str">
        <f>IFERROR(ROUND(VLOOKUP(A244,institutions!A:X,13,0),2),"")</f>
        <v/>
      </c>
      <c r="H244" s="31" t="str">
        <f>IFERROR(ROUND(VLOOKUP(A244,institutions!A:X,16,0),2),"")</f>
        <v/>
      </c>
      <c r="I244" s="31">
        <f t="shared" si="18"/>
        <v>0.56499999999999995</v>
      </c>
      <c r="J244" s="31">
        <f t="shared" si="19"/>
        <v>0</v>
      </c>
      <c r="K244" s="31">
        <f t="shared" si="20"/>
        <v>0</v>
      </c>
      <c r="L244" s="31">
        <f t="shared" si="21"/>
        <v>0</v>
      </c>
      <c r="M244" s="31">
        <f t="shared" si="22"/>
        <v>0</v>
      </c>
      <c r="N244">
        <v>1</v>
      </c>
      <c r="O244" t="e">
        <f>VLOOKUP(A244,#REF!,12,0)</f>
        <v>#REF!</v>
      </c>
      <c r="P244" t="e">
        <f>VLOOKUP(A244,#REF!,13,0)</f>
        <v>#REF!</v>
      </c>
      <c r="Q244" t="e">
        <f>VLOOKUP(A244,#REF!,14,0)</f>
        <v>#REF!</v>
      </c>
      <c r="R244">
        <v>-3.4647209271580479</v>
      </c>
      <c r="S244">
        <v>-0.176869623579895</v>
      </c>
      <c r="T244" s="31" t="str">
        <f>VLOOKUP(C244,V:W,2,0)</f>
        <v>CZE</v>
      </c>
      <c r="U244" t="str">
        <f t="shared" si="23"/>
        <v/>
      </c>
    </row>
    <row r="245" spans="1:21" x14ac:dyDescent="0.25">
      <c r="A245" s="31" t="s">
        <v>710</v>
      </c>
      <c r="B245" s="31" t="s">
        <v>1748</v>
      </c>
      <c r="C245" s="31" t="s">
        <v>1232</v>
      </c>
      <c r="D245" s="31">
        <f>IFERROR(ROUND(VLOOKUP(A245,institutions!A:E,4,0),2),"")</f>
        <v>2.09</v>
      </c>
      <c r="E245" s="31">
        <f>IFERROR(ROUND(VLOOKUP(A245,institutions!A:X,7,0),2),"")</f>
        <v>1.47</v>
      </c>
      <c r="F245" s="31">
        <f>IFERROR(ROUND(VLOOKUP(A245,institutions!A:X,10,0),2),"")</f>
        <v>1.75</v>
      </c>
      <c r="G245" s="31">
        <f>IFERROR(ROUND(VLOOKUP(A245,institutions!A:X,13,0),2),"")</f>
        <v>1.94</v>
      </c>
      <c r="H245" s="31">
        <f>IFERROR(ROUND(VLOOKUP(A245,institutions!A:X,16,0),2),"")</f>
        <v>3.71</v>
      </c>
      <c r="I245" s="31">
        <f t="shared" si="18"/>
        <v>0.61199999999999999</v>
      </c>
      <c r="J245" s="31">
        <f t="shared" si="19"/>
        <v>0.47799999999999998</v>
      </c>
      <c r="K245" s="31">
        <f t="shared" si="20"/>
        <v>0.67200000000000004</v>
      </c>
      <c r="L245" s="31">
        <f t="shared" si="21"/>
        <v>0.44</v>
      </c>
      <c r="M245" s="31">
        <f t="shared" si="22"/>
        <v>0.83699999999999997</v>
      </c>
      <c r="N245" t="e">
        <f>VLOOKUP(A245,#REF!,11,0)</f>
        <v>#REF!</v>
      </c>
      <c r="O245" t="e">
        <f>VLOOKUP(A245,#REF!,12,0)</f>
        <v>#REF!</v>
      </c>
      <c r="P245" t="e">
        <f>VLOOKUP(A245,#REF!,13,0)</f>
        <v>#REF!</v>
      </c>
      <c r="Q245" t="e">
        <f>VLOOKUP(A245,#REF!,14,0)</f>
        <v>#REF!</v>
      </c>
      <c r="R245">
        <v>0.74497435037801052</v>
      </c>
      <c r="S245">
        <v>-0.238982611671891</v>
      </c>
      <c r="T245" s="31" t="str">
        <f>VLOOKUP(C245,V:W,2,0)</f>
        <v>IRL</v>
      </c>
      <c r="U245" t="str">
        <f t="shared" si="23"/>
        <v/>
      </c>
    </row>
    <row r="246" spans="1:21" x14ac:dyDescent="0.25">
      <c r="A246" s="31" t="s">
        <v>844</v>
      </c>
      <c r="B246" s="31" t="s">
        <v>1940</v>
      </c>
      <c r="C246" s="31" t="s">
        <v>1230</v>
      </c>
      <c r="D246" s="31">
        <f>IFERROR(ROUND(VLOOKUP(A246,institutions!A:E,4,0),2),"")</f>
        <v>2.06</v>
      </c>
      <c r="E246" s="31">
        <f>IFERROR(ROUND(VLOOKUP(A246,institutions!A:X,7,0),2),"")</f>
        <v>1.59</v>
      </c>
      <c r="F246" s="31">
        <f>IFERROR(ROUND(VLOOKUP(A246,institutions!A:X,10,0),2),"")</f>
        <v>2.14</v>
      </c>
      <c r="G246" s="31">
        <f>IFERROR(ROUND(VLOOKUP(A246,institutions!A:X,13,0),2),"")</f>
        <v>1.93</v>
      </c>
      <c r="H246" s="31">
        <f>IFERROR(ROUND(VLOOKUP(A246,institutions!A:X,16,0),2),"")</f>
        <v>4.53</v>
      </c>
      <c r="I246" s="31">
        <f t="shared" si="18"/>
        <v>0.59299999999999997</v>
      </c>
      <c r="J246" s="31">
        <f t="shared" si="19"/>
        <v>0.56299999999999994</v>
      </c>
      <c r="K246" s="31">
        <f t="shared" si="20"/>
        <v>0.78300000000000003</v>
      </c>
      <c r="L246" s="31">
        <f t="shared" si="21"/>
        <v>0.433</v>
      </c>
      <c r="M246" s="31">
        <f t="shared" si="22"/>
        <v>0.92</v>
      </c>
      <c r="N246" t="e">
        <f>VLOOKUP(A246,#REF!,11,0)</f>
        <v>#REF!</v>
      </c>
      <c r="O246" t="e">
        <f>VLOOKUP(A246,#REF!,12,0)</f>
        <v>#REF!</v>
      </c>
      <c r="P246" t="e">
        <f>VLOOKUP(A246,#REF!,13,0)</f>
        <v>#REF!</v>
      </c>
      <c r="Q246" t="e">
        <f>VLOOKUP(A246,#REF!,14,0)</f>
        <v>#REF!</v>
      </c>
      <c r="R246">
        <v>1.2080017064959701</v>
      </c>
      <c r="S246">
        <v>-1.594283456112966E-2</v>
      </c>
      <c r="T246" s="31" t="str">
        <f>VLOOKUP(C246,V:W,2,0)</f>
        <v>CHN</v>
      </c>
      <c r="U246" t="str">
        <f t="shared" si="23"/>
        <v/>
      </c>
    </row>
    <row r="247" spans="1:21" x14ac:dyDescent="0.25">
      <c r="A247" s="31" t="s">
        <v>910</v>
      </c>
      <c r="B247" s="31" t="s">
        <v>1750</v>
      </c>
      <c r="C247" s="31" t="s">
        <v>1230</v>
      </c>
      <c r="D247" s="31">
        <f>IFERROR(ROUND(VLOOKUP(A247,institutions!A:E,4,0),2),"")</f>
        <v>2.02</v>
      </c>
      <c r="E247" s="31">
        <f>IFERROR(ROUND(VLOOKUP(A247,institutions!A:X,7,0),2),"")</f>
        <v>1.92</v>
      </c>
      <c r="F247" s="31">
        <f>IFERROR(ROUND(VLOOKUP(A247,institutions!A:X,10,0),2),"")</f>
        <v>1.21</v>
      </c>
      <c r="G247" s="31">
        <f>IFERROR(ROUND(VLOOKUP(A247,institutions!A:X,13,0),2),"")</f>
        <v>1.8</v>
      </c>
      <c r="H247" s="31">
        <f>IFERROR(ROUND(VLOOKUP(A247,institutions!A:X,16,0),2),"")</f>
        <v>2.13</v>
      </c>
      <c r="I247" s="31">
        <f t="shared" si="18"/>
        <v>0.57799999999999996</v>
      </c>
      <c r="J247" s="31">
        <f t="shared" si="19"/>
        <v>0.72499999999999998</v>
      </c>
      <c r="K247" s="31">
        <f t="shared" si="20"/>
        <v>0.245</v>
      </c>
      <c r="L247" s="31">
        <f t="shared" si="21"/>
        <v>0.36299999999999999</v>
      </c>
      <c r="M247" s="31">
        <f t="shared" si="22"/>
        <v>0.38700000000000001</v>
      </c>
      <c r="N247" t="e">
        <f>VLOOKUP(A247,#REF!,11,0)</f>
        <v>#REF!</v>
      </c>
      <c r="O247" t="e">
        <f>VLOOKUP(A247,#REF!,12,0)</f>
        <v>#REF!</v>
      </c>
      <c r="P247" t="e">
        <f>VLOOKUP(A247,#REF!,13,0)</f>
        <v>#REF!</v>
      </c>
      <c r="Q247" t="e">
        <f>VLOOKUP(A247,#REF!,14,0)</f>
        <v>#REF!</v>
      </c>
      <c r="R247">
        <v>-0.53941517233613823</v>
      </c>
      <c r="S247">
        <v>0.50915183058190938</v>
      </c>
      <c r="T247" s="31" t="str">
        <f>VLOOKUP(C247,V:W,2,0)</f>
        <v>CHN</v>
      </c>
      <c r="U247" t="str">
        <f t="shared" si="23"/>
        <v/>
      </c>
    </row>
    <row r="248" spans="1:21" x14ac:dyDescent="0.25">
      <c r="A248" s="31" t="s">
        <v>1021</v>
      </c>
      <c r="B248" s="31" t="s">
        <v>1578</v>
      </c>
      <c r="C248" s="31" t="s">
        <v>1219</v>
      </c>
      <c r="D248" s="31">
        <f>IFERROR(ROUND(VLOOKUP(A248,institutions!A:E,4,0),2),"")</f>
        <v>2.0099999999999998</v>
      </c>
      <c r="E248" s="31">
        <f>IFERROR(ROUND(VLOOKUP(A248,institutions!A:X,7,0),2),"")</f>
        <v>2.06</v>
      </c>
      <c r="F248" s="31">
        <f>IFERROR(ROUND(VLOOKUP(A248,institutions!A:X,10,0),2),"")</f>
        <v>2.1</v>
      </c>
      <c r="G248" s="31">
        <f>IFERROR(ROUND(VLOOKUP(A248,institutions!A:X,13,0),2),"")</f>
        <v>1.84</v>
      </c>
      <c r="H248" s="31">
        <f>IFERROR(ROUND(VLOOKUP(A248,institutions!A:X,16,0),2),"")</f>
        <v>1.74</v>
      </c>
      <c r="I248" s="31">
        <f t="shared" si="18"/>
        <v>0.57299999999999995</v>
      </c>
      <c r="J248" s="31">
        <f t="shared" si="19"/>
        <v>0.77800000000000002</v>
      </c>
      <c r="K248" s="31">
        <f t="shared" si="20"/>
        <v>0.77200000000000002</v>
      </c>
      <c r="L248" s="31">
        <f t="shared" si="21"/>
        <v>0.38300000000000001</v>
      </c>
      <c r="M248" s="31">
        <f t="shared" si="22"/>
        <v>0.20300000000000001</v>
      </c>
      <c r="N248" t="e">
        <f>VLOOKUP(A248,#REF!,11,0)</f>
        <v>#REF!</v>
      </c>
      <c r="O248" t="e">
        <f>VLOOKUP(A248,#REF!,12,0)</f>
        <v>#REF!</v>
      </c>
      <c r="P248" t="e">
        <f>VLOOKUP(A248,#REF!,13,0)</f>
        <v>#REF!</v>
      </c>
      <c r="Q248" t="e">
        <f>VLOOKUP(A248,#REF!,14,0)</f>
        <v>#REF!</v>
      </c>
      <c r="R248">
        <v>0.14914889704832429</v>
      </c>
      <c r="S248">
        <v>1.647688953484616</v>
      </c>
      <c r="T248" s="31" t="str">
        <f>VLOOKUP(C248,V:W,2,0)</f>
        <v>CHE</v>
      </c>
      <c r="U248" t="str">
        <f t="shared" si="23"/>
        <v/>
      </c>
    </row>
    <row r="249" spans="1:21" x14ac:dyDescent="0.25">
      <c r="A249" s="31" t="s">
        <v>925</v>
      </c>
      <c r="B249" s="31" t="s">
        <v>1581</v>
      </c>
      <c r="C249" s="31" t="s">
        <v>1271</v>
      </c>
      <c r="D249" s="31">
        <f>IFERROR(ROUND(VLOOKUP(A249,institutions!A:E,4,0),2),"")</f>
        <v>2.08</v>
      </c>
      <c r="E249" s="31">
        <f>IFERROR(ROUND(VLOOKUP(A249,institutions!A:X,7,0),2),"")</f>
        <v>1.74</v>
      </c>
      <c r="F249" s="31">
        <f>IFERROR(ROUND(VLOOKUP(A249,institutions!A:X,10,0),2),"")</f>
        <v>1.45</v>
      </c>
      <c r="G249" s="31">
        <f>IFERROR(ROUND(VLOOKUP(A249,institutions!A:X,13,0),2),"")</f>
        <v>3.29</v>
      </c>
      <c r="H249" s="31">
        <f>IFERROR(ROUND(VLOOKUP(A249,institutions!A:X,16,0),2),"")</f>
        <v>2.84</v>
      </c>
      <c r="I249" s="31">
        <f t="shared" si="18"/>
        <v>0.60499999999999998</v>
      </c>
      <c r="J249" s="31">
        <f t="shared" si="19"/>
        <v>0.65700000000000003</v>
      </c>
      <c r="K249" s="31">
        <f t="shared" si="20"/>
        <v>0.48499999999999999</v>
      </c>
      <c r="L249" s="31">
        <f t="shared" si="21"/>
        <v>0.85799999999999998</v>
      </c>
      <c r="M249" s="31">
        <f t="shared" si="22"/>
        <v>0.65</v>
      </c>
      <c r="N249" t="e">
        <f>VLOOKUP(A249,#REF!,11,0)</f>
        <v>#REF!</v>
      </c>
      <c r="O249" t="e">
        <f>VLOOKUP(A249,#REF!,12,0)</f>
        <v>#REF!</v>
      </c>
      <c r="P249" t="e">
        <f>VLOOKUP(A249,#REF!,13,0)</f>
        <v>#REF!</v>
      </c>
      <c r="Q249" t="e">
        <f>VLOOKUP(A249,#REF!,14,0)</f>
        <v>#REF!</v>
      </c>
      <c r="R249">
        <v>1.1202498502547791</v>
      </c>
      <c r="S249">
        <v>-0.5286928602269072</v>
      </c>
      <c r="T249" s="31" t="str">
        <f>VLOOKUP(C249,V:W,2,0)</f>
        <v>DEU</v>
      </c>
      <c r="U249" t="str">
        <f t="shared" si="23"/>
        <v>Cologne</v>
      </c>
    </row>
    <row r="250" spans="1:21" x14ac:dyDescent="0.25">
      <c r="A250" s="31" t="s">
        <v>790</v>
      </c>
      <c r="B250" s="31" t="s">
        <v>1925</v>
      </c>
      <c r="C250" s="31" t="s">
        <v>1217</v>
      </c>
      <c r="D250" s="31">
        <f>IFERROR(ROUND(VLOOKUP(A250,institutions!A:E,4,0),2),"")</f>
        <v>2.0699999999999998</v>
      </c>
      <c r="E250" s="31">
        <f>IFERROR(ROUND(VLOOKUP(A250,institutions!A:X,7,0),2),"")</f>
        <v>1.27</v>
      </c>
      <c r="F250" s="31">
        <f>IFERROR(ROUND(VLOOKUP(A250,institutions!A:X,10,0),2),"")</f>
        <v>1.33</v>
      </c>
      <c r="G250" s="31">
        <f>IFERROR(ROUND(VLOOKUP(A250,institutions!A:X,13,0),2),"")</f>
        <v>3.33</v>
      </c>
      <c r="H250" s="31">
        <f>IFERROR(ROUND(VLOOKUP(A250,institutions!A:X,16,0),2),"")</f>
        <v>5.61</v>
      </c>
      <c r="I250" s="31">
        <f t="shared" si="18"/>
        <v>0.6</v>
      </c>
      <c r="J250" s="31">
        <f t="shared" si="19"/>
        <v>0.24199999999999999</v>
      </c>
      <c r="K250" s="31">
        <f t="shared" si="20"/>
        <v>0.38200000000000001</v>
      </c>
      <c r="L250" s="31">
        <f t="shared" si="21"/>
        <v>0.86699999999999999</v>
      </c>
      <c r="M250" s="31">
        <f t="shared" si="22"/>
        <v>0.96299999999999997</v>
      </c>
      <c r="N250" t="e">
        <f>VLOOKUP(A250,#REF!,11,0)</f>
        <v>#REF!</v>
      </c>
      <c r="O250" t="e">
        <f>VLOOKUP(A250,#REF!,12,0)</f>
        <v>#REF!</v>
      </c>
      <c r="P250" t="e">
        <f>VLOOKUP(A250,#REF!,13,0)</f>
        <v>#REF!</v>
      </c>
      <c r="Q250" t="e">
        <f>VLOOKUP(A250,#REF!,14,0)</f>
        <v>#REF!</v>
      </c>
      <c r="R250">
        <v>0.86159796876640404</v>
      </c>
      <c r="S250">
        <v>-2.0761862867198921</v>
      </c>
      <c r="T250" s="31" t="str">
        <f>VLOOKUP(C250,V:W,2,0)</f>
        <v>USA</v>
      </c>
      <c r="U250" t="str">
        <f t="shared" si="23"/>
        <v/>
      </c>
    </row>
    <row r="251" spans="1:21" x14ac:dyDescent="0.25">
      <c r="A251" s="31" t="s">
        <v>808</v>
      </c>
      <c r="B251" s="31" t="s">
        <v>1895</v>
      </c>
      <c r="C251" s="31" t="s">
        <v>1218</v>
      </c>
      <c r="D251" s="31">
        <f>IFERROR(ROUND(VLOOKUP(A251,institutions!A:E,4,0),2),"")</f>
        <v>2.13</v>
      </c>
      <c r="E251" s="31">
        <f>IFERROR(ROUND(VLOOKUP(A251,institutions!A:X,7,0),2),"")</f>
        <v>1.5</v>
      </c>
      <c r="F251" s="31">
        <f>IFERROR(ROUND(VLOOKUP(A251,institutions!A:X,10,0),2),"")</f>
        <v>1.47</v>
      </c>
      <c r="G251" s="31">
        <f>IFERROR(ROUND(VLOOKUP(A251,institutions!A:X,13,0),2),"")</f>
        <v>2.02</v>
      </c>
      <c r="H251" s="31">
        <f>IFERROR(ROUND(VLOOKUP(A251,institutions!A:X,16,0),2),"")</f>
        <v>2.77</v>
      </c>
      <c r="I251" s="31">
        <f t="shared" si="18"/>
        <v>0.63700000000000001</v>
      </c>
      <c r="J251" s="31">
        <f t="shared" si="19"/>
        <v>0.498</v>
      </c>
      <c r="K251" s="31">
        <f t="shared" si="20"/>
        <v>0.498</v>
      </c>
      <c r="L251" s="31">
        <f t="shared" si="21"/>
        <v>0.47799999999999998</v>
      </c>
      <c r="M251" s="31">
        <f t="shared" si="22"/>
        <v>0.627</v>
      </c>
      <c r="N251" t="e">
        <f>VLOOKUP(A251,#REF!,11,0)</f>
        <v>#REF!</v>
      </c>
      <c r="O251" t="e">
        <f>VLOOKUP(A251,#REF!,12,0)</f>
        <v>#REF!</v>
      </c>
      <c r="P251" t="e">
        <f>VLOOKUP(A251,#REF!,13,0)</f>
        <v>#REF!</v>
      </c>
      <c r="Q251" t="e">
        <f>VLOOKUP(A251,#REF!,14,0)</f>
        <v>#REF!</v>
      </c>
      <c r="R251">
        <v>0.1682949500043659</v>
      </c>
      <c r="S251">
        <v>-0.17969695357326371</v>
      </c>
      <c r="T251" s="31" t="str">
        <f>VLOOKUP(C251,V:W,2,0)</f>
        <v>FRA</v>
      </c>
      <c r="U251" t="str">
        <f t="shared" si="23"/>
        <v>SKEMA BS</v>
      </c>
    </row>
    <row r="252" spans="1:21" x14ac:dyDescent="0.25">
      <c r="A252" s="31" t="s">
        <v>740</v>
      </c>
      <c r="B252" s="31" t="s">
        <v>1566</v>
      </c>
      <c r="C252" s="31" t="s">
        <v>1234</v>
      </c>
      <c r="D252" s="31">
        <f>IFERROR(ROUND(VLOOKUP(A252,institutions!A:E,4,0),2),"")</f>
        <v>2.06</v>
      </c>
      <c r="E252" s="31">
        <f>IFERROR(ROUND(VLOOKUP(A252,institutions!A:X,7,0),2),"")</f>
        <v>1.1399999999999999</v>
      </c>
      <c r="F252" s="31">
        <f>IFERROR(ROUND(VLOOKUP(A252,institutions!A:X,10,0),2),"")</f>
        <v>1.43</v>
      </c>
      <c r="G252" s="31">
        <f>IFERROR(ROUND(VLOOKUP(A252,institutions!A:X,13,0),2),"")</f>
        <v>2.52</v>
      </c>
      <c r="H252" s="31">
        <f>IFERROR(ROUND(VLOOKUP(A252,institutions!A:X,16,0),2),"")</f>
        <v>3.42</v>
      </c>
      <c r="I252" s="31">
        <f t="shared" si="18"/>
        <v>0.59299999999999997</v>
      </c>
      <c r="J252" s="31">
        <f t="shared" si="19"/>
        <v>8.7999999999999995E-2</v>
      </c>
      <c r="K252" s="31">
        <f t="shared" si="20"/>
        <v>0.47299999999999998</v>
      </c>
      <c r="L252" s="31">
        <f t="shared" si="21"/>
        <v>0.7</v>
      </c>
      <c r="M252" s="31">
        <f t="shared" si="22"/>
        <v>0.77300000000000002</v>
      </c>
      <c r="N252" t="e">
        <f>VLOOKUP(A252,#REF!,11,0)</f>
        <v>#REF!</v>
      </c>
      <c r="O252" t="e">
        <f>VLOOKUP(A252,#REF!,12,0)</f>
        <v>#REF!</v>
      </c>
      <c r="P252" t="e">
        <f>VLOOKUP(A252,#REF!,13,0)</f>
        <v>#REF!</v>
      </c>
      <c r="Q252" t="e">
        <f>VLOOKUP(A252,#REF!,14,0)</f>
        <v>#REF!</v>
      </c>
      <c r="R252">
        <v>0.12949009933144609</v>
      </c>
      <c r="S252">
        <v>-1.6930181980309951</v>
      </c>
      <c r="T252" s="31" t="str">
        <f>VLOOKUP(C252,V:W,2,0)</f>
        <v>UK</v>
      </c>
      <c r="U252" t="str">
        <f t="shared" si="23"/>
        <v/>
      </c>
    </row>
    <row r="253" spans="1:21" x14ac:dyDescent="0.25">
      <c r="A253" s="31" t="s">
        <v>876</v>
      </c>
      <c r="B253" s="31" t="s">
        <v>1570</v>
      </c>
      <c r="C253" s="31" t="s">
        <v>1216</v>
      </c>
      <c r="D253" s="31">
        <f>IFERROR(ROUND(VLOOKUP(A253,institutions!A:E,4,0),2),"")</f>
        <v>2.06</v>
      </c>
      <c r="E253" s="31">
        <f>IFERROR(ROUND(VLOOKUP(A253,institutions!A:X,7,0),2),"")</f>
        <v>1.64</v>
      </c>
      <c r="F253" s="31">
        <f>IFERROR(ROUND(VLOOKUP(A253,institutions!A:X,10,0),2),"")</f>
        <v>1.57</v>
      </c>
      <c r="G253" s="31">
        <f>IFERROR(ROUND(VLOOKUP(A253,institutions!A:X,13,0),2),"")</f>
        <v>2.34</v>
      </c>
      <c r="H253" s="31">
        <f>IFERROR(ROUND(VLOOKUP(A253,institutions!A:X,16,0),2),"")</f>
        <v>3.32</v>
      </c>
      <c r="I253" s="31">
        <f t="shared" si="18"/>
        <v>0.59299999999999997</v>
      </c>
      <c r="J253" s="31">
        <f t="shared" si="19"/>
        <v>0.59199999999999997</v>
      </c>
      <c r="K253" s="31">
        <f t="shared" si="20"/>
        <v>0.56799999999999995</v>
      </c>
      <c r="L253" s="31">
        <f t="shared" si="21"/>
        <v>0.61199999999999999</v>
      </c>
      <c r="M253" s="31">
        <f t="shared" si="22"/>
        <v>0.74199999999999999</v>
      </c>
      <c r="N253" t="e">
        <f>VLOOKUP(A253,#REF!,11,0)</f>
        <v>#REF!</v>
      </c>
      <c r="O253" t="e">
        <f>VLOOKUP(A253,#REF!,12,0)</f>
        <v>#REF!</v>
      </c>
      <c r="P253" t="e">
        <f>VLOOKUP(A253,#REF!,13,0)</f>
        <v>#REF!</v>
      </c>
      <c r="Q253" t="e">
        <f>VLOOKUP(A253,#REF!,14,0)</f>
        <v>#REF!</v>
      </c>
      <c r="R253">
        <v>0.88512488386626886</v>
      </c>
      <c r="S253">
        <v>-0.28277492526340942</v>
      </c>
      <c r="T253" s="31" t="str">
        <f>VLOOKUP(C253,V:W,2,0)</f>
        <v>UK</v>
      </c>
      <c r="U253" t="str">
        <f t="shared" si="23"/>
        <v/>
      </c>
    </row>
    <row r="254" spans="1:21" x14ac:dyDescent="0.25">
      <c r="A254" s="31" t="s">
        <v>962</v>
      </c>
      <c r="B254" s="31" t="s">
        <v>962</v>
      </c>
      <c r="C254" s="31" t="s">
        <v>1271</v>
      </c>
      <c r="D254" s="31">
        <f>IFERROR(ROUND(VLOOKUP(A254,institutions!A:E,4,0),2),"")</f>
        <v>1.97</v>
      </c>
      <c r="E254" s="31">
        <f>IFERROR(ROUND(VLOOKUP(A254,institutions!A:X,7,0),2),"")</f>
        <v>1.68</v>
      </c>
      <c r="F254" s="31">
        <f>IFERROR(ROUND(VLOOKUP(A254,institutions!A:X,10,0),2),"")</f>
        <v>1.86</v>
      </c>
      <c r="G254" s="31" t="str">
        <f>IFERROR(ROUND(VLOOKUP(A254,institutions!A:X,13,0),2),"")</f>
        <v/>
      </c>
      <c r="H254" s="31" t="str">
        <f>IFERROR(ROUND(VLOOKUP(A254,institutions!A:X,16,0),2),"")</f>
        <v/>
      </c>
      <c r="I254" s="31">
        <f t="shared" si="18"/>
        <v>0.54300000000000004</v>
      </c>
      <c r="J254" s="31">
        <f t="shared" si="19"/>
        <v>0.62</v>
      </c>
      <c r="K254" s="31">
        <f t="shared" si="20"/>
        <v>0.69699999999999995</v>
      </c>
      <c r="L254" s="31">
        <f t="shared" si="21"/>
        <v>0</v>
      </c>
      <c r="M254" s="31">
        <f t="shared" si="22"/>
        <v>0</v>
      </c>
      <c r="N254">
        <v>1</v>
      </c>
      <c r="O254" t="e">
        <f>VLOOKUP(A254,#REF!,12,0)</f>
        <v>#REF!</v>
      </c>
      <c r="P254" t="e">
        <f>VLOOKUP(A254,#REF!,13,0)</f>
        <v>#REF!</v>
      </c>
      <c r="Q254" t="e">
        <f>VLOOKUP(A254,#REF!,14,0)</f>
        <v>#REF!</v>
      </c>
      <c r="R254">
        <v>-1.2819604304108121</v>
      </c>
      <c r="S254">
        <v>2.1612658841393499</v>
      </c>
      <c r="T254" s="31" t="str">
        <f>VLOOKUP(C254,V:W,2,0)</f>
        <v>DEU</v>
      </c>
      <c r="U254" t="str">
        <f t="shared" si="23"/>
        <v>Deutsche Bundesbank</v>
      </c>
    </row>
    <row r="255" spans="1:21" x14ac:dyDescent="0.25">
      <c r="A255" s="31" t="s">
        <v>899</v>
      </c>
      <c r="B255" s="31" t="s">
        <v>1573</v>
      </c>
      <c r="C255" s="31" t="s">
        <v>1217</v>
      </c>
      <c r="D255" s="31">
        <f>IFERROR(ROUND(VLOOKUP(A255,institutions!A:E,4,0),2),"")</f>
        <v>1.96</v>
      </c>
      <c r="E255" s="31">
        <f>IFERROR(ROUND(VLOOKUP(A255,institutions!A:X,7,0),2),"")</f>
        <v>1.39</v>
      </c>
      <c r="F255" s="31">
        <f>IFERROR(ROUND(VLOOKUP(A255,institutions!A:X,10,0),2),"")</f>
        <v>1.7</v>
      </c>
      <c r="G255" s="31">
        <f>IFERROR(ROUND(VLOOKUP(A255,institutions!A:X,13,0),2),"")</f>
        <v>2.5</v>
      </c>
      <c r="H255" s="31">
        <f>IFERROR(ROUND(VLOOKUP(A255,institutions!A:X,16,0),2),"")</f>
        <v>2.81</v>
      </c>
      <c r="I255" s="31">
        <f t="shared" si="18"/>
        <v>0.53700000000000003</v>
      </c>
      <c r="J255" s="31">
        <f t="shared" si="19"/>
        <v>0.39200000000000002</v>
      </c>
      <c r="K255" s="31">
        <f t="shared" si="20"/>
        <v>0.63300000000000001</v>
      </c>
      <c r="L255" s="31">
        <f t="shared" si="21"/>
        <v>0.69499999999999995</v>
      </c>
      <c r="M255" s="31">
        <f t="shared" si="22"/>
        <v>0.64200000000000002</v>
      </c>
      <c r="N255" t="e">
        <f>VLOOKUP(A255,#REF!,11,0)</f>
        <v>#REF!</v>
      </c>
      <c r="O255" t="e">
        <f>VLOOKUP(A255,#REF!,12,0)</f>
        <v>#REF!</v>
      </c>
      <c r="P255" t="e">
        <f>VLOOKUP(A255,#REF!,13,0)</f>
        <v>#REF!</v>
      </c>
      <c r="Q255" t="e">
        <f>VLOOKUP(A255,#REF!,14,0)</f>
        <v>#REF!</v>
      </c>
      <c r="R255">
        <v>0.64373563032227854</v>
      </c>
      <c r="S255">
        <v>-0.59494208478905719</v>
      </c>
      <c r="T255" s="31" t="str">
        <f>VLOOKUP(C255,V:W,2,0)</f>
        <v>USA</v>
      </c>
      <c r="U255" t="str">
        <f t="shared" si="23"/>
        <v/>
      </c>
    </row>
    <row r="256" spans="1:21" x14ac:dyDescent="0.25">
      <c r="A256" s="31" t="s">
        <v>755</v>
      </c>
      <c r="B256" s="31" t="s">
        <v>1746</v>
      </c>
      <c r="C256" s="31" t="s">
        <v>1216</v>
      </c>
      <c r="D256" s="31">
        <f>IFERROR(ROUND(VLOOKUP(A256,institutions!A:E,4,0),2),"")</f>
        <v>2.04</v>
      </c>
      <c r="E256" s="31">
        <f>IFERROR(ROUND(VLOOKUP(A256,institutions!A:X,7,0),2),"")</f>
        <v>1.44</v>
      </c>
      <c r="F256" s="31">
        <f>IFERROR(ROUND(VLOOKUP(A256,institutions!A:X,10,0),2),"")</f>
        <v>1.3</v>
      </c>
      <c r="G256" s="31">
        <f>IFERROR(ROUND(VLOOKUP(A256,institutions!A:X,13,0),2),"")</f>
        <v>2.4900000000000002</v>
      </c>
      <c r="H256" s="31">
        <f>IFERROR(ROUND(VLOOKUP(A256,institutions!A:X,16,0),2),"")</f>
        <v>3.06</v>
      </c>
      <c r="I256" s="31">
        <f t="shared" si="18"/>
        <v>0.58499999999999996</v>
      </c>
      <c r="J256" s="31">
        <f t="shared" si="19"/>
        <v>0.44800000000000001</v>
      </c>
      <c r="K256" s="31">
        <f t="shared" si="20"/>
        <v>0.34699999999999998</v>
      </c>
      <c r="L256" s="31">
        <f t="shared" si="21"/>
        <v>0.68799999999999994</v>
      </c>
      <c r="M256" s="31">
        <f t="shared" si="22"/>
        <v>0.69299999999999995</v>
      </c>
      <c r="N256" t="e">
        <f>VLOOKUP(A256,#REF!,11,0)</f>
        <v>#REF!</v>
      </c>
      <c r="O256" t="e">
        <f>VLOOKUP(A256,#REF!,12,0)</f>
        <v>#REF!</v>
      </c>
      <c r="P256" t="e">
        <f>VLOOKUP(A256,#REF!,13,0)</f>
        <v>#REF!</v>
      </c>
      <c r="Q256" t="e">
        <f>VLOOKUP(A256,#REF!,14,0)</f>
        <v>#REF!</v>
      </c>
      <c r="R256">
        <v>0.32432407616011211</v>
      </c>
      <c r="S256">
        <v>-0.96075192411640087</v>
      </c>
      <c r="T256" s="31" t="str">
        <f>VLOOKUP(C256,V:W,2,0)</f>
        <v>UK</v>
      </c>
      <c r="U256" t="str">
        <f t="shared" si="23"/>
        <v/>
      </c>
    </row>
    <row r="257" spans="1:21" x14ac:dyDescent="0.25">
      <c r="A257" s="31" t="s">
        <v>841</v>
      </c>
      <c r="B257" s="31" t="s">
        <v>1752</v>
      </c>
      <c r="C257" s="31" t="s">
        <v>1217</v>
      </c>
      <c r="D257" s="31">
        <f>IFERROR(ROUND(VLOOKUP(A257,institutions!A:E,4,0),2),"")</f>
        <v>1.97</v>
      </c>
      <c r="E257" s="31">
        <f>IFERROR(ROUND(VLOOKUP(A257,institutions!A:X,7,0),2),"")</f>
        <v>1.31</v>
      </c>
      <c r="F257" s="31">
        <f>IFERROR(ROUND(VLOOKUP(A257,institutions!A:X,10,0),2),"")</f>
        <v>1.71</v>
      </c>
      <c r="G257" s="31">
        <f>IFERROR(ROUND(VLOOKUP(A257,institutions!A:X,13,0),2),"")</f>
        <v>2.56</v>
      </c>
      <c r="H257" s="31">
        <f>IFERROR(ROUND(VLOOKUP(A257,institutions!A:X,16,0),2),"")</f>
        <v>2.21</v>
      </c>
      <c r="I257" s="31">
        <f t="shared" si="18"/>
        <v>0.54300000000000004</v>
      </c>
      <c r="J257" s="31">
        <f t="shared" si="19"/>
        <v>0.29799999999999999</v>
      </c>
      <c r="K257" s="31">
        <f t="shared" si="20"/>
        <v>0.64500000000000002</v>
      </c>
      <c r="L257" s="31">
        <f t="shared" si="21"/>
        <v>0.71199999999999997</v>
      </c>
      <c r="M257" s="31">
        <f t="shared" si="22"/>
        <v>0.42699999999999999</v>
      </c>
      <c r="N257" t="e">
        <f>VLOOKUP(A257,#REF!,11,0)</f>
        <v>#REF!</v>
      </c>
      <c r="O257" t="e">
        <f>VLOOKUP(A257,#REF!,12,0)</f>
        <v>#REF!</v>
      </c>
      <c r="P257" t="e">
        <f>VLOOKUP(A257,#REF!,13,0)</f>
        <v>#REF!</v>
      </c>
      <c r="Q257" t="e">
        <f>VLOOKUP(A257,#REF!,14,0)</f>
        <v>#REF!</v>
      </c>
      <c r="R257">
        <v>0.1559205237257052</v>
      </c>
      <c r="S257">
        <v>-0.46551790690087802</v>
      </c>
      <c r="T257" s="31" t="str">
        <f>VLOOKUP(C257,V:W,2,0)</f>
        <v>USA</v>
      </c>
      <c r="U257" t="str">
        <f t="shared" si="23"/>
        <v/>
      </c>
    </row>
    <row r="258" spans="1:21" x14ac:dyDescent="0.25">
      <c r="A258" s="31" t="s">
        <v>907</v>
      </c>
      <c r="B258" s="31" t="s">
        <v>2089</v>
      </c>
      <c r="C258" s="31" t="s">
        <v>1217</v>
      </c>
      <c r="D258" s="31">
        <f>IFERROR(ROUND(VLOOKUP(A258,institutions!A:E,4,0),2),"")</f>
        <v>2.08</v>
      </c>
      <c r="E258" s="31">
        <f>IFERROR(ROUND(VLOOKUP(A258,institutions!A:X,7,0),2),"")</f>
        <v>2.0699999999999998</v>
      </c>
      <c r="F258" s="31">
        <f>IFERROR(ROUND(VLOOKUP(A258,institutions!A:X,10,0),2),"")</f>
        <v>1.97</v>
      </c>
      <c r="G258" s="31">
        <f>IFERROR(ROUND(VLOOKUP(A258,institutions!A:X,13,0),2),"")</f>
        <v>1.75</v>
      </c>
      <c r="H258" s="31">
        <f>IFERROR(ROUND(VLOOKUP(A258,institutions!A:X,16,0),2),"")</f>
        <v>2.46</v>
      </c>
      <c r="I258" s="31">
        <f t="shared" si="18"/>
        <v>0.60499999999999998</v>
      </c>
      <c r="J258" s="31">
        <f t="shared" si="19"/>
        <v>0.78500000000000003</v>
      </c>
      <c r="K258" s="31">
        <f t="shared" si="20"/>
        <v>0.74</v>
      </c>
      <c r="L258" s="31">
        <f t="shared" si="21"/>
        <v>0.33700000000000002</v>
      </c>
      <c r="M258" s="31">
        <f t="shared" si="22"/>
        <v>0.53</v>
      </c>
      <c r="N258" t="e">
        <f>VLOOKUP(A258,#REF!,11,0)</f>
        <v>#REF!</v>
      </c>
      <c r="O258" t="e">
        <f>VLOOKUP(A258,#REF!,12,0)</f>
        <v>#REF!</v>
      </c>
      <c r="P258" t="e">
        <f>VLOOKUP(A258,#REF!,13,0)</f>
        <v>#REF!</v>
      </c>
      <c r="Q258" t="e">
        <f>VLOOKUP(A258,#REF!,14,0)</f>
        <v>#REF!</v>
      </c>
      <c r="R258">
        <v>0.61409608465196608</v>
      </c>
      <c r="S258">
        <v>1.1740607710385209</v>
      </c>
      <c r="T258" s="31" t="str">
        <f>VLOOKUP(C258,V:W,2,0)</f>
        <v>USA</v>
      </c>
      <c r="U258" t="str">
        <f t="shared" si="23"/>
        <v/>
      </c>
    </row>
    <row r="259" spans="1:21" x14ac:dyDescent="0.25">
      <c r="A259" s="31" t="s">
        <v>724</v>
      </c>
      <c r="B259" s="31" t="s">
        <v>1562</v>
      </c>
      <c r="C259" s="31" t="s">
        <v>1225</v>
      </c>
      <c r="D259" s="31">
        <f>IFERROR(ROUND(VLOOKUP(A259,institutions!A:E,4,0),2),"")</f>
        <v>2.11</v>
      </c>
      <c r="E259" s="31">
        <f>IFERROR(ROUND(VLOOKUP(A259,institutions!A:X,7,0),2),"")</f>
        <v>1.19</v>
      </c>
      <c r="F259" s="31">
        <f>IFERROR(ROUND(VLOOKUP(A259,institutions!A:X,10,0),2),"")</f>
        <v>1.33</v>
      </c>
      <c r="G259" s="31">
        <f>IFERROR(ROUND(VLOOKUP(A259,institutions!A:X,13,0),2),"")</f>
        <v>2.2000000000000002</v>
      </c>
      <c r="H259" s="31">
        <f>IFERROR(ROUND(VLOOKUP(A259,institutions!A:X,16,0),2),"")</f>
        <v>3.56</v>
      </c>
      <c r="I259" s="31">
        <f t="shared" si="18"/>
        <v>0.625</v>
      </c>
      <c r="J259" s="31">
        <f t="shared" si="19"/>
        <v>0.13500000000000001</v>
      </c>
      <c r="K259" s="31">
        <f t="shared" si="20"/>
        <v>0.38200000000000001</v>
      </c>
      <c r="L259" s="31">
        <f t="shared" si="21"/>
        <v>0.55200000000000005</v>
      </c>
      <c r="M259" s="31">
        <f t="shared" si="22"/>
        <v>0.80700000000000005</v>
      </c>
      <c r="N259" t="e">
        <f>VLOOKUP(A259,#REF!,11,0)</f>
        <v>#REF!</v>
      </c>
      <c r="O259" t="e">
        <f>VLOOKUP(A259,#REF!,12,0)</f>
        <v>#REF!</v>
      </c>
      <c r="P259" t="e">
        <f>VLOOKUP(A259,#REF!,13,0)</f>
        <v>#REF!</v>
      </c>
      <c r="Q259" t="e">
        <f>VLOOKUP(A259,#REF!,14,0)</f>
        <v>#REF!</v>
      </c>
      <c r="R259">
        <v>-0.1535356171798295</v>
      </c>
      <c r="S259">
        <v>-1.532414555594265</v>
      </c>
      <c r="T259" s="31" t="str">
        <f>VLOOKUP(C259,V:W,2,0)</f>
        <v>FIN</v>
      </c>
      <c r="U259" t="str">
        <f t="shared" si="23"/>
        <v/>
      </c>
    </row>
    <row r="260" spans="1:21" x14ac:dyDescent="0.25">
      <c r="A260" s="31" t="s">
        <v>974</v>
      </c>
      <c r="B260" s="31" t="s">
        <v>1939</v>
      </c>
      <c r="C260" s="31" t="s">
        <v>1237</v>
      </c>
      <c r="D260" s="31">
        <f>IFERROR(ROUND(VLOOKUP(A260,institutions!A:E,4,0),2),"")</f>
        <v>1.97</v>
      </c>
      <c r="E260" s="31">
        <f>IFERROR(ROUND(VLOOKUP(A260,institutions!A:X,7,0),2),"")</f>
        <v>1.89</v>
      </c>
      <c r="F260" s="31">
        <f>IFERROR(ROUND(VLOOKUP(A260,institutions!A:X,10,0),2),"")</f>
        <v>1.43</v>
      </c>
      <c r="G260" s="31">
        <f>IFERROR(ROUND(VLOOKUP(A260,institutions!A:X,13,0),2),"")</f>
        <v>2.14</v>
      </c>
      <c r="H260" s="31">
        <f>IFERROR(ROUND(VLOOKUP(A260,institutions!A:X,16,0),2),"")</f>
        <v>2.59</v>
      </c>
      <c r="I260" s="31">
        <f t="shared" ref="I260:I323" si="24">ROUND(IFERROR((601-_xlfn.RANK.EQ(D260,D:D))/600,0),3)</f>
        <v>0.54300000000000004</v>
      </c>
      <c r="J260" s="31">
        <f t="shared" ref="J260:J323" si="25">ROUND(IFERROR((601-IFERROR(_xlfn.RANK.EQ(E260,E:E),""))/600,0),3)</f>
        <v>0.72199999999999998</v>
      </c>
      <c r="K260" s="31">
        <f t="shared" ref="K260:K323" si="26">ROUND(IFERROR((601-IFERROR(_xlfn.RANK.EQ(F260,F:F),""))/600,0),3)</f>
        <v>0.47299999999999998</v>
      </c>
      <c r="L260" s="31">
        <f t="shared" ref="L260:L323" si="27">ROUND(IFERROR((601-IFERROR(_xlfn.RANK.EQ(G260,G:G),""))/600,0),3)</f>
        <v>0.53200000000000003</v>
      </c>
      <c r="M260" s="31">
        <f t="shared" ref="M260:M323" si="28">ROUND(IFERROR((601-IFERROR(_xlfn.RANK.EQ(H260,H:H),""))/600,0),3)</f>
        <v>0.57799999999999996</v>
      </c>
      <c r="N260" t="e">
        <f>VLOOKUP(A260,#REF!,11,0)</f>
        <v>#REF!</v>
      </c>
      <c r="O260" t="e">
        <f>VLOOKUP(A260,#REF!,12,0)</f>
        <v>#REF!</v>
      </c>
      <c r="P260" t="e">
        <f>VLOOKUP(A260,#REF!,13,0)</f>
        <v>#REF!</v>
      </c>
      <c r="Q260" t="e">
        <f>VLOOKUP(A260,#REF!,14,0)</f>
        <v>#REF!</v>
      </c>
      <c r="R260">
        <v>0.49186809304444779</v>
      </c>
      <c r="S260">
        <v>0.24999455037354901</v>
      </c>
      <c r="T260" s="31" t="str">
        <f>VLOOKUP(C260,V:W,2,0)</f>
        <v>AUS</v>
      </c>
      <c r="U260" t="str">
        <f t="shared" ref="U260:U323" si="29">IF(T260=T$1,B260,IF(T260=T$2,B260,IF(T260=U$1,B260,"")))</f>
        <v/>
      </c>
    </row>
    <row r="261" spans="1:21" x14ac:dyDescent="0.25">
      <c r="A261" s="31" t="s">
        <v>744</v>
      </c>
      <c r="B261" s="31" t="s">
        <v>744</v>
      </c>
      <c r="C261" s="31" t="s">
        <v>1218</v>
      </c>
      <c r="D261" s="31">
        <f>IFERROR(ROUND(VLOOKUP(A261,institutions!A:E,4,0),2),"")</f>
        <v>2.0699999999999998</v>
      </c>
      <c r="E261" s="31">
        <f>IFERROR(ROUND(VLOOKUP(A261,institutions!A:X,7,0),2),"")</f>
        <v>1.17</v>
      </c>
      <c r="F261" s="31">
        <f>IFERROR(ROUND(VLOOKUP(A261,institutions!A:X,10,0),2),"")</f>
        <v>1.4</v>
      </c>
      <c r="G261" s="31">
        <f>IFERROR(ROUND(VLOOKUP(A261,institutions!A:X,13,0),2),"")</f>
        <v>2.77</v>
      </c>
      <c r="H261" s="31">
        <f>IFERROR(ROUND(VLOOKUP(A261,institutions!A:X,16,0),2),"")</f>
        <v>2.46</v>
      </c>
      <c r="I261" s="31">
        <f t="shared" si="24"/>
        <v>0.6</v>
      </c>
      <c r="J261" s="31">
        <f t="shared" si="25"/>
        <v>0.11700000000000001</v>
      </c>
      <c r="K261" s="31">
        <f t="shared" si="26"/>
        <v>0.44</v>
      </c>
      <c r="L261" s="31">
        <f t="shared" si="27"/>
        <v>0.76700000000000002</v>
      </c>
      <c r="M261" s="31">
        <f t="shared" si="28"/>
        <v>0.53</v>
      </c>
      <c r="N261" t="e">
        <f>VLOOKUP(A261,#REF!,11,0)</f>
        <v>#REF!</v>
      </c>
      <c r="O261" t="e">
        <f>VLOOKUP(A261,#REF!,12,0)</f>
        <v>#REF!</v>
      </c>
      <c r="P261" t="e">
        <f>VLOOKUP(A261,#REF!,13,0)</f>
        <v>#REF!</v>
      </c>
      <c r="Q261" t="e">
        <f>VLOOKUP(A261,#REF!,14,0)</f>
        <v>#REF!</v>
      </c>
      <c r="R261">
        <v>-0.1997327233555039</v>
      </c>
      <c r="S261">
        <v>-1.4053196096799949</v>
      </c>
      <c r="T261" s="31" t="str">
        <f>VLOOKUP(C261,V:W,2,0)</f>
        <v>FRA</v>
      </c>
      <c r="U261" t="str">
        <f t="shared" si="29"/>
        <v>Audencia</v>
      </c>
    </row>
    <row r="262" spans="1:21" x14ac:dyDescent="0.25">
      <c r="A262" s="31" t="s">
        <v>2111</v>
      </c>
      <c r="B262" s="31" t="s">
        <v>2112</v>
      </c>
      <c r="C262" s="31" t="s">
        <v>1218</v>
      </c>
      <c r="D262" s="31">
        <f>IFERROR(ROUND(VLOOKUP(A262,institutions!A:E,4,0),2),"")</f>
        <v>1.27</v>
      </c>
      <c r="E262" s="31">
        <f>IFERROR(ROUND(VLOOKUP(A262,institutions!A:X,7,0),2),"")</f>
        <v>1.28</v>
      </c>
      <c r="F262" s="31" t="str">
        <f>IFERROR(ROUND(VLOOKUP(A262,institutions!A:X,10,0),2),"")</f>
        <v/>
      </c>
      <c r="G262" s="31">
        <f>IFERROR(ROUND(VLOOKUP(A262,institutions!A:X,13,0),2),"")</f>
        <v>1.92</v>
      </c>
      <c r="H262" s="31">
        <f>IFERROR(ROUND(VLOOKUP(A262,institutions!A:X,16,0),2),"")</f>
        <v>3.58</v>
      </c>
      <c r="I262" s="31">
        <f t="shared" si="24"/>
        <v>6.2E-2</v>
      </c>
      <c r="J262" s="31">
        <f t="shared" si="25"/>
        <v>0.253</v>
      </c>
      <c r="K262" s="31">
        <f t="shared" si="26"/>
        <v>0</v>
      </c>
      <c r="L262" s="31">
        <f t="shared" si="27"/>
        <v>0.42699999999999999</v>
      </c>
      <c r="M262" s="31">
        <f t="shared" si="28"/>
        <v>0.81</v>
      </c>
      <c r="N262" t="e">
        <f>VLOOKUP(A262,#REF!,11,0)</f>
        <v>#REF!</v>
      </c>
      <c r="O262" t="e">
        <f>VLOOKUP(A262,#REF!,12,0)</f>
        <v>#REF!</v>
      </c>
      <c r="P262" t="e">
        <f>VLOOKUP(A262,#REF!,13,0)</f>
        <v>#REF!</v>
      </c>
      <c r="Q262" t="e">
        <f>VLOOKUP(A262,#REF!,14,0)</f>
        <v>#REF!</v>
      </c>
      <c r="R262">
        <v>-0.83505220881457043</v>
      </c>
      <c r="S262">
        <v>-1.632789377833064</v>
      </c>
      <c r="T262" s="31" t="str">
        <f>VLOOKUP(C262,V:W,2,0)</f>
        <v>FRA</v>
      </c>
      <c r="U262" t="str">
        <f t="shared" si="29"/>
        <v>UGA</v>
      </c>
    </row>
    <row r="263" spans="1:21" x14ac:dyDescent="0.25">
      <c r="A263" s="31" t="s">
        <v>959</v>
      </c>
      <c r="B263" s="31" t="s">
        <v>1729</v>
      </c>
      <c r="C263" s="31" t="s">
        <v>1224</v>
      </c>
      <c r="D263" s="31">
        <f>IFERROR(ROUND(VLOOKUP(A263,institutions!A:E,4,0),2),"")</f>
        <v>2</v>
      </c>
      <c r="E263" s="31">
        <f>IFERROR(ROUND(VLOOKUP(A263,institutions!A:X,7,0),2),"")</f>
        <v>2.12</v>
      </c>
      <c r="F263" s="31">
        <f>IFERROR(ROUND(VLOOKUP(A263,institutions!A:X,10,0),2),"")</f>
        <v>1.23</v>
      </c>
      <c r="G263" s="31">
        <f>IFERROR(ROUND(VLOOKUP(A263,institutions!A:X,13,0),2),"")</f>
        <v>1.81</v>
      </c>
      <c r="H263" s="31">
        <f>IFERROR(ROUND(VLOOKUP(A263,institutions!A:X,16,0),2),"")</f>
        <v>2.27</v>
      </c>
      <c r="I263" s="31">
        <f t="shared" si="24"/>
        <v>0.56499999999999995</v>
      </c>
      <c r="J263" s="31">
        <f t="shared" si="25"/>
        <v>0.8</v>
      </c>
      <c r="K263" s="31">
        <f t="shared" si="26"/>
        <v>0.26800000000000002</v>
      </c>
      <c r="L263" s="31">
        <f t="shared" si="27"/>
        <v>0.37</v>
      </c>
      <c r="M263" s="31">
        <f t="shared" si="28"/>
        <v>0.45800000000000002</v>
      </c>
      <c r="N263" t="e">
        <f>VLOOKUP(A263,#REF!,11,0)</f>
        <v>#REF!</v>
      </c>
      <c r="O263" t="e">
        <f>VLOOKUP(A263,#REF!,12,0)</f>
        <v>#REF!</v>
      </c>
      <c r="P263" t="e">
        <f>VLOOKUP(A263,#REF!,13,0)</f>
        <v>#REF!</v>
      </c>
      <c r="Q263" t="e">
        <f>VLOOKUP(A263,#REF!,14,0)</f>
        <v>#REF!</v>
      </c>
      <c r="R263">
        <v>-0.2394132841188352</v>
      </c>
      <c r="S263">
        <v>0.57849582411859291</v>
      </c>
      <c r="T263" s="31" t="str">
        <f>VLOOKUP(C263,V:W,2,0)</f>
        <v>CAN</v>
      </c>
      <c r="U263" t="str">
        <f t="shared" si="29"/>
        <v/>
      </c>
    </row>
    <row r="264" spans="1:21" x14ac:dyDescent="0.25">
      <c r="A264" s="31" t="s">
        <v>993</v>
      </c>
      <c r="B264" s="31" t="s">
        <v>1736</v>
      </c>
      <c r="C264" s="31" t="s">
        <v>1249</v>
      </c>
      <c r="D264" s="31">
        <f>IFERROR(ROUND(VLOOKUP(A264,institutions!A:E,4,0),2),"")</f>
        <v>1.96</v>
      </c>
      <c r="E264" s="31">
        <f>IFERROR(ROUND(VLOOKUP(A264,institutions!A:X,7,0),2),"")</f>
        <v>1.93</v>
      </c>
      <c r="F264" s="31">
        <f>IFERROR(ROUND(VLOOKUP(A264,institutions!A:X,10,0),2),"")</f>
        <v>1.28</v>
      </c>
      <c r="G264" s="31">
        <f>IFERROR(ROUND(VLOOKUP(A264,institutions!A:X,13,0),2),"")</f>
        <v>1.29</v>
      </c>
      <c r="H264" s="31">
        <f>IFERROR(ROUND(VLOOKUP(A264,institutions!A:X,16,0),2),"")</f>
        <v>1.22</v>
      </c>
      <c r="I264" s="31">
        <f t="shared" si="24"/>
        <v>0.53700000000000003</v>
      </c>
      <c r="J264" s="31">
        <f t="shared" si="25"/>
        <v>0.73199999999999998</v>
      </c>
      <c r="K264" s="31">
        <f t="shared" si="26"/>
        <v>0.32800000000000001</v>
      </c>
      <c r="L264" s="31">
        <f t="shared" si="27"/>
        <v>0.11799999999999999</v>
      </c>
      <c r="M264" s="31">
        <f t="shared" si="28"/>
        <v>5.5E-2</v>
      </c>
      <c r="N264" t="e">
        <f>VLOOKUP(A264,#REF!,11,0)</f>
        <v>#REF!</v>
      </c>
      <c r="O264" t="e">
        <f>VLOOKUP(A264,#REF!,12,0)</f>
        <v>#REF!</v>
      </c>
      <c r="P264" t="e">
        <f>VLOOKUP(A264,#REF!,13,0)</f>
        <v>#REF!</v>
      </c>
      <c r="Q264" t="e">
        <f>VLOOKUP(A264,#REF!,14,0)</f>
        <v>#REF!</v>
      </c>
      <c r="R264">
        <v>-1.4232476312444069</v>
      </c>
      <c r="S264">
        <v>1.5796539184734659</v>
      </c>
      <c r="T264" s="31" t="str">
        <f>VLOOKUP(C264,V:W,2,0)</f>
        <v>CZE</v>
      </c>
      <c r="U264" t="str">
        <f t="shared" si="29"/>
        <v/>
      </c>
    </row>
    <row r="265" spans="1:21" x14ac:dyDescent="0.25">
      <c r="A265" s="31" t="s">
        <v>840</v>
      </c>
      <c r="B265" s="31" t="s">
        <v>1935</v>
      </c>
      <c r="C265" s="31" t="s">
        <v>1224</v>
      </c>
      <c r="D265" s="31">
        <f>IFERROR(ROUND(VLOOKUP(A265,institutions!A:E,4,0),2),"")</f>
        <v>2.0099999999999998</v>
      </c>
      <c r="E265" s="31">
        <f>IFERROR(ROUND(VLOOKUP(A265,institutions!A:X,7,0),2),"")</f>
        <v>1.65</v>
      </c>
      <c r="F265" s="31">
        <f>IFERROR(ROUND(VLOOKUP(A265,institutions!A:X,10,0),2),"")</f>
        <v>2.31</v>
      </c>
      <c r="G265" s="31">
        <f>IFERROR(ROUND(VLOOKUP(A265,institutions!A:X,13,0),2),"")</f>
        <v>2.02</v>
      </c>
      <c r="H265" s="31">
        <f>IFERROR(ROUND(VLOOKUP(A265,institutions!A:X,16,0),2),"")</f>
        <v>2.1800000000000002</v>
      </c>
      <c r="I265" s="31">
        <f t="shared" si="24"/>
        <v>0.57299999999999995</v>
      </c>
      <c r="J265" s="31">
        <f t="shared" si="25"/>
        <v>0.60799999999999998</v>
      </c>
      <c r="K265" s="31">
        <f t="shared" si="26"/>
        <v>0.80700000000000005</v>
      </c>
      <c r="L265" s="31">
        <f t="shared" si="27"/>
        <v>0.47799999999999998</v>
      </c>
      <c r="M265" s="31">
        <f t="shared" si="28"/>
        <v>0.41</v>
      </c>
      <c r="N265" t="e">
        <f>VLOOKUP(A265,#REF!,11,0)</f>
        <v>#REF!</v>
      </c>
      <c r="O265" t="e">
        <f>VLOOKUP(A265,#REF!,12,0)</f>
        <v>#REF!</v>
      </c>
      <c r="P265" t="e">
        <f>VLOOKUP(A265,#REF!,13,0)</f>
        <v>#REF!</v>
      </c>
      <c r="Q265" t="e">
        <f>VLOOKUP(A265,#REF!,14,0)</f>
        <v>#REF!</v>
      </c>
      <c r="R265">
        <v>0.48032560230207211</v>
      </c>
      <c r="S265">
        <v>0.84900468473966384</v>
      </c>
      <c r="T265" s="31" t="str">
        <f>VLOOKUP(C265,V:W,2,0)</f>
        <v>CAN</v>
      </c>
      <c r="U265" t="str">
        <f t="shared" si="29"/>
        <v/>
      </c>
    </row>
    <row r="266" spans="1:21" x14ac:dyDescent="0.25">
      <c r="A266" s="31" t="s">
        <v>871</v>
      </c>
      <c r="B266" s="31" t="s">
        <v>1934</v>
      </c>
      <c r="C266" s="31" t="s">
        <v>1244</v>
      </c>
      <c r="D266" s="31">
        <f>IFERROR(ROUND(VLOOKUP(A266,institutions!A:E,4,0),2),"")</f>
        <v>2.0099999999999998</v>
      </c>
      <c r="E266" s="31">
        <f>IFERROR(ROUND(VLOOKUP(A266,institutions!A:X,7,0),2),"")</f>
        <v>2.5499999999999998</v>
      </c>
      <c r="F266" s="31">
        <f>IFERROR(ROUND(VLOOKUP(A266,institutions!A:X,10,0),2),"")</f>
        <v>1.48</v>
      </c>
      <c r="G266" s="31">
        <f>IFERROR(ROUND(VLOOKUP(A266,institutions!A:X,13,0),2),"")</f>
        <v>1.32</v>
      </c>
      <c r="H266" s="31">
        <f>IFERROR(ROUND(VLOOKUP(A266,institutions!A:X,16,0),2),"")</f>
        <v>1.91</v>
      </c>
      <c r="I266" s="31">
        <f t="shared" si="24"/>
        <v>0.57299999999999995</v>
      </c>
      <c r="J266" s="31">
        <f t="shared" si="25"/>
        <v>0.873</v>
      </c>
      <c r="K266" s="31">
        <f t="shared" si="26"/>
        <v>0.50700000000000001</v>
      </c>
      <c r="L266" s="31">
        <f t="shared" si="27"/>
        <v>0.13</v>
      </c>
      <c r="M266" s="31">
        <f t="shared" si="28"/>
        <v>0.29499999999999998</v>
      </c>
      <c r="N266" t="e">
        <f>VLOOKUP(A266,#REF!,11,0)</f>
        <v>#REF!</v>
      </c>
      <c r="O266" t="e">
        <f>VLOOKUP(A266,#REF!,12,0)</f>
        <v>#REF!</v>
      </c>
      <c r="P266" t="e">
        <f>VLOOKUP(A266,#REF!,13,0)</f>
        <v>#REF!</v>
      </c>
      <c r="Q266" t="e">
        <f>VLOOKUP(A266,#REF!,14,0)</f>
        <v>#REF!</v>
      </c>
      <c r="R266">
        <v>-0.43701474226498699</v>
      </c>
      <c r="S266">
        <v>1.7405483761279259</v>
      </c>
      <c r="T266" s="31" t="str">
        <f>VLOOKUP(C266,V:W,2,0)</f>
        <v>PAK</v>
      </c>
      <c r="U266" t="str">
        <f t="shared" si="29"/>
        <v/>
      </c>
    </row>
    <row r="267" spans="1:21" x14ac:dyDescent="0.25">
      <c r="A267" s="31" t="s">
        <v>758</v>
      </c>
      <c r="B267" s="31" t="s">
        <v>1897</v>
      </c>
      <c r="C267" s="31" t="s">
        <v>1218</v>
      </c>
      <c r="D267" s="31">
        <f>IFERROR(ROUND(VLOOKUP(A267,institutions!A:E,4,0),2),"")</f>
        <v>2.0299999999999998</v>
      </c>
      <c r="E267" s="31">
        <f>IFERROR(ROUND(VLOOKUP(A267,institutions!A:X,7,0),2),"")</f>
        <v>1.51</v>
      </c>
      <c r="F267" s="31">
        <f>IFERROR(ROUND(VLOOKUP(A267,institutions!A:X,10,0),2),"")</f>
        <v>1.41</v>
      </c>
      <c r="G267" s="31">
        <f>IFERROR(ROUND(VLOOKUP(A267,institutions!A:X,13,0),2),"")</f>
        <v>2.5</v>
      </c>
      <c r="H267" s="31">
        <f>IFERROR(ROUND(VLOOKUP(A267,institutions!A:X,16,0),2),"")</f>
        <v>2.66</v>
      </c>
      <c r="I267" s="31">
        <f t="shared" si="24"/>
        <v>0.58199999999999996</v>
      </c>
      <c r="J267" s="31">
        <f t="shared" si="25"/>
        <v>0.50800000000000001</v>
      </c>
      <c r="K267" s="31">
        <f t="shared" si="26"/>
        <v>0.45300000000000001</v>
      </c>
      <c r="L267" s="31">
        <f t="shared" si="27"/>
        <v>0.69499999999999995</v>
      </c>
      <c r="M267" s="31">
        <f t="shared" si="28"/>
        <v>0.59799999999999998</v>
      </c>
      <c r="N267" t="e">
        <f>VLOOKUP(A267,#REF!,11,0)</f>
        <v>#REF!</v>
      </c>
      <c r="O267" t="e">
        <f>VLOOKUP(A267,#REF!,12,0)</f>
        <v>#REF!</v>
      </c>
      <c r="P267" t="e">
        <f>VLOOKUP(A267,#REF!,13,0)</f>
        <v>#REF!</v>
      </c>
      <c r="Q267" t="e">
        <f>VLOOKUP(A267,#REF!,14,0)</f>
        <v>#REF!</v>
      </c>
      <c r="R267">
        <v>0.44235276147013108</v>
      </c>
      <c r="S267">
        <v>-0.53937226141815597</v>
      </c>
      <c r="T267" s="31" t="str">
        <f>VLOOKUP(C267,V:W,2,0)</f>
        <v>FRA</v>
      </c>
      <c r="U267" t="str">
        <f t="shared" si="29"/>
        <v>Montpellier BS</v>
      </c>
    </row>
    <row r="268" spans="1:21" x14ac:dyDescent="0.25">
      <c r="A268" s="31" t="s">
        <v>799</v>
      </c>
      <c r="B268" s="31" t="s">
        <v>1588</v>
      </c>
      <c r="C268" s="31" t="s">
        <v>1271</v>
      </c>
      <c r="D268" s="31">
        <f>IFERROR(ROUND(VLOOKUP(A268,institutions!A:E,4,0),2),"")</f>
        <v>1.99</v>
      </c>
      <c r="E268" s="31">
        <f>IFERROR(ROUND(VLOOKUP(A268,institutions!A:X,7,0),2),"")</f>
        <v>1.32</v>
      </c>
      <c r="F268" s="31">
        <f>IFERROR(ROUND(VLOOKUP(A268,institutions!A:X,10,0),2),"")</f>
        <v>1.25</v>
      </c>
      <c r="G268" s="31">
        <f>IFERROR(ROUND(VLOOKUP(A268,institutions!A:X,13,0),2),"")</f>
        <v>3.42</v>
      </c>
      <c r="H268" s="31">
        <f>IFERROR(ROUND(VLOOKUP(A268,institutions!A:X,16,0),2),"")</f>
        <v>2.1</v>
      </c>
      <c r="I268" s="31">
        <f t="shared" si="24"/>
        <v>0.55300000000000005</v>
      </c>
      <c r="J268" s="31">
        <f t="shared" si="25"/>
        <v>0.31</v>
      </c>
      <c r="K268" s="31">
        <f t="shared" si="26"/>
        <v>0.29699999999999999</v>
      </c>
      <c r="L268" s="31">
        <f t="shared" si="27"/>
        <v>0.88</v>
      </c>
      <c r="M268" s="31">
        <f t="shared" si="28"/>
        <v>0.373</v>
      </c>
      <c r="N268">
        <v>1</v>
      </c>
      <c r="O268" t="e">
        <f>VLOOKUP(A268,#REF!,12,0)</f>
        <v>#REF!</v>
      </c>
      <c r="P268" t="e">
        <f>VLOOKUP(A268,#REF!,13,0)</f>
        <v>#REF!</v>
      </c>
      <c r="Q268" t="e">
        <f>VLOOKUP(A268,#REF!,14,0)</f>
        <v>#REF!</v>
      </c>
      <c r="R268">
        <v>-0.21708374718576109</v>
      </c>
      <c r="S268">
        <v>-1.140529540716487</v>
      </c>
      <c r="T268" s="31" t="str">
        <f>VLOOKUP(C268,V:W,2,0)</f>
        <v>DEU</v>
      </c>
      <c r="U268" t="str">
        <f t="shared" si="29"/>
        <v>Munster</v>
      </c>
    </row>
    <row r="269" spans="1:21" x14ac:dyDescent="0.25">
      <c r="A269" s="31" t="s">
        <v>991</v>
      </c>
      <c r="B269" s="31" t="s">
        <v>1732</v>
      </c>
      <c r="C269" s="31" t="s">
        <v>1229</v>
      </c>
      <c r="D269" s="31">
        <f>IFERROR(ROUND(VLOOKUP(A269,institutions!A:E,4,0),2),"")</f>
        <v>2</v>
      </c>
      <c r="E269" s="31">
        <f>IFERROR(ROUND(VLOOKUP(A269,institutions!A:X,7,0),2),"")</f>
        <v>2.3199999999999998</v>
      </c>
      <c r="F269" s="31">
        <f>IFERROR(ROUND(VLOOKUP(A269,institutions!A:X,10,0),2),"")</f>
        <v>1.1000000000000001</v>
      </c>
      <c r="G269" s="31">
        <f>IFERROR(ROUND(VLOOKUP(A269,institutions!A:X,13,0),2),"")</f>
        <v>1.61</v>
      </c>
      <c r="H269" s="31">
        <f>IFERROR(ROUND(VLOOKUP(A269,institutions!A:X,16,0),2),"")</f>
        <v>2.0699999999999998</v>
      </c>
      <c r="I269" s="31">
        <f t="shared" si="24"/>
        <v>0.56499999999999995</v>
      </c>
      <c r="J269" s="31">
        <f t="shared" si="25"/>
        <v>0.84</v>
      </c>
      <c r="K269" s="31">
        <f t="shared" si="26"/>
        <v>0.127</v>
      </c>
      <c r="L269" s="31">
        <f t="shared" si="27"/>
        <v>0.247</v>
      </c>
      <c r="M269" s="31">
        <f t="shared" si="28"/>
        <v>0.35799999999999998</v>
      </c>
      <c r="N269" t="e">
        <f>VLOOKUP(A269,#REF!,11,0)</f>
        <v>#REF!</v>
      </c>
      <c r="O269" t="e">
        <f>VLOOKUP(A269,#REF!,12,0)</f>
        <v>#REF!</v>
      </c>
      <c r="P269" t="e">
        <f>VLOOKUP(A269,#REF!,13,0)</f>
        <v>#REF!</v>
      </c>
      <c r="Q269" t="e">
        <f>VLOOKUP(A269,#REF!,14,0)</f>
        <v>#REF!</v>
      </c>
      <c r="R269">
        <v>-0.81642687808112635</v>
      </c>
      <c r="S269">
        <v>0.82228041712003019</v>
      </c>
      <c r="T269" s="31" t="str">
        <f>VLOOKUP(C269,V:W,2,0)</f>
        <v>SWE</v>
      </c>
      <c r="U269" t="str">
        <f t="shared" si="29"/>
        <v/>
      </c>
    </row>
    <row r="270" spans="1:21" x14ac:dyDescent="0.25">
      <c r="A270" s="31" t="s">
        <v>746</v>
      </c>
      <c r="B270" s="31" t="s">
        <v>2079</v>
      </c>
      <c r="C270" s="31" t="s">
        <v>1233</v>
      </c>
      <c r="D270" s="31">
        <f>IFERROR(ROUND(VLOOKUP(A270,institutions!A:E,4,0),2),"")</f>
        <v>1.98</v>
      </c>
      <c r="E270" s="31">
        <f>IFERROR(ROUND(VLOOKUP(A270,institutions!A:X,7,0),2),"")</f>
        <v>1.07</v>
      </c>
      <c r="F270" s="31" t="str">
        <f>IFERROR(ROUND(VLOOKUP(A270,institutions!A:X,10,0),2),"")</f>
        <v/>
      </c>
      <c r="G270" s="31">
        <f>IFERROR(ROUND(VLOOKUP(A270,institutions!A:X,13,0),2),"")</f>
        <v>2.23</v>
      </c>
      <c r="H270" s="31">
        <f>IFERROR(ROUND(VLOOKUP(A270,institutions!A:X,16,0),2),"")</f>
        <v>2.4900000000000002</v>
      </c>
      <c r="I270" s="31">
        <f t="shared" si="24"/>
        <v>0.55000000000000004</v>
      </c>
      <c r="J270" s="31">
        <f t="shared" si="25"/>
        <v>3.2000000000000001E-2</v>
      </c>
      <c r="K270" s="31">
        <f t="shared" si="26"/>
        <v>0</v>
      </c>
      <c r="L270" s="31">
        <f t="shared" si="27"/>
        <v>0.56299999999999994</v>
      </c>
      <c r="M270" s="31">
        <f t="shared" si="28"/>
        <v>0.54500000000000004</v>
      </c>
      <c r="N270" t="e">
        <f>VLOOKUP(A270,#REF!,11,0)</f>
        <v>#REF!</v>
      </c>
      <c r="O270" t="e">
        <f>VLOOKUP(A270,#REF!,12,0)</f>
        <v>#REF!</v>
      </c>
      <c r="P270" t="e">
        <f>VLOOKUP(A270,#REF!,13,0)</f>
        <v>#REF!</v>
      </c>
      <c r="Q270" t="e">
        <f>VLOOKUP(A270,#REF!,14,0)</f>
        <v>#REF!</v>
      </c>
      <c r="R270">
        <v>-1.424462162990469</v>
      </c>
      <c r="S270">
        <v>-1.9109793890261011</v>
      </c>
      <c r="T270" s="31" t="str">
        <f>VLOOKUP(C270,V:W,2,0)</f>
        <v>NED</v>
      </c>
      <c r="U270" t="str">
        <f t="shared" si="29"/>
        <v/>
      </c>
    </row>
    <row r="271" spans="1:21" x14ac:dyDescent="0.25">
      <c r="A271" s="31" t="s">
        <v>858</v>
      </c>
      <c r="B271" s="31" t="s">
        <v>1571</v>
      </c>
      <c r="C271" s="31" t="s">
        <v>1271</v>
      </c>
      <c r="D271" s="31">
        <f>IFERROR(ROUND(VLOOKUP(A271,institutions!A:E,4,0),2),"")</f>
        <v>2.0499999999999998</v>
      </c>
      <c r="E271" s="31">
        <f>IFERROR(ROUND(VLOOKUP(A271,institutions!A:X,7,0),2),"")</f>
        <v>1.39</v>
      </c>
      <c r="F271" s="31">
        <f>IFERROR(ROUND(VLOOKUP(A271,institutions!A:X,10,0),2),"")</f>
        <v>1.33</v>
      </c>
      <c r="G271" s="31">
        <f>IFERROR(ROUND(VLOOKUP(A271,institutions!A:X,13,0),2),"")</f>
        <v>3.34</v>
      </c>
      <c r="H271" s="31">
        <f>IFERROR(ROUND(VLOOKUP(A271,institutions!A:X,16,0),2),"")</f>
        <v>4.2</v>
      </c>
      <c r="I271" s="31">
        <f t="shared" si="24"/>
        <v>0.58699999999999997</v>
      </c>
      <c r="J271" s="31">
        <f t="shared" si="25"/>
        <v>0.39200000000000002</v>
      </c>
      <c r="K271" s="31">
        <f t="shared" si="26"/>
        <v>0.38200000000000001</v>
      </c>
      <c r="L271" s="31">
        <f t="shared" si="27"/>
        <v>0.86799999999999999</v>
      </c>
      <c r="M271" s="31">
        <f t="shared" si="28"/>
        <v>0.89200000000000002</v>
      </c>
      <c r="N271" t="e">
        <f>VLOOKUP(A271,#REF!,11,0)</f>
        <v>#REF!</v>
      </c>
      <c r="O271" t="e">
        <f>VLOOKUP(A271,#REF!,12,0)</f>
        <v>#REF!</v>
      </c>
      <c r="P271" t="e">
        <f>VLOOKUP(A271,#REF!,13,0)</f>
        <v>#REF!</v>
      </c>
      <c r="Q271" t="e">
        <f>VLOOKUP(A271,#REF!,14,0)</f>
        <v>#REF!</v>
      </c>
      <c r="R271">
        <v>0.97515992841472476</v>
      </c>
      <c r="S271">
        <v>-1.6449357216523279</v>
      </c>
      <c r="T271" s="31" t="str">
        <f>VLOOKUP(C271,V:W,2,0)</f>
        <v>DEU</v>
      </c>
      <c r="U271" t="str">
        <f t="shared" si="29"/>
        <v>Hamburg</v>
      </c>
    </row>
    <row r="272" spans="1:21" x14ac:dyDescent="0.25">
      <c r="A272" s="31" t="s">
        <v>733</v>
      </c>
      <c r="B272" s="31" t="s">
        <v>2087</v>
      </c>
      <c r="C272" s="31" t="s">
        <v>1217</v>
      </c>
      <c r="D272" s="31">
        <f>IFERROR(ROUND(VLOOKUP(A272,institutions!A:E,4,0),2),"")</f>
        <v>2.08</v>
      </c>
      <c r="E272" s="31">
        <f>IFERROR(ROUND(VLOOKUP(A272,institutions!A:X,7,0),2),"")</f>
        <v>1.03</v>
      </c>
      <c r="F272" s="31">
        <f>IFERROR(ROUND(VLOOKUP(A272,institutions!A:X,10,0),2),"")</f>
        <v>2.04</v>
      </c>
      <c r="G272" s="31">
        <f>IFERROR(ROUND(VLOOKUP(A272,institutions!A:X,13,0),2),"")</f>
        <v>2.19</v>
      </c>
      <c r="H272" s="31">
        <f>IFERROR(ROUND(VLOOKUP(A272,institutions!A:X,16,0),2),"")</f>
        <v>2.4</v>
      </c>
      <c r="I272" s="31">
        <f t="shared" si="24"/>
        <v>0.60499999999999998</v>
      </c>
      <c r="J272" s="31">
        <f t="shared" si="25"/>
        <v>0.02</v>
      </c>
      <c r="K272" s="31">
        <f t="shared" si="26"/>
        <v>0.752</v>
      </c>
      <c r="L272" s="31">
        <f t="shared" si="27"/>
        <v>0.54800000000000004</v>
      </c>
      <c r="M272" s="31">
        <f t="shared" si="28"/>
        <v>0.503</v>
      </c>
      <c r="N272" t="e">
        <f>VLOOKUP(A272,#REF!,11,0)</f>
        <v>#REF!</v>
      </c>
      <c r="O272" t="e">
        <f>VLOOKUP(A272,#REF!,12,0)</f>
        <v>#REF!</v>
      </c>
      <c r="P272" t="e">
        <f>VLOOKUP(A272,#REF!,13,0)</f>
        <v>#REF!</v>
      </c>
      <c r="Q272" t="e">
        <f>VLOOKUP(A272,#REF!,14,0)</f>
        <v>#REF!</v>
      </c>
      <c r="R272">
        <v>-0.26153101199458367</v>
      </c>
      <c r="S272">
        <v>-0.75075226450264099</v>
      </c>
      <c r="T272" s="31" t="str">
        <f>VLOOKUP(C272,V:W,2,0)</f>
        <v>USA</v>
      </c>
      <c r="U272" t="str">
        <f t="shared" si="29"/>
        <v/>
      </c>
    </row>
    <row r="273" spans="1:21" x14ac:dyDescent="0.25">
      <c r="A273" s="31" t="s">
        <v>802</v>
      </c>
      <c r="B273" s="31" t="s">
        <v>1596</v>
      </c>
      <c r="C273" s="31" t="s">
        <v>1234</v>
      </c>
      <c r="D273" s="31">
        <f>IFERROR(ROUND(VLOOKUP(A273,institutions!A:E,4,0),2),"")</f>
        <v>2.04</v>
      </c>
      <c r="E273" s="31">
        <f>IFERROR(ROUND(VLOOKUP(A273,institutions!A:X,7,0),2),"")</f>
        <v>1.62</v>
      </c>
      <c r="F273" s="31">
        <f>IFERROR(ROUND(VLOOKUP(A273,institutions!A:X,10,0),2),"")</f>
        <v>1.58</v>
      </c>
      <c r="G273" s="31">
        <f>IFERROR(ROUND(VLOOKUP(A273,institutions!A:X,13,0),2),"")</f>
        <v>2.2599999999999998</v>
      </c>
      <c r="H273" s="31">
        <f>IFERROR(ROUND(VLOOKUP(A273,institutions!A:X,16,0),2),"")</f>
        <v>2.5299999999999998</v>
      </c>
      <c r="I273" s="31">
        <f t="shared" si="24"/>
        <v>0.58499999999999996</v>
      </c>
      <c r="J273" s="31">
        <f t="shared" si="25"/>
        <v>0.57999999999999996</v>
      </c>
      <c r="K273" s="31">
        <f t="shared" si="26"/>
        <v>0.57799999999999996</v>
      </c>
      <c r="L273" s="31">
        <f t="shared" si="27"/>
        <v>0.58499999999999996</v>
      </c>
      <c r="M273" s="31">
        <f t="shared" si="28"/>
        <v>0.55800000000000005</v>
      </c>
      <c r="N273" t="e">
        <f>VLOOKUP(A273,#REF!,11,0)</f>
        <v>#REF!</v>
      </c>
      <c r="O273" t="e">
        <f>VLOOKUP(A273,#REF!,12,0)</f>
        <v>#REF!</v>
      </c>
      <c r="P273" t="e">
        <f>VLOOKUP(A273,#REF!,13,0)</f>
        <v>#REF!</v>
      </c>
      <c r="Q273" t="e">
        <f>VLOOKUP(A273,#REF!,14,0)</f>
        <v>#REF!</v>
      </c>
      <c r="R273">
        <v>0.50253902695382535</v>
      </c>
      <c r="S273">
        <v>4.2978344031500887E-2</v>
      </c>
      <c r="T273" s="31" t="str">
        <f>VLOOKUP(C273,V:W,2,0)</f>
        <v>UK</v>
      </c>
      <c r="U273" t="str">
        <f t="shared" si="29"/>
        <v/>
      </c>
    </row>
    <row r="274" spans="1:21" x14ac:dyDescent="0.25">
      <c r="A274" s="31" t="s">
        <v>767</v>
      </c>
      <c r="B274" s="31" t="s">
        <v>1742</v>
      </c>
      <c r="C274" s="31" t="s">
        <v>1216</v>
      </c>
      <c r="D274" s="31">
        <f>IFERROR(ROUND(VLOOKUP(A274,institutions!A:E,4,0),2),"")</f>
        <v>2.02</v>
      </c>
      <c r="E274" s="31">
        <f>IFERROR(ROUND(VLOOKUP(A274,institutions!A:X,7,0),2),"")</f>
        <v>1.22</v>
      </c>
      <c r="F274" s="31">
        <f>IFERROR(ROUND(VLOOKUP(A274,institutions!A:X,10,0),2),"")</f>
        <v>1.24</v>
      </c>
      <c r="G274" s="31">
        <f>IFERROR(ROUND(VLOOKUP(A274,institutions!A:X,13,0),2),"")</f>
        <v>2.5499999999999998</v>
      </c>
      <c r="H274" s="31">
        <f>IFERROR(ROUND(VLOOKUP(A274,institutions!A:X,16,0),2),"")</f>
        <v>2.67</v>
      </c>
      <c r="I274" s="31">
        <f t="shared" si="24"/>
        <v>0.57799999999999996</v>
      </c>
      <c r="J274" s="31">
        <f t="shared" si="25"/>
        <v>0.18</v>
      </c>
      <c r="K274" s="31">
        <f t="shared" si="26"/>
        <v>0.27800000000000002</v>
      </c>
      <c r="L274" s="31">
        <f t="shared" si="27"/>
        <v>0.71</v>
      </c>
      <c r="M274" s="31">
        <f t="shared" si="28"/>
        <v>0.60199999999999998</v>
      </c>
      <c r="N274" t="e">
        <f>VLOOKUP(A274,#REF!,11,0)</f>
        <v>#REF!</v>
      </c>
      <c r="O274" t="e">
        <f>VLOOKUP(A274,#REF!,12,0)</f>
        <v>#REF!</v>
      </c>
      <c r="P274" t="e">
        <f>VLOOKUP(A274,#REF!,13,0)</f>
        <v>#REF!</v>
      </c>
      <c r="Q274" t="e">
        <f>VLOOKUP(A274,#REF!,14,0)</f>
        <v>#REF!</v>
      </c>
      <c r="R274">
        <v>-0.34741580731880911</v>
      </c>
      <c r="S274">
        <v>-1.52575066567523</v>
      </c>
      <c r="T274" s="31" t="str">
        <f>VLOOKUP(C274,V:W,2,0)</f>
        <v>UK</v>
      </c>
      <c r="U274" t="str">
        <f t="shared" si="29"/>
        <v/>
      </c>
    </row>
    <row r="275" spans="1:21" x14ac:dyDescent="0.25">
      <c r="A275" s="31" t="s">
        <v>1149</v>
      </c>
      <c r="B275" s="31" t="s">
        <v>1962</v>
      </c>
      <c r="C275" s="31" t="s">
        <v>1218</v>
      </c>
      <c r="D275" s="31">
        <f>IFERROR(ROUND(VLOOKUP(A275,institutions!A:E,4,0),2),"")</f>
        <v>1.85</v>
      </c>
      <c r="E275" s="31">
        <f>IFERROR(ROUND(VLOOKUP(A275,institutions!A:X,7,0),2),"")</f>
        <v>1.82</v>
      </c>
      <c r="F275" s="31">
        <f>IFERROR(ROUND(VLOOKUP(A275,institutions!A:X,10,0),2),"")</f>
        <v>1.52</v>
      </c>
      <c r="G275" s="31" t="str">
        <f>IFERROR(ROUND(VLOOKUP(A275,institutions!A:X,13,0),2),"")</f>
        <v/>
      </c>
      <c r="H275" s="31" t="str">
        <f>IFERROR(ROUND(VLOOKUP(A275,institutions!A:X,16,0),2),"")</f>
        <v/>
      </c>
      <c r="I275" s="31">
        <f t="shared" si="24"/>
        <v>0.46800000000000003</v>
      </c>
      <c r="J275" s="31">
        <f t="shared" si="25"/>
        <v>0.69199999999999995</v>
      </c>
      <c r="K275" s="31">
        <f t="shared" si="26"/>
        <v>0.54300000000000004</v>
      </c>
      <c r="L275" s="31">
        <f t="shared" si="27"/>
        <v>0</v>
      </c>
      <c r="M275" s="31">
        <f t="shared" si="28"/>
        <v>0</v>
      </c>
      <c r="N275" t="e">
        <f>VLOOKUP(A275,#REF!,11,0)</f>
        <v>#REF!</v>
      </c>
      <c r="O275" t="e">
        <f>VLOOKUP(A275,#REF!,12,0)</f>
        <v>#REF!</v>
      </c>
      <c r="P275" t="e">
        <f>VLOOKUP(A275,#REF!,13,0)</f>
        <v>#REF!</v>
      </c>
      <c r="Q275" t="e">
        <f>VLOOKUP(A275,#REF!,14,0)</f>
        <v>#REF!</v>
      </c>
      <c r="R275">
        <v>-1.4298636598843391</v>
      </c>
      <c r="S275">
        <v>2.0909246000409389</v>
      </c>
      <c r="T275" s="31" t="str">
        <f>VLOOKUP(C275,V:W,2,0)</f>
        <v>FRA</v>
      </c>
      <c r="U275" t="str">
        <f t="shared" si="29"/>
        <v>Lyon 1</v>
      </c>
    </row>
    <row r="276" spans="1:21" x14ac:dyDescent="0.25">
      <c r="A276" s="31" t="s">
        <v>816</v>
      </c>
      <c r="B276" s="31" t="s">
        <v>1587</v>
      </c>
      <c r="C276" s="31" t="s">
        <v>1216</v>
      </c>
      <c r="D276" s="31">
        <f>IFERROR(ROUND(VLOOKUP(A276,institutions!A:E,4,0),2),"")</f>
        <v>1.98</v>
      </c>
      <c r="E276" s="31">
        <f>IFERROR(ROUND(VLOOKUP(A276,institutions!A:X,7,0),2),"")</f>
        <v>1.65</v>
      </c>
      <c r="F276" s="31">
        <f>IFERROR(ROUND(VLOOKUP(A276,institutions!A:X,10,0),2),"")</f>
        <v>1.28</v>
      </c>
      <c r="G276" s="31">
        <f>IFERROR(ROUND(VLOOKUP(A276,institutions!A:X,13,0),2),"")</f>
        <v>2.2799999999999998</v>
      </c>
      <c r="H276" s="31">
        <f>IFERROR(ROUND(VLOOKUP(A276,institutions!A:X,16,0),2),"")</f>
        <v>2.82</v>
      </c>
      <c r="I276" s="31">
        <f t="shared" si="24"/>
        <v>0.55000000000000004</v>
      </c>
      <c r="J276" s="31">
        <f t="shared" si="25"/>
        <v>0.60799999999999998</v>
      </c>
      <c r="K276" s="31">
        <f t="shared" si="26"/>
        <v>0.32800000000000001</v>
      </c>
      <c r="L276" s="31">
        <f t="shared" si="27"/>
        <v>0.59299999999999997</v>
      </c>
      <c r="M276" s="31">
        <f t="shared" si="28"/>
        <v>0.64300000000000002</v>
      </c>
      <c r="N276" t="e">
        <f>VLOOKUP(A276,#REF!,11,0)</f>
        <v>#REF!</v>
      </c>
      <c r="O276" t="e">
        <f>VLOOKUP(A276,#REF!,12,0)</f>
        <v>#REF!</v>
      </c>
      <c r="P276" t="e">
        <f>VLOOKUP(A276,#REF!,13,0)</f>
        <v>#REF!</v>
      </c>
      <c r="Q276" t="e">
        <f>VLOOKUP(A276,#REF!,14,0)</f>
        <v>#REF!</v>
      </c>
      <c r="R276">
        <v>0.2880046697178818</v>
      </c>
      <c r="S276">
        <v>-0.4091564200881555</v>
      </c>
      <c r="T276" s="31" t="str">
        <f>VLOOKUP(C276,V:W,2,0)</f>
        <v>UK</v>
      </c>
      <c r="U276" t="str">
        <f t="shared" si="29"/>
        <v/>
      </c>
    </row>
    <row r="277" spans="1:21" x14ac:dyDescent="0.25">
      <c r="A277" s="31" t="s">
        <v>831</v>
      </c>
      <c r="B277" s="31" t="s">
        <v>1933</v>
      </c>
      <c r="C277" s="31" t="s">
        <v>1271</v>
      </c>
      <c r="D277" s="31">
        <f>IFERROR(ROUND(VLOOKUP(A277,institutions!A:E,4,0),2),"")</f>
        <v>2.02</v>
      </c>
      <c r="E277" s="31">
        <f>IFERROR(ROUND(VLOOKUP(A277,institutions!A:X,7,0),2),"")</f>
        <v>1.6</v>
      </c>
      <c r="F277" s="31">
        <f>IFERROR(ROUND(VLOOKUP(A277,institutions!A:X,10,0),2),"")</f>
        <v>1.17</v>
      </c>
      <c r="G277" s="31">
        <f>IFERROR(ROUND(VLOOKUP(A277,institutions!A:X,13,0),2),"")</f>
        <v>2.4500000000000002</v>
      </c>
      <c r="H277" s="31">
        <f>IFERROR(ROUND(VLOOKUP(A277,institutions!A:X,16,0),2),"")</f>
        <v>2.73</v>
      </c>
      <c r="I277" s="31">
        <f t="shared" si="24"/>
        <v>0.57799999999999996</v>
      </c>
      <c r="J277" s="31">
        <f t="shared" si="25"/>
        <v>0.56799999999999995</v>
      </c>
      <c r="K277" s="31">
        <f t="shared" si="26"/>
        <v>0.193</v>
      </c>
      <c r="L277" s="31">
        <f t="shared" si="27"/>
        <v>0.66800000000000004</v>
      </c>
      <c r="M277" s="31">
        <f t="shared" si="28"/>
        <v>0.622</v>
      </c>
      <c r="N277" t="e">
        <f>VLOOKUP(A277,#REF!,11,0)</f>
        <v>#REF!</v>
      </c>
      <c r="O277" t="e">
        <f>VLOOKUP(A277,#REF!,12,0)</f>
        <v>#REF!</v>
      </c>
      <c r="P277" t="e">
        <f>VLOOKUP(A277,#REF!,13,0)</f>
        <v>#REF!</v>
      </c>
      <c r="Q277" t="e">
        <f>VLOOKUP(A277,#REF!,14,0)</f>
        <v>#REF!</v>
      </c>
      <c r="R277">
        <v>8.9305428813751975E-2</v>
      </c>
      <c r="S277">
        <v>-0.78266101437532964</v>
      </c>
      <c r="T277" s="31" t="str">
        <f>VLOOKUP(C277,V:W,2,0)</f>
        <v>DEU</v>
      </c>
      <c r="U277" t="str">
        <f t="shared" si="29"/>
        <v>Tech Dresden</v>
      </c>
    </row>
    <row r="278" spans="1:21" x14ac:dyDescent="0.25">
      <c r="A278" s="31" t="s">
        <v>852</v>
      </c>
      <c r="B278" s="31" t="s">
        <v>2084</v>
      </c>
      <c r="C278" s="31" t="s">
        <v>1217</v>
      </c>
      <c r="D278" s="31">
        <f>IFERROR(ROUND(VLOOKUP(A278,institutions!A:E,4,0),2),"")</f>
        <v>2.0099999999999998</v>
      </c>
      <c r="E278" s="31">
        <f>IFERROR(ROUND(VLOOKUP(A278,institutions!A:X,7,0),2),"")</f>
        <v>1.41</v>
      </c>
      <c r="F278" s="31">
        <f>IFERROR(ROUND(VLOOKUP(A278,institutions!A:X,10,0),2),"")</f>
        <v>1.95</v>
      </c>
      <c r="G278" s="31">
        <f>IFERROR(ROUND(VLOOKUP(A278,institutions!A:X,13,0),2),"")</f>
        <v>2.46</v>
      </c>
      <c r="H278" s="31">
        <f>IFERROR(ROUND(VLOOKUP(A278,institutions!A:X,16,0),2),"")</f>
        <v>2.48</v>
      </c>
      <c r="I278" s="31">
        <f t="shared" si="24"/>
        <v>0.57299999999999995</v>
      </c>
      <c r="J278" s="31">
        <f t="shared" si="25"/>
        <v>0.42199999999999999</v>
      </c>
      <c r="K278" s="31">
        <f t="shared" si="26"/>
        <v>0.72</v>
      </c>
      <c r="L278" s="31">
        <f t="shared" si="27"/>
        <v>0.67200000000000004</v>
      </c>
      <c r="M278" s="31">
        <f t="shared" si="28"/>
        <v>0.53800000000000003</v>
      </c>
      <c r="N278" t="e">
        <f>VLOOKUP(A278,#REF!,11,0)</f>
        <v>#REF!</v>
      </c>
      <c r="O278" t="e">
        <f>VLOOKUP(A278,#REF!,12,0)</f>
        <v>#REF!</v>
      </c>
      <c r="P278" t="e">
        <f>VLOOKUP(A278,#REF!,13,0)</f>
        <v>#REF!</v>
      </c>
      <c r="Q278" t="e">
        <f>VLOOKUP(A278,#REF!,14,0)</f>
        <v>#REF!</v>
      </c>
      <c r="R278">
        <v>0.61150729591598163</v>
      </c>
      <c r="S278">
        <v>-0.20101219504702181</v>
      </c>
      <c r="T278" s="31" t="str">
        <f>VLOOKUP(C278,V:W,2,0)</f>
        <v>USA</v>
      </c>
      <c r="U278" t="str">
        <f t="shared" si="29"/>
        <v/>
      </c>
    </row>
    <row r="279" spans="1:21" x14ac:dyDescent="0.25">
      <c r="A279" s="31" t="s">
        <v>973</v>
      </c>
      <c r="B279" s="31" t="s">
        <v>1745</v>
      </c>
      <c r="C279" s="31" t="s">
        <v>1228</v>
      </c>
      <c r="D279" s="31">
        <f>IFERROR(ROUND(VLOOKUP(A279,institutions!A:E,4,0),2),"")</f>
        <v>1.96</v>
      </c>
      <c r="E279" s="31">
        <f>IFERROR(ROUND(VLOOKUP(A279,institutions!A:X,7,0),2),"")</f>
        <v>1.88</v>
      </c>
      <c r="F279" s="31">
        <f>IFERROR(ROUND(VLOOKUP(A279,institutions!A:X,10,0),2),"")</f>
        <v>1.62</v>
      </c>
      <c r="G279" s="31">
        <f>IFERROR(ROUND(VLOOKUP(A279,institutions!A:X,13,0),2),"")</f>
        <v>1.98</v>
      </c>
      <c r="H279" s="31">
        <f>IFERROR(ROUND(VLOOKUP(A279,institutions!A:X,16,0),2),"")</f>
        <v>2.5</v>
      </c>
      <c r="I279" s="31">
        <f t="shared" si="24"/>
        <v>0.53700000000000003</v>
      </c>
      <c r="J279" s="31">
        <f t="shared" si="25"/>
        <v>0.71199999999999997</v>
      </c>
      <c r="K279" s="31">
        <f t="shared" si="26"/>
        <v>0.60799999999999998</v>
      </c>
      <c r="L279" s="31">
        <f t="shared" si="27"/>
        <v>0.46500000000000002</v>
      </c>
      <c r="M279" s="31">
        <f t="shared" si="28"/>
        <v>0.55000000000000004</v>
      </c>
      <c r="N279" t="e">
        <f>VLOOKUP(A279,#REF!,11,0)</f>
        <v>#REF!</v>
      </c>
      <c r="O279" t="e">
        <f>VLOOKUP(A279,#REF!,12,0)</f>
        <v>#REF!</v>
      </c>
      <c r="P279" t="e">
        <f>VLOOKUP(A279,#REF!,13,0)</f>
        <v>#REF!</v>
      </c>
      <c r="Q279" t="e">
        <f>VLOOKUP(A279,#REF!,14,0)</f>
        <v>#REF!</v>
      </c>
      <c r="R279">
        <v>0.53636029450250677</v>
      </c>
      <c r="S279">
        <v>0.58112096933092483</v>
      </c>
      <c r="T279" s="31" t="str">
        <f>VLOOKUP(C279,V:W,2,0)</f>
        <v>DEN</v>
      </c>
      <c r="U279" t="str">
        <f t="shared" si="29"/>
        <v/>
      </c>
    </row>
    <row r="280" spans="1:21" x14ac:dyDescent="0.25">
      <c r="A280" s="31" t="s">
        <v>872</v>
      </c>
      <c r="B280" s="31" t="s">
        <v>1526</v>
      </c>
      <c r="C280" s="31" t="s">
        <v>1217</v>
      </c>
      <c r="D280" s="31">
        <f>IFERROR(ROUND(VLOOKUP(A280,institutions!A:E,4,0),2),"")</f>
        <v>1.98</v>
      </c>
      <c r="E280" s="31">
        <f>IFERROR(ROUND(VLOOKUP(A280,institutions!A:X,7,0),2),"")</f>
        <v>1.48</v>
      </c>
      <c r="F280" s="31">
        <f>IFERROR(ROUND(VLOOKUP(A280,institutions!A:X,10,0),2),"")</f>
        <v>1.96</v>
      </c>
      <c r="G280" s="31">
        <f>IFERROR(ROUND(VLOOKUP(A280,institutions!A:X,13,0),2),"")</f>
        <v>2.31</v>
      </c>
      <c r="H280" s="31">
        <f>IFERROR(ROUND(VLOOKUP(A280,institutions!A:X,16,0),2),"")</f>
        <v>2.34</v>
      </c>
      <c r="I280" s="31">
        <f t="shared" si="24"/>
        <v>0.55000000000000004</v>
      </c>
      <c r="J280" s="31">
        <f t="shared" si="25"/>
        <v>0.48199999999999998</v>
      </c>
      <c r="K280" s="31">
        <f t="shared" si="26"/>
        <v>0.73</v>
      </c>
      <c r="L280" s="31">
        <f t="shared" si="27"/>
        <v>0.6</v>
      </c>
      <c r="M280" s="31">
        <f t="shared" si="28"/>
        <v>0.47799999999999998</v>
      </c>
      <c r="N280" t="e">
        <f>VLOOKUP(A280,#REF!,11,0)</f>
        <v>#REF!</v>
      </c>
      <c r="O280" t="e">
        <f>VLOOKUP(A280,#REF!,12,0)</f>
        <v>#REF!</v>
      </c>
      <c r="P280" t="e">
        <f>VLOOKUP(A280,#REF!,13,0)</f>
        <v>#REF!</v>
      </c>
      <c r="Q280" t="e">
        <f>VLOOKUP(A280,#REF!,14,0)</f>
        <v>#REF!</v>
      </c>
      <c r="R280">
        <v>0.4877291781336095</v>
      </c>
      <c r="S280">
        <v>0.15678604552212569</v>
      </c>
      <c r="T280" s="31" t="str">
        <f>VLOOKUP(C280,V:W,2,0)</f>
        <v>USA</v>
      </c>
      <c r="U280" t="str">
        <f t="shared" si="29"/>
        <v/>
      </c>
    </row>
    <row r="281" spans="1:21" x14ac:dyDescent="0.25">
      <c r="A281" s="31" t="s">
        <v>922</v>
      </c>
      <c r="B281" s="31" t="s">
        <v>2030</v>
      </c>
      <c r="C281" s="31" t="s">
        <v>1231</v>
      </c>
      <c r="D281" s="31">
        <f>IFERROR(ROUND(VLOOKUP(A281,institutions!A:E,4,0),2),"")</f>
        <v>1.9</v>
      </c>
      <c r="E281" s="31">
        <f>IFERROR(ROUND(VLOOKUP(A281,institutions!A:X,7,0),2),"")</f>
        <v>1.7</v>
      </c>
      <c r="F281" s="31">
        <f>IFERROR(ROUND(VLOOKUP(A281,institutions!A:X,10,0),2),"")</f>
        <v>2.0299999999999998</v>
      </c>
      <c r="G281" s="31">
        <f>IFERROR(ROUND(VLOOKUP(A281,institutions!A:X,13,0),2),"")</f>
        <v>2.19</v>
      </c>
      <c r="H281" s="31">
        <f>IFERROR(ROUND(VLOOKUP(A281,institutions!A:X,16,0),2),"")</f>
        <v>2.35</v>
      </c>
      <c r="I281" s="31">
        <f t="shared" si="24"/>
        <v>0.5</v>
      </c>
      <c r="J281" s="31">
        <f t="shared" si="25"/>
        <v>0.63700000000000001</v>
      </c>
      <c r="K281" s="31">
        <f t="shared" si="26"/>
        <v>0.748</v>
      </c>
      <c r="L281" s="31">
        <f t="shared" si="27"/>
        <v>0.54800000000000004</v>
      </c>
      <c r="M281" s="31">
        <f t="shared" si="28"/>
        <v>0.48799999999999999</v>
      </c>
      <c r="N281" t="e">
        <f>VLOOKUP(A281,#REF!,11,0)</f>
        <v>#REF!</v>
      </c>
      <c r="O281" t="e">
        <f>VLOOKUP(A281,#REF!,12,0)</f>
        <v>#REF!</v>
      </c>
      <c r="P281" t="e">
        <f>VLOOKUP(A281,#REF!,13,0)</f>
        <v>#REF!</v>
      </c>
      <c r="Q281" t="e">
        <f>VLOOKUP(A281,#REF!,14,0)</f>
        <v>#REF!</v>
      </c>
      <c r="R281">
        <v>0.69172242958262931</v>
      </c>
      <c r="S281">
        <v>0.5847354747150314</v>
      </c>
      <c r="T281" s="31" t="str">
        <f>VLOOKUP(C281,V:W,2,0)</f>
        <v>PRT</v>
      </c>
      <c r="U281" t="str">
        <f t="shared" si="29"/>
        <v/>
      </c>
    </row>
    <row r="282" spans="1:21" x14ac:dyDescent="0.25">
      <c r="A282" s="31" t="s">
        <v>860</v>
      </c>
      <c r="B282" s="31" t="s">
        <v>1594</v>
      </c>
      <c r="C282" s="31" t="s">
        <v>1216</v>
      </c>
      <c r="D282" s="31">
        <f>IFERROR(ROUND(VLOOKUP(A282,institutions!A:E,4,0),2),"")</f>
        <v>2.0099999999999998</v>
      </c>
      <c r="E282" s="31">
        <f>IFERROR(ROUND(VLOOKUP(A282,institutions!A:X,7,0),2),"")</f>
        <v>1.76</v>
      </c>
      <c r="F282" s="31">
        <f>IFERROR(ROUND(VLOOKUP(A282,institutions!A:X,10,0),2),"")</f>
        <v>1.34</v>
      </c>
      <c r="G282" s="31">
        <f>IFERROR(ROUND(VLOOKUP(A282,institutions!A:X,13,0),2),"")</f>
        <v>2.2400000000000002</v>
      </c>
      <c r="H282" s="31">
        <f>IFERROR(ROUND(VLOOKUP(A282,institutions!A:X,16,0),2),"")</f>
        <v>2.78</v>
      </c>
      <c r="I282" s="31">
        <f t="shared" si="24"/>
        <v>0.57299999999999995</v>
      </c>
      <c r="J282" s="31">
        <f t="shared" si="25"/>
        <v>0.66700000000000004</v>
      </c>
      <c r="K282" s="31">
        <f t="shared" si="26"/>
        <v>0.39</v>
      </c>
      <c r="L282" s="31">
        <f t="shared" si="27"/>
        <v>0.56999999999999995</v>
      </c>
      <c r="M282" s="31">
        <f t="shared" si="28"/>
        <v>0.63300000000000001</v>
      </c>
      <c r="N282" t="e">
        <f>VLOOKUP(A282,#REF!,11,0)</f>
        <v>#REF!</v>
      </c>
      <c r="O282" t="e">
        <f>VLOOKUP(A282,#REF!,12,0)</f>
        <v>#REF!</v>
      </c>
      <c r="P282" t="e">
        <f>VLOOKUP(A282,#REF!,13,0)</f>
        <v>#REF!</v>
      </c>
      <c r="Q282" t="e">
        <f>VLOOKUP(A282,#REF!,14,0)</f>
        <v>#REF!</v>
      </c>
      <c r="R282">
        <v>0.42921598287529228</v>
      </c>
      <c r="S282">
        <v>-0.13877184655955421</v>
      </c>
      <c r="T282" s="31" t="str">
        <f>VLOOKUP(C282,V:W,2,0)</f>
        <v>UK</v>
      </c>
      <c r="U282" t="str">
        <f t="shared" si="29"/>
        <v/>
      </c>
    </row>
    <row r="283" spans="1:21" x14ac:dyDescent="0.25">
      <c r="A283" s="31" t="s">
        <v>801</v>
      </c>
      <c r="B283" s="31" t="s">
        <v>1591</v>
      </c>
      <c r="C283" s="31" t="s">
        <v>1216</v>
      </c>
      <c r="D283" s="31">
        <f>IFERROR(ROUND(VLOOKUP(A283,institutions!A:E,4,0),2),"")</f>
        <v>1.95</v>
      </c>
      <c r="E283" s="31">
        <f>IFERROR(ROUND(VLOOKUP(A283,institutions!A:X,7,0),2),"")</f>
        <v>1.43</v>
      </c>
      <c r="F283" s="31">
        <f>IFERROR(ROUND(VLOOKUP(A283,institutions!A:X,10,0),2),"")</f>
        <v>1.52</v>
      </c>
      <c r="G283" s="31">
        <f>IFERROR(ROUND(VLOOKUP(A283,institutions!A:X,13,0),2),"")</f>
        <v>2.36</v>
      </c>
      <c r="H283" s="31">
        <f>IFERROR(ROUND(VLOOKUP(A283,institutions!A:X,16,0),2),"")</f>
        <v>3.14</v>
      </c>
      <c r="I283" s="31">
        <f t="shared" si="24"/>
        <v>0.52700000000000002</v>
      </c>
      <c r="J283" s="31">
        <f t="shared" si="25"/>
        <v>0.442</v>
      </c>
      <c r="K283" s="31">
        <f t="shared" si="26"/>
        <v>0.54300000000000004</v>
      </c>
      <c r="L283" s="31">
        <f t="shared" si="27"/>
        <v>0.61799999999999999</v>
      </c>
      <c r="M283" s="31">
        <f t="shared" si="28"/>
        <v>0.71</v>
      </c>
      <c r="N283" t="e">
        <f>VLOOKUP(A283,#REF!,11,0)</f>
        <v>#REF!</v>
      </c>
      <c r="O283" t="e">
        <f>VLOOKUP(A283,#REF!,12,0)</f>
        <v>#REF!</v>
      </c>
      <c r="P283" t="e">
        <f>VLOOKUP(A283,#REF!,13,0)</f>
        <v>#REF!</v>
      </c>
      <c r="Q283" t="e">
        <f>VLOOKUP(A283,#REF!,14,0)</f>
        <v>#REF!</v>
      </c>
      <c r="R283">
        <v>0.55534090408536008</v>
      </c>
      <c r="S283">
        <v>-0.59869822884487001</v>
      </c>
      <c r="T283" s="31" t="str">
        <f>VLOOKUP(C283,V:W,2,0)</f>
        <v>UK</v>
      </c>
      <c r="U283" t="str">
        <f t="shared" si="29"/>
        <v/>
      </c>
    </row>
    <row r="284" spans="1:21" x14ac:dyDescent="0.25">
      <c r="A284" s="31" t="s">
        <v>1000</v>
      </c>
      <c r="B284" s="31" t="s">
        <v>1760</v>
      </c>
      <c r="C284" s="31" t="s">
        <v>1224</v>
      </c>
      <c r="D284" s="31">
        <f>IFERROR(ROUND(VLOOKUP(A284,institutions!A:E,4,0),2),"")</f>
        <v>1.96</v>
      </c>
      <c r="E284" s="31">
        <f>IFERROR(ROUND(VLOOKUP(A284,institutions!A:X,7,0),2),"")</f>
        <v>2.0299999999999998</v>
      </c>
      <c r="F284" s="31">
        <f>IFERROR(ROUND(VLOOKUP(A284,institutions!A:X,10,0),2),"")</f>
        <v>1.55</v>
      </c>
      <c r="G284" s="31">
        <f>IFERROR(ROUND(VLOOKUP(A284,institutions!A:X,13,0),2),"")</f>
        <v>1.95</v>
      </c>
      <c r="H284" s="31">
        <f>IFERROR(ROUND(VLOOKUP(A284,institutions!A:X,16,0),2),"")</f>
        <v>2.0099999999999998</v>
      </c>
      <c r="I284" s="31">
        <f t="shared" si="24"/>
        <v>0.53700000000000003</v>
      </c>
      <c r="J284" s="31">
        <f t="shared" si="25"/>
        <v>0.76800000000000002</v>
      </c>
      <c r="K284" s="31">
        <f t="shared" si="26"/>
        <v>0.56000000000000005</v>
      </c>
      <c r="L284" s="31">
        <f t="shared" si="27"/>
        <v>0.44500000000000001</v>
      </c>
      <c r="M284" s="31">
        <f t="shared" si="28"/>
        <v>0.32500000000000001</v>
      </c>
      <c r="N284" t="e">
        <f>VLOOKUP(A284,#REF!,11,0)</f>
        <v>#REF!</v>
      </c>
      <c r="O284" t="e">
        <f>VLOOKUP(A284,#REF!,12,0)</f>
        <v>#REF!</v>
      </c>
      <c r="P284" t="e">
        <f>VLOOKUP(A284,#REF!,13,0)</f>
        <v>#REF!</v>
      </c>
      <c r="Q284" t="e">
        <f>VLOOKUP(A284,#REF!,14,0)</f>
        <v>#REF!</v>
      </c>
      <c r="R284">
        <v>0.1019350702118086</v>
      </c>
      <c r="S284">
        <v>1.0210493572695689</v>
      </c>
      <c r="T284" s="31" t="str">
        <f>VLOOKUP(C284,V:W,2,0)</f>
        <v>CAN</v>
      </c>
      <c r="U284" t="str">
        <f t="shared" si="29"/>
        <v/>
      </c>
    </row>
    <row r="285" spans="1:21" x14ac:dyDescent="0.25">
      <c r="A285" s="31" t="s">
        <v>807</v>
      </c>
      <c r="B285" s="31" t="s">
        <v>1744</v>
      </c>
      <c r="C285" s="31" t="s">
        <v>1271</v>
      </c>
      <c r="D285" s="31">
        <f>IFERROR(ROUND(VLOOKUP(A285,institutions!A:E,4,0),2),"")</f>
        <v>1.99</v>
      </c>
      <c r="E285" s="31">
        <f>IFERROR(ROUND(VLOOKUP(A285,institutions!A:X,7,0),2),"")</f>
        <v>1.37</v>
      </c>
      <c r="F285" s="31">
        <f>IFERROR(ROUND(VLOOKUP(A285,institutions!A:X,10,0),2),"")</f>
        <v>1.58</v>
      </c>
      <c r="G285" s="31">
        <f>IFERROR(ROUND(VLOOKUP(A285,institutions!A:X,13,0),2),"")</f>
        <v>2.52</v>
      </c>
      <c r="H285" s="31">
        <f>IFERROR(ROUND(VLOOKUP(A285,institutions!A:X,16,0),2),"")</f>
        <v>3.04</v>
      </c>
      <c r="I285" s="31">
        <f t="shared" si="24"/>
        <v>0.55300000000000005</v>
      </c>
      <c r="J285" s="31">
        <f t="shared" si="25"/>
        <v>0.36199999999999999</v>
      </c>
      <c r="K285" s="31">
        <f t="shared" si="26"/>
        <v>0.57799999999999996</v>
      </c>
      <c r="L285" s="31">
        <f t="shared" si="27"/>
        <v>0.7</v>
      </c>
      <c r="M285" s="31">
        <f t="shared" si="28"/>
        <v>0.69</v>
      </c>
      <c r="N285" t="e">
        <f>VLOOKUP(A285,#REF!,11,0)</f>
        <v>#REF!</v>
      </c>
      <c r="O285" t="e">
        <f>VLOOKUP(A285,#REF!,12,0)</f>
        <v>#REF!</v>
      </c>
      <c r="P285" t="e">
        <f>VLOOKUP(A285,#REF!,13,0)</f>
        <v>#REF!</v>
      </c>
      <c r="Q285" t="e">
        <f>VLOOKUP(A285,#REF!,14,0)</f>
        <v>#REF!</v>
      </c>
      <c r="R285">
        <v>0.59737840409706544</v>
      </c>
      <c r="S285">
        <v>-0.82349711299565398</v>
      </c>
      <c r="T285" s="31" t="str">
        <f>VLOOKUP(C285,V:W,2,0)</f>
        <v>DEU</v>
      </c>
      <c r="U285" t="str">
        <f t="shared" si="29"/>
        <v>RWTH Aachen</v>
      </c>
    </row>
    <row r="286" spans="1:21" x14ac:dyDescent="0.25">
      <c r="A286" s="31" t="s">
        <v>828</v>
      </c>
      <c r="B286" s="31" t="s">
        <v>2078</v>
      </c>
      <c r="C286" s="31" t="s">
        <v>1222</v>
      </c>
      <c r="D286" s="31">
        <f>IFERROR(ROUND(VLOOKUP(A286,institutions!A:E,4,0),2),"")</f>
        <v>2</v>
      </c>
      <c r="E286" s="31">
        <f>IFERROR(ROUND(VLOOKUP(A286,institutions!A:X,7,0),2),"")</f>
        <v>1.55</v>
      </c>
      <c r="F286" s="31" t="str">
        <f>IFERROR(ROUND(VLOOKUP(A286,institutions!A:X,10,0),2),"")</f>
        <v/>
      </c>
      <c r="G286" s="31">
        <f>IFERROR(ROUND(VLOOKUP(A286,institutions!A:X,13,0),2),"")</f>
        <v>2.27</v>
      </c>
      <c r="H286" s="31">
        <f>IFERROR(ROUND(VLOOKUP(A286,institutions!A:X,16,0),2),"")</f>
        <v>3.05</v>
      </c>
      <c r="I286" s="31">
        <f t="shared" si="24"/>
        <v>0.56499999999999995</v>
      </c>
      <c r="J286" s="31">
        <f t="shared" si="25"/>
        <v>0.54300000000000004</v>
      </c>
      <c r="K286" s="31">
        <f t="shared" si="26"/>
        <v>0</v>
      </c>
      <c r="L286" s="31">
        <f t="shared" si="27"/>
        <v>0.58799999999999997</v>
      </c>
      <c r="M286" s="31">
        <f t="shared" si="28"/>
        <v>0.69199999999999995</v>
      </c>
      <c r="N286" t="e">
        <f>VLOOKUP(A286,#REF!,11,0)</f>
        <v>#REF!</v>
      </c>
      <c r="O286" t="e">
        <f>VLOOKUP(A286,#REF!,12,0)</f>
        <v>#REF!</v>
      </c>
      <c r="P286" t="e">
        <f>VLOOKUP(A286,#REF!,13,0)</f>
        <v>#REF!</v>
      </c>
      <c r="Q286" t="e">
        <f>VLOOKUP(A286,#REF!,14,0)</f>
        <v>#REF!</v>
      </c>
      <c r="R286">
        <v>-0.29679875709352882</v>
      </c>
      <c r="S286">
        <v>-1.0946194560120901</v>
      </c>
      <c r="T286" s="31" t="str">
        <f>VLOOKUP(C286,V:W,2,0)</f>
        <v>ITA</v>
      </c>
      <c r="U286" t="str">
        <f t="shared" si="29"/>
        <v/>
      </c>
    </row>
    <row r="287" spans="1:21" x14ac:dyDescent="0.25">
      <c r="A287" s="31" t="s">
        <v>936</v>
      </c>
      <c r="B287" s="31" t="s">
        <v>1597</v>
      </c>
      <c r="C287" s="31" t="s">
        <v>1222</v>
      </c>
      <c r="D287" s="31">
        <f>IFERROR(ROUND(VLOOKUP(A287,institutions!A:E,4,0),2),"")</f>
        <v>1.93</v>
      </c>
      <c r="E287" s="31">
        <f>IFERROR(ROUND(VLOOKUP(A287,institutions!A:X,7,0),2),"")</f>
        <v>1.95</v>
      </c>
      <c r="F287" s="31">
        <f>IFERROR(ROUND(VLOOKUP(A287,institutions!A:X,10,0),2),"")</f>
        <v>1.1599999999999999</v>
      </c>
      <c r="G287" s="31">
        <f>IFERROR(ROUND(VLOOKUP(A287,institutions!A:X,13,0),2),"")</f>
        <v>1.74</v>
      </c>
      <c r="H287" s="31">
        <f>IFERROR(ROUND(VLOOKUP(A287,institutions!A:X,16,0),2),"")</f>
        <v>2.04</v>
      </c>
      <c r="I287" s="31">
        <f t="shared" si="24"/>
        <v>0.51</v>
      </c>
      <c r="J287" s="31">
        <f t="shared" si="25"/>
        <v>0.73799999999999999</v>
      </c>
      <c r="K287" s="31">
        <f t="shared" si="26"/>
        <v>0.187</v>
      </c>
      <c r="L287" s="31">
        <f t="shared" si="27"/>
        <v>0.32200000000000001</v>
      </c>
      <c r="M287" s="31">
        <f t="shared" si="28"/>
        <v>0.34200000000000003</v>
      </c>
      <c r="N287" t="e">
        <f>VLOOKUP(A287,#REF!,11,0)</f>
        <v>#REF!</v>
      </c>
      <c r="O287" t="e">
        <f>VLOOKUP(A287,#REF!,12,0)</f>
        <v>#REF!</v>
      </c>
      <c r="P287" t="e">
        <f>VLOOKUP(A287,#REF!,13,0)</f>
        <v>#REF!</v>
      </c>
      <c r="Q287" t="e">
        <f>VLOOKUP(A287,#REF!,14,0)</f>
        <v>#REF!</v>
      </c>
      <c r="R287">
        <v>-0.77214773754662935</v>
      </c>
      <c r="S287">
        <v>0.59219979381778021</v>
      </c>
      <c r="T287" s="31" t="str">
        <f>VLOOKUP(C287,V:W,2,0)</f>
        <v>ITA</v>
      </c>
      <c r="U287" t="str">
        <f t="shared" si="29"/>
        <v/>
      </c>
    </row>
    <row r="288" spans="1:21" x14ac:dyDescent="0.25">
      <c r="A288" s="31" t="s">
        <v>903</v>
      </c>
      <c r="B288" s="31" t="s">
        <v>2082</v>
      </c>
      <c r="C288" s="31" t="s">
        <v>1217</v>
      </c>
      <c r="D288" s="31">
        <f>IFERROR(ROUND(VLOOKUP(A288,institutions!A:E,4,0),2),"")</f>
        <v>1.93</v>
      </c>
      <c r="E288" s="31">
        <f>IFERROR(ROUND(VLOOKUP(A288,institutions!A:X,7,0),2),"")</f>
        <v>1.26</v>
      </c>
      <c r="F288" s="31">
        <f>IFERROR(ROUND(VLOOKUP(A288,institutions!A:X,10,0),2),"")</f>
        <v>1.75</v>
      </c>
      <c r="G288" s="31">
        <f>IFERROR(ROUND(VLOOKUP(A288,institutions!A:X,13,0),2),"")</f>
        <v>2.64</v>
      </c>
      <c r="H288" s="31">
        <f>IFERROR(ROUND(VLOOKUP(A288,institutions!A:X,16,0),2),"")</f>
        <v>3.38</v>
      </c>
      <c r="I288" s="31">
        <f t="shared" si="24"/>
        <v>0.51</v>
      </c>
      <c r="J288" s="31">
        <f t="shared" si="25"/>
        <v>0.22800000000000001</v>
      </c>
      <c r="K288" s="31">
        <f t="shared" si="26"/>
        <v>0.67200000000000004</v>
      </c>
      <c r="L288" s="31">
        <f t="shared" si="27"/>
        <v>0.72499999999999998</v>
      </c>
      <c r="M288" s="31">
        <f t="shared" si="28"/>
        <v>0.76700000000000002</v>
      </c>
      <c r="N288" t="e">
        <f>VLOOKUP(A288,#REF!,11,0)</f>
        <v>#REF!</v>
      </c>
      <c r="O288" t="e">
        <f>VLOOKUP(A288,#REF!,12,0)</f>
        <v>#REF!</v>
      </c>
      <c r="P288" t="e">
        <f>VLOOKUP(A288,#REF!,13,0)</f>
        <v>#REF!</v>
      </c>
      <c r="Q288" t="e">
        <f>VLOOKUP(A288,#REF!,14,0)</f>
        <v>#REF!</v>
      </c>
      <c r="R288">
        <v>0.72725036984886127</v>
      </c>
      <c r="S288">
        <v>-1.136636857234784</v>
      </c>
      <c r="T288" s="31" t="str">
        <f>VLOOKUP(C288,V:W,2,0)</f>
        <v>USA</v>
      </c>
      <c r="U288" t="str">
        <f t="shared" si="29"/>
        <v/>
      </c>
    </row>
    <row r="289" spans="1:21" x14ac:dyDescent="0.25">
      <c r="A289" s="31" t="s">
        <v>1002</v>
      </c>
      <c r="B289" s="31" t="s">
        <v>2073</v>
      </c>
      <c r="C289" s="31" t="s">
        <v>1271</v>
      </c>
      <c r="D289" s="31">
        <f>IFERROR(ROUND(VLOOKUP(A289,institutions!A:E,4,0),2),"")</f>
        <v>1.95</v>
      </c>
      <c r="E289" s="31">
        <f>IFERROR(ROUND(VLOOKUP(A289,institutions!A:X,7,0),2),"")</f>
        <v>1.63</v>
      </c>
      <c r="F289" s="31">
        <f>IFERROR(ROUND(VLOOKUP(A289,institutions!A:X,10,0),2),"")</f>
        <v>2.5499999999999998</v>
      </c>
      <c r="G289" s="31">
        <f>IFERROR(ROUND(VLOOKUP(A289,institutions!A:X,13,0),2),"")</f>
        <v>3.75</v>
      </c>
      <c r="H289" s="31">
        <f>IFERROR(ROUND(VLOOKUP(A289,institutions!A:X,16,0),2),"")</f>
        <v>2.73</v>
      </c>
      <c r="I289" s="31">
        <f t="shared" si="24"/>
        <v>0.52700000000000002</v>
      </c>
      <c r="J289" s="31">
        <f t="shared" si="25"/>
        <v>0.58699999999999997</v>
      </c>
      <c r="K289" s="31">
        <f t="shared" si="26"/>
        <v>0.83799999999999997</v>
      </c>
      <c r="L289" s="31">
        <f t="shared" si="27"/>
        <v>0.92</v>
      </c>
      <c r="M289" s="31">
        <f t="shared" si="28"/>
        <v>0.622</v>
      </c>
      <c r="N289" t="e">
        <f>VLOOKUP(A289,#REF!,11,0)</f>
        <v>#REF!</v>
      </c>
      <c r="O289" t="e">
        <f>VLOOKUP(A289,#REF!,12,0)</f>
        <v>#REF!</v>
      </c>
      <c r="P289" t="e">
        <f>VLOOKUP(A289,#REF!,13,0)</f>
        <v>#REF!</v>
      </c>
      <c r="Q289" t="e">
        <f>VLOOKUP(A289,#REF!,14,0)</f>
        <v>#REF!</v>
      </c>
      <c r="R289">
        <v>1.6714284768646761</v>
      </c>
      <c r="S289">
        <v>-0.22340177093991781</v>
      </c>
      <c r="T289" s="31" t="str">
        <f>VLOOKUP(C289,V:W,2,0)</f>
        <v>DEU</v>
      </c>
      <c r="U289" t="str">
        <f t="shared" si="29"/>
        <v>Max Planck</v>
      </c>
    </row>
    <row r="290" spans="1:21" x14ac:dyDescent="0.25">
      <c r="A290" s="31" t="s">
        <v>942</v>
      </c>
      <c r="B290" s="31" t="s">
        <v>1762</v>
      </c>
      <c r="C290" s="31" t="s">
        <v>1230</v>
      </c>
      <c r="D290" s="31">
        <f>IFERROR(ROUND(VLOOKUP(A290,institutions!A:E,4,0),2),"")</f>
        <v>1.87</v>
      </c>
      <c r="E290" s="31">
        <f>IFERROR(ROUND(VLOOKUP(A290,institutions!A:X,7,0),2),"")</f>
        <v>1.84</v>
      </c>
      <c r="F290" s="31">
        <f>IFERROR(ROUND(VLOOKUP(A290,institutions!A:X,10,0),2),"")</f>
        <v>1.38</v>
      </c>
      <c r="G290" s="31">
        <f>IFERROR(ROUND(VLOOKUP(A290,institutions!A:X,13,0),2),"")</f>
        <v>1.7</v>
      </c>
      <c r="H290" s="31">
        <f>IFERROR(ROUND(VLOOKUP(A290,institutions!A:X,16,0),2),"")</f>
        <v>1.95</v>
      </c>
      <c r="I290" s="31">
        <f t="shared" si="24"/>
        <v>0.48699999999999999</v>
      </c>
      <c r="J290" s="31">
        <f t="shared" si="25"/>
        <v>0.70199999999999996</v>
      </c>
      <c r="K290" s="31">
        <f t="shared" si="26"/>
        <v>0.42699999999999999</v>
      </c>
      <c r="L290" s="31">
        <f t="shared" si="27"/>
        <v>0.3</v>
      </c>
      <c r="M290" s="31">
        <f t="shared" si="28"/>
        <v>0.30499999999999999</v>
      </c>
      <c r="N290" t="e">
        <f>VLOOKUP(A290,#REF!,11,0)</f>
        <v>#REF!</v>
      </c>
      <c r="O290" t="e">
        <f>VLOOKUP(A290,#REF!,12,0)</f>
        <v>#REF!</v>
      </c>
      <c r="P290" t="e">
        <f>VLOOKUP(A290,#REF!,13,0)</f>
        <v>#REF!</v>
      </c>
      <c r="Q290" t="e">
        <f>VLOOKUP(A290,#REF!,14,0)</f>
        <v>#REF!</v>
      </c>
      <c r="R290">
        <v>-0.52580331651159662</v>
      </c>
      <c r="S290">
        <v>0.95989352220893431</v>
      </c>
      <c r="T290" s="31" t="str">
        <f>VLOOKUP(C290,V:W,2,0)</f>
        <v>CHN</v>
      </c>
      <c r="U290" t="str">
        <f t="shared" si="29"/>
        <v/>
      </c>
    </row>
    <row r="291" spans="1:21" x14ac:dyDescent="0.25">
      <c r="A291" s="31" t="s">
        <v>815</v>
      </c>
      <c r="B291" s="31" t="s">
        <v>1589</v>
      </c>
      <c r="C291" s="31" t="s">
        <v>1222</v>
      </c>
      <c r="D291" s="31">
        <f>IFERROR(ROUND(VLOOKUP(A291,institutions!A:E,4,0),2),"")</f>
        <v>1.94</v>
      </c>
      <c r="E291" s="31">
        <f>IFERROR(ROUND(VLOOKUP(A291,institutions!A:X,7,0),2),"")</f>
        <v>1.35</v>
      </c>
      <c r="F291" s="31">
        <f>IFERROR(ROUND(VLOOKUP(A291,institutions!A:X,10,0),2),"")</f>
        <v>1.31</v>
      </c>
      <c r="G291" s="31">
        <f>IFERROR(ROUND(VLOOKUP(A291,institutions!A:X,13,0),2),"")</f>
        <v>2.91</v>
      </c>
      <c r="H291" s="31">
        <f>IFERROR(ROUND(VLOOKUP(A291,institutions!A:X,16,0),2),"")</f>
        <v>3.14</v>
      </c>
      <c r="I291" s="31">
        <f t="shared" si="24"/>
        <v>0.52</v>
      </c>
      <c r="J291" s="31">
        <f t="shared" si="25"/>
        <v>0.34799999999999998</v>
      </c>
      <c r="K291" s="31">
        <f t="shared" si="26"/>
        <v>0.35699999999999998</v>
      </c>
      <c r="L291" s="31">
        <f t="shared" si="27"/>
        <v>0.78700000000000003</v>
      </c>
      <c r="M291" s="31">
        <f t="shared" si="28"/>
        <v>0.71</v>
      </c>
      <c r="N291" t="e">
        <f>VLOOKUP(A291,#REF!,11,0)</f>
        <v>#REF!</v>
      </c>
      <c r="O291" t="e">
        <f>VLOOKUP(A291,#REF!,12,0)</f>
        <v>#REF!</v>
      </c>
      <c r="P291" t="e">
        <f>VLOOKUP(A291,#REF!,13,0)</f>
        <v>#REF!</v>
      </c>
      <c r="Q291" t="e">
        <f>VLOOKUP(A291,#REF!,14,0)</f>
        <v>#REF!</v>
      </c>
      <c r="R291">
        <v>0.38881065782637841</v>
      </c>
      <c r="S291">
        <v>-1.3516451592782519</v>
      </c>
      <c r="T291" s="31" t="str">
        <f>VLOOKUP(C291,V:W,2,0)</f>
        <v>ITA</v>
      </c>
      <c r="U291" t="str">
        <f t="shared" si="29"/>
        <v/>
      </c>
    </row>
    <row r="292" spans="1:21" x14ac:dyDescent="0.25">
      <c r="A292" s="31" t="s">
        <v>924</v>
      </c>
      <c r="B292" s="31" t="s">
        <v>1599</v>
      </c>
      <c r="C292" s="31" t="s">
        <v>1222</v>
      </c>
      <c r="D292" s="31">
        <f>IFERROR(ROUND(VLOOKUP(A292,institutions!A:E,4,0),2),"")</f>
        <v>1.91</v>
      </c>
      <c r="E292" s="31">
        <f>IFERROR(ROUND(VLOOKUP(A292,institutions!A:X,7,0),2),"")</f>
        <v>1.69</v>
      </c>
      <c r="F292" s="31">
        <f>IFERROR(ROUND(VLOOKUP(A292,institutions!A:X,10,0),2),"")</f>
        <v>1.25</v>
      </c>
      <c r="G292" s="31">
        <f>IFERROR(ROUND(VLOOKUP(A292,institutions!A:X,13,0),2),"")</f>
        <v>2.2799999999999998</v>
      </c>
      <c r="H292" s="31">
        <f>IFERROR(ROUND(VLOOKUP(A292,institutions!A:X,16,0),2),"")</f>
        <v>2.06</v>
      </c>
      <c r="I292" s="31">
        <f t="shared" si="24"/>
        <v>0.503</v>
      </c>
      <c r="J292" s="31">
        <f t="shared" si="25"/>
        <v>0.63200000000000001</v>
      </c>
      <c r="K292" s="31">
        <f t="shared" si="26"/>
        <v>0.29699999999999999</v>
      </c>
      <c r="L292" s="31">
        <f t="shared" si="27"/>
        <v>0.59299999999999997</v>
      </c>
      <c r="M292" s="31">
        <f t="shared" si="28"/>
        <v>0.35199999999999998</v>
      </c>
      <c r="N292" t="e">
        <f>VLOOKUP(A292,#REF!,11,0)</f>
        <v>#REF!</v>
      </c>
      <c r="O292" t="e">
        <f>VLOOKUP(A292,#REF!,12,0)</f>
        <v>#REF!</v>
      </c>
      <c r="P292" t="e">
        <f>VLOOKUP(A292,#REF!,13,0)</f>
        <v>#REF!</v>
      </c>
      <c r="Q292" t="e">
        <f>VLOOKUP(A292,#REF!,14,0)</f>
        <v>#REF!</v>
      </c>
      <c r="R292">
        <v>-0.25206660393120289</v>
      </c>
      <c r="S292">
        <v>5.8537467765863563E-2</v>
      </c>
      <c r="T292" s="31" t="str">
        <f>VLOOKUP(C292,V:W,2,0)</f>
        <v>ITA</v>
      </c>
      <c r="U292" t="str">
        <f t="shared" si="29"/>
        <v/>
      </c>
    </row>
    <row r="293" spans="1:21" x14ac:dyDescent="0.25">
      <c r="A293" s="31" t="s">
        <v>875</v>
      </c>
      <c r="B293" s="31" t="s">
        <v>1577</v>
      </c>
      <c r="C293" s="31" t="s">
        <v>1217</v>
      </c>
      <c r="D293" s="31">
        <f>IFERROR(ROUND(VLOOKUP(A293,institutions!A:E,4,0),2),"")</f>
        <v>1.96</v>
      </c>
      <c r="E293" s="31">
        <f>IFERROR(ROUND(VLOOKUP(A293,institutions!A:X,7,0),2),"")</f>
        <v>1.41</v>
      </c>
      <c r="F293" s="31">
        <f>IFERROR(ROUND(VLOOKUP(A293,institutions!A:X,10,0),2),"")</f>
        <v>1.75</v>
      </c>
      <c r="G293" s="31">
        <f>IFERROR(ROUND(VLOOKUP(A293,institutions!A:X,13,0),2),"")</f>
        <v>2.2200000000000002</v>
      </c>
      <c r="H293" s="31">
        <f>IFERROR(ROUND(VLOOKUP(A293,institutions!A:X,16,0),2),"")</f>
        <v>2.71</v>
      </c>
      <c r="I293" s="31">
        <f t="shared" si="24"/>
        <v>0.53700000000000003</v>
      </c>
      <c r="J293" s="31">
        <f t="shared" si="25"/>
        <v>0.42199999999999999</v>
      </c>
      <c r="K293" s="31">
        <f t="shared" si="26"/>
        <v>0.67200000000000004</v>
      </c>
      <c r="L293" s="31">
        <f t="shared" si="27"/>
        <v>0.55800000000000005</v>
      </c>
      <c r="M293" s="31">
        <f t="shared" si="28"/>
        <v>0.61199999999999999</v>
      </c>
      <c r="N293" t="e">
        <f>VLOOKUP(A293,#REF!,11,0)</f>
        <v>#REF!</v>
      </c>
      <c r="O293" t="e">
        <f>VLOOKUP(A293,#REF!,12,0)</f>
        <v>#REF!</v>
      </c>
      <c r="P293" t="e">
        <f>VLOOKUP(A293,#REF!,13,0)</f>
        <v>#REF!</v>
      </c>
      <c r="Q293" t="e">
        <f>VLOOKUP(A293,#REF!,14,0)</f>
        <v>#REF!</v>
      </c>
      <c r="R293">
        <v>0.45966567179871221</v>
      </c>
      <c r="S293">
        <v>-0.19829216828136159</v>
      </c>
      <c r="T293" s="31" t="str">
        <f>VLOOKUP(C293,V:W,2,0)</f>
        <v>USA</v>
      </c>
      <c r="U293" t="str">
        <f t="shared" si="29"/>
        <v/>
      </c>
    </row>
    <row r="294" spans="1:21" x14ac:dyDescent="0.25">
      <c r="A294" s="31" t="s">
        <v>914</v>
      </c>
      <c r="B294" s="31" t="s">
        <v>1586</v>
      </c>
      <c r="C294" s="31" t="s">
        <v>1217</v>
      </c>
      <c r="D294" s="31">
        <f>IFERROR(ROUND(VLOOKUP(A294,institutions!A:E,4,0),2),"")</f>
        <v>1.94</v>
      </c>
      <c r="E294" s="31">
        <f>IFERROR(ROUND(VLOOKUP(A294,institutions!A:X,7,0),2),"")</f>
        <v>1.65</v>
      </c>
      <c r="F294" s="31">
        <f>IFERROR(ROUND(VLOOKUP(A294,institutions!A:X,10,0),2),"")</f>
        <v>2.12</v>
      </c>
      <c r="G294" s="31">
        <f>IFERROR(ROUND(VLOOKUP(A294,institutions!A:X,13,0),2),"")</f>
        <v>2.1</v>
      </c>
      <c r="H294" s="31">
        <f>IFERROR(ROUND(VLOOKUP(A294,institutions!A:X,16,0),2),"")</f>
        <v>2.25</v>
      </c>
      <c r="I294" s="31">
        <f t="shared" si="24"/>
        <v>0.52</v>
      </c>
      <c r="J294" s="31">
        <f t="shared" si="25"/>
        <v>0.60799999999999998</v>
      </c>
      <c r="K294" s="31">
        <f t="shared" si="26"/>
        <v>0.77500000000000002</v>
      </c>
      <c r="L294" s="31">
        <f t="shared" si="27"/>
        <v>0.51300000000000001</v>
      </c>
      <c r="M294" s="31">
        <f t="shared" si="28"/>
        <v>0.44</v>
      </c>
      <c r="N294" t="e">
        <f>VLOOKUP(A294,#REF!,11,0)</f>
        <v>#REF!</v>
      </c>
      <c r="O294" t="e">
        <f>VLOOKUP(A294,#REF!,12,0)</f>
        <v>#REF!</v>
      </c>
      <c r="P294" t="e">
        <f>VLOOKUP(A294,#REF!,13,0)</f>
        <v>#REF!</v>
      </c>
      <c r="Q294" t="e">
        <f>VLOOKUP(A294,#REF!,14,0)</f>
        <v>#REF!</v>
      </c>
      <c r="R294">
        <v>0.54230064533008349</v>
      </c>
      <c r="S294">
        <v>0.69654444689176631</v>
      </c>
      <c r="T294" s="31" t="str">
        <f>VLOOKUP(C294,V:W,2,0)</f>
        <v>USA</v>
      </c>
      <c r="U294" t="str">
        <f t="shared" si="29"/>
        <v/>
      </c>
    </row>
    <row r="295" spans="1:21" x14ac:dyDescent="0.25">
      <c r="A295" s="31" t="s">
        <v>798</v>
      </c>
      <c r="B295" s="31" t="s">
        <v>1582</v>
      </c>
      <c r="C295" s="31" t="s">
        <v>1216</v>
      </c>
      <c r="D295" s="31">
        <f>IFERROR(ROUND(VLOOKUP(A295,institutions!A:E,4,0),2),"")</f>
        <v>2</v>
      </c>
      <c r="E295" s="31">
        <f>IFERROR(ROUND(VLOOKUP(A295,institutions!A:X,7,0),2),"")</f>
        <v>1.44</v>
      </c>
      <c r="F295" s="31">
        <f>IFERROR(ROUND(VLOOKUP(A295,institutions!A:X,10,0),2),"")</f>
        <v>1.57</v>
      </c>
      <c r="G295" s="31">
        <f>IFERROR(ROUND(VLOOKUP(A295,institutions!A:X,13,0),2),"")</f>
        <v>2.2000000000000002</v>
      </c>
      <c r="H295" s="31">
        <f>IFERROR(ROUND(VLOOKUP(A295,institutions!A:X,16,0),2),"")</f>
        <v>3.12</v>
      </c>
      <c r="I295" s="31">
        <f t="shared" si="24"/>
        <v>0.56499999999999995</v>
      </c>
      <c r="J295" s="31">
        <f t="shared" si="25"/>
        <v>0.44800000000000001</v>
      </c>
      <c r="K295" s="31">
        <f t="shared" si="26"/>
        <v>0.56799999999999995</v>
      </c>
      <c r="L295" s="31">
        <f t="shared" si="27"/>
        <v>0.55200000000000005</v>
      </c>
      <c r="M295" s="31">
        <f t="shared" si="28"/>
        <v>0.70499999999999996</v>
      </c>
      <c r="N295" t="e">
        <f>VLOOKUP(A295,#REF!,11,0)</f>
        <v>#REF!</v>
      </c>
      <c r="O295" t="e">
        <f>VLOOKUP(A295,#REF!,12,0)</f>
        <v>#REF!</v>
      </c>
      <c r="P295" t="e">
        <f>VLOOKUP(A295,#REF!,13,0)</f>
        <v>#REF!</v>
      </c>
      <c r="Q295" t="e">
        <f>VLOOKUP(A295,#REF!,14,0)</f>
        <v>#REF!</v>
      </c>
      <c r="R295">
        <v>0.4808235183698728</v>
      </c>
      <c r="S295">
        <v>-0.43161461728811612</v>
      </c>
      <c r="T295" s="31" t="str">
        <f>VLOOKUP(C295,V:W,2,0)</f>
        <v>UK</v>
      </c>
      <c r="U295" t="str">
        <f t="shared" si="29"/>
        <v/>
      </c>
    </row>
    <row r="296" spans="1:21" x14ac:dyDescent="0.25">
      <c r="A296" s="31" t="s">
        <v>862</v>
      </c>
      <c r="B296" s="31" t="s">
        <v>1580</v>
      </c>
      <c r="C296" s="31" t="s">
        <v>1237</v>
      </c>
      <c r="D296" s="31">
        <f>IFERROR(ROUND(VLOOKUP(A296,institutions!A:E,4,0),2),"")</f>
        <v>1.98</v>
      </c>
      <c r="E296" s="31">
        <f>IFERROR(ROUND(VLOOKUP(A296,institutions!A:X,7,0),2),"")</f>
        <v>1.49</v>
      </c>
      <c r="F296" s="31">
        <f>IFERROR(ROUND(VLOOKUP(A296,institutions!A:X,10,0),2),"")</f>
        <v>1.5</v>
      </c>
      <c r="G296" s="31">
        <f>IFERROR(ROUND(VLOOKUP(A296,institutions!A:X,13,0),2),"")</f>
        <v>2.44</v>
      </c>
      <c r="H296" s="31">
        <f>IFERROR(ROUND(VLOOKUP(A296,institutions!A:X,16,0),2),"")</f>
        <v>3.28</v>
      </c>
      <c r="I296" s="31">
        <f t="shared" si="24"/>
        <v>0.55000000000000004</v>
      </c>
      <c r="J296" s="31">
        <f t="shared" si="25"/>
        <v>0.49</v>
      </c>
      <c r="K296" s="31">
        <f t="shared" si="26"/>
        <v>0.52700000000000002</v>
      </c>
      <c r="L296" s="31">
        <f t="shared" si="27"/>
        <v>0.65800000000000003</v>
      </c>
      <c r="M296" s="31">
        <f t="shared" si="28"/>
        <v>0.73499999999999999</v>
      </c>
      <c r="N296" t="e">
        <f>VLOOKUP(A296,#REF!,11,0)</f>
        <v>#REF!</v>
      </c>
      <c r="O296" t="e">
        <f>VLOOKUP(A296,#REF!,12,0)</f>
        <v>#REF!</v>
      </c>
      <c r="P296" t="e">
        <f>VLOOKUP(A296,#REF!,13,0)</f>
        <v>#REF!</v>
      </c>
      <c r="Q296" t="e">
        <f>VLOOKUP(A296,#REF!,14,0)</f>
        <v>#REF!</v>
      </c>
      <c r="R296">
        <v>0.72134392661554281</v>
      </c>
      <c r="S296">
        <v>-0.6257795006438871</v>
      </c>
      <c r="T296" s="31" t="str">
        <f>VLOOKUP(C296,V:W,2,0)</f>
        <v>AUS</v>
      </c>
      <c r="U296" t="str">
        <f t="shared" si="29"/>
        <v/>
      </c>
    </row>
    <row r="297" spans="1:21" x14ac:dyDescent="0.25">
      <c r="A297" s="31" t="s">
        <v>961</v>
      </c>
      <c r="B297" s="31" t="s">
        <v>1754</v>
      </c>
      <c r="C297" s="31" t="s">
        <v>1217</v>
      </c>
      <c r="D297" s="31">
        <f>IFERROR(ROUND(VLOOKUP(A297,institutions!A:E,4,0),2),"")</f>
        <v>1.92</v>
      </c>
      <c r="E297" s="31">
        <f>IFERROR(ROUND(VLOOKUP(A297,institutions!A:X,7,0),2),"")</f>
        <v>1.62</v>
      </c>
      <c r="F297" s="31">
        <f>IFERROR(ROUND(VLOOKUP(A297,institutions!A:X,10,0),2),"")</f>
        <v>2.69</v>
      </c>
      <c r="G297" s="31">
        <f>IFERROR(ROUND(VLOOKUP(A297,institutions!A:X,13,0),2),"")</f>
        <v>2.4</v>
      </c>
      <c r="H297" s="31">
        <f>IFERROR(ROUND(VLOOKUP(A297,institutions!A:X,16,0),2),"")</f>
        <v>2.5</v>
      </c>
      <c r="I297" s="31">
        <f t="shared" si="24"/>
        <v>0.50700000000000001</v>
      </c>
      <c r="J297" s="31">
        <f t="shared" si="25"/>
        <v>0.57999999999999996</v>
      </c>
      <c r="K297" s="31">
        <f t="shared" si="26"/>
        <v>0.85699999999999998</v>
      </c>
      <c r="L297" s="31">
        <f t="shared" si="27"/>
        <v>0.64300000000000002</v>
      </c>
      <c r="M297" s="31">
        <f t="shared" si="28"/>
        <v>0.55000000000000004</v>
      </c>
      <c r="N297" t="e">
        <f>VLOOKUP(A297,#REF!,11,0)</f>
        <v>#REF!</v>
      </c>
      <c r="O297" t="e">
        <f>VLOOKUP(A297,#REF!,12,0)</f>
        <v>#REF!</v>
      </c>
      <c r="P297" t="e">
        <f>VLOOKUP(A297,#REF!,13,0)</f>
        <v>#REF!</v>
      </c>
      <c r="Q297" t="e">
        <f>VLOOKUP(A297,#REF!,14,0)</f>
        <v>#REF!</v>
      </c>
      <c r="R297">
        <v>1.068268108524733</v>
      </c>
      <c r="S297">
        <v>0.36500887655424202</v>
      </c>
      <c r="T297" s="31" t="str">
        <f>VLOOKUP(C297,V:W,2,0)</f>
        <v>USA</v>
      </c>
      <c r="U297" t="str">
        <f t="shared" si="29"/>
        <v/>
      </c>
    </row>
    <row r="298" spans="1:21" x14ac:dyDescent="0.25">
      <c r="A298" s="31" t="s">
        <v>983</v>
      </c>
      <c r="B298" s="31" t="s">
        <v>2066</v>
      </c>
      <c r="C298" s="31" t="s">
        <v>1271</v>
      </c>
      <c r="D298" s="31">
        <f>IFERROR(ROUND(VLOOKUP(A298,institutions!A:E,4,0),2),"")</f>
        <v>1.82</v>
      </c>
      <c r="E298" s="31">
        <f>IFERROR(ROUND(VLOOKUP(A298,institutions!A:X,7,0),2),"")</f>
        <v>1.97</v>
      </c>
      <c r="F298" s="31" t="str">
        <f>IFERROR(ROUND(VLOOKUP(A298,institutions!A:X,10,0),2),"")</f>
        <v/>
      </c>
      <c r="G298" s="31">
        <f>IFERROR(ROUND(VLOOKUP(A298,institutions!A:X,13,0),2),"")</f>
        <v>1.67</v>
      </c>
      <c r="H298" s="31">
        <f>IFERROR(ROUND(VLOOKUP(A298,institutions!A:X,16,0),2),"")</f>
        <v>1.6</v>
      </c>
      <c r="I298" s="31">
        <f t="shared" si="24"/>
        <v>0.44800000000000001</v>
      </c>
      <c r="J298" s="31">
        <f t="shared" si="25"/>
        <v>0.74199999999999999</v>
      </c>
      <c r="K298" s="31">
        <f t="shared" si="26"/>
        <v>0</v>
      </c>
      <c r="L298" s="31">
        <f t="shared" si="27"/>
        <v>0.28199999999999997</v>
      </c>
      <c r="M298" s="31">
        <f t="shared" si="28"/>
        <v>0.155</v>
      </c>
      <c r="N298" t="e">
        <f>VLOOKUP(A298,#REF!,11,0)</f>
        <v>#REF!</v>
      </c>
      <c r="O298" t="e">
        <f>VLOOKUP(A298,#REF!,12,0)</f>
        <v>#REF!</v>
      </c>
      <c r="P298" t="e">
        <f>VLOOKUP(A298,#REF!,13,0)</f>
        <v>#REF!</v>
      </c>
      <c r="Q298" t="e">
        <f>VLOOKUP(A298,#REF!,14,0)</f>
        <v>#REF!</v>
      </c>
      <c r="R298">
        <v>-1.494318088824907</v>
      </c>
      <c r="S298">
        <v>0.69187956265297168</v>
      </c>
      <c r="T298" s="31" t="str">
        <f>VLOOKUP(C298,V:W,2,0)</f>
        <v>DEU</v>
      </c>
      <c r="U298" t="str">
        <f t="shared" si="29"/>
        <v>Tech Berlin</v>
      </c>
    </row>
    <row r="299" spans="1:21" x14ac:dyDescent="0.25">
      <c r="A299" s="31" t="s">
        <v>832</v>
      </c>
      <c r="B299" s="31" t="s">
        <v>1756</v>
      </c>
      <c r="C299" s="31" t="s">
        <v>1230</v>
      </c>
      <c r="D299" s="31">
        <f>IFERROR(ROUND(VLOOKUP(A299,institutions!A:E,4,0),2),"")</f>
        <v>1.95</v>
      </c>
      <c r="E299" s="31">
        <f>IFERROR(ROUND(VLOOKUP(A299,institutions!A:X,7,0),2),"")</f>
        <v>1.51</v>
      </c>
      <c r="F299" s="31" t="str">
        <f>IFERROR(ROUND(VLOOKUP(A299,institutions!A:X,10,0),2),"")</f>
        <v/>
      </c>
      <c r="G299" s="31">
        <f>IFERROR(ROUND(VLOOKUP(A299,institutions!A:X,13,0),2),"")</f>
        <v>1.77</v>
      </c>
      <c r="H299" s="31">
        <f>IFERROR(ROUND(VLOOKUP(A299,institutions!A:X,16,0),2),"")</f>
        <v>2.2599999999999998</v>
      </c>
      <c r="I299" s="31">
        <f t="shared" si="24"/>
        <v>0.52700000000000002</v>
      </c>
      <c r="J299" s="31">
        <f t="shared" si="25"/>
        <v>0.50800000000000001</v>
      </c>
      <c r="K299" s="31">
        <f t="shared" si="26"/>
        <v>0</v>
      </c>
      <c r="L299" s="31">
        <f t="shared" si="27"/>
        <v>0.35</v>
      </c>
      <c r="M299" s="31">
        <f t="shared" si="28"/>
        <v>0.45</v>
      </c>
      <c r="N299" t="e">
        <f>VLOOKUP(A299,#REF!,11,0)</f>
        <v>#REF!</v>
      </c>
      <c r="O299" t="e">
        <f>VLOOKUP(A299,#REF!,12,0)</f>
        <v>#REF!</v>
      </c>
      <c r="P299" t="e">
        <f>VLOOKUP(A299,#REF!,13,0)</f>
        <v>#REF!</v>
      </c>
      <c r="Q299" t="e">
        <f>VLOOKUP(A299,#REF!,14,0)</f>
        <v>#REF!</v>
      </c>
      <c r="R299">
        <v>-1.214608129408008</v>
      </c>
      <c r="S299">
        <v>-0.38898804785719449</v>
      </c>
      <c r="T299" s="31" t="str">
        <f>VLOOKUP(C299,V:W,2,0)</f>
        <v>CHN</v>
      </c>
      <c r="U299" t="str">
        <f t="shared" si="29"/>
        <v/>
      </c>
    </row>
    <row r="300" spans="1:21" x14ac:dyDescent="0.25">
      <c r="A300" s="31" t="s">
        <v>863</v>
      </c>
      <c r="B300" s="31" t="s">
        <v>1751</v>
      </c>
      <c r="C300" s="31" t="s">
        <v>1224</v>
      </c>
      <c r="D300" s="31">
        <f>IFERROR(ROUND(VLOOKUP(A300,institutions!A:E,4,0),2),"")</f>
        <v>1.94</v>
      </c>
      <c r="E300" s="31">
        <f>IFERROR(ROUND(VLOOKUP(A300,institutions!A:X,7,0),2),"")</f>
        <v>1.66</v>
      </c>
      <c r="F300" s="31">
        <f>IFERROR(ROUND(VLOOKUP(A300,institutions!A:X,10,0),2),"")</f>
        <v>1.58</v>
      </c>
      <c r="G300" s="31">
        <f>IFERROR(ROUND(VLOOKUP(A300,institutions!A:X,13,0),2),"")</f>
        <v>2.33</v>
      </c>
      <c r="H300" s="31">
        <f>IFERROR(ROUND(VLOOKUP(A300,institutions!A:X,16,0),2),"")</f>
        <v>2.37</v>
      </c>
      <c r="I300" s="31">
        <f t="shared" si="24"/>
        <v>0.52</v>
      </c>
      <c r="J300" s="31">
        <f t="shared" si="25"/>
        <v>0.61199999999999999</v>
      </c>
      <c r="K300" s="31">
        <f t="shared" si="26"/>
        <v>0.57799999999999996</v>
      </c>
      <c r="L300" s="31">
        <f t="shared" si="27"/>
        <v>0.60499999999999998</v>
      </c>
      <c r="M300" s="31">
        <f t="shared" si="28"/>
        <v>0.497</v>
      </c>
      <c r="N300" t="e">
        <f>VLOOKUP(A300,#REF!,11,0)</f>
        <v>#REF!</v>
      </c>
      <c r="O300" t="e">
        <f>VLOOKUP(A300,#REF!,12,0)</f>
        <v>#REF!</v>
      </c>
      <c r="P300" t="e">
        <f>VLOOKUP(A300,#REF!,13,0)</f>
        <v>#REF!</v>
      </c>
      <c r="Q300" t="e">
        <f>VLOOKUP(A300,#REF!,14,0)</f>
        <v>#REF!</v>
      </c>
      <c r="R300">
        <v>0.47927622609599663</v>
      </c>
      <c r="S300">
        <v>0.17473947552035851</v>
      </c>
      <c r="T300" s="31" t="str">
        <f>VLOOKUP(C300,V:W,2,0)</f>
        <v>CAN</v>
      </c>
      <c r="U300" t="str">
        <f t="shared" si="29"/>
        <v/>
      </c>
    </row>
    <row r="301" spans="1:21" x14ac:dyDescent="0.25">
      <c r="A301" s="31" t="s">
        <v>940</v>
      </c>
      <c r="B301" s="31" t="s">
        <v>940</v>
      </c>
      <c r="C301" s="31" t="s">
        <v>1219</v>
      </c>
      <c r="D301" s="31">
        <f>IFERROR(ROUND(VLOOKUP(A301,institutions!A:E,4,0),2),"")</f>
        <v>1.88</v>
      </c>
      <c r="E301" s="31">
        <f>IFERROR(ROUND(VLOOKUP(A301,institutions!A:X,7,0),2),"")</f>
        <v>1.54</v>
      </c>
      <c r="F301" s="31">
        <f>IFERROR(ROUND(VLOOKUP(A301,institutions!A:X,10,0),2),"")</f>
        <v>1.61</v>
      </c>
      <c r="G301" s="31">
        <f>IFERROR(ROUND(VLOOKUP(A301,institutions!A:X,13,0),2),"")</f>
        <v>2.99</v>
      </c>
      <c r="H301" s="31">
        <f>IFERROR(ROUND(VLOOKUP(A301,institutions!A:X,16,0),2),"")</f>
        <v>3.24</v>
      </c>
      <c r="I301" s="31">
        <f t="shared" si="24"/>
        <v>0.49199999999999999</v>
      </c>
      <c r="J301" s="31">
        <f t="shared" si="25"/>
        <v>0.53300000000000003</v>
      </c>
      <c r="K301" s="31">
        <f t="shared" si="26"/>
        <v>0.60499999999999998</v>
      </c>
      <c r="L301" s="31">
        <f t="shared" si="27"/>
        <v>0.81200000000000006</v>
      </c>
      <c r="M301" s="31">
        <f t="shared" si="28"/>
        <v>0.72799999999999998</v>
      </c>
      <c r="N301" t="e">
        <f>VLOOKUP(A301,#REF!,11,0)</f>
        <v>#REF!</v>
      </c>
      <c r="O301" t="e">
        <f>VLOOKUP(A301,#REF!,12,0)</f>
        <v>#REF!</v>
      </c>
      <c r="P301" t="e">
        <f>VLOOKUP(A301,#REF!,13,0)</f>
        <v>#REF!</v>
      </c>
      <c r="Q301" t="e">
        <f>VLOOKUP(A301,#REF!,14,0)</f>
        <v>#REF!</v>
      </c>
      <c r="R301">
        <v>1.185623783937235</v>
      </c>
      <c r="S301">
        <v>-0.66593847038948617</v>
      </c>
      <c r="T301" s="31" t="str">
        <f>VLOOKUP(C301,V:W,2,0)</f>
        <v>CHE</v>
      </c>
      <c r="U301" t="str">
        <f t="shared" si="29"/>
        <v/>
      </c>
    </row>
    <row r="302" spans="1:21" x14ac:dyDescent="0.25">
      <c r="A302" s="31" t="s">
        <v>1014</v>
      </c>
      <c r="B302" s="31" t="s">
        <v>1947</v>
      </c>
      <c r="C302" s="31" t="s">
        <v>1271</v>
      </c>
      <c r="D302" s="31">
        <f>IFERROR(ROUND(VLOOKUP(A302,institutions!A:E,4,0),2),"")</f>
        <v>1.9</v>
      </c>
      <c r="E302" s="31">
        <f>IFERROR(ROUND(VLOOKUP(A302,institutions!A:X,7,0),2),"")</f>
        <v>1.92</v>
      </c>
      <c r="F302" s="31">
        <f>IFERROR(ROUND(VLOOKUP(A302,institutions!A:X,10,0),2),"")</f>
        <v>1.74</v>
      </c>
      <c r="G302" s="31">
        <f>IFERROR(ROUND(VLOOKUP(A302,institutions!A:X,13,0),2),"")</f>
        <v>1.94</v>
      </c>
      <c r="H302" s="31">
        <f>IFERROR(ROUND(VLOOKUP(A302,institutions!A:X,16,0),2),"")</f>
        <v>1.79</v>
      </c>
      <c r="I302" s="31">
        <f t="shared" si="24"/>
        <v>0.5</v>
      </c>
      <c r="J302" s="31">
        <f t="shared" si="25"/>
        <v>0.72499999999999998</v>
      </c>
      <c r="K302" s="31">
        <f t="shared" si="26"/>
        <v>0.66300000000000003</v>
      </c>
      <c r="L302" s="31">
        <f t="shared" si="27"/>
        <v>0.44</v>
      </c>
      <c r="M302" s="31">
        <f t="shared" si="28"/>
        <v>0.23</v>
      </c>
      <c r="N302" t="e">
        <f>VLOOKUP(A302,#REF!,11,0)</f>
        <v>#REF!</v>
      </c>
      <c r="O302" t="e">
        <f>VLOOKUP(A302,#REF!,12,0)</f>
        <v>#REF!</v>
      </c>
      <c r="P302" t="e">
        <f>VLOOKUP(A302,#REF!,13,0)</f>
        <v>#REF!</v>
      </c>
      <c r="Q302" t="e">
        <f>VLOOKUP(A302,#REF!,14,0)</f>
        <v>#REF!</v>
      </c>
      <c r="R302">
        <v>2.8624570808250979E-2</v>
      </c>
      <c r="S302">
        <v>1.238114974163977</v>
      </c>
      <c r="T302" s="31" t="str">
        <f>VLOOKUP(C302,V:W,2,0)</f>
        <v>DEU</v>
      </c>
      <c r="U302" t="str">
        <f t="shared" si="29"/>
        <v>Karlsruhe Inst Tech</v>
      </c>
    </row>
    <row r="303" spans="1:21" x14ac:dyDescent="0.25">
      <c r="A303" s="31" t="s">
        <v>886</v>
      </c>
      <c r="B303" s="31" t="s">
        <v>1743</v>
      </c>
      <c r="C303" s="31" t="s">
        <v>1217</v>
      </c>
      <c r="D303" s="31">
        <f>IFERROR(ROUND(VLOOKUP(A303,institutions!A:E,4,0),2),"")</f>
        <v>1.94</v>
      </c>
      <c r="E303" s="31">
        <f>IFERROR(ROUND(VLOOKUP(A303,institutions!A:X,7,0),2),"")</f>
        <v>1.53</v>
      </c>
      <c r="F303" s="31">
        <f>IFERROR(ROUND(VLOOKUP(A303,institutions!A:X,10,0),2),"")</f>
        <v>1.61</v>
      </c>
      <c r="G303" s="31">
        <f>IFERROR(ROUND(VLOOKUP(A303,institutions!A:X,13,0),2),"")</f>
        <v>2.91</v>
      </c>
      <c r="H303" s="31">
        <f>IFERROR(ROUND(VLOOKUP(A303,institutions!A:X,16,0),2),"")</f>
        <v>2.6</v>
      </c>
      <c r="I303" s="31">
        <f t="shared" si="24"/>
        <v>0.52</v>
      </c>
      <c r="J303" s="31">
        <f t="shared" si="25"/>
        <v>0.52500000000000002</v>
      </c>
      <c r="K303" s="31">
        <f t="shared" si="26"/>
        <v>0.60499999999999998</v>
      </c>
      <c r="L303" s="31">
        <f t="shared" si="27"/>
        <v>0.78700000000000003</v>
      </c>
      <c r="M303" s="31">
        <f t="shared" si="28"/>
        <v>0.57999999999999996</v>
      </c>
      <c r="N303" t="e">
        <f>VLOOKUP(A303,#REF!,11,0)</f>
        <v>#REF!</v>
      </c>
      <c r="O303" t="e">
        <f>VLOOKUP(A303,#REF!,12,0)</f>
        <v>#REF!</v>
      </c>
      <c r="P303" t="e">
        <f>VLOOKUP(A303,#REF!,13,0)</f>
        <v>#REF!</v>
      </c>
      <c r="Q303" t="e">
        <f>VLOOKUP(A303,#REF!,14,0)</f>
        <v>#REF!</v>
      </c>
      <c r="R303">
        <v>0.86093435949451336</v>
      </c>
      <c r="S303">
        <v>-0.40662652467208188</v>
      </c>
      <c r="T303" s="31" t="str">
        <f>VLOOKUP(C303,V:W,2,0)</f>
        <v>USA</v>
      </c>
      <c r="U303" t="str">
        <f t="shared" si="29"/>
        <v/>
      </c>
    </row>
    <row r="304" spans="1:21" x14ac:dyDescent="0.25">
      <c r="A304" s="31" t="s">
        <v>908</v>
      </c>
      <c r="B304" s="31" t="s">
        <v>1612</v>
      </c>
      <c r="C304" s="31" t="s">
        <v>1230</v>
      </c>
      <c r="D304" s="31">
        <f>IFERROR(ROUND(VLOOKUP(A304,institutions!A:E,4,0),2),"")</f>
        <v>1.86</v>
      </c>
      <c r="E304" s="31">
        <f>IFERROR(ROUND(VLOOKUP(A304,institutions!A:X,7,0),2),"")</f>
        <v>1.58</v>
      </c>
      <c r="F304" s="31">
        <f>IFERROR(ROUND(VLOOKUP(A304,institutions!A:X,10,0),2),"")</f>
        <v>1.95</v>
      </c>
      <c r="G304" s="31">
        <f>IFERROR(ROUND(VLOOKUP(A304,institutions!A:X,13,0),2),"")</f>
        <v>1.59</v>
      </c>
      <c r="H304" s="31">
        <f>IFERROR(ROUND(VLOOKUP(A304,institutions!A:X,16,0),2),"")</f>
        <v>2.12</v>
      </c>
      <c r="I304" s="31">
        <f t="shared" si="24"/>
        <v>0.48</v>
      </c>
      <c r="J304" s="31">
        <f t="shared" si="25"/>
        <v>0.55800000000000005</v>
      </c>
      <c r="K304" s="31">
        <f t="shared" si="26"/>
        <v>0.72</v>
      </c>
      <c r="L304" s="31">
        <f t="shared" si="27"/>
        <v>0.23300000000000001</v>
      </c>
      <c r="M304" s="31">
        <f t="shared" si="28"/>
        <v>0.38200000000000001</v>
      </c>
      <c r="N304" t="e">
        <f>VLOOKUP(A304,#REF!,11,0)</f>
        <v>#REF!</v>
      </c>
      <c r="O304" t="e">
        <f>VLOOKUP(A304,#REF!,12,0)</f>
        <v>#REF!</v>
      </c>
      <c r="P304" t="e">
        <f>VLOOKUP(A304,#REF!,13,0)</f>
        <v>#REF!</v>
      </c>
      <c r="Q304" t="e">
        <f>VLOOKUP(A304,#REF!,14,0)</f>
        <v>#REF!</v>
      </c>
      <c r="R304">
        <v>-0.23615513828667931</v>
      </c>
      <c r="S304">
        <v>1.0682493867280081</v>
      </c>
      <c r="T304" s="31" t="str">
        <f>VLOOKUP(C304,V:W,2,0)</f>
        <v>CHN</v>
      </c>
      <c r="U304" t="str">
        <f t="shared" si="29"/>
        <v/>
      </c>
    </row>
    <row r="305" spans="1:21" x14ac:dyDescent="0.25">
      <c r="A305" s="31" t="s">
        <v>970</v>
      </c>
      <c r="B305" s="31" t="s">
        <v>1598</v>
      </c>
      <c r="C305" s="31" t="s">
        <v>1217</v>
      </c>
      <c r="D305" s="31">
        <f>IFERROR(ROUND(VLOOKUP(A305,institutions!A:E,4,0),2),"")</f>
        <v>1.87</v>
      </c>
      <c r="E305" s="31">
        <f>IFERROR(ROUND(VLOOKUP(A305,institutions!A:X,7,0),2),"")</f>
        <v>1.32</v>
      </c>
      <c r="F305" s="31">
        <f>IFERROR(ROUND(VLOOKUP(A305,institutions!A:X,10,0),2),"")</f>
        <v>2.76</v>
      </c>
      <c r="G305" s="31">
        <f>IFERROR(ROUND(VLOOKUP(A305,institutions!A:X,13,0),2),"")</f>
        <v>2.08</v>
      </c>
      <c r="H305" s="31">
        <f>IFERROR(ROUND(VLOOKUP(A305,institutions!A:X,16,0),2),"")</f>
        <v>2.34</v>
      </c>
      <c r="I305" s="31">
        <f t="shared" si="24"/>
        <v>0.48699999999999999</v>
      </c>
      <c r="J305" s="31">
        <f t="shared" si="25"/>
        <v>0.31</v>
      </c>
      <c r="K305" s="31">
        <f t="shared" si="26"/>
        <v>0.86799999999999999</v>
      </c>
      <c r="L305" s="31">
        <f t="shared" si="27"/>
        <v>0.502</v>
      </c>
      <c r="M305" s="31">
        <f t="shared" si="28"/>
        <v>0.47799999999999998</v>
      </c>
      <c r="N305" t="e">
        <f>VLOOKUP(A305,#REF!,11,0)</f>
        <v>#REF!</v>
      </c>
      <c r="O305" t="e">
        <f>VLOOKUP(A305,#REF!,12,0)</f>
        <v>#REF!</v>
      </c>
      <c r="P305" t="e">
        <f>VLOOKUP(A305,#REF!,13,0)</f>
        <v>#REF!</v>
      </c>
      <c r="Q305" t="e">
        <f>VLOOKUP(A305,#REF!,14,0)</f>
        <v>#REF!</v>
      </c>
      <c r="R305">
        <v>0.27338781798519363</v>
      </c>
      <c r="S305">
        <v>0.15358828587791201</v>
      </c>
      <c r="T305" s="31" t="str">
        <f>VLOOKUP(C305,V:W,2,0)</f>
        <v>USA</v>
      </c>
      <c r="U305" t="str">
        <f t="shared" si="29"/>
        <v/>
      </c>
    </row>
    <row r="306" spans="1:21" x14ac:dyDescent="0.25">
      <c r="A306" s="31" t="s">
        <v>780</v>
      </c>
      <c r="B306" s="31" t="s">
        <v>1607</v>
      </c>
      <c r="C306" s="31" t="s">
        <v>1216</v>
      </c>
      <c r="D306" s="31">
        <f>IFERROR(ROUND(VLOOKUP(A306,institutions!A:E,4,0),2),"")</f>
        <v>1.96</v>
      </c>
      <c r="E306" s="31">
        <f>IFERROR(ROUND(VLOOKUP(A306,institutions!A:X,7,0),2),"")</f>
        <v>1.52</v>
      </c>
      <c r="F306" s="31">
        <f>IFERROR(ROUND(VLOOKUP(A306,institutions!A:X,10,0),2),"")</f>
        <v>1.69</v>
      </c>
      <c r="G306" s="31">
        <f>IFERROR(ROUND(VLOOKUP(A306,institutions!A:X,13,0),2),"")</f>
        <v>2.15</v>
      </c>
      <c r="H306" s="31">
        <f>IFERROR(ROUND(VLOOKUP(A306,institutions!A:X,16,0),2),"")</f>
        <v>2.61</v>
      </c>
      <c r="I306" s="31">
        <f t="shared" si="24"/>
        <v>0.53700000000000003</v>
      </c>
      <c r="J306" s="31">
        <f t="shared" si="25"/>
        <v>0.52</v>
      </c>
      <c r="K306" s="31">
        <f t="shared" si="26"/>
        <v>0.63</v>
      </c>
      <c r="L306" s="31">
        <f t="shared" si="27"/>
        <v>0.53300000000000003</v>
      </c>
      <c r="M306" s="31">
        <f t="shared" si="28"/>
        <v>0.58299999999999996</v>
      </c>
      <c r="N306" t="e">
        <f>VLOOKUP(A306,#REF!,11,0)</f>
        <v>#REF!</v>
      </c>
      <c r="O306" t="e">
        <f>VLOOKUP(A306,#REF!,12,0)</f>
        <v>#REF!</v>
      </c>
      <c r="P306" t="e">
        <f>VLOOKUP(A306,#REF!,13,0)</f>
        <v>#REF!</v>
      </c>
      <c r="Q306" t="e">
        <f>VLOOKUP(A306,#REF!,14,0)</f>
        <v>#REF!</v>
      </c>
      <c r="R306">
        <v>0.44771604914098889</v>
      </c>
      <c r="S306">
        <v>3.7507860210304389E-2</v>
      </c>
      <c r="T306" s="31" t="str">
        <f>VLOOKUP(C306,V:W,2,0)</f>
        <v>UK</v>
      </c>
      <c r="U306" t="str">
        <f t="shared" si="29"/>
        <v/>
      </c>
    </row>
    <row r="307" spans="1:21" x14ac:dyDescent="0.25">
      <c r="A307" s="31" t="s">
        <v>879</v>
      </c>
      <c r="B307" s="31" t="s">
        <v>1937</v>
      </c>
      <c r="C307" s="31" t="s">
        <v>1217</v>
      </c>
      <c r="D307" s="31">
        <f>IFERROR(ROUND(VLOOKUP(A307,institutions!A:E,4,0),2),"")</f>
        <v>1.91</v>
      </c>
      <c r="E307" s="31">
        <f>IFERROR(ROUND(VLOOKUP(A307,institutions!A:X,7,0),2),"")</f>
        <v>1.21</v>
      </c>
      <c r="F307" s="31">
        <f>IFERROR(ROUND(VLOOKUP(A307,institutions!A:X,10,0),2),"")</f>
        <v>1.41</v>
      </c>
      <c r="G307" s="31">
        <f>IFERROR(ROUND(VLOOKUP(A307,institutions!A:X,13,0),2),"")</f>
        <v>3.66</v>
      </c>
      <c r="H307" s="31">
        <f>IFERROR(ROUND(VLOOKUP(A307,institutions!A:X,16,0),2),"")</f>
        <v>2.09</v>
      </c>
      <c r="I307" s="31">
        <f t="shared" si="24"/>
        <v>0.503</v>
      </c>
      <c r="J307" s="31">
        <f t="shared" si="25"/>
        <v>0.16500000000000001</v>
      </c>
      <c r="K307" s="31">
        <f t="shared" si="26"/>
        <v>0.45300000000000001</v>
      </c>
      <c r="L307" s="31">
        <f t="shared" si="27"/>
        <v>0.91300000000000003</v>
      </c>
      <c r="M307" s="31">
        <f t="shared" si="28"/>
        <v>0.372</v>
      </c>
      <c r="N307" t="e">
        <f>VLOOKUP(A307,#REF!,11,0)</f>
        <v>#REF!</v>
      </c>
      <c r="O307" t="e">
        <f>VLOOKUP(A307,#REF!,12,0)</f>
        <v>#REF!</v>
      </c>
      <c r="P307" t="e">
        <f>VLOOKUP(A307,#REF!,13,0)</f>
        <v>#REF!</v>
      </c>
      <c r="Q307" t="e">
        <f>VLOOKUP(A307,#REF!,14,0)</f>
        <v>#REF!</v>
      </c>
      <c r="R307">
        <v>-0.12546713555458849</v>
      </c>
      <c r="S307">
        <v>-1.276554771900454</v>
      </c>
      <c r="T307" s="31" t="str">
        <f>VLOOKUP(C307,V:W,2,0)</f>
        <v>USA</v>
      </c>
      <c r="U307" t="str">
        <f t="shared" si="29"/>
        <v/>
      </c>
    </row>
    <row r="308" spans="1:21" x14ac:dyDescent="0.25">
      <c r="A308" s="31" t="s">
        <v>913</v>
      </c>
      <c r="B308" s="31" t="s">
        <v>2077</v>
      </c>
      <c r="C308" s="31" t="s">
        <v>1217</v>
      </c>
      <c r="D308" s="31">
        <f>IFERROR(ROUND(VLOOKUP(A308,institutions!A:E,4,0),2),"")</f>
        <v>1.95</v>
      </c>
      <c r="E308" s="31">
        <f>IFERROR(ROUND(VLOOKUP(A308,institutions!A:X,7,0),2),"")</f>
        <v>1.5</v>
      </c>
      <c r="F308" s="31">
        <f>IFERROR(ROUND(VLOOKUP(A308,institutions!A:X,10,0),2),"")</f>
        <v>1.94</v>
      </c>
      <c r="G308" s="31">
        <f>IFERROR(ROUND(VLOOKUP(A308,institutions!A:X,13,0),2),"")</f>
        <v>2.37</v>
      </c>
      <c r="H308" s="31">
        <f>IFERROR(ROUND(VLOOKUP(A308,institutions!A:X,16,0),2),"")</f>
        <v>2.72</v>
      </c>
      <c r="I308" s="31">
        <f t="shared" si="24"/>
        <v>0.52700000000000002</v>
      </c>
      <c r="J308" s="31">
        <f t="shared" si="25"/>
        <v>0.498</v>
      </c>
      <c r="K308" s="31">
        <f t="shared" si="26"/>
        <v>0.71299999999999997</v>
      </c>
      <c r="L308" s="31">
        <f t="shared" si="27"/>
        <v>0.622</v>
      </c>
      <c r="M308" s="31">
        <f t="shared" si="28"/>
        <v>0.61699999999999999</v>
      </c>
      <c r="N308" t="e">
        <f>VLOOKUP(A308,#REF!,11,0)</f>
        <v>#REF!</v>
      </c>
      <c r="O308" t="e">
        <f>VLOOKUP(A308,#REF!,12,0)</f>
        <v>#REF!</v>
      </c>
      <c r="P308" t="e">
        <f>VLOOKUP(A308,#REF!,13,0)</f>
        <v>#REF!</v>
      </c>
      <c r="Q308" t="e">
        <f>VLOOKUP(A308,#REF!,14,0)</f>
        <v>#REF!</v>
      </c>
      <c r="R308">
        <v>0.77456740089054588</v>
      </c>
      <c r="S308">
        <v>-9.0906735215450812E-2</v>
      </c>
      <c r="T308" s="31" t="str">
        <f>VLOOKUP(C308,V:W,2,0)</f>
        <v>USA</v>
      </c>
      <c r="U308" t="str">
        <f t="shared" si="29"/>
        <v/>
      </c>
    </row>
    <row r="309" spans="1:21" x14ac:dyDescent="0.25">
      <c r="A309" s="31" t="s">
        <v>878</v>
      </c>
      <c r="B309" s="31" t="s">
        <v>1595</v>
      </c>
      <c r="C309" s="31" t="s">
        <v>1237</v>
      </c>
      <c r="D309" s="31">
        <f>IFERROR(ROUND(VLOOKUP(A309,institutions!A:E,4,0),2),"")</f>
        <v>1.94</v>
      </c>
      <c r="E309" s="31">
        <f>IFERROR(ROUND(VLOOKUP(A309,institutions!A:X,7,0),2),"")</f>
        <v>1.49</v>
      </c>
      <c r="F309" s="31">
        <f>IFERROR(ROUND(VLOOKUP(A309,institutions!A:X,10,0),2),"")</f>
        <v>1.71</v>
      </c>
      <c r="G309" s="31">
        <f>IFERROR(ROUND(VLOOKUP(A309,institutions!A:X,13,0),2),"")</f>
        <v>2.39</v>
      </c>
      <c r="H309" s="31">
        <f>IFERROR(ROUND(VLOOKUP(A309,institutions!A:X,16,0),2),"")</f>
        <v>3.37</v>
      </c>
      <c r="I309" s="31">
        <f t="shared" si="24"/>
        <v>0.52</v>
      </c>
      <c r="J309" s="31">
        <f t="shared" si="25"/>
        <v>0.49</v>
      </c>
      <c r="K309" s="31">
        <f t="shared" si="26"/>
        <v>0.64500000000000002</v>
      </c>
      <c r="L309" s="31">
        <f t="shared" si="27"/>
        <v>0.63700000000000001</v>
      </c>
      <c r="M309" s="31">
        <f t="shared" si="28"/>
        <v>0.76</v>
      </c>
      <c r="N309" t="e">
        <f>VLOOKUP(A309,#REF!,11,0)</f>
        <v>#REF!</v>
      </c>
      <c r="O309" t="e">
        <f>VLOOKUP(A309,#REF!,12,0)</f>
        <v>#REF!</v>
      </c>
      <c r="P309" t="e">
        <f>VLOOKUP(A309,#REF!,13,0)</f>
        <v>#REF!</v>
      </c>
      <c r="Q309" t="e">
        <f>VLOOKUP(A309,#REF!,14,0)</f>
        <v>#REF!</v>
      </c>
      <c r="R309">
        <v>0.93060561529268171</v>
      </c>
      <c r="S309">
        <v>-0.45874044331366792</v>
      </c>
      <c r="T309" s="31" t="str">
        <f>VLOOKUP(C309,V:W,2,0)</f>
        <v>AUS</v>
      </c>
      <c r="U309" t="str">
        <f t="shared" si="29"/>
        <v/>
      </c>
    </row>
    <row r="310" spans="1:21" x14ac:dyDescent="0.25">
      <c r="A310" s="31" t="s">
        <v>947</v>
      </c>
      <c r="B310" s="31" t="s">
        <v>1749</v>
      </c>
      <c r="C310" s="31" t="s">
        <v>1224</v>
      </c>
      <c r="D310" s="31">
        <f>IFERROR(ROUND(VLOOKUP(A310,institutions!A:E,4,0),2),"")</f>
        <v>1.89</v>
      </c>
      <c r="E310" s="31">
        <f>IFERROR(ROUND(VLOOKUP(A310,institutions!A:X,7,0),2),"")</f>
        <v>1.57</v>
      </c>
      <c r="F310" s="31">
        <f>IFERROR(ROUND(VLOOKUP(A310,institutions!A:X,10,0),2),"")</f>
        <v>1.59</v>
      </c>
      <c r="G310" s="31">
        <f>IFERROR(ROUND(VLOOKUP(A310,institutions!A:X,13,0),2),"")</f>
        <v>2.4500000000000002</v>
      </c>
      <c r="H310" s="31">
        <f>IFERROR(ROUND(VLOOKUP(A310,institutions!A:X,16,0),2),"")</f>
        <v>2.59</v>
      </c>
      <c r="I310" s="31">
        <f t="shared" si="24"/>
        <v>0.495</v>
      </c>
      <c r="J310" s="31">
        <f t="shared" si="25"/>
        <v>0.55700000000000005</v>
      </c>
      <c r="K310" s="31">
        <f t="shared" si="26"/>
        <v>0.59199999999999997</v>
      </c>
      <c r="L310" s="31">
        <f t="shared" si="27"/>
        <v>0.66800000000000004</v>
      </c>
      <c r="M310" s="31">
        <f t="shared" si="28"/>
        <v>0.57799999999999996</v>
      </c>
      <c r="N310" t="e">
        <f>VLOOKUP(A310,#REF!,11,0)</f>
        <v>#REF!</v>
      </c>
      <c r="O310" t="e">
        <f>VLOOKUP(A310,#REF!,12,0)</f>
        <v>#REF!</v>
      </c>
      <c r="P310" t="e">
        <f>VLOOKUP(A310,#REF!,13,0)</f>
        <v>#REF!</v>
      </c>
      <c r="Q310" t="e">
        <f>VLOOKUP(A310,#REF!,14,0)</f>
        <v>#REF!</v>
      </c>
      <c r="R310">
        <v>0.67391660845121226</v>
      </c>
      <c r="S310">
        <v>-0.1557723127738298</v>
      </c>
      <c r="T310" s="31" t="str">
        <f>VLOOKUP(C310,V:W,2,0)</f>
        <v>CAN</v>
      </c>
      <c r="U310" t="str">
        <f t="shared" si="29"/>
        <v/>
      </c>
    </row>
    <row r="311" spans="1:21" x14ac:dyDescent="0.25">
      <c r="A311" s="31" t="s">
        <v>805</v>
      </c>
      <c r="B311" s="31" t="s">
        <v>1759</v>
      </c>
      <c r="C311" s="31" t="s">
        <v>1229</v>
      </c>
      <c r="D311" s="31">
        <f>IFERROR(ROUND(VLOOKUP(A311,institutions!A:E,4,0),2),"")</f>
        <v>1.88</v>
      </c>
      <c r="E311" s="31">
        <f>IFERROR(ROUND(VLOOKUP(A311,institutions!A:X,7,0),2),"")</f>
        <v>1.31</v>
      </c>
      <c r="F311" s="31">
        <f>IFERROR(ROUND(VLOOKUP(A311,institutions!A:X,10,0),2),"")</f>
        <v>1.22</v>
      </c>
      <c r="G311" s="31">
        <f>IFERROR(ROUND(VLOOKUP(A311,institutions!A:X,13,0),2),"")</f>
        <v>2.4</v>
      </c>
      <c r="H311" s="31">
        <f>IFERROR(ROUND(VLOOKUP(A311,institutions!A:X,16,0),2),"")</f>
        <v>2.59</v>
      </c>
      <c r="I311" s="31">
        <f t="shared" si="24"/>
        <v>0.49199999999999999</v>
      </c>
      <c r="J311" s="31">
        <f t="shared" si="25"/>
        <v>0.29799999999999999</v>
      </c>
      <c r="K311" s="31">
        <f t="shared" si="26"/>
        <v>0.253</v>
      </c>
      <c r="L311" s="31">
        <f t="shared" si="27"/>
        <v>0.64300000000000002</v>
      </c>
      <c r="M311" s="31">
        <f t="shared" si="28"/>
        <v>0.57799999999999996</v>
      </c>
      <c r="N311" t="e">
        <f>VLOOKUP(A311,#REF!,11,0)</f>
        <v>#REF!</v>
      </c>
      <c r="O311" t="e">
        <f>VLOOKUP(A311,#REF!,12,0)</f>
        <v>#REF!</v>
      </c>
      <c r="P311" t="e">
        <f>VLOOKUP(A311,#REF!,13,0)</f>
        <v>#REF!</v>
      </c>
      <c r="Q311" t="e">
        <f>VLOOKUP(A311,#REF!,14,0)</f>
        <v>#REF!</v>
      </c>
      <c r="R311">
        <v>-0.36425625589504429</v>
      </c>
      <c r="S311">
        <v>-1.160460453448227</v>
      </c>
      <c r="T311" s="31" t="str">
        <f>VLOOKUP(C311,V:W,2,0)</f>
        <v>SWE</v>
      </c>
      <c r="U311" t="str">
        <f t="shared" si="29"/>
        <v/>
      </c>
    </row>
    <row r="312" spans="1:21" x14ac:dyDescent="0.25">
      <c r="A312" s="31" t="s">
        <v>823</v>
      </c>
      <c r="B312" s="31" t="s">
        <v>1755</v>
      </c>
      <c r="C312" s="31" t="s">
        <v>1216</v>
      </c>
      <c r="D312" s="31">
        <f>IFERROR(ROUND(VLOOKUP(A312,institutions!A:E,4,0),2),"")</f>
        <v>1.92</v>
      </c>
      <c r="E312" s="31">
        <f>IFERROR(ROUND(VLOOKUP(A312,institutions!A:X,7,0),2),"")</f>
        <v>1.38</v>
      </c>
      <c r="F312" s="31">
        <f>IFERROR(ROUND(VLOOKUP(A312,institutions!A:X,10,0),2),"")</f>
        <v>1.22</v>
      </c>
      <c r="G312" s="31">
        <f>IFERROR(ROUND(VLOOKUP(A312,institutions!A:X,13,0),2),"")</f>
        <v>2.27</v>
      </c>
      <c r="H312" s="31">
        <f>IFERROR(ROUND(VLOOKUP(A312,institutions!A:X,16,0),2),"")</f>
        <v>3.2</v>
      </c>
      <c r="I312" s="31">
        <f t="shared" si="24"/>
        <v>0.50700000000000001</v>
      </c>
      <c r="J312" s="31">
        <f t="shared" si="25"/>
        <v>0.372</v>
      </c>
      <c r="K312" s="31">
        <f t="shared" si="26"/>
        <v>0.253</v>
      </c>
      <c r="L312" s="31">
        <f t="shared" si="27"/>
        <v>0.58799999999999997</v>
      </c>
      <c r="M312" s="31">
        <f t="shared" si="28"/>
        <v>0.72199999999999998</v>
      </c>
      <c r="N312" t="e">
        <f>VLOOKUP(A312,#REF!,11,0)</f>
        <v>#REF!</v>
      </c>
      <c r="O312" t="e">
        <f>VLOOKUP(A312,#REF!,12,0)</f>
        <v>#REF!</v>
      </c>
      <c r="P312" t="e">
        <f>VLOOKUP(A312,#REF!,13,0)</f>
        <v>#REF!</v>
      </c>
      <c r="Q312" t="e">
        <f>VLOOKUP(A312,#REF!,14,0)</f>
        <v>#REF!</v>
      </c>
      <c r="R312">
        <v>-8.3979486183080987E-2</v>
      </c>
      <c r="S312">
        <v>-1.1392055784450319</v>
      </c>
      <c r="T312" s="31" t="str">
        <f>VLOOKUP(C312,V:W,2,0)</f>
        <v>UK</v>
      </c>
      <c r="U312" t="str">
        <f t="shared" si="29"/>
        <v/>
      </c>
    </row>
    <row r="313" spans="1:21" x14ac:dyDescent="0.25">
      <c r="A313" s="31" t="s">
        <v>1017</v>
      </c>
      <c r="B313" s="31" t="s">
        <v>1764</v>
      </c>
      <c r="C313" s="31" t="s">
        <v>1230</v>
      </c>
      <c r="D313" s="31">
        <f>IFERROR(ROUND(VLOOKUP(A313,institutions!A:E,4,0),2),"")</f>
        <v>1.85</v>
      </c>
      <c r="E313" s="31">
        <f>IFERROR(ROUND(VLOOKUP(A313,institutions!A:X,7,0),2),"")</f>
        <v>1.73</v>
      </c>
      <c r="F313" s="31">
        <f>IFERROR(ROUND(VLOOKUP(A313,institutions!A:X,10,0),2),"")</f>
        <v>1.7</v>
      </c>
      <c r="G313" s="31">
        <f>IFERROR(ROUND(VLOOKUP(A313,institutions!A:X,13,0),2),"")</f>
        <v>1.88</v>
      </c>
      <c r="H313" s="31">
        <f>IFERROR(ROUND(VLOOKUP(A313,institutions!A:X,16,0),2),"")</f>
        <v>2.52</v>
      </c>
      <c r="I313" s="31">
        <f t="shared" si="24"/>
        <v>0.46800000000000003</v>
      </c>
      <c r="J313" s="31">
        <f t="shared" si="25"/>
        <v>0.65300000000000002</v>
      </c>
      <c r="K313" s="31">
        <f t="shared" si="26"/>
        <v>0.63300000000000001</v>
      </c>
      <c r="L313" s="31">
        <f t="shared" si="27"/>
        <v>0.41</v>
      </c>
      <c r="M313" s="31">
        <f t="shared" si="28"/>
        <v>0.55200000000000005</v>
      </c>
      <c r="N313" t="e">
        <f>VLOOKUP(A313,#REF!,11,0)</f>
        <v>#REF!</v>
      </c>
      <c r="O313" t="e">
        <f>VLOOKUP(A313,#REF!,12,0)</f>
        <v>#REF!</v>
      </c>
      <c r="P313" t="e">
        <f>VLOOKUP(A313,#REF!,13,0)</f>
        <v>#REF!</v>
      </c>
      <c r="Q313" t="e">
        <f>VLOOKUP(A313,#REF!,14,0)</f>
        <v>#REF!</v>
      </c>
      <c r="R313">
        <v>0.39011975886125783</v>
      </c>
      <c r="S313">
        <v>0.57997635366849343</v>
      </c>
      <c r="T313" s="31" t="str">
        <f>VLOOKUP(C313,V:W,2,0)</f>
        <v>CHN</v>
      </c>
      <c r="U313" t="str">
        <f t="shared" si="29"/>
        <v/>
      </c>
    </row>
    <row r="314" spans="1:21" x14ac:dyDescent="0.25">
      <c r="A314" s="31" t="s">
        <v>859</v>
      </c>
      <c r="B314" s="31" t="s">
        <v>1575</v>
      </c>
      <c r="C314" s="31" t="s">
        <v>1217</v>
      </c>
      <c r="D314" s="31">
        <f>IFERROR(ROUND(VLOOKUP(A314,institutions!A:E,4,0),2),"")</f>
        <v>1.97</v>
      </c>
      <c r="E314" s="31">
        <f>IFERROR(ROUND(VLOOKUP(A314,institutions!A:X,7,0),2),"")</f>
        <v>1.65</v>
      </c>
      <c r="F314" s="31">
        <f>IFERROR(ROUND(VLOOKUP(A314,institutions!A:X,10,0),2),"")</f>
        <v>1.73</v>
      </c>
      <c r="G314" s="31">
        <f>IFERROR(ROUND(VLOOKUP(A314,institutions!A:X,13,0),2),"")</f>
        <v>2.1</v>
      </c>
      <c r="H314" s="31">
        <f>IFERROR(ROUND(VLOOKUP(A314,institutions!A:X,16,0),2),"")</f>
        <v>3.02</v>
      </c>
      <c r="I314" s="31">
        <f t="shared" si="24"/>
        <v>0.54300000000000004</v>
      </c>
      <c r="J314" s="31">
        <f t="shared" si="25"/>
        <v>0.60799999999999998</v>
      </c>
      <c r="K314" s="31">
        <f t="shared" si="26"/>
        <v>0.65500000000000003</v>
      </c>
      <c r="L314" s="31">
        <f t="shared" si="27"/>
        <v>0.51300000000000001</v>
      </c>
      <c r="M314" s="31">
        <f t="shared" si="28"/>
        <v>0.68700000000000006</v>
      </c>
      <c r="N314" t="e">
        <f>VLOOKUP(A314,#REF!,11,0)</f>
        <v>#REF!</v>
      </c>
      <c r="O314" t="e">
        <f>VLOOKUP(A314,#REF!,12,0)</f>
        <v>#REF!</v>
      </c>
      <c r="P314" t="e">
        <f>VLOOKUP(A314,#REF!,13,0)</f>
        <v>#REF!</v>
      </c>
      <c r="Q314" t="e">
        <f>VLOOKUP(A314,#REF!,14,0)</f>
        <v>#REF!</v>
      </c>
      <c r="R314">
        <v>0.78333760537737673</v>
      </c>
      <c r="S314">
        <v>0.13016554838217301</v>
      </c>
      <c r="T314" s="31" t="str">
        <f>VLOOKUP(C314,V:W,2,0)</f>
        <v>USA</v>
      </c>
      <c r="U314" t="str">
        <f t="shared" si="29"/>
        <v/>
      </c>
    </row>
    <row r="315" spans="1:21" x14ac:dyDescent="0.25">
      <c r="A315" s="31" t="s">
        <v>1043</v>
      </c>
      <c r="B315" s="31" t="s">
        <v>1735</v>
      </c>
      <c r="C315" s="31" t="s">
        <v>1217</v>
      </c>
      <c r="D315" s="31">
        <f>IFERROR(ROUND(VLOOKUP(A315,institutions!A:E,4,0),2),"")</f>
        <v>1.85</v>
      </c>
      <c r="E315" s="31">
        <f>IFERROR(ROUND(VLOOKUP(A315,institutions!A:X,7,0),2),"")</f>
        <v>1.7</v>
      </c>
      <c r="F315" s="31">
        <f>IFERROR(ROUND(VLOOKUP(A315,institutions!A:X,10,0),2),"")</f>
        <v>1.49</v>
      </c>
      <c r="G315" s="31">
        <f>IFERROR(ROUND(VLOOKUP(A315,institutions!A:X,13,0),2),"")</f>
        <v>2.2599999999999998</v>
      </c>
      <c r="H315" s="31">
        <f>IFERROR(ROUND(VLOOKUP(A315,institutions!A:X,16,0),2),"")</f>
        <v>2.21</v>
      </c>
      <c r="I315" s="31">
        <f t="shared" si="24"/>
        <v>0.46800000000000003</v>
      </c>
      <c r="J315" s="31">
        <f t="shared" si="25"/>
        <v>0.63700000000000001</v>
      </c>
      <c r="K315" s="31">
        <f t="shared" si="26"/>
        <v>0.51800000000000002</v>
      </c>
      <c r="L315" s="31">
        <f t="shared" si="27"/>
        <v>0.58499999999999996</v>
      </c>
      <c r="M315" s="31">
        <f t="shared" si="28"/>
        <v>0.42699999999999999</v>
      </c>
      <c r="N315" t="e">
        <f>VLOOKUP(A315,#REF!,11,0)</f>
        <v>#REF!</v>
      </c>
      <c r="O315" t="e">
        <f>VLOOKUP(A315,#REF!,12,0)</f>
        <v>#REF!</v>
      </c>
      <c r="P315" t="e">
        <f>VLOOKUP(A315,#REF!,13,0)</f>
        <v>#REF!</v>
      </c>
      <c r="Q315" t="e">
        <f>VLOOKUP(A315,#REF!,14,0)</f>
        <v>#REF!</v>
      </c>
      <c r="R315">
        <v>0.25466097264252541</v>
      </c>
      <c r="S315">
        <v>0.28516562131297563</v>
      </c>
      <c r="T315" s="31" t="str">
        <f>VLOOKUP(C315,V:W,2,0)</f>
        <v>USA</v>
      </c>
      <c r="U315" t="str">
        <f t="shared" si="29"/>
        <v/>
      </c>
    </row>
    <row r="316" spans="1:21" x14ac:dyDescent="0.25">
      <c r="A316" s="31" t="s">
        <v>814</v>
      </c>
      <c r="B316" s="31" t="s">
        <v>1600</v>
      </c>
      <c r="C316" s="31" t="s">
        <v>1271</v>
      </c>
      <c r="D316" s="31">
        <f>IFERROR(ROUND(VLOOKUP(A316,institutions!A:E,4,0),2),"")</f>
        <v>1.89</v>
      </c>
      <c r="E316" s="31">
        <f>IFERROR(ROUND(VLOOKUP(A316,institutions!A:X,7,0),2),"")</f>
        <v>1.41</v>
      </c>
      <c r="F316" s="31" t="str">
        <f>IFERROR(ROUND(VLOOKUP(A316,institutions!A:X,10,0),2),"")</f>
        <v/>
      </c>
      <c r="G316" s="31">
        <f>IFERROR(ROUND(VLOOKUP(A316,institutions!A:X,13,0),2),"")</f>
        <v>2.36</v>
      </c>
      <c r="H316" s="31">
        <f>IFERROR(ROUND(VLOOKUP(A316,institutions!A:X,16,0),2),"")</f>
        <v>2.2799999999999998</v>
      </c>
      <c r="I316" s="31">
        <f t="shared" si="24"/>
        <v>0.495</v>
      </c>
      <c r="J316" s="31">
        <f t="shared" si="25"/>
        <v>0.42199999999999999</v>
      </c>
      <c r="K316" s="31">
        <f t="shared" si="26"/>
        <v>0</v>
      </c>
      <c r="L316" s="31">
        <f t="shared" si="27"/>
        <v>0.61799999999999999</v>
      </c>
      <c r="M316" s="31">
        <f t="shared" si="28"/>
        <v>0.46200000000000002</v>
      </c>
      <c r="N316" t="e">
        <f>VLOOKUP(A316,#REF!,11,0)</f>
        <v>#REF!</v>
      </c>
      <c r="O316" t="e">
        <f>VLOOKUP(A316,#REF!,12,0)</f>
        <v>#REF!</v>
      </c>
      <c r="P316" t="e">
        <f>VLOOKUP(A316,#REF!,13,0)</f>
        <v>#REF!</v>
      </c>
      <c r="Q316" t="e">
        <f>VLOOKUP(A316,#REF!,14,0)</f>
        <v>#REF!</v>
      </c>
      <c r="R316">
        <v>-0.85219936722187672</v>
      </c>
      <c r="S316">
        <v>-1.038179307567068</v>
      </c>
      <c r="T316" s="31" t="str">
        <f>VLOOKUP(C316,V:W,2,0)</f>
        <v>DEU</v>
      </c>
      <c r="U316" t="str">
        <f t="shared" si="29"/>
        <v>Bayreuth</v>
      </c>
    </row>
    <row r="317" spans="1:21" x14ac:dyDescent="0.25">
      <c r="A317" s="31" t="s">
        <v>1100</v>
      </c>
      <c r="B317" s="31" t="s">
        <v>1622</v>
      </c>
      <c r="C317" s="31" t="s">
        <v>1229</v>
      </c>
      <c r="D317" s="31">
        <f>IFERROR(ROUND(VLOOKUP(A317,institutions!A:E,4,0),2),"")</f>
        <v>1.81</v>
      </c>
      <c r="E317" s="31">
        <f>IFERROR(ROUND(VLOOKUP(A317,institutions!A:X,7,0),2),"")</f>
        <v>1.88</v>
      </c>
      <c r="F317" s="31">
        <f>IFERROR(ROUND(VLOOKUP(A317,institutions!A:X,10,0),2),"")</f>
        <v>1.49</v>
      </c>
      <c r="G317" s="31">
        <f>IFERROR(ROUND(VLOOKUP(A317,institutions!A:X,13,0),2),"")</f>
        <v>1.52</v>
      </c>
      <c r="H317" s="31">
        <f>IFERROR(ROUND(VLOOKUP(A317,institutions!A:X,16,0),2),"")</f>
        <v>1.78</v>
      </c>
      <c r="I317" s="31">
        <f t="shared" si="24"/>
        <v>0.437</v>
      </c>
      <c r="J317" s="31">
        <f t="shared" si="25"/>
        <v>0.71199999999999997</v>
      </c>
      <c r="K317" s="31">
        <f t="shared" si="26"/>
        <v>0.51800000000000002</v>
      </c>
      <c r="L317" s="31">
        <f t="shared" si="27"/>
        <v>0.20300000000000001</v>
      </c>
      <c r="M317" s="31">
        <f t="shared" si="28"/>
        <v>0.22500000000000001</v>
      </c>
      <c r="N317" t="e">
        <f>VLOOKUP(A317,#REF!,11,0)</f>
        <v>#REF!</v>
      </c>
      <c r="O317" t="e">
        <f>VLOOKUP(A317,#REF!,12,0)</f>
        <v>#REF!</v>
      </c>
      <c r="P317" t="e">
        <f>VLOOKUP(A317,#REF!,13,0)</f>
        <v>#REF!</v>
      </c>
      <c r="Q317" t="e">
        <f>VLOOKUP(A317,#REF!,14,0)</f>
        <v>#REF!</v>
      </c>
      <c r="R317">
        <v>-0.6719336993495576</v>
      </c>
      <c r="S317">
        <v>1.4021624483356581</v>
      </c>
      <c r="T317" s="31" t="str">
        <f>VLOOKUP(C317,V:W,2,0)</f>
        <v>SWE</v>
      </c>
      <c r="U317" t="str">
        <f t="shared" si="29"/>
        <v/>
      </c>
    </row>
    <row r="318" spans="1:21" x14ac:dyDescent="0.25">
      <c r="A318" s="31" t="s">
        <v>838</v>
      </c>
      <c r="B318" s="31" t="s">
        <v>2070</v>
      </c>
      <c r="C318" s="31" t="s">
        <v>1217</v>
      </c>
      <c r="D318" s="31">
        <f>IFERROR(ROUND(VLOOKUP(A318,institutions!A:E,4,0),2),"")</f>
        <v>1.9</v>
      </c>
      <c r="E318" s="31">
        <f>IFERROR(ROUND(VLOOKUP(A318,institutions!A:X,7,0),2),"")</f>
        <v>1.33</v>
      </c>
      <c r="F318" s="31">
        <f>IFERROR(ROUND(VLOOKUP(A318,institutions!A:X,10,0),2),"")</f>
        <v>1.74</v>
      </c>
      <c r="G318" s="31">
        <f>IFERROR(ROUND(VLOOKUP(A318,institutions!A:X,13,0),2),"")</f>
        <v>1.97</v>
      </c>
      <c r="H318" s="31">
        <f>IFERROR(ROUND(VLOOKUP(A318,institutions!A:X,16,0),2),"")</f>
        <v>2.48</v>
      </c>
      <c r="I318" s="31">
        <f t="shared" si="24"/>
        <v>0.5</v>
      </c>
      <c r="J318" s="31">
        <f t="shared" si="25"/>
        <v>0.33</v>
      </c>
      <c r="K318" s="31">
        <f t="shared" si="26"/>
        <v>0.66300000000000003</v>
      </c>
      <c r="L318" s="31">
        <f t="shared" si="27"/>
        <v>0.46</v>
      </c>
      <c r="M318" s="31">
        <f t="shared" si="28"/>
        <v>0.53800000000000003</v>
      </c>
      <c r="N318" t="e">
        <f>VLOOKUP(A318,#REF!,11,0)</f>
        <v>#REF!</v>
      </c>
      <c r="O318" t="e">
        <f>VLOOKUP(A318,#REF!,12,0)</f>
        <v>#REF!</v>
      </c>
      <c r="P318" t="e">
        <f>VLOOKUP(A318,#REF!,13,0)</f>
        <v>#REF!</v>
      </c>
      <c r="Q318" t="e">
        <f>VLOOKUP(A318,#REF!,14,0)</f>
        <v>#REF!</v>
      </c>
      <c r="R318">
        <v>-1.145460940920473E-2</v>
      </c>
      <c r="S318">
        <v>-0.1271915084518789</v>
      </c>
      <c r="T318" s="31" t="str">
        <f>VLOOKUP(C318,V:W,2,0)</f>
        <v>USA</v>
      </c>
      <c r="U318" t="str">
        <f t="shared" si="29"/>
        <v/>
      </c>
    </row>
    <row r="319" spans="1:21" x14ac:dyDescent="0.25">
      <c r="A319" s="31" t="s">
        <v>1022</v>
      </c>
      <c r="B319" s="31" t="s">
        <v>1601</v>
      </c>
      <c r="C319" s="31" t="s">
        <v>1271</v>
      </c>
      <c r="D319" s="31">
        <f>IFERROR(ROUND(VLOOKUP(A319,institutions!A:E,4,0),2),"")</f>
        <v>1.87</v>
      </c>
      <c r="E319" s="31">
        <f>IFERROR(ROUND(VLOOKUP(A319,institutions!A:X,7,0),2),"")</f>
        <v>1.59</v>
      </c>
      <c r="F319" s="31">
        <f>IFERROR(ROUND(VLOOKUP(A319,institutions!A:X,10,0),2),"")</f>
        <v>3.05</v>
      </c>
      <c r="G319" s="31">
        <f>IFERROR(ROUND(VLOOKUP(A319,institutions!A:X,13,0),2),"")</f>
        <v>1.97</v>
      </c>
      <c r="H319" s="31">
        <f>IFERROR(ROUND(VLOOKUP(A319,institutions!A:X,16,0),2),"")</f>
        <v>2.85</v>
      </c>
      <c r="I319" s="31">
        <f t="shared" si="24"/>
        <v>0.48699999999999999</v>
      </c>
      <c r="J319" s="31">
        <f t="shared" si="25"/>
        <v>0.56299999999999994</v>
      </c>
      <c r="K319" s="31">
        <f t="shared" si="26"/>
        <v>0.88700000000000001</v>
      </c>
      <c r="L319" s="31">
        <f t="shared" si="27"/>
        <v>0.46</v>
      </c>
      <c r="M319" s="31">
        <f t="shared" si="28"/>
        <v>0.65300000000000002</v>
      </c>
      <c r="N319" t="e">
        <f>VLOOKUP(A319,#REF!,11,0)</f>
        <v>#REF!</v>
      </c>
      <c r="O319" t="e">
        <f>VLOOKUP(A319,#REF!,12,0)</f>
        <v>#REF!</v>
      </c>
      <c r="P319" t="e">
        <f>VLOOKUP(A319,#REF!,13,0)</f>
        <v>#REF!</v>
      </c>
      <c r="Q319" t="e">
        <f>VLOOKUP(A319,#REF!,14,0)</f>
        <v>#REF!</v>
      </c>
      <c r="R319">
        <v>0.9517026716675685</v>
      </c>
      <c r="S319">
        <v>0.5138912432998759</v>
      </c>
      <c r="T319" s="31" t="str">
        <f>VLOOKUP(C319,V:W,2,0)</f>
        <v>DEU</v>
      </c>
      <c r="U319" t="str">
        <f t="shared" si="29"/>
        <v>Duisburg Essen</v>
      </c>
    </row>
    <row r="320" spans="1:21" x14ac:dyDescent="0.25">
      <c r="A320" s="31" t="s">
        <v>933</v>
      </c>
      <c r="B320" s="31" t="s">
        <v>1605</v>
      </c>
      <c r="C320" s="31" t="s">
        <v>1222</v>
      </c>
      <c r="D320" s="31">
        <f>IFERROR(ROUND(VLOOKUP(A320,institutions!A:E,4,0),2),"")</f>
        <v>1.82</v>
      </c>
      <c r="E320" s="31">
        <f>IFERROR(ROUND(VLOOKUP(A320,institutions!A:X,7,0),2),"")</f>
        <v>1.39</v>
      </c>
      <c r="F320" s="31">
        <f>IFERROR(ROUND(VLOOKUP(A320,institutions!A:X,10,0),2),"")</f>
        <v>1.48</v>
      </c>
      <c r="G320" s="31">
        <f>IFERROR(ROUND(VLOOKUP(A320,institutions!A:X,13,0),2),"")</f>
        <v>2.5</v>
      </c>
      <c r="H320" s="31">
        <f>IFERROR(ROUND(VLOOKUP(A320,institutions!A:X,16,0),2),"")</f>
        <v>3.14</v>
      </c>
      <c r="I320" s="31">
        <f t="shared" si="24"/>
        <v>0.44800000000000001</v>
      </c>
      <c r="J320" s="31">
        <f t="shared" si="25"/>
        <v>0.39200000000000002</v>
      </c>
      <c r="K320" s="31">
        <f t="shared" si="26"/>
        <v>0.50700000000000001</v>
      </c>
      <c r="L320" s="31">
        <f t="shared" si="27"/>
        <v>0.69499999999999995</v>
      </c>
      <c r="M320" s="31">
        <f t="shared" si="28"/>
        <v>0.71</v>
      </c>
      <c r="N320" t="e">
        <f>VLOOKUP(A320,#REF!,11,0)</f>
        <v>#REF!</v>
      </c>
      <c r="O320" t="e">
        <f>VLOOKUP(A320,#REF!,12,0)</f>
        <v>#REF!</v>
      </c>
      <c r="P320" t="e">
        <f>VLOOKUP(A320,#REF!,13,0)</f>
        <v>#REF!</v>
      </c>
      <c r="Q320" t="e">
        <f>VLOOKUP(A320,#REF!,14,0)</f>
        <v>#REF!</v>
      </c>
      <c r="R320">
        <v>0.55127096105696538</v>
      </c>
      <c r="S320">
        <v>-0.88614060287921781</v>
      </c>
      <c r="T320" s="31" t="str">
        <f>VLOOKUP(C320,V:W,2,0)</f>
        <v>ITA</v>
      </c>
      <c r="U320" t="str">
        <f t="shared" si="29"/>
        <v/>
      </c>
    </row>
    <row r="321" spans="1:21" x14ac:dyDescent="0.25">
      <c r="A321" s="31" t="s">
        <v>919</v>
      </c>
      <c r="B321" s="31" t="s">
        <v>1952</v>
      </c>
      <c r="C321" s="31" t="s">
        <v>1240</v>
      </c>
      <c r="D321" s="31">
        <f>IFERROR(ROUND(VLOOKUP(A321,institutions!A:E,4,0),2),"")</f>
        <v>1.94</v>
      </c>
      <c r="E321" s="31">
        <f>IFERROR(ROUND(VLOOKUP(A321,institutions!A:X,7,0),2),"")</f>
        <v>1.75</v>
      </c>
      <c r="F321" s="31">
        <f>IFERROR(ROUND(VLOOKUP(A321,institutions!A:X,10,0),2),"")</f>
        <v>1.34</v>
      </c>
      <c r="G321" s="31">
        <f>IFERROR(ROUND(VLOOKUP(A321,institutions!A:X,13,0),2),"")</f>
        <v>2.2599999999999998</v>
      </c>
      <c r="H321" s="31">
        <f>IFERROR(ROUND(VLOOKUP(A321,institutions!A:X,16,0),2),"")</f>
        <v>6.17</v>
      </c>
      <c r="I321" s="31">
        <f t="shared" si="24"/>
        <v>0.52</v>
      </c>
      <c r="J321" s="31">
        <f t="shared" si="25"/>
        <v>0.66300000000000003</v>
      </c>
      <c r="K321" s="31">
        <f t="shared" si="26"/>
        <v>0.39</v>
      </c>
      <c r="L321" s="31">
        <f t="shared" si="27"/>
        <v>0.58499999999999996</v>
      </c>
      <c r="M321" s="31">
        <f t="shared" si="28"/>
        <v>0.98</v>
      </c>
      <c r="N321" t="e">
        <f>VLOOKUP(A321,#REF!,11,0)</f>
        <v>#REF!</v>
      </c>
      <c r="O321" t="e">
        <f>VLOOKUP(A321,#REF!,12,0)</f>
        <v>#REF!</v>
      </c>
      <c r="P321" t="e">
        <f>VLOOKUP(A321,#REF!,13,0)</f>
        <v>#REF!</v>
      </c>
      <c r="Q321" t="e">
        <f>VLOOKUP(A321,#REF!,14,0)</f>
        <v>#REF!</v>
      </c>
      <c r="R321">
        <v>1.076225965155581</v>
      </c>
      <c r="S321">
        <v>-0.72267996935044509</v>
      </c>
      <c r="T321" s="31" t="str">
        <f>VLOOKUP(C321,V:W,2,0)</f>
        <v>AUT</v>
      </c>
      <c r="U321" t="str">
        <f t="shared" si="29"/>
        <v/>
      </c>
    </row>
    <row r="322" spans="1:21" x14ac:dyDescent="0.25">
      <c r="A322" s="31" t="s">
        <v>906</v>
      </c>
      <c r="B322" s="31" t="s">
        <v>2076</v>
      </c>
      <c r="C322" s="31" t="s">
        <v>1243</v>
      </c>
      <c r="D322" s="31">
        <f>IFERROR(ROUND(VLOOKUP(A322,institutions!A:E,4,0),2),"")</f>
        <v>1.83</v>
      </c>
      <c r="E322" s="31">
        <f>IFERROR(ROUND(VLOOKUP(A322,institutions!A:X,7,0),2),"")</f>
        <v>1.3</v>
      </c>
      <c r="F322" s="31">
        <f>IFERROR(ROUND(VLOOKUP(A322,institutions!A:X,10,0),2),"")</f>
        <v>1.5</v>
      </c>
      <c r="G322" s="31">
        <f>IFERROR(ROUND(VLOOKUP(A322,institutions!A:X,13,0),2),"")</f>
        <v>2.94</v>
      </c>
      <c r="H322" s="31">
        <f>IFERROR(ROUND(VLOOKUP(A322,institutions!A:X,16,0),2),"")</f>
        <v>2.13</v>
      </c>
      <c r="I322" s="31">
        <f t="shared" si="24"/>
        <v>0.45800000000000002</v>
      </c>
      <c r="J322" s="31">
        <f t="shared" si="25"/>
        <v>0.28299999999999997</v>
      </c>
      <c r="K322" s="31">
        <f t="shared" si="26"/>
        <v>0.52700000000000002</v>
      </c>
      <c r="L322" s="31">
        <f t="shared" si="27"/>
        <v>0.79200000000000004</v>
      </c>
      <c r="M322" s="31">
        <f t="shared" si="28"/>
        <v>0.38700000000000001</v>
      </c>
      <c r="N322" t="e">
        <f>VLOOKUP(A322,#REF!,11,0)</f>
        <v>#REF!</v>
      </c>
      <c r="O322" t="e">
        <f>VLOOKUP(A322,#REF!,12,0)</f>
        <v>#REF!</v>
      </c>
      <c r="P322" t="e">
        <f>VLOOKUP(A322,#REF!,13,0)</f>
        <v>#REF!</v>
      </c>
      <c r="Q322" t="e">
        <f>VLOOKUP(A322,#REF!,14,0)</f>
        <v>#REF!</v>
      </c>
      <c r="R322">
        <v>8.764288740077098E-4</v>
      </c>
      <c r="S322">
        <v>-0.73909635669585838</v>
      </c>
      <c r="T322" s="31" t="str">
        <f>VLOOKUP(C322,V:W,2,0)</f>
        <v>TWN</v>
      </c>
      <c r="U322" t="str">
        <f t="shared" si="29"/>
        <v/>
      </c>
    </row>
    <row r="323" spans="1:21" x14ac:dyDescent="0.25">
      <c r="A323" s="31" t="s">
        <v>979</v>
      </c>
      <c r="B323" s="31" t="s">
        <v>1786</v>
      </c>
      <c r="C323" s="31" t="s">
        <v>1250</v>
      </c>
      <c r="D323" s="31">
        <f>IFERROR(ROUND(VLOOKUP(A323,institutions!A:E,4,0),2),"")</f>
        <v>1.83</v>
      </c>
      <c r="E323" s="31">
        <f>IFERROR(ROUND(VLOOKUP(A323,institutions!A:X,7,0),2),"")</f>
        <v>1.76</v>
      </c>
      <c r="F323" s="31">
        <f>IFERROR(ROUND(VLOOKUP(A323,institutions!A:X,10,0),2),"")</f>
        <v>1.26</v>
      </c>
      <c r="G323" s="31">
        <f>IFERROR(ROUND(VLOOKUP(A323,institutions!A:X,13,0),2),"")</f>
        <v>1.72</v>
      </c>
      <c r="H323" s="31">
        <f>IFERROR(ROUND(VLOOKUP(A323,institutions!A:X,16,0),2),"")</f>
        <v>3.18</v>
      </c>
      <c r="I323" s="31">
        <f t="shared" si="24"/>
        <v>0.45800000000000002</v>
      </c>
      <c r="J323" s="31">
        <f t="shared" si="25"/>
        <v>0.66700000000000004</v>
      </c>
      <c r="K323" s="31">
        <f t="shared" si="26"/>
        <v>0.312</v>
      </c>
      <c r="L323" s="31">
        <f t="shared" si="27"/>
        <v>0.308</v>
      </c>
      <c r="M323" s="31">
        <f t="shared" si="28"/>
        <v>0.71799999999999997</v>
      </c>
      <c r="N323" t="e">
        <f>VLOOKUP(A323,#REF!,11,0)</f>
        <v>#REF!</v>
      </c>
      <c r="O323" t="e">
        <f>VLOOKUP(A323,#REF!,12,0)</f>
        <v>#REF!</v>
      </c>
      <c r="P323" t="e">
        <f>VLOOKUP(A323,#REF!,13,0)</f>
        <v>#REF!</v>
      </c>
      <c r="Q323" t="e">
        <f>VLOOKUP(A323,#REF!,14,0)</f>
        <v>#REF!</v>
      </c>
      <c r="R323">
        <v>-1.8169443648248702E-2</v>
      </c>
      <c r="S323">
        <v>4.9431918808114012E-2</v>
      </c>
      <c r="T323" s="31" t="str">
        <f>VLOOKUP(C323,V:W,2,0)</f>
        <v>UK</v>
      </c>
      <c r="U323" t="str">
        <f t="shared" si="29"/>
        <v/>
      </c>
    </row>
    <row r="324" spans="1:21" x14ac:dyDescent="0.25">
      <c r="A324" s="31" t="s">
        <v>945</v>
      </c>
      <c r="B324" s="31" t="s">
        <v>1753</v>
      </c>
      <c r="C324" s="31" t="s">
        <v>1233</v>
      </c>
      <c r="D324" s="31">
        <f>IFERROR(ROUND(VLOOKUP(A324,institutions!A:E,4,0),2),"")</f>
        <v>1.86</v>
      </c>
      <c r="E324" s="31">
        <f>IFERROR(ROUND(VLOOKUP(A324,institutions!A:X,7,0),2),"")</f>
        <v>1.42</v>
      </c>
      <c r="F324" s="31">
        <f>IFERROR(ROUND(VLOOKUP(A324,institutions!A:X,10,0),2),"")</f>
        <v>1.74</v>
      </c>
      <c r="G324" s="31">
        <f>IFERROR(ROUND(VLOOKUP(A324,institutions!A:X,13,0),2),"")</f>
        <v>2.5299999999999998</v>
      </c>
      <c r="H324" s="31">
        <f>IFERROR(ROUND(VLOOKUP(A324,institutions!A:X,16,0),2),"")</f>
        <v>2.65</v>
      </c>
      <c r="I324" s="31">
        <f t="shared" ref="I324:I387" si="30">ROUND(IFERROR((601-_xlfn.RANK.EQ(D324,D:D))/600,0),3)</f>
        <v>0.48</v>
      </c>
      <c r="J324" s="31">
        <f t="shared" ref="J324:J387" si="31">ROUND(IFERROR((601-IFERROR(_xlfn.RANK.EQ(E324,E:E),""))/600,0),3)</f>
        <v>0.432</v>
      </c>
      <c r="K324" s="31">
        <f t="shared" ref="K324:K387" si="32">ROUND(IFERROR((601-IFERROR(_xlfn.RANK.EQ(F324,F:F),""))/600,0),3)</f>
        <v>0.66300000000000003</v>
      </c>
      <c r="L324" s="31">
        <f t="shared" ref="L324:L387" si="33">ROUND(IFERROR((601-IFERROR(_xlfn.RANK.EQ(G324,G:G),""))/600,0),3)</f>
        <v>0.70299999999999996</v>
      </c>
      <c r="M324" s="31">
        <f t="shared" ref="M324:M387" si="34">ROUND(IFERROR((601-IFERROR(_xlfn.RANK.EQ(H324,H:H),""))/600,0),3)</f>
        <v>0.59299999999999997</v>
      </c>
      <c r="N324" t="e">
        <f>VLOOKUP(A324,#REF!,11,0)</f>
        <v>#REF!</v>
      </c>
      <c r="O324" t="e">
        <f>VLOOKUP(A324,#REF!,12,0)</f>
        <v>#REF!</v>
      </c>
      <c r="P324" t="e">
        <f>VLOOKUP(A324,#REF!,13,0)</f>
        <v>#REF!</v>
      </c>
      <c r="Q324" t="e">
        <f>VLOOKUP(A324,#REF!,14,0)</f>
        <v>#REF!</v>
      </c>
      <c r="R324">
        <v>0.68477830007837115</v>
      </c>
      <c r="S324">
        <v>-0.40148456999363957</v>
      </c>
      <c r="T324" s="31" t="str">
        <f>VLOOKUP(C324,V:W,2,0)</f>
        <v>NED</v>
      </c>
      <c r="U324" t="str">
        <f t="shared" ref="U324:U387" si="35">IF(T324=T$1,B324,IF(T324=T$2,B324,IF(T324=U$1,B324,"")))</f>
        <v/>
      </c>
    </row>
    <row r="325" spans="1:21" x14ac:dyDescent="0.25">
      <c r="A325" s="31" t="s">
        <v>811</v>
      </c>
      <c r="B325" s="31" t="s">
        <v>2069</v>
      </c>
      <c r="C325" s="31" t="s">
        <v>1232</v>
      </c>
      <c r="D325" s="31">
        <f>IFERROR(ROUND(VLOOKUP(A325,institutions!A:E,4,0),2),"")</f>
        <v>1.82</v>
      </c>
      <c r="E325" s="31">
        <f>IFERROR(ROUND(VLOOKUP(A325,institutions!A:X,7,0),2),"")</f>
        <v>1.32</v>
      </c>
      <c r="F325" s="31">
        <f>IFERROR(ROUND(VLOOKUP(A325,institutions!A:X,10,0),2),"")</f>
        <v>1.63</v>
      </c>
      <c r="G325" s="31">
        <f>IFERROR(ROUND(VLOOKUP(A325,institutions!A:X,13,0),2),"")</f>
        <v>2</v>
      </c>
      <c r="H325" s="31">
        <f>IFERROR(ROUND(VLOOKUP(A325,institutions!A:X,16,0),2),"")</f>
        <v>2.54</v>
      </c>
      <c r="I325" s="31">
        <f t="shared" si="30"/>
        <v>0.44800000000000001</v>
      </c>
      <c r="J325" s="31">
        <f t="shared" si="31"/>
        <v>0.31</v>
      </c>
      <c r="K325" s="31">
        <f t="shared" si="32"/>
        <v>0.61299999999999999</v>
      </c>
      <c r="L325" s="31">
        <f t="shared" si="33"/>
        <v>0.47199999999999998</v>
      </c>
      <c r="M325" s="31">
        <f t="shared" si="34"/>
        <v>0.56000000000000005</v>
      </c>
      <c r="N325" t="e">
        <f>VLOOKUP(A325,#REF!,11,0)</f>
        <v>#REF!</v>
      </c>
      <c r="O325" t="e">
        <f>VLOOKUP(A325,#REF!,12,0)</f>
        <v>#REF!</v>
      </c>
      <c r="P325" t="e">
        <f>VLOOKUP(A325,#REF!,13,0)</f>
        <v>#REF!</v>
      </c>
      <c r="Q325" t="e">
        <f>VLOOKUP(A325,#REF!,14,0)</f>
        <v>#REF!</v>
      </c>
      <c r="R325">
        <v>-6.7728850501143523E-2</v>
      </c>
      <c r="S325">
        <v>-0.29754167183894081</v>
      </c>
      <c r="T325" s="31" t="str">
        <f>VLOOKUP(C325,V:W,2,0)</f>
        <v>IRL</v>
      </c>
      <c r="U325" t="str">
        <f t="shared" si="35"/>
        <v/>
      </c>
    </row>
    <row r="326" spans="1:21" x14ac:dyDescent="0.25">
      <c r="A326" s="31" t="s">
        <v>951</v>
      </c>
      <c r="B326" s="31" t="s">
        <v>1602</v>
      </c>
      <c r="C326" s="31" t="s">
        <v>1233</v>
      </c>
      <c r="D326" s="31">
        <f>IFERROR(ROUND(VLOOKUP(A326,institutions!A:E,4,0),2),"")</f>
        <v>1.82</v>
      </c>
      <c r="E326" s="31">
        <f>IFERROR(ROUND(VLOOKUP(A326,institutions!A:X,7,0),2),"")</f>
        <v>1.46</v>
      </c>
      <c r="F326" s="31">
        <f>IFERROR(ROUND(VLOOKUP(A326,institutions!A:X,10,0),2),"")</f>
        <v>1.71</v>
      </c>
      <c r="G326" s="31">
        <f>IFERROR(ROUND(VLOOKUP(A326,institutions!A:X,13,0),2),"")</f>
        <v>2.4700000000000002</v>
      </c>
      <c r="H326" s="31">
        <f>IFERROR(ROUND(VLOOKUP(A326,institutions!A:X,16,0),2),"")</f>
        <v>2.4700000000000002</v>
      </c>
      <c r="I326" s="31">
        <f t="shared" si="30"/>
        <v>0.44800000000000001</v>
      </c>
      <c r="J326" s="31">
        <f t="shared" si="31"/>
        <v>0.46800000000000003</v>
      </c>
      <c r="K326" s="31">
        <f t="shared" si="32"/>
        <v>0.64500000000000002</v>
      </c>
      <c r="L326" s="31">
        <f t="shared" si="33"/>
        <v>0.67700000000000005</v>
      </c>
      <c r="M326" s="31">
        <f t="shared" si="34"/>
        <v>0.53200000000000003</v>
      </c>
      <c r="N326" t="e">
        <f>VLOOKUP(A326,#REF!,11,0)</f>
        <v>#REF!</v>
      </c>
      <c r="O326" t="e">
        <f>VLOOKUP(A326,#REF!,12,0)</f>
        <v>#REF!</v>
      </c>
      <c r="P326" t="e">
        <f>VLOOKUP(A326,#REF!,13,0)</f>
        <v>#REF!</v>
      </c>
      <c r="Q326" t="e">
        <f>VLOOKUP(A326,#REF!,14,0)</f>
        <v>#REF!</v>
      </c>
      <c r="R326">
        <v>0.55506109818266491</v>
      </c>
      <c r="S326">
        <v>-0.2107329935509647</v>
      </c>
      <c r="T326" s="31" t="str">
        <f>VLOOKUP(C326,V:W,2,0)</f>
        <v>NED</v>
      </c>
      <c r="U326" t="str">
        <f t="shared" si="35"/>
        <v/>
      </c>
    </row>
    <row r="327" spans="1:21" x14ac:dyDescent="0.25">
      <c r="A327" s="31" t="s">
        <v>929</v>
      </c>
      <c r="B327" s="31" t="s">
        <v>1567</v>
      </c>
      <c r="C327" s="31" t="s">
        <v>1224</v>
      </c>
      <c r="D327" s="31">
        <f>IFERROR(ROUND(VLOOKUP(A327,institutions!A:E,4,0),2),"")</f>
        <v>1.84</v>
      </c>
      <c r="E327" s="31">
        <f>IFERROR(ROUND(VLOOKUP(A327,institutions!A:X,7,0),2),"")</f>
        <v>1.39</v>
      </c>
      <c r="F327" s="31">
        <f>IFERROR(ROUND(VLOOKUP(A327,institutions!A:X,10,0),2),"")</f>
        <v>1.26</v>
      </c>
      <c r="G327" s="31">
        <f>IFERROR(ROUND(VLOOKUP(A327,institutions!A:X,13,0),2),"")</f>
        <v>2.2599999999999998</v>
      </c>
      <c r="H327" s="31">
        <f>IFERROR(ROUND(VLOOKUP(A327,institutions!A:X,16,0),2),"")</f>
        <v>3.44</v>
      </c>
      <c r="I327" s="31">
        <f t="shared" si="30"/>
        <v>0.46200000000000002</v>
      </c>
      <c r="J327" s="31">
        <f t="shared" si="31"/>
        <v>0.39200000000000002</v>
      </c>
      <c r="K327" s="31">
        <f t="shared" si="32"/>
        <v>0.312</v>
      </c>
      <c r="L327" s="31">
        <f t="shared" si="33"/>
        <v>0.58499999999999996</v>
      </c>
      <c r="M327" s="31">
        <f t="shared" si="34"/>
        <v>0.77700000000000002</v>
      </c>
      <c r="N327" t="e">
        <f>VLOOKUP(A327,#REF!,11,0)</f>
        <v>#REF!</v>
      </c>
      <c r="O327" t="e">
        <f>VLOOKUP(A327,#REF!,12,0)</f>
        <v>#REF!</v>
      </c>
      <c r="P327" t="e">
        <f>VLOOKUP(A327,#REF!,13,0)</f>
        <v>#REF!</v>
      </c>
      <c r="Q327" t="e">
        <f>VLOOKUP(A327,#REF!,14,0)</f>
        <v>#REF!</v>
      </c>
      <c r="R327">
        <v>0.1427863250254027</v>
      </c>
      <c r="S327">
        <v>-1.092883726902584</v>
      </c>
      <c r="T327" s="31" t="str">
        <f>VLOOKUP(C327,V:W,2,0)</f>
        <v>CAN</v>
      </c>
      <c r="U327" t="str">
        <f t="shared" si="35"/>
        <v/>
      </c>
    </row>
    <row r="328" spans="1:21" x14ac:dyDescent="0.25">
      <c r="A328" s="31" t="s">
        <v>935</v>
      </c>
      <c r="B328" s="31" t="s">
        <v>2068</v>
      </c>
      <c r="C328" s="31" t="s">
        <v>1237</v>
      </c>
      <c r="D328" s="31">
        <f>IFERROR(ROUND(VLOOKUP(A328,institutions!A:E,4,0),2),"")</f>
        <v>1.85</v>
      </c>
      <c r="E328" s="31">
        <f>IFERROR(ROUND(VLOOKUP(A328,institutions!A:X,7,0),2),"")</f>
        <v>1.5</v>
      </c>
      <c r="F328" s="31">
        <f>IFERROR(ROUND(VLOOKUP(A328,institutions!A:X,10,0),2),"")</f>
        <v>1.58</v>
      </c>
      <c r="G328" s="31">
        <f>IFERROR(ROUND(VLOOKUP(A328,institutions!A:X,13,0),2),"")</f>
        <v>2.12</v>
      </c>
      <c r="H328" s="31">
        <f>IFERROR(ROUND(VLOOKUP(A328,institutions!A:X,16,0),2),"")</f>
        <v>2.57</v>
      </c>
      <c r="I328" s="31">
        <f t="shared" si="30"/>
        <v>0.46800000000000003</v>
      </c>
      <c r="J328" s="31">
        <f t="shared" si="31"/>
        <v>0.498</v>
      </c>
      <c r="K328" s="31">
        <f t="shared" si="32"/>
        <v>0.57799999999999996</v>
      </c>
      <c r="L328" s="31">
        <f t="shared" si="33"/>
        <v>0.52500000000000002</v>
      </c>
      <c r="M328" s="31">
        <f t="shared" si="34"/>
        <v>0.56999999999999995</v>
      </c>
      <c r="N328" t="e">
        <f>VLOOKUP(A328,#REF!,11,0)</f>
        <v>#REF!</v>
      </c>
      <c r="O328" t="e">
        <f>VLOOKUP(A328,#REF!,12,0)</f>
        <v>#REF!</v>
      </c>
      <c r="P328" t="e">
        <f>VLOOKUP(A328,#REF!,13,0)</f>
        <v>#REF!</v>
      </c>
      <c r="Q328" t="e">
        <f>VLOOKUP(A328,#REF!,14,0)</f>
        <v>#REF!</v>
      </c>
      <c r="R328">
        <v>0.28592287284137557</v>
      </c>
      <c r="S328">
        <v>-5.1187731601579529E-2</v>
      </c>
      <c r="T328" s="31" t="str">
        <f>VLOOKUP(C328,V:W,2,0)</f>
        <v>AUS</v>
      </c>
      <c r="U328" t="str">
        <f t="shared" si="35"/>
        <v/>
      </c>
    </row>
    <row r="329" spans="1:21" x14ac:dyDescent="0.25">
      <c r="A329" s="31" t="s">
        <v>839</v>
      </c>
      <c r="B329" s="31" t="s">
        <v>1614</v>
      </c>
      <c r="C329" s="31" t="s">
        <v>1236</v>
      </c>
      <c r="D329" s="31">
        <f>IFERROR(ROUND(VLOOKUP(A329,institutions!A:E,4,0),2),"")</f>
        <v>1.83</v>
      </c>
      <c r="E329" s="31">
        <f>IFERROR(ROUND(VLOOKUP(A329,institutions!A:X,7,0),2),"")</f>
        <v>1.52</v>
      </c>
      <c r="F329" s="31">
        <f>IFERROR(ROUND(VLOOKUP(A329,institutions!A:X,10,0),2),"")</f>
        <v>1.53</v>
      </c>
      <c r="G329" s="31">
        <f>IFERROR(ROUND(VLOOKUP(A329,institutions!A:X,13,0),2),"")</f>
        <v>1.75</v>
      </c>
      <c r="H329" s="31">
        <f>IFERROR(ROUND(VLOOKUP(A329,institutions!A:X,16,0),2),"")</f>
        <v>2.62</v>
      </c>
      <c r="I329" s="31">
        <f t="shared" si="30"/>
        <v>0.45800000000000002</v>
      </c>
      <c r="J329" s="31">
        <f t="shared" si="31"/>
        <v>0.52</v>
      </c>
      <c r="K329" s="31">
        <f t="shared" si="32"/>
        <v>0.55200000000000005</v>
      </c>
      <c r="L329" s="31">
        <f t="shared" si="33"/>
        <v>0.33700000000000002</v>
      </c>
      <c r="M329" s="31">
        <f t="shared" si="34"/>
        <v>0.58799999999999997</v>
      </c>
      <c r="N329" t="e">
        <f>VLOOKUP(A329,#REF!,11,0)</f>
        <v>#REF!</v>
      </c>
      <c r="O329" t="e">
        <f>VLOOKUP(A329,#REF!,12,0)</f>
        <v>#REF!</v>
      </c>
      <c r="P329" t="e">
        <f>VLOOKUP(A329,#REF!,13,0)</f>
        <v>#REF!</v>
      </c>
      <c r="Q329" t="e">
        <f>VLOOKUP(A329,#REF!,14,0)</f>
        <v>#REF!</v>
      </c>
      <c r="R329">
        <v>-2.634019923416784E-2</v>
      </c>
      <c r="S329">
        <v>0.24263605238734451</v>
      </c>
      <c r="T329" s="31" t="str">
        <f>VLOOKUP(C329,V:W,2,0)</f>
        <v>NZE</v>
      </c>
      <c r="U329" t="str">
        <f t="shared" si="35"/>
        <v/>
      </c>
    </row>
    <row r="330" spans="1:21" x14ac:dyDescent="0.25">
      <c r="A330" s="31" t="s">
        <v>870</v>
      </c>
      <c r="B330" s="31" t="s">
        <v>2074</v>
      </c>
      <c r="C330" s="31" t="s">
        <v>1223</v>
      </c>
      <c r="D330" s="31">
        <f>IFERROR(ROUND(VLOOKUP(A330,institutions!A:E,4,0),2),"")</f>
        <v>1.86</v>
      </c>
      <c r="E330" s="31">
        <f>IFERROR(ROUND(VLOOKUP(A330,institutions!A:X,7,0),2),"")</f>
        <v>1.31</v>
      </c>
      <c r="F330" s="31">
        <f>IFERROR(ROUND(VLOOKUP(A330,institutions!A:X,10,0),2),"")</f>
        <v>1.97</v>
      </c>
      <c r="G330" s="31">
        <f>IFERROR(ROUND(VLOOKUP(A330,institutions!A:X,13,0),2),"")</f>
        <v>2.12</v>
      </c>
      <c r="H330" s="31">
        <f>IFERROR(ROUND(VLOOKUP(A330,institutions!A:X,16,0),2),"")</f>
        <v>2.0699999999999998</v>
      </c>
      <c r="I330" s="31">
        <f t="shared" si="30"/>
        <v>0.48</v>
      </c>
      <c r="J330" s="31">
        <f t="shared" si="31"/>
        <v>0.29799999999999999</v>
      </c>
      <c r="K330" s="31">
        <f t="shared" si="32"/>
        <v>0.74</v>
      </c>
      <c r="L330" s="31">
        <f t="shared" si="33"/>
        <v>0.52500000000000002</v>
      </c>
      <c r="M330" s="31">
        <f t="shared" si="34"/>
        <v>0.35799999999999998</v>
      </c>
      <c r="N330" t="e">
        <f>VLOOKUP(A330,#REF!,11,0)</f>
        <v>#REF!</v>
      </c>
      <c r="O330" t="e">
        <f>VLOOKUP(A330,#REF!,12,0)</f>
        <v>#REF!</v>
      </c>
      <c r="P330" t="e">
        <f>VLOOKUP(A330,#REF!,13,0)</f>
        <v>#REF!</v>
      </c>
      <c r="Q330" t="e">
        <f>VLOOKUP(A330,#REF!,14,0)</f>
        <v>#REF!</v>
      </c>
      <c r="R330">
        <v>-0.14014594043572701</v>
      </c>
      <c r="S330">
        <v>9.3720631643683355E-2</v>
      </c>
      <c r="T330" s="31" t="str">
        <f>VLOOKUP(C330,V:W,2,0)</f>
        <v>HKG</v>
      </c>
      <c r="U330" t="str">
        <f t="shared" si="35"/>
        <v/>
      </c>
    </row>
    <row r="331" spans="1:21" x14ac:dyDescent="0.25">
      <c r="A331" s="31" t="s">
        <v>923</v>
      </c>
      <c r="B331" s="31" t="s">
        <v>1946</v>
      </c>
      <c r="C331" s="31" t="s">
        <v>1271</v>
      </c>
      <c r="D331" s="31">
        <f>IFERROR(ROUND(VLOOKUP(A331,institutions!A:E,4,0),2),"")</f>
        <v>1.83</v>
      </c>
      <c r="E331" s="31">
        <f>IFERROR(ROUND(VLOOKUP(A331,institutions!A:X,7,0),2),"")</f>
        <v>1.52</v>
      </c>
      <c r="F331" s="31">
        <f>IFERROR(ROUND(VLOOKUP(A331,institutions!A:X,10,0),2),"")</f>
        <v>1.39</v>
      </c>
      <c r="G331" s="31">
        <f>IFERROR(ROUND(VLOOKUP(A331,institutions!A:X,13,0),2),"")</f>
        <v>2.13</v>
      </c>
      <c r="H331" s="31">
        <f>IFERROR(ROUND(VLOOKUP(A331,institutions!A:X,16,0),2),"")</f>
        <v>2.34</v>
      </c>
      <c r="I331" s="31">
        <f t="shared" si="30"/>
        <v>0.45800000000000002</v>
      </c>
      <c r="J331" s="31">
        <f t="shared" si="31"/>
        <v>0.52</v>
      </c>
      <c r="K331" s="31">
        <f t="shared" si="32"/>
        <v>0.435</v>
      </c>
      <c r="L331" s="31">
        <f t="shared" si="33"/>
        <v>0.52700000000000002</v>
      </c>
      <c r="M331" s="31">
        <f t="shared" si="34"/>
        <v>0.47799999999999998</v>
      </c>
      <c r="N331" t="e">
        <f>VLOOKUP(A331,#REF!,11,0)</f>
        <v>#REF!</v>
      </c>
      <c r="O331" t="e">
        <f>VLOOKUP(A331,#REF!,12,0)</f>
        <v>#REF!</v>
      </c>
      <c r="P331" t="e">
        <f>VLOOKUP(A331,#REF!,13,0)</f>
        <v>#REF!</v>
      </c>
      <c r="Q331" t="e">
        <f>VLOOKUP(A331,#REF!,14,0)</f>
        <v>#REF!</v>
      </c>
      <c r="R331">
        <v>-8.5755970504203374E-2</v>
      </c>
      <c r="S331">
        <v>-6.9702215715968921E-2</v>
      </c>
      <c r="T331" s="31" t="str">
        <f>VLOOKUP(C331,V:W,2,0)</f>
        <v>DEU</v>
      </c>
      <c r="U331" t="str">
        <f t="shared" si="35"/>
        <v>Hohenheim</v>
      </c>
    </row>
    <row r="332" spans="1:21" x14ac:dyDescent="0.25">
      <c r="A332" s="31" t="s">
        <v>1008</v>
      </c>
      <c r="B332" s="31" t="s">
        <v>1592</v>
      </c>
      <c r="C332" s="31" t="s">
        <v>1240</v>
      </c>
      <c r="D332" s="31">
        <f>IFERROR(ROUND(VLOOKUP(A332,institutions!A:E,4,0),2),"")</f>
        <v>1.87</v>
      </c>
      <c r="E332" s="31">
        <f>IFERROR(ROUND(VLOOKUP(A332,institutions!A:X,7,0),2),"")</f>
        <v>1.62</v>
      </c>
      <c r="F332" s="31">
        <f>IFERROR(ROUND(VLOOKUP(A332,institutions!A:X,10,0),2),"")</f>
        <v>1.53</v>
      </c>
      <c r="G332" s="31">
        <f>IFERROR(ROUND(VLOOKUP(A332,institutions!A:X,13,0),2),"")</f>
        <v>2.44</v>
      </c>
      <c r="H332" s="31">
        <f>IFERROR(ROUND(VLOOKUP(A332,institutions!A:X,16,0),2),"")</f>
        <v>2.7</v>
      </c>
      <c r="I332" s="31">
        <f t="shared" si="30"/>
        <v>0.48699999999999999</v>
      </c>
      <c r="J332" s="31">
        <f t="shared" si="31"/>
        <v>0.57999999999999996</v>
      </c>
      <c r="K332" s="31">
        <f t="shared" si="32"/>
        <v>0.55200000000000005</v>
      </c>
      <c r="L332" s="31">
        <f t="shared" si="33"/>
        <v>0.65800000000000003</v>
      </c>
      <c r="M332" s="31">
        <f t="shared" si="34"/>
        <v>0.61</v>
      </c>
      <c r="N332" t="e">
        <f>VLOOKUP(A332,#REF!,11,0)</f>
        <v>#REF!</v>
      </c>
      <c r="O332" t="e">
        <f>VLOOKUP(A332,#REF!,12,0)</f>
        <v>#REF!</v>
      </c>
      <c r="P332" t="e">
        <f>VLOOKUP(A332,#REF!,13,0)</f>
        <v>#REF!</v>
      </c>
      <c r="Q332" t="e">
        <f>VLOOKUP(A332,#REF!,14,0)</f>
        <v>#REF!</v>
      </c>
      <c r="R332">
        <v>0.68231750165329119</v>
      </c>
      <c r="S332">
        <v>-0.19895746195035871</v>
      </c>
      <c r="T332" s="31" t="str">
        <f>VLOOKUP(C332,V:W,2,0)</f>
        <v>AUT</v>
      </c>
      <c r="U332" t="str">
        <f t="shared" si="35"/>
        <v/>
      </c>
    </row>
    <row r="333" spans="1:21" x14ac:dyDescent="0.25">
      <c r="A333" s="31" t="s">
        <v>939</v>
      </c>
      <c r="B333" s="31" t="s">
        <v>1767</v>
      </c>
      <c r="C333" s="31" t="s">
        <v>1237</v>
      </c>
      <c r="D333" s="31">
        <f>IFERROR(ROUND(VLOOKUP(A333,institutions!A:E,4,0),2),"")</f>
        <v>1.8</v>
      </c>
      <c r="E333" s="31">
        <f>IFERROR(ROUND(VLOOKUP(A333,institutions!A:X,7,0),2),"")</f>
        <v>1.73</v>
      </c>
      <c r="F333" s="31">
        <f>IFERROR(ROUND(VLOOKUP(A333,institutions!A:X,10,0),2),"")</f>
        <v>1.32</v>
      </c>
      <c r="G333" s="31">
        <f>IFERROR(ROUND(VLOOKUP(A333,institutions!A:X,13,0),2),"")</f>
        <v>2.19</v>
      </c>
      <c r="H333" s="31">
        <f>IFERROR(ROUND(VLOOKUP(A333,institutions!A:X,16,0),2),"")</f>
        <v>2.17</v>
      </c>
      <c r="I333" s="31">
        <f t="shared" si="30"/>
        <v>0.432</v>
      </c>
      <c r="J333" s="31">
        <f t="shared" si="31"/>
        <v>0.65300000000000002</v>
      </c>
      <c r="K333" s="31">
        <f t="shared" si="32"/>
        <v>0.36499999999999999</v>
      </c>
      <c r="L333" s="31">
        <f t="shared" si="33"/>
        <v>0.54800000000000004</v>
      </c>
      <c r="M333" s="31">
        <f t="shared" si="34"/>
        <v>0.40300000000000002</v>
      </c>
      <c r="N333" t="e">
        <f>VLOOKUP(A333,#REF!,11,0)</f>
        <v>#REF!</v>
      </c>
      <c r="O333" t="e">
        <f>VLOOKUP(A333,#REF!,12,0)</f>
        <v>#REF!</v>
      </c>
      <c r="P333" t="e">
        <f>VLOOKUP(A333,#REF!,13,0)</f>
        <v>#REF!</v>
      </c>
      <c r="Q333" t="e">
        <f>VLOOKUP(A333,#REF!,14,0)</f>
        <v>#REF!</v>
      </c>
      <c r="R333">
        <v>-9.0511249923387549E-2</v>
      </c>
      <c r="S333">
        <v>0.19641163994453481</v>
      </c>
      <c r="T333" s="31" t="str">
        <f>VLOOKUP(C333,V:W,2,0)</f>
        <v>AUS</v>
      </c>
      <c r="U333" t="str">
        <f t="shared" si="35"/>
        <v/>
      </c>
    </row>
    <row r="334" spans="1:21" x14ac:dyDescent="0.25">
      <c r="A334" s="31" t="s">
        <v>843</v>
      </c>
      <c r="B334" s="31" t="s">
        <v>1898</v>
      </c>
      <c r="C334" s="31" t="s">
        <v>1218</v>
      </c>
      <c r="D334" s="31">
        <f>IFERROR(ROUND(VLOOKUP(A334,institutions!A:E,4,0),2),"")</f>
        <v>1.86</v>
      </c>
      <c r="E334" s="31">
        <f>IFERROR(ROUND(VLOOKUP(A334,institutions!A:X,7,0),2),"")</f>
        <v>1.29</v>
      </c>
      <c r="F334" s="31">
        <f>IFERROR(ROUND(VLOOKUP(A334,institutions!A:X,10,0),2),"")</f>
        <v>1.0900000000000001</v>
      </c>
      <c r="G334" s="31">
        <f>IFERROR(ROUND(VLOOKUP(A334,institutions!A:X,13,0),2),"")</f>
        <v>2.0499999999999998</v>
      </c>
      <c r="H334" s="31">
        <f>IFERROR(ROUND(VLOOKUP(A334,institutions!A:X,16,0),2),"")</f>
        <v>2.35</v>
      </c>
      <c r="I334" s="31">
        <f t="shared" si="30"/>
        <v>0.48</v>
      </c>
      <c r="J334" s="31">
        <f t="shared" si="31"/>
        <v>0.26800000000000002</v>
      </c>
      <c r="K334" s="31">
        <f t="shared" si="32"/>
        <v>0.11799999999999999</v>
      </c>
      <c r="L334" s="31">
        <f t="shared" si="33"/>
        <v>0.48299999999999998</v>
      </c>
      <c r="M334" s="31">
        <f t="shared" si="34"/>
        <v>0.48799999999999999</v>
      </c>
      <c r="N334" t="e">
        <f>VLOOKUP(A334,#REF!,11,0)</f>
        <v>#REF!</v>
      </c>
      <c r="O334" t="e">
        <f>VLOOKUP(A334,#REF!,12,0)</f>
        <v>#REF!</v>
      </c>
      <c r="P334" t="e">
        <f>VLOOKUP(A334,#REF!,13,0)</f>
        <v>#REF!</v>
      </c>
      <c r="Q334" t="e">
        <f>VLOOKUP(A334,#REF!,14,0)</f>
        <v>#REF!</v>
      </c>
      <c r="R334">
        <v>-1.0909964382583579</v>
      </c>
      <c r="S334">
        <v>-1.0116352706353891</v>
      </c>
      <c r="T334" s="31" t="str">
        <f>VLOOKUP(C334,V:W,2,0)</f>
        <v>FRA</v>
      </c>
      <c r="U334" t="str">
        <f t="shared" si="35"/>
        <v>Kedge BS</v>
      </c>
    </row>
    <row r="335" spans="1:21" x14ac:dyDescent="0.25">
      <c r="A335" s="31" t="s">
        <v>1126</v>
      </c>
      <c r="B335" s="31" t="s">
        <v>1731</v>
      </c>
      <c r="C335" s="31" t="s">
        <v>1258</v>
      </c>
      <c r="D335" s="31">
        <f>IFERROR(ROUND(VLOOKUP(A335,institutions!A:E,4,0),2),"")</f>
        <v>1.73</v>
      </c>
      <c r="E335" s="31">
        <f>IFERROR(ROUND(VLOOKUP(A335,institutions!A:X,7,0),2),"")</f>
        <v>2.0299999999999998</v>
      </c>
      <c r="F335" s="31">
        <f>IFERROR(ROUND(VLOOKUP(A335,institutions!A:X,10,0),2),"")</f>
        <v>1.0900000000000001</v>
      </c>
      <c r="G335" s="31">
        <f>IFERROR(ROUND(VLOOKUP(A335,institutions!A:X,13,0),2),"")</f>
        <v>1.03</v>
      </c>
      <c r="H335" s="31">
        <f>IFERROR(ROUND(VLOOKUP(A335,institutions!A:X,16,0),2),"")</f>
        <v>1.08</v>
      </c>
      <c r="I335" s="31">
        <f t="shared" si="30"/>
        <v>0.39500000000000002</v>
      </c>
      <c r="J335" s="31">
        <f t="shared" si="31"/>
        <v>0.76800000000000002</v>
      </c>
      <c r="K335" s="31">
        <f t="shared" si="32"/>
        <v>0.11799999999999999</v>
      </c>
      <c r="L335" s="31">
        <f t="shared" si="33"/>
        <v>6.2E-2</v>
      </c>
      <c r="M335" s="31">
        <f t="shared" si="34"/>
        <v>4.7E-2</v>
      </c>
      <c r="N335" t="e">
        <f>VLOOKUP(A335,#REF!,11,0)</f>
        <v>#REF!</v>
      </c>
      <c r="O335" t="e">
        <f>VLOOKUP(A335,#REF!,12,0)</f>
        <v>#REF!</v>
      </c>
      <c r="P335" t="e">
        <f>VLOOKUP(A335,#REF!,13,0)</f>
        <v>#REF!</v>
      </c>
      <c r="Q335" t="e">
        <f>VLOOKUP(A335,#REF!,14,0)</f>
        <v>#REF!</v>
      </c>
      <c r="R335">
        <v>-1.8388198103877069</v>
      </c>
      <c r="S335">
        <v>1.4569443200137731</v>
      </c>
      <c r="T335" s="31" t="str">
        <f>VLOOKUP(C335,V:W,2,0)</f>
        <v>ZAF</v>
      </c>
      <c r="U335" t="str">
        <f t="shared" si="35"/>
        <v/>
      </c>
    </row>
    <row r="336" spans="1:21" x14ac:dyDescent="0.25">
      <c r="A336" s="31" t="s">
        <v>1127</v>
      </c>
      <c r="B336" s="31" t="s">
        <v>2061</v>
      </c>
      <c r="C336" s="31" t="s">
        <v>1233</v>
      </c>
      <c r="D336" s="31">
        <f>IFERROR(ROUND(VLOOKUP(A336,institutions!A:E,4,0),2),"")</f>
        <v>1.71</v>
      </c>
      <c r="E336" s="31">
        <f>IFERROR(ROUND(VLOOKUP(A336,institutions!A:X,7,0),2),"")</f>
        <v>1.62</v>
      </c>
      <c r="F336" s="31">
        <f>IFERROR(ROUND(VLOOKUP(A336,institutions!A:X,10,0),2),"")</f>
        <v>1.31</v>
      </c>
      <c r="G336" s="31">
        <f>IFERROR(ROUND(VLOOKUP(A336,institutions!A:X,13,0),2),"")</f>
        <v>2.12</v>
      </c>
      <c r="H336" s="31">
        <f>IFERROR(ROUND(VLOOKUP(A336,institutions!A:X,16,0),2),"")</f>
        <v>2.2000000000000002</v>
      </c>
      <c r="I336" s="31">
        <f t="shared" si="30"/>
        <v>0.375</v>
      </c>
      <c r="J336" s="31">
        <f t="shared" si="31"/>
        <v>0.57999999999999996</v>
      </c>
      <c r="K336" s="31">
        <f t="shared" si="32"/>
        <v>0.35699999999999998</v>
      </c>
      <c r="L336" s="31">
        <f t="shared" si="33"/>
        <v>0.52500000000000002</v>
      </c>
      <c r="M336" s="31">
        <f t="shared" si="34"/>
        <v>0.41699999999999998</v>
      </c>
      <c r="N336" t="e">
        <f>VLOOKUP(A336,#REF!,11,0)</f>
        <v>#REF!</v>
      </c>
      <c r="O336" t="e">
        <f>VLOOKUP(A336,#REF!,12,0)</f>
        <v>#REF!</v>
      </c>
      <c r="P336" t="e">
        <f>VLOOKUP(A336,#REF!,13,0)</f>
        <v>#REF!</v>
      </c>
      <c r="Q336" t="e">
        <f>VLOOKUP(A336,#REF!,14,0)</f>
        <v>#REF!</v>
      </c>
      <c r="R336">
        <v>-0.23674480408350759</v>
      </c>
      <c r="S336">
        <v>4.5004684627026351E-2</v>
      </c>
      <c r="T336" s="31" t="str">
        <f>VLOOKUP(C336,V:W,2,0)</f>
        <v>NED</v>
      </c>
      <c r="U336" t="str">
        <f t="shared" si="35"/>
        <v/>
      </c>
    </row>
    <row r="337" spans="1:21" x14ac:dyDescent="0.25">
      <c r="A337" s="31" t="s">
        <v>934</v>
      </c>
      <c r="B337" s="31" t="s">
        <v>1603</v>
      </c>
      <c r="C337" s="31" t="s">
        <v>1237</v>
      </c>
      <c r="D337" s="31">
        <f>IFERROR(ROUND(VLOOKUP(A337,institutions!A:E,4,0),2),"")</f>
        <v>1.82</v>
      </c>
      <c r="E337" s="31">
        <f>IFERROR(ROUND(VLOOKUP(A337,institutions!A:X,7,0),2),"")</f>
        <v>1.39</v>
      </c>
      <c r="F337" s="31">
        <f>IFERROR(ROUND(VLOOKUP(A337,institutions!A:X,10,0),2),"")</f>
        <v>1.3</v>
      </c>
      <c r="G337" s="31">
        <f>IFERROR(ROUND(VLOOKUP(A337,institutions!A:X,13,0),2),"")</f>
        <v>2.1800000000000002</v>
      </c>
      <c r="H337" s="31">
        <f>IFERROR(ROUND(VLOOKUP(A337,institutions!A:X,16,0),2),"")</f>
        <v>2.4500000000000002</v>
      </c>
      <c r="I337" s="31">
        <f t="shared" si="30"/>
        <v>0.44800000000000001</v>
      </c>
      <c r="J337" s="31">
        <f t="shared" si="31"/>
        <v>0.39200000000000002</v>
      </c>
      <c r="K337" s="31">
        <f t="shared" si="32"/>
        <v>0.34699999999999998</v>
      </c>
      <c r="L337" s="31">
        <f t="shared" si="33"/>
        <v>0.54200000000000004</v>
      </c>
      <c r="M337" s="31">
        <f t="shared" si="34"/>
        <v>0.52300000000000002</v>
      </c>
      <c r="N337" t="e">
        <f>VLOOKUP(A337,#REF!,11,0)</f>
        <v>#REF!</v>
      </c>
      <c r="O337" t="e">
        <f>VLOOKUP(A337,#REF!,12,0)</f>
        <v>#REF!</v>
      </c>
      <c r="P337" t="e">
        <f>VLOOKUP(A337,#REF!,13,0)</f>
        <v>#REF!</v>
      </c>
      <c r="Q337" t="e">
        <f>VLOOKUP(A337,#REF!,14,0)</f>
        <v>#REF!</v>
      </c>
      <c r="R337">
        <v>-0.33285721513536343</v>
      </c>
      <c r="S337">
        <v>-0.56744394774176588</v>
      </c>
      <c r="T337" s="31" t="str">
        <f>VLOOKUP(C337,V:W,2,0)</f>
        <v>AUS</v>
      </c>
      <c r="U337" t="str">
        <f t="shared" si="35"/>
        <v/>
      </c>
    </row>
    <row r="338" spans="1:21" x14ac:dyDescent="0.25">
      <c r="A338" s="31" t="s">
        <v>1033</v>
      </c>
      <c r="B338" s="31" t="s">
        <v>1944</v>
      </c>
      <c r="C338" s="31" t="s">
        <v>1217</v>
      </c>
      <c r="D338" s="31">
        <f>IFERROR(ROUND(VLOOKUP(A338,institutions!A:E,4,0),2),"")</f>
        <v>1.75</v>
      </c>
      <c r="E338" s="31">
        <f>IFERROR(ROUND(VLOOKUP(A338,institutions!A:X,7,0),2),"")</f>
        <v>1.29</v>
      </c>
      <c r="F338" s="31">
        <f>IFERROR(ROUND(VLOOKUP(A338,institutions!A:X,10,0),2),"")</f>
        <v>1.63</v>
      </c>
      <c r="G338" s="31">
        <f>IFERROR(ROUND(VLOOKUP(A338,institutions!A:X,13,0),2),"")</f>
        <v>2.1</v>
      </c>
      <c r="H338" s="31">
        <f>IFERROR(ROUND(VLOOKUP(A338,institutions!A:X,16,0),2),"")</f>
        <v>3.16</v>
      </c>
      <c r="I338" s="31">
        <f t="shared" si="30"/>
        <v>0.40300000000000002</v>
      </c>
      <c r="J338" s="31">
        <f t="shared" si="31"/>
        <v>0.26800000000000002</v>
      </c>
      <c r="K338" s="31">
        <f t="shared" si="32"/>
        <v>0.61299999999999999</v>
      </c>
      <c r="L338" s="31">
        <f t="shared" si="33"/>
        <v>0.51300000000000001</v>
      </c>
      <c r="M338" s="31">
        <f t="shared" si="34"/>
        <v>0.71199999999999997</v>
      </c>
      <c r="N338" t="e">
        <f>VLOOKUP(A338,#REF!,11,0)</f>
        <v>#REF!</v>
      </c>
      <c r="O338" t="e">
        <f>VLOOKUP(A338,#REF!,12,0)</f>
        <v>#REF!</v>
      </c>
      <c r="P338" t="e">
        <f>VLOOKUP(A338,#REF!,13,0)</f>
        <v>#REF!</v>
      </c>
      <c r="Q338" t="e">
        <f>VLOOKUP(A338,#REF!,14,0)</f>
        <v>#REF!</v>
      </c>
      <c r="R338">
        <v>0.21274336710740269</v>
      </c>
      <c r="S338">
        <v>-0.6966237127947239</v>
      </c>
      <c r="T338" s="31" t="str">
        <f>VLOOKUP(C338,V:W,2,0)</f>
        <v>USA</v>
      </c>
      <c r="U338" t="str">
        <f t="shared" si="35"/>
        <v/>
      </c>
    </row>
    <row r="339" spans="1:21" x14ac:dyDescent="0.25">
      <c r="A339" s="31" t="s">
        <v>965</v>
      </c>
      <c r="B339" s="31" t="s">
        <v>1758</v>
      </c>
      <c r="C339" s="31" t="s">
        <v>1217</v>
      </c>
      <c r="D339" s="31">
        <f>IFERROR(ROUND(VLOOKUP(A339,institutions!A:E,4,0),2),"")</f>
        <v>1.83</v>
      </c>
      <c r="E339" s="31">
        <f>IFERROR(ROUND(VLOOKUP(A339,institutions!A:X,7,0),2),"")</f>
        <v>1.1200000000000001</v>
      </c>
      <c r="F339" s="31">
        <f>IFERROR(ROUND(VLOOKUP(A339,institutions!A:X,10,0),2),"")</f>
        <v>1.19</v>
      </c>
      <c r="G339" s="31">
        <f>IFERROR(ROUND(VLOOKUP(A339,institutions!A:X,13,0),2),"")</f>
        <v>2.48</v>
      </c>
      <c r="H339" s="31">
        <f>IFERROR(ROUND(VLOOKUP(A339,institutions!A:X,16,0),2),"")</f>
        <v>3.46</v>
      </c>
      <c r="I339" s="31">
        <f t="shared" si="30"/>
        <v>0.45800000000000002</v>
      </c>
      <c r="J339" s="31">
        <f t="shared" si="31"/>
        <v>6.8000000000000005E-2</v>
      </c>
      <c r="K339" s="31">
        <f t="shared" si="32"/>
        <v>0.22</v>
      </c>
      <c r="L339" s="31">
        <f t="shared" si="33"/>
        <v>0.68500000000000005</v>
      </c>
      <c r="M339" s="31">
        <f t="shared" si="34"/>
        <v>0.78200000000000003</v>
      </c>
      <c r="N339" t="e">
        <f>VLOOKUP(A339,#REF!,11,0)</f>
        <v>#REF!</v>
      </c>
      <c r="O339" t="e">
        <f>VLOOKUP(A339,#REF!,12,0)</f>
        <v>#REF!</v>
      </c>
      <c r="P339" t="e">
        <f>VLOOKUP(A339,#REF!,13,0)</f>
        <v>#REF!</v>
      </c>
      <c r="Q339" t="e">
        <f>VLOOKUP(A339,#REF!,14,0)</f>
        <v>#REF!</v>
      </c>
      <c r="R339">
        <v>-0.34526501331507631</v>
      </c>
      <c r="S339">
        <v>-2.0931518028581531</v>
      </c>
      <c r="T339" s="31" t="str">
        <f>VLOOKUP(C339,V:W,2,0)</f>
        <v>USA</v>
      </c>
      <c r="U339" t="str">
        <f t="shared" si="35"/>
        <v/>
      </c>
    </row>
    <row r="340" spans="1:21" x14ac:dyDescent="0.25">
      <c r="A340" s="31" t="s">
        <v>888</v>
      </c>
      <c r="B340" s="31" t="s">
        <v>1765</v>
      </c>
      <c r="C340" s="31" t="s">
        <v>1216</v>
      </c>
      <c r="D340" s="31">
        <f>IFERROR(ROUND(VLOOKUP(A340,institutions!A:E,4,0),2),"")</f>
        <v>1.82</v>
      </c>
      <c r="E340" s="31">
        <f>IFERROR(ROUND(VLOOKUP(A340,institutions!A:X,7,0),2),"")</f>
        <v>1.26</v>
      </c>
      <c r="F340" s="31">
        <f>IFERROR(ROUND(VLOOKUP(A340,institutions!A:X,10,0),2),"")</f>
        <v>1.25</v>
      </c>
      <c r="G340" s="31">
        <f>IFERROR(ROUND(VLOOKUP(A340,institutions!A:X,13,0),2),"")</f>
        <v>2.09</v>
      </c>
      <c r="H340" s="31">
        <f>IFERROR(ROUND(VLOOKUP(A340,institutions!A:X,16,0),2),"")</f>
        <v>2.4300000000000002</v>
      </c>
      <c r="I340" s="31">
        <f t="shared" si="30"/>
        <v>0.44800000000000001</v>
      </c>
      <c r="J340" s="31">
        <f t="shared" si="31"/>
        <v>0.22800000000000001</v>
      </c>
      <c r="K340" s="31">
        <f t="shared" si="32"/>
        <v>0.29699999999999999</v>
      </c>
      <c r="L340" s="31">
        <f t="shared" si="33"/>
        <v>0.505</v>
      </c>
      <c r="M340" s="31">
        <f t="shared" si="34"/>
        <v>0.51500000000000001</v>
      </c>
      <c r="N340" t="e">
        <f>VLOOKUP(A340,#REF!,11,0)</f>
        <v>#REF!</v>
      </c>
      <c r="O340" t="e">
        <f>VLOOKUP(A340,#REF!,12,0)</f>
        <v>#REF!</v>
      </c>
      <c r="P340" t="e">
        <f>VLOOKUP(A340,#REF!,13,0)</f>
        <v>#REF!</v>
      </c>
      <c r="Q340" t="e">
        <f>VLOOKUP(A340,#REF!,14,0)</f>
        <v>#REF!</v>
      </c>
      <c r="R340">
        <v>-0.76115857516754504</v>
      </c>
      <c r="S340">
        <v>-0.91606366868972988</v>
      </c>
      <c r="T340" s="31" t="str">
        <f>VLOOKUP(C340,V:W,2,0)</f>
        <v>UK</v>
      </c>
      <c r="U340" t="str">
        <f t="shared" si="35"/>
        <v/>
      </c>
    </row>
    <row r="341" spans="1:21" x14ac:dyDescent="0.25">
      <c r="A341" s="31" t="s">
        <v>854</v>
      </c>
      <c r="B341" s="31" t="s">
        <v>1768</v>
      </c>
      <c r="C341" s="31" t="s">
        <v>1217</v>
      </c>
      <c r="D341" s="31">
        <f>IFERROR(ROUND(VLOOKUP(A341,institutions!A:E,4,0),2),"")</f>
        <v>1.8</v>
      </c>
      <c r="E341" s="31">
        <f>IFERROR(ROUND(VLOOKUP(A341,institutions!A:X,7,0),2),"")</f>
        <v>1.41</v>
      </c>
      <c r="F341" s="31">
        <f>IFERROR(ROUND(VLOOKUP(A341,institutions!A:X,10,0),2),"")</f>
        <v>1.97</v>
      </c>
      <c r="G341" s="31">
        <f>IFERROR(ROUND(VLOOKUP(A341,institutions!A:X,13,0),2),"")</f>
        <v>2.2400000000000002</v>
      </c>
      <c r="H341" s="31">
        <f>IFERROR(ROUND(VLOOKUP(A341,institutions!A:X,16,0),2),"")</f>
        <v>2.0499999999999998</v>
      </c>
      <c r="I341" s="31">
        <f t="shared" si="30"/>
        <v>0.432</v>
      </c>
      <c r="J341" s="31">
        <f t="shared" si="31"/>
        <v>0.42199999999999999</v>
      </c>
      <c r="K341" s="31">
        <f t="shared" si="32"/>
        <v>0.74</v>
      </c>
      <c r="L341" s="31">
        <f t="shared" si="33"/>
        <v>0.56999999999999995</v>
      </c>
      <c r="M341" s="31">
        <f t="shared" si="34"/>
        <v>0.34799999999999998</v>
      </c>
      <c r="N341" t="e">
        <f>VLOOKUP(A341,#REF!,11,0)</f>
        <v>#REF!</v>
      </c>
      <c r="O341" t="e">
        <f>VLOOKUP(A341,#REF!,12,0)</f>
        <v>#REF!</v>
      </c>
      <c r="P341" t="e">
        <f>VLOOKUP(A341,#REF!,13,0)</f>
        <v>#REF!</v>
      </c>
      <c r="Q341" t="e">
        <f>VLOOKUP(A341,#REF!,14,0)</f>
        <v>#REF!</v>
      </c>
      <c r="R341">
        <v>0.1205078004446188</v>
      </c>
      <c r="S341">
        <v>0.29939124677133461</v>
      </c>
      <c r="T341" s="31" t="str">
        <f>VLOOKUP(C341,V:W,2,0)</f>
        <v>USA</v>
      </c>
      <c r="U341" t="str">
        <f t="shared" si="35"/>
        <v/>
      </c>
    </row>
    <row r="342" spans="1:21" x14ac:dyDescent="0.25">
      <c r="A342" s="31" t="s">
        <v>855</v>
      </c>
      <c r="B342" s="31" t="s">
        <v>1945</v>
      </c>
      <c r="C342" s="31" t="s">
        <v>1221</v>
      </c>
      <c r="D342" s="31">
        <f>IFERROR(ROUND(VLOOKUP(A342,institutions!A:E,4,0),2),"")</f>
        <v>1.86</v>
      </c>
      <c r="E342" s="31">
        <f>IFERROR(ROUND(VLOOKUP(A342,institutions!A:X,7,0),2),"")</f>
        <v>1.36</v>
      </c>
      <c r="F342" s="31" t="str">
        <f>IFERROR(ROUND(VLOOKUP(A342,institutions!A:X,10,0),2),"")</f>
        <v/>
      </c>
      <c r="G342" s="31">
        <f>IFERROR(ROUND(VLOOKUP(A342,institutions!A:X,13,0),2),"")</f>
        <v>2.7</v>
      </c>
      <c r="H342" s="31">
        <f>IFERROR(ROUND(VLOOKUP(A342,institutions!A:X,16,0),2),"")</f>
        <v>2.83</v>
      </c>
      <c r="I342" s="31">
        <f t="shared" si="30"/>
        <v>0.48</v>
      </c>
      <c r="J342" s="31">
        <f t="shared" si="31"/>
        <v>0.35199999999999998</v>
      </c>
      <c r="K342" s="31">
        <f t="shared" si="32"/>
        <v>0</v>
      </c>
      <c r="L342" s="31">
        <f t="shared" si="33"/>
        <v>0.75</v>
      </c>
      <c r="M342" s="31">
        <f t="shared" si="34"/>
        <v>0.64700000000000002</v>
      </c>
      <c r="N342" t="e">
        <f>VLOOKUP(A342,#REF!,11,0)</f>
        <v>#REF!</v>
      </c>
      <c r="O342" t="e">
        <f>VLOOKUP(A342,#REF!,12,0)</f>
        <v>#REF!</v>
      </c>
      <c r="P342" t="e">
        <f>VLOOKUP(A342,#REF!,13,0)</f>
        <v>#REF!</v>
      </c>
      <c r="Q342" t="e">
        <f>VLOOKUP(A342,#REF!,14,0)</f>
        <v>#REF!</v>
      </c>
      <c r="R342">
        <v>-0.39451260131636012</v>
      </c>
      <c r="S342">
        <v>-1.701008472594983</v>
      </c>
      <c r="T342" s="31" t="str">
        <f>VLOOKUP(C342,V:W,2,0)</f>
        <v>NOR</v>
      </c>
      <c r="U342" t="str">
        <f t="shared" si="35"/>
        <v/>
      </c>
    </row>
    <row r="343" spans="1:21" x14ac:dyDescent="0.25">
      <c r="A343" s="31" t="s">
        <v>911</v>
      </c>
      <c r="B343" s="31" t="s">
        <v>2107</v>
      </c>
      <c r="C343" s="31" t="s">
        <v>1218</v>
      </c>
      <c r="D343" s="31">
        <f>IFERROR(ROUND(VLOOKUP(A343,institutions!A:E,4,0),2),"")</f>
        <v>1.84</v>
      </c>
      <c r="E343" s="31">
        <f>IFERROR(ROUND(VLOOKUP(A343,institutions!A:X,7,0),2),"")</f>
        <v>1.36</v>
      </c>
      <c r="F343" s="31">
        <f>IFERROR(ROUND(VLOOKUP(A343,institutions!A:X,10,0),2),"")</f>
        <v>1.79</v>
      </c>
      <c r="G343" s="31">
        <f>IFERROR(ROUND(VLOOKUP(A343,institutions!A:X,13,0),2),"")</f>
        <v>1.76</v>
      </c>
      <c r="H343" s="31">
        <f>IFERROR(ROUND(VLOOKUP(A343,institutions!A:X,16,0),2),"")</f>
        <v>2.5499999999999998</v>
      </c>
      <c r="I343" s="31">
        <f t="shared" si="30"/>
        <v>0.46200000000000002</v>
      </c>
      <c r="J343" s="31">
        <f t="shared" si="31"/>
        <v>0.35199999999999998</v>
      </c>
      <c r="K343" s="31">
        <f t="shared" si="32"/>
        <v>0.67800000000000005</v>
      </c>
      <c r="L343" s="31">
        <f t="shared" si="33"/>
        <v>0.34200000000000003</v>
      </c>
      <c r="M343" s="31">
        <f t="shared" si="34"/>
        <v>0.56499999999999995</v>
      </c>
      <c r="N343" t="e">
        <f>VLOOKUP(A343,#REF!,11,0)</f>
        <v>#REF!</v>
      </c>
      <c r="O343" t="e">
        <f>VLOOKUP(A343,#REF!,12,0)</f>
        <v>#REF!</v>
      </c>
      <c r="P343" t="e">
        <f>VLOOKUP(A343,#REF!,13,0)</f>
        <v>#REF!</v>
      </c>
      <c r="Q343" t="e">
        <f>VLOOKUP(A343,#REF!,14,0)</f>
        <v>#REF!</v>
      </c>
      <c r="R343">
        <v>-0.1124804335540658</v>
      </c>
      <c r="S343">
        <v>9.5389358521708489E-2</v>
      </c>
      <c r="T343" s="31" t="str">
        <f>VLOOKUP(C343,V:W,2,0)</f>
        <v>FRA</v>
      </c>
      <c r="U343" t="str">
        <f t="shared" si="35"/>
        <v>Cote Azur</v>
      </c>
    </row>
    <row r="344" spans="1:21" x14ac:dyDescent="0.25">
      <c r="A344" s="31" t="s">
        <v>836</v>
      </c>
      <c r="B344" s="31" t="s">
        <v>1613</v>
      </c>
      <c r="C344" s="31" t="s">
        <v>1217</v>
      </c>
      <c r="D344" s="31">
        <f>IFERROR(ROUND(VLOOKUP(A344,institutions!A:E,4,0),2),"")</f>
        <v>1.8</v>
      </c>
      <c r="E344" s="31">
        <f>IFERROR(ROUND(VLOOKUP(A344,institutions!A:X,7,0),2),"")</f>
        <v>1.41</v>
      </c>
      <c r="F344" s="31">
        <f>IFERROR(ROUND(VLOOKUP(A344,institutions!A:X,10,0),2),"")</f>
        <v>1.97</v>
      </c>
      <c r="G344" s="31">
        <f>IFERROR(ROUND(VLOOKUP(A344,institutions!A:X,13,0),2),"")</f>
        <v>2.2400000000000002</v>
      </c>
      <c r="H344" s="31">
        <f>IFERROR(ROUND(VLOOKUP(A344,institutions!A:X,16,0),2),"")</f>
        <v>2.0499999999999998</v>
      </c>
      <c r="I344" s="31">
        <f t="shared" si="30"/>
        <v>0.432</v>
      </c>
      <c r="J344" s="31">
        <f t="shared" si="31"/>
        <v>0.42199999999999999</v>
      </c>
      <c r="K344" s="31">
        <f t="shared" si="32"/>
        <v>0.74</v>
      </c>
      <c r="L344" s="31">
        <f t="shared" si="33"/>
        <v>0.56999999999999995</v>
      </c>
      <c r="M344" s="31">
        <f t="shared" si="34"/>
        <v>0.34799999999999998</v>
      </c>
      <c r="N344">
        <v>1</v>
      </c>
      <c r="O344" t="e">
        <f>VLOOKUP(A344,#REF!,12,0)</f>
        <v>#REF!</v>
      </c>
      <c r="P344" t="e">
        <f>VLOOKUP(A344,#REF!,13,0)</f>
        <v>#REF!</v>
      </c>
      <c r="Q344" t="e">
        <f>VLOOKUP(A344,#REF!,14,0)</f>
        <v>#REF!</v>
      </c>
      <c r="R344">
        <v>0.1205078004446188</v>
      </c>
      <c r="S344">
        <v>0.29939124677133461</v>
      </c>
      <c r="T344" s="31" t="str">
        <f>VLOOKUP(C344,V:W,2,0)</f>
        <v>USA</v>
      </c>
      <c r="U344" t="str">
        <f t="shared" si="35"/>
        <v/>
      </c>
    </row>
    <row r="345" spans="1:21" x14ac:dyDescent="0.25">
      <c r="A345" s="31" t="s">
        <v>883</v>
      </c>
      <c r="B345" s="31" t="s">
        <v>1953</v>
      </c>
      <c r="C345" s="31" t="s">
        <v>1222</v>
      </c>
      <c r="D345" s="31">
        <f>IFERROR(ROUND(VLOOKUP(A345,institutions!A:E,4,0),2),"")</f>
        <v>1.81</v>
      </c>
      <c r="E345" s="31">
        <f>IFERROR(ROUND(VLOOKUP(A345,institutions!A:X,7,0),2),"")</f>
        <v>1.31</v>
      </c>
      <c r="F345" s="31">
        <f>IFERROR(ROUND(VLOOKUP(A345,institutions!A:X,10,0),2),"")</f>
        <v>1.49</v>
      </c>
      <c r="G345" s="31">
        <f>IFERROR(ROUND(VLOOKUP(A345,institutions!A:X,13,0),2),"")</f>
        <v>2.23</v>
      </c>
      <c r="H345" s="31">
        <f>IFERROR(ROUND(VLOOKUP(A345,institutions!A:X,16,0),2),"")</f>
        <v>2.62</v>
      </c>
      <c r="I345" s="31">
        <f t="shared" si="30"/>
        <v>0.437</v>
      </c>
      <c r="J345" s="31">
        <f t="shared" si="31"/>
        <v>0.29799999999999999</v>
      </c>
      <c r="K345" s="31">
        <f t="shared" si="32"/>
        <v>0.51800000000000002</v>
      </c>
      <c r="L345" s="31">
        <f t="shared" si="33"/>
        <v>0.56299999999999994</v>
      </c>
      <c r="M345" s="31">
        <f t="shared" si="34"/>
        <v>0.58799999999999997</v>
      </c>
      <c r="N345" t="e">
        <f>VLOOKUP(A345,#REF!,11,0)</f>
        <v>#REF!</v>
      </c>
      <c r="O345" t="e">
        <f>VLOOKUP(A345,#REF!,12,0)</f>
        <v>#REF!</v>
      </c>
      <c r="P345" t="e">
        <f>VLOOKUP(A345,#REF!,13,0)</f>
        <v>#REF!</v>
      </c>
      <c r="Q345" t="e">
        <f>VLOOKUP(A345,#REF!,14,0)</f>
        <v>#REF!</v>
      </c>
      <c r="R345">
        <v>-3.6246460908551659E-2</v>
      </c>
      <c r="S345">
        <v>-0.65742815584755443</v>
      </c>
      <c r="T345" s="31" t="str">
        <f>VLOOKUP(C345,V:W,2,0)</f>
        <v>ITA</v>
      </c>
      <c r="U345" t="str">
        <f t="shared" si="35"/>
        <v/>
      </c>
    </row>
    <row r="346" spans="1:21" x14ac:dyDescent="0.25">
      <c r="A346" s="31" t="s">
        <v>921</v>
      </c>
      <c r="B346" s="31" t="s">
        <v>1948</v>
      </c>
      <c r="C346" s="31" t="s">
        <v>1229</v>
      </c>
      <c r="D346" s="31">
        <f>IFERROR(ROUND(VLOOKUP(A346,institutions!A:E,4,0),2),"")</f>
        <v>1.83</v>
      </c>
      <c r="E346" s="31">
        <f>IFERROR(ROUND(VLOOKUP(A346,institutions!A:X,7,0),2),"")</f>
        <v>1.3</v>
      </c>
      <c r="F346" s="31">
        <f>IFERROR(ROUND(VLOOKUP(A346,institutions!A:X,10,0),2),"")</f>
        <v>1.54</v>
      </c>
      <c r="G346" s="31">
        <f>IFERROR(ROUND(VLOOKUP(A346,institutions!A:X,13,0),2),"")</f>
        <v>1.94</v>
      </c>
      <c r="H346" s="31">
        <f>IFERROR(ROUND(VLOOKUP(A346,institutions!A:X,16,0),2),"")</f>
        <v>4.29</v>
      </c>
      <c r="I346" s="31">
        <f t="shared" si="30"/>
        <v>0.45800000000000002</v>
      </c>
      <c r="J346" s="31">
        <f t="shared" si="31"/>
        <v>0.28299999999999997</v>
      </c>
      <c r="K346" s="31">
        <f t="shared" si="32"/>
        <v>0.55700000000000005</v>
      </c>
      <c r="L346" s="31">
        <f t="shared" si="33"/>
        <v>0.44</v>
      </c>
      <c r="M346" s="31">
        <f t="shared" si="34"/>
        <v>0.89500000000000002</v>
      </c>
      <c r="N346" t="e">
        <f>VLOOKUP(A346,#REF!,11,0)</f>
        <v>#REF!</v>
      </c>
      <c r="O346" t="e">
        <f>VLOOKUP(A346,#REF!,12,0)</f>
        <v>#REF!</v>
      </c>
      <c r="P346" t="e">
        <f>VLOOKUP(A346,#REF!,13,0)</f>
        <v>#REF!</v>
      </c>
      <c r="Q346" t="e">
        <f>VLOOKUP(A346,#REF!,14,0)</f>
        <v>#REF!</v>
      </c>
      <c r="R346">
        <v>0.3412516602816747</v>
      </c>
      <c r="S346">
        <v>-0.91470903651733404</v>
      </c>
      <c r="T346" s="31" t="str">
        <f>VLOOKUP(C346,V:W,2,0)</f>
        <v>SWE</v>
      </c>
      <c r="U346" t="str">
        <f t="shared" si="35"/>
        <v/>
      </c>
    </row>
    <row r="347" spans="1:21" x14ac:dyDescent="0.25">
      <c r="A347" s="31" t="s">
        <v>795</v>
      </c>
      <c r="B347" s="31" t="s">
        <v>1761</v>
      </c>
      <c r="C347" s="31" t="s">
        <v>1241</v>
      </c>
      <c r="D347" s="31">
        <f>IFERROR(ROUND(VLOOKUP(A347,institutions!A:E,4,0),2),"")</f>
        <v>1.86</v>
      </c>
      <c r="E347" s="31">
        <f>IFERROR(ROUND(VLOOKUP(A347,institutions!A:X,7,0),2),"")</f>
        <v>1.25</v>
      </c>
      <c r="F347" s="31">
        <f>IFERROR(ROUND(VLOOKUP(A347,institutions!A:X,10,0),2),"")</f>
        <v>1.18</v>
      </c>
      <c r="G347" s="31">
        <f>IFERROR(ROUND(VLOOKUP(A347,institutions!A:X,13,0),2),"")</f>
        <v>2.4</v>
      </c>
      <c r="H347" s="31">
        <f>IFERROR(ROUND(VLOOKUP(A347,institutions!A:X,16,0),2),"")</f>
        <v>2.17</v>
      </c>
      <c r="I347" s="31">
        <f t="shared" si="30"/>
        <v>0.48</v>
      </c>
      <c r="J347" s="31">
        <f t="shared" si="31"/>
        <v>0.21</v>
      </c>
      <c r="K347" s="31">
        <f t="shared" si="32"/>
        <v>0.20200000000000001</v>
      </c>
      <c r="L347" s="31">
        <f t="shared" si="33"/>
        <v>0.64300000000000002</v>
      </c>
      <c r="M347" s="31">
        <f t="shared" si="34"/>
        <v>0.40300000000000002</v>
      </c>
      <c r="N347" t="e">
        <f>VLOOKUP(A347,#REF!,11,0)</f>
        <v>#REF!</v>
      </c>
      <c r="O347" t="e">
        <f>VLOOKUP(A347,#REF!,12,0)</f>
        <v>#REF!</v>
      </c>
      <c r="P347" t="e">
        <f>VLOOKUP(A347,#REF!,13,0)</f>
        <v>#REF!</v>
      </c>
      <c r="Q347" t="e">
        <f>VLOOKUP(A347,#REF!,14,0)</f>
        <v>#REF!</v>
      </c>
      <c r="R347">
        <v>-0.90821084626987192</v>
      </c>
      <c r="S347">
        <v>-1.1450160969072409</v>
      </c>
      <c r="T347" s="31" t="str">
        <f>VLOOKUP(C347,V:W,2,0)</f>
        <v>UK</v>
      </c>
      <c r="U347" t="str">
        <f t="shared" si="35"/>
        <v/>
      </c>
    </row>
    <row r="348" spans="1:21" x14ac:dyDescent="0.25">
      <c r="A348" s="31" t="s">
        <v>952</v>
      </c>
      <c r="B348" s="31" t="s">
        <v>1943</v>
      </c>
      <c r="C348" s="31" t="s">
        <v>1222</v>
      </c>
      <c r="D348" s="31">
        <f>IFERROR(ROUND(VLOOKUP(A348,institutions!A:E,4,0),2),"")</f>
        <v>1.77</v>
      </c>
      <c r="E348" s="31">
        <f>IFERROR(ROUND(VLOOKUP(A348,institutions!A:X,7,0),2),"")</f>
        <v>1.65</v>
      </c>
      <c r="F348" s="31" t="str">
        <f>IFERROR(ROUND(VLOOKUP(A348,institutions!A:X,10,0),2),"")</f>
        <v/>
      </c>
      <c r="G348" s="31">
        <f>IFERROR(ROUND(VLOOKUP(A348,institutions!A:X,13,0),2),"")</f>
        <v>1.74</v>
      </c>
      <c r="H348" s="31">
        <f>IFERROR(ROUND(VLOOKUP(A348,institutions!A:X,16,0),2),"")</f>
        <v>2.2599999999999998</v>
      </c>
      <c r="I348" s="31">
        <f t="shared" si="30"/>
        <v>0.41799999999999998</v>
      </c>
      <c r="J348" s="31">
        <f t="shared" si="31"/>
        <v>0.60799999999999998</v>
      </c>
      <c r="K348" s="31">
        <f t="shared" si="32"/>
        <v>0</v>
      </c>
      <c r="L348" s="31">
        <f t="shared" si="33"/>
        <v>0.32200000000000001</v>
      </c>
      <c r="M348" s="31">
        <f t="shared" si="34"/>
        <v>0.45</v>
      </c>
      <c r="N348" t="e">
        <f>VLOOKUP(A348,#REF!,11,0)</f>
        <v>#REF!</v>
      </c>
      <c r="O348" t="e">
        <f>VLOOKUP(A348,#REF!,12,0)</f>
        <v>#REF!</v>
      </c>
      <c r="P348" t="e">
        <f>VLOOKUP(A348,#REF!,13,0)</f>
        <v>#REF!</v>
      </c>
      <c r="Q348" t="e">
        <f>VLOOKUP(A348,#REF!,14,0)</f>
        <v>#REF!</v>
      </c>
      <c r="R348">
        <v>-1.1045874188762339</v>
      </c>
      <c r="S348">
        <v>-0.12880105528152119</v>
      </c>
      <c r="T348" s="31" t="str">
        <f>VLOOKUP(C348,V:W,2,0)</f>
        <v>ITA</v>
      </c>
      <c r="U348" t="str">
        <f t="shared" si="35"/>
        <v/>
      </c>
    </row>
    <row r="349" spans="1:21" x14ac:dyDescent="0.25">
      <c r="A349" s="31" t="s">
        <v>889</v>
      </c>
      <c r="B349" s="31" t="s">
        <v>1763</v>
      </c>
      <c r="C349" s="31" t="s">
        <v>1216</v>
      </c>
      <c r="D349" s="31">
        <f>IFERROR(ROUND(VLOOKUP(A349,institutions!A:E,4,0),2),"")</f>
        <v>1.88</v>
      </c>
      <c r="E349" s="31">
        <f>IFERROR(ROUND(VLOOKUP(A349,institutions!A:X,7,0),2),"")</f>
        <v>1.4</v>
      </c>
      <c r="F349" s="31">
        <f>IFERROR(ROUND(VLOOKUP(A349,institutions!A:X,10,0),2),"")</f>
        <v>1.18</v>
      </c>
      <c r="G349" s="31">
        <f>IFERROR(ROUND(VLOOKUP(A349,institutions!A:X,13,0),2),"")</f>
        <v>2.08</v>
      </c>
      <c r="H349" s="31">
        <f>IFERROR(ROUND(VLOOKUP(A349,institutions!A:X,16,0),2),"")</f>
        <v>2.76</v>
      </c>
      <c r="I349" s="31">
        <f t="shared" si="30"/>
        <v>0.49199999999999999</v>
      </c>
      <c r="J349" s="31">
        <f t="shared" si="31"/>
        <v>0.40300000000000002</v>
      </c>
      <c r="K349" s="31">
        <f t="shared" si="32"/>
        <v>0.20200000000000001</v>
      </c>
      <c r="L349" s="31">
        <f t="shared" si="33"/>
        <v>0.502</v>
      </c>
      <c r="M349" s="31">
        <f t="shared" si="34"/>
        <v>0.625</v>
      </c>
      <c r="N349" t="e">
        <f>VLOOKUP(A349,#REF!,11,0)</f>
        <v>#REF!</v>
      </c>
      <c r="O349" t="e">
        <f>VLOOKUP(A349,#REF!,12,0)</f>
        <v>#REF!</v>
      </c>
      <c r="P349" t="e">
        <f>VLOOKUP(A349,#REF!,13,0)</f>
        <v>#REF!</v>
      </c>
      <c r="Q349" t="e">
        <f>VLOOKUP(A349,#REF!,14,0)</f>
        <v>#REF!</v>
      </c>
      <c r="R349">
        <v>-0.45017639525794889</v>
      </c>
      <c r="S349">
        <v>-0.85008350871012406</v>
      </c>
      <c r="T349" s="31" t="str">
        <f>VLOOKUP(C349,V:W,2,0)</f>
        <v>UK</v>
      </c>
      <c r="U349" t="str">
        <f t="shared" si="35"/>
        <v/>
      </c>
    </row>
    <row r="350" spans="1:21" x14ac:dyDescent="0.25">
      <c r="A350" s="31" t="s">
        <v>891</v>
      </c>
      <c r="B350" s="31" t="s">
        <v>1942</v>
      </c>
      <c r="C350" s="31" t="s">
        <v>1237</v>
      </c>
      <c r="D350" s="31">
        <f>IFERROR(ROUND(VLOOKUP(A350,institutions!A:E,4,0),2),"")</f>
        <v>1.8</v>
      </c>
      <c r="E350" s="31">
        <f>IFERROR(ROUND(VLOOKUP(A350,institutions!A:X,7,0),2),"")</f>
        <v>1.24</v>
      </c>
      <c r="F350" s="31">
        <f>IFERROR(ROUND(VLOOKUP(A350,institutions!A:X,10,0),2),"")</f>
        <v>1.46</v>
      </c>
      <c r="G350" s="31">
        <f>IFERROR(ROUND(VLOOKUP(A350,institutions!A:X,13,0),2),"")</f>
        <v>2.2999999999999998</v>
      </c>
      <c r="H350" s="31">
        <f>IFERROR(ROUND(VLOOKUP(A350,institutions!A:X,16,0),2),"")</f>
        <v>2.2599999999999998</v>
      </c>
      <c r="I350" s="31">
        <f t="shared" si="30"/>
        <v>0.432</v>
      </c>
      <c r="J350" s="31">
        <f t="shared" si="31"/>
        <v>0.2</v>
      </c>
      <c r="K350" s="31">
        <f t="shared" si="32"/>
        <v>0.48799999999999999</v>
      </c>
      <c r="L350" s="31">
        <f t="shared" si="33"/>
        <v>0.59799999999999998</v>
      </c>
      <c r="M350" s="31">
        <f t="shared" si="34"/>
        <v>0.45</v>
      </c>
      <c r="N350" t="e">
        <f>VLOOKUP(A350,#REF!,11,0)</f>
        <v>#REF!</v>
      </c>
      <c r="O350" t="e">
        <f>VLOOKUP(A350,#REF!,12,0)</f>
        <v>#REF!</v>
      </c>
      <c r="P350" t="e">
        <f>VLOOKUP(A350,#REF!,13,0)</f>
        <v>#REF!</v>
      </c>
      <c r="Q350" t="e">
        <f>VLOOKUP(A350,#REF!,14,0)</f>
        <v>#REF!</v>
      </c>
      <c r="R350">
        <v>-0.43103698693600251</v>
      </c>
      <c r="S350">
        <v>-0.74977939169852703</v>
      </c>
      <c r="T350" s="31" t="str">
        <f>VLOOKUP(C350,V:W,2,0)</f>
        <v>AUS</v>
      </c>
      <c r="U350" t="str">
        <f t="shared" si="35"/>
        <v/>
      </c>
    </row>
    <row r="351" spans="1:21" x14ac:dyDescent="0.25">
      <c r="A351" s="31" t="s">
        <v>981</v>
      </c>
      <c r="B351" s="31" t="s">
        <v>1777</v>
      </c>
      <c r="C351" s="31" t="s">
        <v>1230</v>
      </c>
      <c r="D351" s="31">
        <f>IFERROR(ROUND(VLOOKUP(A351,institutions!A:E,4,0),2),"")</f>
        <v>1.74</v>
      </c>
      <c r="E351" s="31">
        <f>IFERROR(ROUND(VLOOKUP(A351,institutions!A:X,7,0),2),"")</f>
        <v>1.56</v>
      </c>
      <c r="F351" s="31">
        <f>IFERROR(ROUND(VLOOKUP(A351,institutions!A:X,10,0),2),"")</f>
        <v>1.85</v>
      </c>
      <c r="G351" s="31">
        <f>IFERROR(ROUND(VLOOKUP(A351,institutions!A:X,13,0),2),"")</f>
        <v>1.62</v>
      </c>
      <c r="H351" s="31">
        <f>IFERROR(ROUND(VLOOKUP(A351,institutions!A:X,16,0),2),"")</f>
        <v>2.27</v>
      </c>
      <c r="I351" s="31">
        <f t="shared" si="30"/>
        <v>0.40200000000000002</v>
      </c>
      <c r="J351" s="31">
        <f t="shared" si="31"/>
        <v>0.54700000000000004</v>
      </c>
      <c r="K351" s="31">
        <f t="shared" si="32"/>
        <v>0.69199999999999995</v>
      </c>
      <c r="L351" s="31">
        <f t="shared" si="33"/>
        <v>0.255</v>
      </c>
      <c r="M351" s="31">
        <f t="shared" si="34"/>
        <v>0.45800000000000002</v>
      </c>
      <c r="N351" t="e">
        <f>VLOOKUP(A351,#REF!,11,0)</f>
        <v>#REF!</v>
      </c>
      <c r="O351" t="e">
        <f>VLOOKUP(A351,#REF!,12,0)</f>
        <v>#REF!</v>
      </c>
      <c r="P351" t="e">
        <f>VLOOKUP(A351,#REF!,13,0)</f>
        <v>#REF!</v>
      </c>
      <c r="Q351" t="e">
        <f>VLOOKUP(A351,#REF!,14,0)</f>
        <v>#REF!</v>
      </c>
      <c r="R351">
        <v>-0.12507860913198601</v>
      </c>
      <c r="S351">
        <v>0.84681967657974133</v>
      </c>
      <c r="T351" s="31" t="str">
        <f>VLOOKUP(C351,V:W,2,0)</f>
        <v>CHN</v>
      </c>
      <c r="U351" t="str">
        <f t="shared" si="35"/>
        <v/>
      </c>
    </row>
    <row r="352" spans="1:21" x14ac:dyDescent="0.25">
      <c r="A352" s="31" t="s">
        <v>1089</v>
      </c>
      <c r="B352" s="31" t="s">
        <v>1606</v>
      </c>
      <c r="C352" s="31" t="s">
        <v>1220</v>
      </c>
      <c r="D352" s="31">
        <f>IFERROR(ROUND(VLOOKUP(A352,institutions!A:E,4,0),2),"")</f>
        <v>1.73</v>
      </c>
      <c r="E352" s="31">
        <f>IFERROR(ROUND(VLOOKUP(A352,institutions!A:X,7,0),2),"")</f>
        <v>1.78</v>
      </c>
      <c r="F352" s="31">
        <f>IFERROR(ROUND(VLOOKUP(A352,institutions!A:X,10,0),2),"")</f>
        <v>1.0900000000000001</v>
      </c>
      <c r="G352" s="31">
        <f>IFERROR(ROUND(VLOOKUP(A352,institutions!A:X,13,0),2),"")</f>
        <v>1.68</v>
      </c>
      <c r="H352" s="31">
        <f>IFERROR(ROUND(VLOOKUP(A352,institutions!A:X,16,0),2),"")</f>
        <v>2.04</v>
      </c>
      <c r="I352" s="31">
        <f t="shared" si="30"/>
        <v>0.39500000000000002</v>
      </c>
      <c r="J352" s="31">
        <f t="shared" si="31"/>
        <v>0.67200000000000004</v>
      </c>
      <c r="K352" s="31">
        <f t="shared" si="32"/>
        <v>0.11799999999999999</v>
      </c>
      <c r="L352" s="31">
        <f t="shared" si="33"/>
        <v>0.28699999999999998</v>
      </c>
      <c r="M352" s="31">
        <f t="shared" si="34"/>
        <v>0.34200000000000003</v>
      </c>
      <c r="N352" t="e">
        <f>VLOOKUP(A352,#REF!,11,0)</f>
        <v>#REF!</v>
      </c>
      <c r="O352" t="e">
        <f>VLOOKUP(A352,#REF!,12,0)</f>
        <v>#REF!</v>
      </c>
      <c r="P352" t="e">
        <f>VLOOKUP(A352,#REF!,13,0)</f>
        <v>#REF!</v>
      </c>
      <c r="Q352" t="e">
        <f>VLOOKUP(A352,#REF!,14,0)</f>
        <v>#REF!</v>
      </c>
      <c r="R352">
        <v>-1.0580968214128781</v>
      </c>
      <c r="S352">
        <v>0.40917719781749651</v>
      </c>
      <c r="T352" s="31" t="str">
        <f>VLOOKUP(C352,V:W,2,0)</f>
        <v>SPAIN</v>
      </c>
      <c r="U352" t="str">
        <f t="shared" si="35"/>
        <v>Basque Country</v>
      </c>
    </row>
    <row r="353" spans="1:21" x14ac:dyDescent="0.25">
      <c r="A353" s="31" t="s">
        <v>950</v>
      </c>
      <c r="B353" s="31" t="s">
        <v>1609</v>
      </c>
      <c r="C353" s="31" t="s">
        <v>1234</v>
      </c>
      <c r="D353" s="31">
        <f>IFERROR(ROUND(VLOOKUP(A353,institutions!A:E,4,0),2),"")</f>
        <v>1.81</v>
      </c>
      <c r="E353" s="31">
        <f>IFERROR(ROUND(VLOOKUP(A353,institutions!A:X,7,0),2),"")</f>
        <v>1.37</v>
      </c>
      <c r="F353" s="31">
        <f>IFERROR(ROUND(VLOOKUP(A353,institutions!A:X,10,0),2),"")</f>
        <v>1.46</v>
      </c>
      <c r="G353" s="31">
        <f>IFERROR(ROUND(VLOOKUP(A353,institutions!A:X,13,0),2),"")</f>
        <v>2.38</v>
      </c>
      <c r="H353" s="31">
        <f>IFERROR(ROUND(VLOOKUP(A353,institutions!A:X,16,0),2),"")</f>
        <v>3.17</v>
      </c>
      <c r="I353" s="31">
        <f t="shared" si="30"/>
        <v>0.437</v>
      </c>
      <c r="J353" s="31">
        <f t="shared" si="31"/>
        <v>0.36199999999999999</v>
      </c>
      <c r="K353" s="31">
        <f t="shared" si="32"/>
        <v>0.48799999999999999</v>
      </c>
      <c r="L353" s="31">
        <f t="shared" si="33"/>
        <v>0.625</v>
      </c>
      <c r="M353" s="31">
        <f t="shared" si="34"/>
        <v>0.71499999999999997</v>
      </c>
      <c r="N353" t="e">
        <f>VLOOKUP(A353,#REF!,11,0)</f>
        <v>#REF!</v>
      </c>
      <c r="O353" t="e">
        <f>VLOOKUP(A353,#REF!,12,0)</f>
        <v>#REF!</v>
      </c>
      <c r="P353" t="e">
        <f>VLOOKUP(A353,#REF!,13,0)</f>
        <v>#REF!</v>
      </c>
      <c r="Q353" t="e">
        <f>VLOOKUP(A353,#REF!,14,0)</f>
        <v>#REF!</v>
      </c>
      <c r="R353">
        <v>0.35490287690085509</v>
      </c>
      <c r="S353">
        <v>-0.86915134995978338</v>
      </c>
      <c r="T353" s="31" t="str">
        <f>VLOOKUP(C353,V:W,2,0)</f>
        <v>UK</v>
      </c>
      <c r="U353" t="str">
        <f t="shared" si="35"/>
        <v/>
      </c>
    </row>
    <row r="354" spans="1:21" x14ac:dyDescent="0.25">
      <c r="A354" s="31" t="s">
        <v>1069</v>
      </c>
      <c r="B354" s="31" t="s">
        <v>2072</v>
      </c>
      <c r="C354" s="31" t="s">
        <v>1222</v>
      </c>
      <c r="D354" s="31">
        <f>IFERROR(ROUND(VLOOKUP(A354,institutions!A:E,4,0),2),"")</f>
        <v>1.74</v>
      </c>
      <c r="E354" s="31">
        <f>IFERROR(ROUND(VLOOKUP(A354,institutions!A:X,7,0),2),"")</f>
        <v>1.61</v>
      </c>
      <c r="F354" s="31">
        <f>IFERROR(ROUND(VLOOKUP(A354,institutions!A:X,10,0),2),"")</f>
        <v>1.1299999999999999</v>
      </c>
      <c r="G354" s="31">
        <f>IFERROR(ROUND(VLOOKUP(A354,institutions!A:X,13,0),2),"")</f>
        <v>1.95</v>
      </c>
      <c r="H354" s="31">
        <f>IFERROR(ROUND(VLOOKUP(A354,institutions!A:X,16,0),2),"")</f>
        <v>2.2400000000000002</v>
      </c>
      <c r="I354" s="31">
        <f t="shared" si="30"/>
        <v>0.40200000000000002</v>
      </c>
      <c r="J354" s="31">
        <f t="shared" si="31"/>
        <v>0.56999999999999995</v>
      </c>
      <c r="K354" s="31">
        <f t="shared" si="32"/>
        <v>0.14299999999999999</v>
      </c>
      <c r="L354" s="31">
        <f t="shared" si="33"/>
        <v>0.44500000000000001</v>
      </c>
      <c r="M354" s="31">
        <f t="shared" si="34"/>
        <v>0.437</v>
      </c>
      <c r="N354" t="e">
        <f>VLOOKUP(A354,#REF!,11,0)</f>
        <v>#REF!</v>
      </c>
      <c r="O354" t="e">
        <f>VLOOKUP(A354,#REF!,12,0)</f>
        <v>#REF!</v>
      </c>
      <c r="P354" t="e">
        <f>VLOOKUP(A354,#REF!,13,0)</f>
        <v>#REF!</v>
      </c>
      <c r="Q354" t="e">
        <f>VLOOKUP(A354,#REF!,14,0)</f>
        <v>#REF!</v>
      </c>
      <c r="R354">
        <v>-0.72502047671488012</v>
      </c>
      <c r="S354">
        <v>-0.18617594377183619</v>
      </c>
      <c r="T354" s="31" t="str">
        <f>VLOOKUP(C354,V:W,2,0)</f>
        <v>ITA</v>
      </c>
      <c r="U354" t="str">
        <f t="shared" si="35"/>
        <v/>
      </c>
    </row>
    <row r="355" spans="1:21" x14ac:dyDescent="0.25">
      <c r="A355" s="31" t="s">
        <v>900</v>
      </c>
      <c r="B355" s="31" t="s">
        <v>1611</v>
      </c>
      <c r="C355" s="31" t="s">
        <v>1233</v>
      </c>
      <c r="D355" s="31">
        <f>IFERROR(ROUND(VLOOKUP(A355,institutions!A:E,4,0),2),"")</f>
        <v>1.8</v>
      </c>
      <c r="E355" s="31">
        <f>IFERROR(ROUND(VLOOKUP(A355,institutions!A:X,7,0),2),"")</f>
        <v>1.08</v>
      </c>
      <c r="F355" s="31" t="str">
        <f>IFERROR(ROUND(VLOOKUP(A355,institutions!A:X,10,0),2),"")</f>
        <v/>
      </c>
      <c r="G355" s="31">
        <f>IFERROR(ROUND(VLOOKUP(A355,institutions!A:X,13,0),2),"")</f>
        <v>1.81</v>
      </c>
      <c r="H355" s="31">
        <f>IFERROR(ROUND(VLOOKUP(A355,institutions!A:X,16,0),2),"")</f>
        <v>2.4900000000000002</v>
      </c>
      <c r="I355" s="31">
        <f t="shared" si="30"/>
        <v>0.432</v>
      </c>
      <c r="J355" s="31">
        <f t="shared" si="31"/>
        <v>0.04</v>
      </c>
      <c r="K355" s="31">
        <f t="shared" si="32"/>
        <v>0</v>
      </c>
      <c r="L355" s="31">
        <f t="shared" si="33"/>
        <v>0.37</v>
      </c>
      <c r="M355" s="31">
        <f t="shared" si="34"/>
        <v>0.54500000000000004</v>
      </c>
      <c r="N355" t="e">
        <f>VLOOKUP(A355,#REF!,11,0)</f>
        <v>#REF!</v>
      </c>
      <c r="O355" t="e">
        <f>VLOOKUP(A355,#REF!,12,0)</f>
        <v>#REF!</v>
      </c>
      <c r="P355" t="e">
        <f>VLOOKUP(A355,#REF!,13,0)</f>
        <v>#REF!</v>
      </c>
      <c r="Q355" t="e">
        <f>VLOOKUP(A355,#REF!,14,0)</f>
        <v>#REF!</v>
      </c>
      <c r="R355">
        <v>-1.756134977093714</v>
      </c>
      <c r="S355">
        <v>-1.572337480016708</v>
      </c>
      <c r="T355" s="31" t="str">
        <f>VLOOKUP(C355,V:W,2,0)</f>
        <v>NED</v>
      </c>
      <c r="U355" t="str">
        <f t="shared" si="35"/>
        <v/>
      </c>
    </row>
    <row r="356" spans="1:21" x14ac:dyDescent="0.25">
      <c r="A356" s="31" t="s">
        <v>865</v>
      </c>
      <c r="B356" s="31" t="s">
        <v>1757</v>
      </c>
      <c r="C356" s="31" t="s">
        <v>1216</v>
      </c>
      <c r="D356" s="31">
        <f>IFERROR(ROUND(VLOOKUP(A356,institutions!A:E,4,0),2),"")</f>
        <v>1.86</v>
      </c>
      <c r="E356" s="31">
        <f>IFERROR(ROUND(VLOOKUP(A356,institutions!A:X,7,0),2),"")</f>
        <v>1</v>
      </c>
      <c r="F356" s="31">
        <f>IFERROR(ROUND(VLOOKUP(A356,institutions!A:X,10,0),2),"")</f>
        <v>1.44</v>
      </c>
      <c r="G356" s="31">
        <f>IFERROR(ROUND(VLOOKUP(A356,institutions!A:X,13,0),2),"")</f>
        <v>1.76</v>
      </c>
      <c r="H356" s="31">
        <f>IFERROR(ROUND(VLOOKUP(A356,institutions!A:X,16,0),2),"")</f>
        <v>2.79</v>
      </c>
      <c r="I356" s="31">
        <f t="shared" si="30"/>
        <v>0.48</v>
      </c>
      <c r="J356" s="31">
        <f t="shared" si="31"/>
        <v>7.0000000000000001E-3</v>
      </c>
      <c r="K356" s="31">
        <f t="shared" si="32"/>
        <v>0.48</v>
      </c>
      <c r="L356" s="31">
        <f t="shared" si="33"/>
        <v>0.34200000000000003</v>
      </c>
      <c r="M356" s="31">
        <f t="shared" si="34"/>
        <v>0.63800000000000001</v>
      </c>
      <c r="N356" t="e">
        <f>VLOOKUP(A356,#REF!,11,0)</f>
        <v>#REF!</v>
      </c>
      <c r="O356" t="e">
        <f>VLOOKUP(A356,#REF!,12,0)</f>
        <v>#REF!</v>
      </c>
      <c r="P356" t="e">
        <f>VLOOKUP(A356,#REF!,13,0)</f>
        <v>#REF!</v>
      </c>
      <c r="Q356" t="e">
        <f>VLOOKUP(A356,#REF!,14,0)</f>
        <v>#REF!</v>
      </c>
      <c r="R356">
        <v>-0.87090988131643932</v>
      </c>
      <c r="S356">
        <v>-1.045206656055039</v>
      </c>
      <c r="T356" s="31" t="str">
        <f>VLOOKUP(C356,V:W,2,0)</f>
        <v>UK</v>
      </c>
      <c r="U356" t="str">
        <f t="shared" si="35"/>
        <v/>
      </c>
    </row>
    <row r="357" spans="1:21" x14ac:dyDescent="0.25">
      <c r="A357" s="31" t="s">
        <v>1068</v>
      </c>
      <c r="B357" s="31" t="s">
        <v>1615</v>
      </c>
      <c r="C357" s="31" t="s">
        <v>1240</v>
      </c>
      <c r="D357" s="31">
        <f>IFERROR(ROUND(VLOOKUP(A357,institutions!A:E,4,0),2),"")</f>
        <v>1.74</v>
      </c>
      <c r="E357" s="31">
        <f>IFERROR(ROUND(VLOOKUP(A357,institutions!A:X,7,0),2),"")</f>
        <v>1.63</v>
      </c>
      <c r="F357" s="31">
        <f>IFERROR(ROUND(VLOOKUP(A357,institutions!A:X,10,0),2),"")</f>
        <v>2.04</v>
      </c>
      <c r="G357" s="31" t="str">
        <f>IFERROR(ROUND(VLOOKUP(A357,institutions!A:X,13,0),2),"")</f>
        <v/>
      </c>
      <c r="H357" s="31">
        <f>IFERROR(ROUND(VLOOKUP(A357,institutions!A:X,16,0),2),"")</f>
        <v>2.72</v>
      </c>
      <c r="I357" s="31">
        <f t="shared" si="30"/>
        <v>0.40200000000000002</v>
      </c>
      <c r="J357" s="31">
        <f t="shared" si="31"/>
        <v>0.58699999999999997</v>
      </c>
      <c r="K357" s="31">
        <f t="shared" si="32"/>
        <v>0.752</v>
      </c>
      <c r="L357" s="31">
        <f t="shared" si="33"/>
        <v>0</v>
      </c>
      <c r="M357" s="31">
        <f t="shared" si="34"/>
        <v>0.61699999999999999</v>
      </c>
      <c r="N357" t="e">
        <f>VLOOKUP(A357,#REF!,11,0)</f>
        <v>#REF!</v>
      </c>
      <c r="O357" t="e">
        <f>VLOOKUP(A357,#REF!,12,0)</f>
        <v>#REF!</v>
      </c>
      <c r="P357" t="e">
        <f>VLOOKUP(A357,#REF!,13,0)</f>
        <v>#REF!</v>
      </c>
      <c r="Q357" t="e">
        <f>VLOOKUP(A357,#REF!,14,0)</f>
        <v>#REF!</v>
      </c>
      <c r="R357">
        <v>-0.12657209429901239</v>
      </c>
      <c r="S357">
        <v>1.192209385899528</v>
      </c>
      <c r="T357" s="31" t="str">
        <f>VLOOKUP(C357,V:W,2,0)</f>
        <v>AUT</v>
      </c>
      <c r="U357" t="str">
        <f t="shared" si="35"/>
        <v/>
      </c>
    </row>
    <row r="358" spans="1:21" x14ac:dyDescent="0.25">
      <c r="A358" s="31" t="s">
        <v>954</v>
      </c>
      <c r="B358" s="31" t="s">
        <v>1604</v>
      </c>
      <c r="C358" s="31" t="s">
        <v>1228</v>
      </c>
      <c r="D358" s="31">
        <f>IFERROR(ROUND(VLOOKUP(A358,institutions!A:E,4,0),2),"")</f>
        <v>1.77</v>
      </c>
      <c r="E358" s="31">
        <f>IFERROR(ROUND(VLOOKUP(A358,institutions!A:X,7,0),2),"")</f>
        <v>1.57</v>
      </c>
      <c r="F358" s="31">
        <f>IFERROR(ROUND(VLOOKUP(A358,institutions!A:X,10,0),2),"")</f>
        <v>1.6</v>
      </c>
      <c r="G358" s="31">
        <f>IFERROR(ROUND(VLOOKUP(A358,institutions!A:X,13,0),2),"")</f>
        <v>1.87</v>
      </c>
      <c r="H358" s="31">
        <f>IFERROR(ROUND(VLOOKUP(A358,institutions!A:X,16,0),2),"")</f>
        <v>2.21</v>
      </c>
      <c r="I358" s="31">
        <f t="shared" si="30"/>
        <v>0.41799999999999998</v>
      </c>
      <c r="J358" s="31">
        <f t="shared" si="31"/>
        <v>0.55700000000000005</v>
      </c>
      <c r="K358" s="31">
        <f t="shared" si="32"/>
        <v>0.6</v>
      </c>
      <c r="L358" s="31">
        <f t="shared" si="33"/>
        <v>0.40699999999999997</v>
      </c>
      <c r="M358" s="31">
        <f t="shared" si="34"/>
        <v>0.42699999999999999</v>
      </c>
      <c r="N358" t="e">
        <f>VLOOKUP(A358,#REF!,11,0)</f>
        <v>#REF!</v>
      </c>
      <c r="O358" t="e">
        <f>VLOOKUP(A358,#REF!,12,0)</f>
        <v>#REF!</v>
      </c>
      <c r="P358" t="e">
        <f>VLOOKUP(A358,#REF!,13,0)</f>
        <v>#REF!</v>
      </c>
      <c r="Q358" t="e">
        <f>VLOOKUP(A358,#REF!,14,0)</f>
        <v>#REF!</v>
      </c>
      <c r="R358">
        <v>-5.094345129594758E-2</v>
      </c>
      <c r="S358">
        <v>0.53022340547627933</v>
      </c>
      <c r="T358" s="31" t="str">
        <f>VLOOKUP(C358,V:W,2,0)</f>
        <v>DEN</v>
      </c>
      <c r="U358" t="str">
        <f t="shared" si="35"/>
        <v/>
      </c>
    </row>
    <row r="359" spans="1:21" x14ac:dyDescent="0.25">
      <c r="A359" s="31" t="s">
        <v>989</v>
      </c>
      <c r="B359" s="31" t="s">
        <v>1624</v>
      </c>
      <c r="C359" s="31" t="s">
        <v>1217</v>
      </c>
      <c r="D359" s="31">
        <f>IFERROR(ROUND(VLOOKUP(A359,institutions!A:E,4,0),2),"")</f>
        <v>1.76</v>
      </c>
      <c r="E359" s="31">
        <f>IFERROR(ROUND(VLOOKUP(A359,institutions!A:X,7,0),2),"")</f>
        <v>1.57</v>
      </c>
      <c r="F359" s="31">
        <f>IFERROR(ROUND(VLOOKUP(A359,institutions!A:X,10,0),2),"")</f>
        <v>1.23</v>
      </c>
      <c r="G359" s="31">
        <f>IFERROR(ROUND(VLOOKUP(A359,institutions!A:X,13,0),2),"")</f>
        <v>2</v>
      </c>
      <c r="H359" s="31" t="str">
        <f>IFERROR(ROUND(VLOOKUP(A359,institutions!A:X,16,0),2),"")</f>
        <v/>
      </c>
      <c r="I359" s="31">
        <f t="shared" si="30"/>
        <v>0.41199999999999998</v>
      </c>
      <c r="J359" s="31">
        <f t="shared" si="31"/>
        <v>0.55700000000000005</v>
      </c>
      <c r="K359" s="31">
        <f t="shared" si="32"/>
        <v>0.26800000000000002</v>
      </c>
      <c r="L359" s="31">
        <f t="shared" si="33"/>
        <v>0.47199999999999998</v>
      </c>
      <c r="M359" s="31">
        <f t="shared" si="34"/>
        <v>0</v>
      </c>
      <c r="N359" t="e">
        <f>VLOOKUP(A359,#REF!,11,0)</f>
        <v>#REF!</v>
      </c>
      <c r="O359" t="e">
        <f>VLOOKUP(A359,#REF!,12,0)</f>
        <v>#REF!</v>
      </c>
      <c r="P359" t="e">
        <f>VLOOKUP(A359,#REF!,13,0)</f>
        <v>#REF!</v>
      </c>
      <c r="Q359" t="e">
        <f>VLOOKUP(A359,#REF!,14,0)</f>
        <v>#REF!</v>
      </c>
      <c r="R359">
        <v>-1.273239795595291</v>
      </c>
      <c r="S359">
        <v>0.61609199381851409</v>
      </c>
      <c r="T359" s="31" t="str">
        <f>VLOOKUP(C359,V:W,2,0)</f>
        <v>USA</v>
      </c>
      <c r="U359" t="str">
        <f t="shared" si="35"/>
        <v/>
      </c>
    </row>
    <row r="360" spans="1:21" x14ac:dyDescent="0.25">
      <c r="A360" s="31" t="s">
        <v>880</v>
      </c>
      <c r="B360" s="31" t="s">
        <v>1770</v>
      </c>
      <c r="C360" s="31" t="s">
        <v>1236</v>
      </c>
      <c r="D360" s="31">
        <f>IFERROR(ROUND(VLOOKUP(A360,institutions!A:E,4,0),2),"")</f>
        <v>1.78</v>
      </c>
      <c r="E360" s="31">
        <f>IFERROR(ROUND(VLOOKUP(A360,institutions!A:X,7,0),2),"")</f>
        <v>1.25</v>
      </c>
      <c r="F360" s="31">
        <f>IFERROR(ROUND(VLOOKUP(A360,institutions!A:X,10,0),2),"")</f>
        <v>1.65</v>
      </c>
      <c r="G360" s="31">
        <f>IFERROR(ROUND(VLOOKUP(A360,institutions!A:X,13,0),2),"")</f>
        <v>1.69</v>
      </c>
      <c r="H360" s="31">
        <f>IFERROR(ROUND(VLOOKUP(A360,institutions!A:X,16,0),2),"")</f>
        <v>2.21</v>
      </c>
      <c r="I360" s="31">
        <f t="shared" si="30"/>
        <v>0.42</v>
      </c>
      <c r="J360" s="31">
        <f t="shared" si="31"/>
        <v>0.21</v>
      </c>
      <c r="K360" s="31">
        <f t="shared" si="32"/>
        <v>0.61799999999999999</v>
      </c>
      <c r="L360" s="31">
        <f t="shared" si="33"/>
        <v>0.29299999999999998</v>
      </c>
      <c r="M360" s="31">
        <f t="shared" si="34"/>
        <v>0.42699999999999999</v>
      </c>
      <c r="N360" t="e">
        <f>VLOOKUP(A360,#REF!,11,0)</f>
        <v>#REF!</v>
      </c>
      <c r="O360" t="e">
        <f>VLOOKUP(A360,#REF!,12,0)</f>
        <v>#REF!</v>
      </c>
      <c r="P360" t="e">
        <f>VLOOKUP(A360,#REF!,13,0)</f>
        <v>#REF!</v>
      </c>
      <c r="Q360" t="e">
        <f>VLOOKUP(A360,#REF!,14,0)</f>
        <v>#REF!</v>
      </c>
      <c r="R360">
        <v>-0.77884836344076502</v>
      </c>
      <c r="S360">
        <v>5.3821200036236168E-3</v>
      </c>
      <c r="T360" s="31" t="str">
        <f>VLOOKUP(C360,V:W,2,0)</f>
        <v>NZE</v>
      </c>
      <c r="U360" t="str">
        <f t="shared" si="35"/>
        <v/>
      </c>
    </row>
    <row r="361" spans="1:21" x14ac:dyDescent="0.25">
      <c r="A361" s="31" t="s">
        <v>978</v>
      </c>
      <c r="B361" s="31" t="s">
        <v>1784</v>
      </c>
      <c r="C361" s="31" t="s">
        <v>1230</v>
      </c>
      <c r="D361" s="31">
        <f>IFERROR(ROUND(VLOOKUP(A361,institutions!A:E,4,0),2),"")</f>
        <v>1.7</v>
      </c>
      <c r="E361" s="31">
        <f>IFERROR(ROUND(VLOOKUP(A361,institutions!A:X,7,0),2),"")</f>
        <v>1.42</v>
      </c>
      <c r="F361" s="31">
        <f>IFERROR(ROUND(VLOOKUP(A361,institutions!A:X,10,0),2),"")</f>
        <v>1.37</v>
      </c>
      <c r="G361" s="31">
        <f>IFERROR(ROUND(VLOOKUP(A361,institutions!A:X,13,0),2),"")</f>
        <v>1.96</v>
      </c>
      <c r="H361" s="31">
        <f>IFERROR(ROUND(VLOOKUP(A361,institutions!A:X,16,0),2),"")</f>
        <v>2.3199999999999998</v>
      </c>
      <c r="I361" s="31">
        <f t="shared" si="30"/>
        <v>0.36799999999999999</v>
      </c>
      <c r="J361" s="31">
        <f t="shared" si="31"/>
        <v>0.432</v>
      </c>
      <c r="K361" s="31">
        <f t="shared" si="32"/>
        <v>0.42199999999999999</v>
      </c>
      <c r="L361" s="31">
        <f t="shared" si="33"/>
        <v>0.45</v>
      </c>
      <c r="M361" s="31">
        <f t="shared" si="34"/>
        <v>0.47199999999999998</v>
      </c>
      <c r="N361" t="e">
        <f>VLOOKUP(A361,#REF!,11,0)</f>
        <v>#REF!</v>
      </c>
      <c r="O361" t="e">
        <f>VLOOKUP(A361,#REF!,12,0)</f>
        <v>#REF!</v>
      </c>
      <c r="P361" t="e">
        <f>VLOOKUP(A361,#REF!,13,0)</f>
        <v>#REF!</v>
      </c>
      <c r="Q361" t="e">
        <f>VLOOKUP(A361,#REF!,14,0)</f>
        <v>#REF!</v>
      </c>
      <c r="R361">
        <v>-0.39702947425376739</v>
      </c>
      <c r="S361">
        <v>-0.1387233293815236</v>
      </c>
      <c r="T361" s="31" t="str">
        <f>VLOOKUP(C361,V:W,2,0)</f>
        <v>CHN</v>
      </c>
      <c r="U361" t="str">
        <f t="shared" si="35"/>
        <v/>
      </c>
    </row>
    <row r="362" spans="1:21" x14ac:dyDescent="0.25">
      <c r="A362" s="31" t="s">
        <v>874</v>
      </c>
      <c r="B362" s="31" t="s">
        <v>2067</v>
      </c>
      <c r="C362" s="31" t="s">
        <v>1217</v>
      </c>
      <c r="D362" s="31">
        <f>IFERROR(ROUND(VLOOKUP(A362,institutions!A:E,4,0),2),"")</f>
        <v>1.79</v>
      </c>
      <c r="E362" s="31">
        <f>IFERROR(ROUND(VLOOKUP(A362,institutions!A:X,7,0),2),"")</f>
        <v>1.29</v>
      </c>
      <c r="F362" s="31">
        <f>IFERROR(ROUND(VLOOKUP(A362,institutions!A:X,10,0),2),"")</f>
        <v>1.25</v>
      </c>
      <c r="G362" s="31">
        <f>IFERROR(ROUND(VLOOKUP(A362,institutions!A:X,13,0),2),"")</f>
        <v>1.98</v>
      </c>
      <c r="H362" s="31">
        <f>IFERROR(ROUND(VLOOKUP(A362,institutions!A:X,16,0),2),"")</f>
        <v>2.04</v>
      </c>
      <c r="I362" s="31">
        <f t="shared" si="30"/>
        <v>0.42299999999999999</v>
      </c>
      <c r="J362" s="31">
        <f t="shared" si="31"/>
        <v>0.26800000000000002</v>
      </c>
      <c r="K362" s="31">
        <f t="shared" si="32"/>
        <v>0.29699999999999999</v>
      </c>
      <c r="L362" s="31">
        <f t="shared" si="33"/>
        <v>0.46500000000000002</v>
      </c>
      <c r="M362" s="31">
        <f t="shared" si="34"/>
        <v>0.34200000000000003</v>
      </c>
      <c r="N362" t="e">
        <f>VLOOKUP(A362,#REF!,11,0)</f>
        <v>#REF!</v>
      </c>
      <c r="O362" t="e">
        <f>VLOOKUP(A362,#REF!,12,0)</f>
        <v>#REF!</v>
      </c>
      <c r="P362" t="e">
        <f>VLOOKUP(A362,#REF!,13,0)</f>
        <v>#REF!</v>
      </c>
      <c r="Q362" t="e">
        <f>VLOOKUP(A362,#REF!,14,0)</f>
        <v>#REF!</v>
      </c>
      <c r="R362">
        <v>-1.0809691788399891</v>
      </c>
      <c r="S362">
        <v>-0.48961045536949099</v>
      </c>
      <c r="T362" s="31" t="str">
        <f>VLOOKUP(C362,V:W,2,0)</f>
        <v>USA</v>
      </c>
      <c r="U362" t="str">
        <f t="shared" si="35"/>
        <v/>
      </c>
    </row>
    <row r="363" spans="1:21" x14ac:dyDescent="0.25">
      <c r="A363" s="31" t="s">
        <v>893</v>
      </c>
      <c r="B363" s="31" t="s">
        <v>1593</v>
      </c>
      <c r="C363" s="31" t="s">
        <v>1227</v>
      </c>
      <c r="D363" s="31">
        <f>IFERROR(ROUND(VLOOKUP(A363,institutions!A:E,4,0),2),"")</f>
        <v>1.82</v>
      </c>
      <c r="E363" s="31">
        <f>IFERROR(ROUND(VLOOKUP(A363,institutions!A:X,7,0),2),"")</f>
        <v>1.4</v>
      </c>
      <c r="F363" s="31">
        <f>IFERROR(ROUND(VLOOKUP(A363,institutions!A:X,10,0),2),"")</f>
        <v>1.22</v>
      </c>
      <c r="G363" s="31">
        <f>IFERROR(ROUND(VLOOKUP(A363,institutions!A:X,13,0),2),"")</f>
        <v>2.48</v>
      </c>
      <c r="H363" s="31">
        <f>IFERROR(ROUND(VLOOKUP(A363,institutions!A:X,16,0),2),"")</f>
        <v>2.79</v>
      </c>
      <c r="I363" s="31">
        <f t="shared" si="30"/>
        <v>0.44800000000000001</v>
      </c>
      <c r="J363" s="31">
        <f t="shared" si="31"/>
        <v>0.40300000000000002</v>
      </c>
      <c r="K363" s="31">
        <f t="shared" si="32"/>
        <v>0.253</v>
      </c>
      <c r="L363" s="31">
        <f t="shared" si="33"/>
        <v>0.68500000000000005</v>
      </c>
      <c r="M363" s="31">
        <f t="shared" si="34"/>
        <v>0.63800000000000001</v>
      </c>
      <c r="N363" t="e">
        <f>VLOOKUP(A363,#REF!,11,0)</f>
        <v>#REF!</v>
      </c>
      <c r="O363" t="e">
        <f>VLOOKUP(A363,#REF!,12,0)</f>
        <v>#REF!</v>
      </c>
      <c r="P363" t="e">
        <f>VLOOKUP(A363,#REF!,13,0)</f>
        <v>#REF!</v>
      </c>
      <c r="Q363" t="e">
        <f>VLOOKUP(A363,#REF!,14,0)</f>
        <v>#REF!</v>
      </c>
      <c r="R363">
        <v>-1.2945256221371829E-2</v>
      </c>
      <c r="S363">
        <v>-1.101390007399466</v>
      </c>
      <c r="T363" s="31" t="str">
        <f>VLOOKUP(C363,V:W,2,0)</f>
        <v>BEL</v>
      </c>
      <c r="U363" t="str">
        <f t="shared" si="35"/>
        <v/>
      </c>
    </row>
    <row r="364" spans="1:21" x14ac:dyDescent="0.25">
      <c r="A364" s="31" t="s">
        <v>895</v>
      </c>
      <c r="B364" s="31" t="s">
        <v>1616</v>
      </c>
      <c r="C364" s="31" t="s">
        <v>1236</v>
      </c>
      <c r="D364" s="31">
        <f>IFERROR(ROUND(VLOOKUP(A364,institutions!A:E,4,0),2),"")</f>
        <v>1.73</v>
      </c>
      <c r="E364" s="31">
        <f>IFERROR(ROUND(VLOOKUP(A364,institutions!A:X,7,0),2),"")</f>
        <v>1.26</v>
      </c>
      <c r="F364" s="31">
        <f>IFERROR(ROUND(VLOOKUP(A364,institutions!A:X,10,0),2),"")</f>
        <v>1.19</v>
      </c>
      <c r="G364" s="31">
        <f>IFERROR(ROUND(VLOOKUP(A364,institutions!A:X,13,0),2),"")</f>
        <v>1.82</v>
      </c>
      <c r="H364" s="31">
        <f>IFERROR(ROUND(VLOOKUP(A364,institutions!A:X,16,0),2),"")</f>
        <v>2.59</v>
      </c>
      <c r="I364" s="31">
        <f t="shared" si="30"/>
        <v>0.39500000000000002</v>
      </c>
      <c r="J364" s="31">
        <f t="shared" si="31"/>
        <v>0.22800000000000001</v>
      </c>
      <c r="K364" s="31">
        <f t="shared" si="32"/>
        <v>0.22</v>
      </c>
      <c r="L364" s="31">
        <f t="shared" si="33"/>
        <v>0.372</v>
      </c>
      <c r="M364" s="31">
        <f t="shared" si="34"/>
        <v>0.57799999999999996</v>
      </c>
      <c r="N364" t="e">
        <f>VLOOKUP(A364,#REF!,11,0)</f>
        <v>#REF!</v>
      </c>
      <c r="O364" t="e">
        <f>VLOOKUP(A364,#REF!,12,0)</f>
        <v>#REF!</v>
      </c>
      <c r="P364" t="e">
        <f>VLOOKUP(A364,#REF!,13,0)</f>
        <v>#REF!</v>
      </c>
      <c r="Q364" t="e">
        <f>VLOOKUP(A364,#REF!,14,0)</f>
        <v>#REF!</v>
      </c>
      <c r="R364">
        <v>-1.016321453984119</v>
      </c>
      <c r="S364">
        <v>-0.9064387552793538</v>
      </c>
      <c r="T364" s="31" t="str">
        <f>VLOOKUP(C364,V:W,2,0)</f>
        <v>NZE</v>
      </c>
      <c r="U364" t="str">
        <f t="shared" si="35"/>
        <v/>
      </c>
    </row>
    <row r="365" spans="1:21" x14ac:dyDescent="0.25">
      <c r="A365" s="31" t="s">
        <v>1106</v>
      </c>
      <c r="B365" s="31" t="s">
        <v>1963</v>
      </c>
      <c r="C365" s="31" t="s">
        <v>1271</v>
      </c>
      <c r="D365" s="31">
        <f>IFERROR(ROUND(VLOOKUP(A365,institutions!A:E,4,0),2),"")</f>
        <v>1.71</v>
      </c>
      <c r="E365" s="31">
        <f>IFERROR(ROUND(VLOOKUP(A365,institutions!A:X,7,0),2),"")</f>
        <v>1.6</v>
      </c>
      <c r="F365" s="31">
        <f>IFERROR(ROUND(VLOOKUP(A365,institutions!A:X,10,0),2),"")</f>
        <v>1.24</v>
      </c>
      <c r="G365" s="31">
        <f>IFERROR(ROUND(VLOOKUP(A365,institutions!A:X,13,0),2),"")</f>
        <v>1.68</v>
      </c>
      <c r="H365" s="31">
        <f>IFERROR(ROUND(VLOOKUP(A365,institutions!A:X,16,0),2),"")</f>
        <v>1.59</v>
      </c>
      <c r="I365" s="31">
        <f t="shared" si="30"/>
        <v>0.375</v>
      </c>
      <c r="J365" s="31">
        <f t="shared" si="31"/>
        <v>0.56799999999999995</v>
      </c>
      <c r="K365" s="31">
        <f t="shared" si="32"/>
        <v>0.27800000000000002</v>
      </c>
      <c r="L365" s="31">
        <f t="shared" si="33"/>
        <v>0.28699999999999998</v>
      </c>
      <c r="M365" s="31">
        <f t="shared" si="34"/>
        <v>0.152</v>
      </c>
      <c r="N365" t="e">
        <f>VLOOKUP(A365,#REF!,11,0)</f>
        <v>#REF!</v>
      </c>
      <c r="O365" t="e">
        <f>VLOOKUP(A365,#REF!,12,0)</f>
        <v>#REF!</v>
      </c>
      <c r="P365" t="e">
        <f>VLOOKUP(A365,#REF!,13,0)</f>
        <v>#REF!</v>
      </c>
      <c r="Q365" t="e">
        <f>VLOOKUP(A365,#REF!,14,0)</f>
        <v>#REF!</v>
      </c>
      <c r="R365">
        <v>-1.294257198424027</v>
      </c>
      <c r="S365">
        <v>0.72127574617822499</v>
      </c>
      <c r="T365" s="31" t="str">
        <f>VLOOKUP(C365,V:W,2,0)</f>
        <v>DEU</v>
      </c>
      <c r="U365" t="str">
        <f t="shared" si="35"/>
        <v>ZEW</v>
      </c>
    </row>
    <row r="366" spans="1:21" x14ac:dyDescent="0.25">
      <c r="A366" s="31" t="s">
        <v>1046</v>
      </c>
      <c r="B366" s="31" t="s">
        <v>2071</v>
      </c>
      <c r="C366" s="31" t="s">
        <v>1217</v>
      </c>
      <c r="D366" s="31">
        <f>IFERROR(ROUND(VLOOKUP(A366,institutions!A:E,4,0),2),"")</f>
        <v>1.73</v>
      </c>
      <c r="E366" s="31">
        <f>IFERROR(ROUND(VLOOKUP(A366,institutions!A:X,7,0),2),"")</f>
        <v>1.33</v>
      </c>
      <c r="F366" s="31">
        <f>IFERROR(ROUND(VLOOKUP(A366,institutions!A:X,10,0),2),"")</f>
        <v>2.2000000000000002</v>
      </c>
      <c r="G366" s="31">
        <f>IFERROR(ROUND(VLOOKUP(A366,institutions!A:X,13,0),2),"")</f>
        <v>1.55</v>
      </c>
      <c r="H366" s="31">
        <f>IFERROR(ROUND(VLOOKUP(A366,institutions!A:X,16,0),2),"")</f>
        <v>2.0299999999999998</v>
      </c>
      <c r="I366" s="31">
        <f t="shared" si="30"/>
        <v>0.39500000000000002</v>
      </c>
      <c r="J366" s="31">
        <f t="shared" si="31"/>
        <v>0.33</v>
      </c>
      <c r="K366" s="31">
        <f t="shared" si="32"/>
        <v>0.79</v>
      </c>
      <c r="L366" s="31">
        <f t="shared" si="33"/>
        <v>0.22</v>
      </c>
      <c r="M366" s="31">
        <f t="shared" si="34"/>
        <v>0.33500000000000002</v>
      </c>
      <c r="N366" t="e">
        <f>VLOOKUP(A366,#REF!,11,0)</f>
        <v>#REF!</v>
      </c>
      <c r="O366" t="e">
        <f>VLOOKUP(A366,#REF!,12,0)</f>
        <v>#REF!</v>
      </c>
      <c r="P366" t="e">
        <f>VLOOKUP(A366,#REF!,13,0)</f>
        <v>#REF!</v>
      </c>
      <c r="Q366" t="e">
        <f>VLOOKUP(A366,#REF!,14,0)</f>
        <v>#REF!</v>
      </c>
      <c r="R366">
        <v>-0.58943370232684722</v>
      </c>
      <c r="S366">
        <v>0.77945113523156917</v>
      </c>
      <c r="T366" s="31" t="str">
        <f>VLOOKUP(C366,V:W,2,0)</f>
        <v>USA</v>
      </c>
      <c r="U366" t="str">
        <f t="shared" si="35"/>
        <v/>
      </c>
    </row>
    <row r="367" spans="1:21" x14ac:dyDescent="0.25">
      <c r="A367" s="31" t="s">
        <v>873</v>
      </c>
      <c r="B367" s="31" t="s">
        <v>1766</v>
      </c>
      <c r="C367" s="31" t="s">
        <v>1216</v>
      </c>
      <c r="D367" s="31">
        <f>IFERROR(ROUND(VLOOKUP(A367,institutions!A:E,4,0),2),"")</f>
        <v>1.79</v>
      </c>
      <c r="E367" s="31">
        <f>IFERROR(ROUND(VLOOKUP(A367,institutions!A:X,7,0),2),"")</f>
        <v>1.24</v>
      </c>
      <c r="F367" s="31">
        <f>IFERROR(ROUND(VLOOKUP(A367,institutions!A:X,10,0),2),"")</f>
        <v>1.18</v>
      </c>
      <c r="G367" s="31">
        <f>IFERROR(ROUND(VLOOKUP(A367,institutions!A:X,13,0),2),"")</f>
        <v>2.2599999999999998</v>
      </c>
      <c r="H367" s="31">
        <f>IFERROR(ROUND(VLOOKUP(A367,institutions!A:X,16,0),2),"")</f>
        <v>2.64</v>
      </c>
      <c r="I367" s="31">
        <f t="shared" si="30"/>
        <v>0.42299999999999999</v>
      </c>
      <c r="J367" s="31">
        <f t="shared" si="31"/>
        <v>0.2</v>
      </c>
      <c r="K367" s="31">
        <f t="shared" si="32"/>
        <v>0.20200000000000001</v>
      </c>
      <c r="L367" s="31">
        <f t="shared" si="33"/>
        <v>0.58499999999999996</v>
      </c>
      <c r="M367" s="31">
        <f t="shared" si="34"/>
        <v>0.59199999999999997</v>
      </c>
      <c r="N367" t="e">
        <f>VLOOKUP(A367,#REF!,11,0)</f>
        <v>#REF!</v>
      </c>
      <c r="O367" t="e">
        <f>VLOOKUP(A367,#REF!,12,0)</f>
        <v>#REF!</v>
      </c>
      <c r="P367" t="e">
        <f>VLOOKUP(A367,#REF!,13,0)</f>
        <v>#REF!</v>
      </c>
      <c r="Q367" t="e">
        <f>VLOOKUP(A367,#REF!,14,0)</f>
        <v>#REF!</v>
      </c>
      <c r="R367">
        <v>-0.68642099727693562</v>
      </c>
      <c r="S367">
        <v>-1.3695073715129451</v>
      </c>
      <c r="T367" s="31" t="str">
        <f>VLOOKUP(C367,V:W,2,0)</f>
        <v>UK</v>
      </c>
      <c r="U367" t="str">
        <f t="shared" si="35"/>
        <v/>
      </c>
    </row>
    <row r="368" spans="1:21" x14ac:dyDescent="0.25">
      <c r="A368" s="31" t="s">
        <v>927</v>
      </c>
      <c r="B368" s="31" t="s">
        <v>1618</v>
      </c>
      <c r="C368" s="31" t="s">
        <v>1222</v>
      </c>
      <c r="D368" s="31">
        <f>IFERROR(ROUND(VLOOKUP(A368,institutions!A:E,4,0),2),"")</f>
        <v>1.76</v>
      </c>
      <c r="E368" s="31">
        <f>IFERROR(ROUND(VLOOKUP(A368,institutions!A:X,7,0),2),"")</f>
        <v>1.35</v>
      </c>
      <c r="F368" s="31">
        <f>IFERROR(ROUND(VLOOKUP(A368,institutions!A:X,10,0),2),"")</f>
        <v>1.47</v>
      </c>
      <c r="G368" s="31">
        <f>IFERROR(ROUND(VLOOKUP(A368,institutions!A:X,13,0),2),"")</f>
        <v>2.48</v>
      </c>
      <c r="H368" s="31">
        <f>IFERROR(ROUND(VLOOKUP(A368,institutions!A:X,16,0),2),"")</f>
        <v>2.78</v>
      </c>
      <c r="I368" s="31">
        <f t="shared" si="30"/>
        <v>0.41199999999999998</v>
      </c>
      <c r="J368" s="31">
        <f t="shared" si="31"/>
        <v>0.34799999999999998</v>
      </c>
      <c r="K368" s="31">
        <f t="shared" si="32"/>
        <v>0.498</v>
      </c>
      <c r="L368" s="31">
        <f t="shared" si="33"/>
        <v>0.68500000000000005</v>
      </c>
      <c r="M368" s="31">
        <f t="shared" si="34"/>
        <v>0.63300000000000001</v>
      </c>
      <c r="N368" t="e">
        <f>VLOOKUP(A368,#REF!,11,0)</f>
        <v>#REF!</v>
      </c>
      <c r="O368" t="e">
        <f>VLOOKUP(A368,#REF!,12,0)</f>
        <v>#REF!</v>
      </c>
      <c r="P368" t="e">
        <f>VLOOKUP(A368,#REF!,13,0)</f>
        <v>#REF!</v>
      </c>
      <c r="Q368" t="e">
        <f>VLOOKUP(A368,#REF!,14,0)</f>
        <v>#REF!</v>
      </c>
      <c r="R368">
        <v>0.30859632174847262</v>
      </c>
      <c r="S368">
        <v>-0.85440199611390333</v>
      </c>
      <c r="T368" s="31" t="str">
        <f>VLOOKUP(C368,V:W,2,0)</f>
        <v>ITA</v>
      </c>
      <c r="U368" t="str">
        <f t="shared" si="35"/>
        <v/>
      </c>
    </row>
    <row r="369" spans="1:21" x14ac:dyDescent="0.25">
      <c r="A369" s="31" t="s">
        <v>1130</v>
      </c>
      <c r="B369" s="31" t="s">
        <v>1641</v>
      </c>
      <c r="C369" s="31" t="s">
        <v>1271</v>
      </c>
      <c r="D369" s="31">
        <f>IFERROR(ROUND(VLOOKUP(A369,institutions!A:E,4,0),2),"")</f>
        <v>1.73</v>
      </c>
      <c r="E369" s="31">
        <f>IFERROR(ROUND(VLOOKUP(A369,institutions!A:X,7,0),2),"")</f>
        <v>1.63</v>
      </c>
      <c r="F369" s="31">
        <f>IFERROR(ROUND(VLOOKUP(A369,institutions!A:X,10,0),2),"")</f>
        <v>2.06</v>
      </c>
      <c r="G369" s="31">
        <f>IFERROR(ROUND(VLOOKUP(A369,institutions!A:X,13,0),2),"")</f>
        <v>1.61</v>
      </c>
      <c r="H369" s="31">
        <f>IFERROR(ROUND(VLOOKUP(A369,institutions!A:X,16,0),2),"")</f>
        <v>2.4500000000000002</v>
      </c>
      <c r="I369" s="31">
        <f t="shared" si="30"/>
        <v>0.39500000000000002</v>
      </c>
      <c r="J369" s="31">
        <f t="shared" si="31"/>
        <v>0.58699999999999997</v>
      </c>
      <c r="K369" s="31">
        <f t="shared" si="32"/>
        <v>0.76</v>
      </c>
      <c r="L369" s="31">
        <f t="shared" si="33"/>
        <v>0.247</v>
      </c>
      <c r="M369" s="31">
        <f t="shared" si="34"/>
        <v>0.52300000000000002</v>
      </c>
      <c r="N369" t="e">
        <f>VLOOKUP(A369,#REF!,11,0)</f>
        <v>#REF!</v>
      </c>
      <c r="O369" t="e">
        <f>VLOOKUP(A369,#REF!,12,0)</f>
        <v>#REF!</v>
      </c>
      <c r="P369" t="e">
        <f>VLOOKUP(A369,#REF!,13,0)</f>
        <v>#REF!</v>
      </c>
      <c r="Q369" t="e">
        <f>VLOOKUP(A369,#REF!,14,0)</f>
        <v>#REF!</v>
      </c>
      <c r="R369">
        <v>0.1581969505610874</v>
      </c>
      <c r="S369">
        <v>0.94141431174017265</v>
      </c>
      <c r="T369" s="31" t="str">
        <f>VLOOKUP(C369,V:W,2,0)</f>
        <v>DEU</v>
      </c>
      <c r="U369" t="str">
        <f t="shared" si="35"/>
        <v>Konstanz</v>
      </c>
    </row>
    <row r="370" spans="1:21" x14ac:dyDescent="0.25">
      <c r="A370" s="31" t="s">
        <v>1102</v>
      </c>
      <c r="B370" s="31" t="s">
        <v>1650</v>
      </c>
      <c r="C370" s="31" t="s">
        <v>1222</v>
      </c>
      <c r="D370" s="31">
        <f>IFERROR(ROUND(VLOOKUP(A370,institutions!A:E,4,0),2),"")</f>
        <v>1.69</v>
      </c>
      <c r="E370" s="31">
        <f>IFERROR(ROUND(VLOOKUP(A370,institutions!A:X,7,0),2),"")</f>
        <v>1.62</v>
      </c>
      <c r="F370" s="31">
        <f>IFERROR(ROUND(VLOOKUP(A370,institutions!A:X,10,0),2),"")</f>
        <v>1.69</v>
      </c>
      <c r="G370" s="31">
        <f>IFERROR(ROUND(VLOOKUP(A370,institutions!A:X,13,0),2),"")</f>
        <v>1.69</v>
      </c>
      <c r="H370" s="31">
        <f>IFERROR(ROUND(VLOOKUP(A370,institutions!A:X,16,0),2),"")</f>
        <v>2.21</v>
      </c>
      <c r="I370" s="31">
        <f t="shared" si="30"/>
        <v>0.35499999999999998</v>
      </c>
      <c r="J370" s="31">
        <f t="shared" si="31"/>
        <v>0.57999999999999996</v>
      </c>
      <c r="K370" s="31">
        <f t="shared" si="32"/>
        <v>0.63</v>
      </c>
      <c r="L370" s="31">
        <f t="shared" si="33"/>
        <v>0.29299999999999998</v>
      </c>
      <c r="M370" s="31">
        <f t="shared" si="34"/>
        <v>0.42699999999999999</v>
      </c>
      <c r="N370" t="e">
        <f>VLOOKUP(A370,#REF!,11,0)</f>
        <v>#REF!</v>
      </c>
      <c r="O370" t="e">
        <f>VLOOKUP(A370,#REF!,12,0)</f>
        <v>#REF!</v>
      </c>
      <c r="P370" t="e">
        <f>VLOOKUP(A370,#REF!,13,0)</f>
        <v>#REF!</v>
      </c>
      <c r="Q370" t="e">
        <f>VLOOKUP(A370,#REF!,14,0)</f>
        <v>#REF!</v>
      </c>
      <c r="R370">
        <v>-0.16636185783744281</v>
      </c>
      <c r="S370">
        <v>0.81292643916323015</v>
      </c>
      <c r="T370" s="31" t="str">
        <f>VLOOKUP(C370,V:W,2,0)</f>
        <v>ITA</v>
      </c>
      <c r="U370" t="str">
        <f t="shared" si="35"/>
        <v/>
      </c>
    </row>
    <row r="371" spans="1:21" x14ac:dyDescent="0.25">
      <c r="A371" s="31" t="s">
        <v>1119</v>
      </c>
      <c r="B371" s="31" t="s">
        <v>1637</v>
      </c>
      <c r="C371" s="31" t="s">
        <v>1216</v>
      </c>
      <c r="D371" s="31">
        <f>IFERROR(ROUND(VLOOKUP(A371,institutions!A:E,4,0),2),"")</f>
        <v>1.7</v>
      </c>
      <c r="E371" s="31">
        <f>IFERROR(ROUND(VLOOKUP(A371,institutions!A:X,7,0),2),"")</f>
        <v>1.72</v>
      </c>
      <c r="F371" s="31">
        <f>IFERROR(ROUND(VLOOKUP(A371,institutions!A:X,10,0),2),"")</f>
        <v>1.41</v>
      </c>
      <c r="G371" s="31">
        <f>IFERROR(ROUND(VLOOKUP(A371,institutions!A:X,13,0),2),"")</f>
        <v>1.63</v>
      </c>
      <c r="H371" s="31">
        <f>IFERROR(ROUND(VLOOKUP(A371,institutions!A:X,16,0),2),"")</f>
        <v>1.93</v>
      </c>
      <c r="I371" s="31">
        <f t="shared" si="30"/>
        <v>0.36799999999999999</v>
      </c>
      <c r="J371" s="31">
        <f t="shared" si="31"/>
        <v>0.64500000000000002</v>
      </c>
      <c r="K371" s="31">
        <f t="shared" si="32"/>
        <v>0.45300000000000001</v>
      </c>
      <c r="L371" s="31">
        <f t="shared" si="33"/>
        <v>0.26200000000000001</v>
      </c>
      <c r="M371" s="31">
        <f t="shared" si="34"/>
        <v>0.3</v>
      </c>
      <c r="N371" t="e">
        <f>VLOOKUP(A371,#REF!,11,0)</f>
        <v>#REF!</v>
      </c>
      <c r="O371" t="e">
        <f>VLOOKUP(A371,#REF!,12,0)</f>
        <v>#REF!</v>
      </c>
      <c r="P371" t="e">
        <f>VLOOKUP(A371,#REF!,13,0)</f>
        <v>#REF!</v>
      </c>
      <c r="Q371" t="e">
        <f>VLOOKUP(A371,#REF!,14,0)</f>
        <v>#REF!</v>
      </c>
      <c r="R371">
        <v>-0.64943445095901475</v>
      </c>
      <c r="S371">
        <v>0.94725355081811247</v>
      </c>
      <c r="T371" s="31" t="str">
        <f>VLOOKUP(C371,V:W,2,0)</f>
        <v>UK</v>
      </c>
      <c r="U371" t="str">
        <f t="shared" si="35"/>
        <v/>
      </c>
    </row>
    <row r="372" spans="1:21" x14ac:dyDescent="0.25">
      <c r="A372" s="31" t="s">
        <v>1044</v>
      </c>
      <c r="B372" s="31" t="s">
        <v>1778</v>
      </c>
      <c r="C372" s="31" t="s">
        <v>1233</v>
      </c>
      <c r="D372" s="31">
        <f>IFERROR(ROUND(VLOOKUP(A372,institutions!A:E,4,0),2),"")</f>
        <v>1.73</v>
      </c>
      <c r="E372" s="31">
        <f>IFERROR(ROUND(VLOOKUP(A372,institutions!A:X,7,0),2),"")</f>
        <v>1.46</v>
      </c>
      <c r="F372" s="31">
        <f>IFERROR(ROUND(VLOOKUP(A372,institutions!A:X,10,0),2),"")</f>
        <v>1.44</v>
      </c>
      <c r="G372" s="31">
        <f>IFERROR(ROUND(VLOOKUP(A372,institutions!A:X,13,0),2),"")</f>
        <v>1.91</v>
      </c>
      <c r="H372" s="31">
        <f>IFERROR(ROUND(VLOOKUP(A372,institutions!A:X,16,0),2),"")</f>
        <v>2.5299999999999998</v>
      </c>
      <c r="I372" s="31">
        <f t="shared" si="30"/>
        <v>0.39500000000000002</v>
      </c>
      <c r="J372" s="31">
        <f t="shared" si="31"/>
        <v>0.46800000000000003</v>
      </c>
      <c r="K372" s="31">
        <f t="shared" si="32"/>
        <v>0.48</v>
      </c>
      <c r="L372" s="31">
        <f t="shared" si="33"/>
        <v>0.42299999999999999</v>
      </c>
      <c r="M372" s="31">
        <f t="shared" si="34"/>
        <v>0.55800000000000005</v>
      </c>
      <c r="N372" t="e">
        <f>VLOOKUP(A372,#REF!,11,0)</f>
        <v>#REF!</v>
      </c>
      <c r="O372" t="e">
        <f>VLOOKUP(A372,#REF!,12,0)</f>
        <v>#REF!</v>
      </c>
      <c r="P372" t="e">
        <f>VLOOKUP(A372,#REF!,13,0)</f>
        <v>#REF!</v>
      </c>
      <c r="Q372" t="e">
        <f>VLOOKUP(A372,#REF!,14,0)</f>
        <v>#REF!</v>
      </c>
      <c r="R372">
        <v>-0.13322669451808</v>
      </c>
      <c r="S372">
        <v>-6.8873175747181312E-2</v>
      </c>
      <c r="T372" s="31" t="str">
        <f>VLOOKUP(C372,V:W,2,0)</f>
        <v>NED</v>
      </c>
      <c r="U372" t="str">
        <f t="shared" si="35"/>
        <v/>
      </c>
    </row>
    <row r="373" spans="1:21" x14ac:dyDescent="0.25">
      <c r="A373" s="31" t="s">
        <v>884</v>
      </c>
      <c r="B373" s="31" t="s">
        <v>1771</v>
      </c>
      <c r="C373" s="31" t="s">
        <v>1237</v>
      </c>
      <c r="D373" s="31">
        <f>IFERROR(ROUND(VLOOKUP(A373,institutions!A:E,4,0),2),"")</f>
        <v>1.77</v>
      </c>
      <c r="E373" s="31">
        <f>IFERROR(ROUND(VLOOKUP(A373,institutions!A:X,7,0),2),"")</f>
        <v>1.26</v>
      </c>
      <c r="F373" s="31">
        <f>IFERROR(ROUND(VLOOKUP(A373,institutions!A:X,10,0),2),"")</f>
        <v>1.23</v>
      </c>
      <c r="G373" s="31">
        <f>IFERROR(ROUND(VLOOKUP(A373,institutions!A:X,13,0),2),"")</f>
        <v>2.39</v>
      </c>
      <c r="H373" s="31">
        <f>IFERROR(ROUND(VLOOKUP(A373,institutions!A:X,16,0),2),"")</f>
        <v>2.2999999999999998</v>
      </c>
      <c r="I373" s="31">
        <f t="shared" si="30"/>
        <v>0.41799999999999998</v>
      </c>
      <c r="J373" s="31">
        <f t="shared" si="31"/>
        <v>0.22800000000000001</v>
      </c>
      <c r="K373" s="31">
        <f t="shared" si="32"/>
        <v>0.26800000000000002</v>
      </c>
      <c r="L373" s="31">
        <f t="shared" si="33"/>
        <v>0.63700000000000001</v>
      </c>
      <c r="M373" s="31">
        <f t="shared" si="34"/>
        <v>0.46300000000000002</v>
      </c>
      <c r="N373" t="e">
        <f>VLOOKUP(A373,#REF!,11,0)</f>
        <v>#REF!</v>
      </c>
      <c r="O373" t="e">
        <f>VLOOKUP(A373,#REF!,12,0)</f>
        <v>#REF!</v>
      </c>
      <c r="P373" t="e">
        <f>VLOOKUP(A373,#REF!,13,0)</f>
        <v>#REF!</v>
      </c>
      <c r="Q373" t="e">
        <f>VLOOKUP(A373,#REF!,14,0)</f>
        <v>#REF!</v>
      </c>
      <c r="R373">
        <v>-0.66901098645019808</v>
      </c>
      <c r="S373">
        <v>-1.09571133339208</v>
      </c>
      <c r="T373" s="31" t="str">
        <f>VLOOKUP(C373,V:W,2,0)</f>
        <v>AUS</v>
      </c>
      <c r="U373" t="str">
        <f t="shared" si="35"/>
        <v/>
      </c>
    </row>
    <row r="374" spans="1:21" x14ac:dyDescent="0.25">
      <c r="A374" s="31" t="s">
        <v>1067</v>
      </c>
      <c r="B374" s="31" t="s">
        <v>1628</v>
      </c>
      <c r="C374" s="31" t="s">
        <v>1271</v>
      </c>
      <c r="D374" s="31">
        <f>IFERROR(ROUND(VLOOKUP(A374,institutions!A:E,4,0),2),"")</f>
        <v>1.69</v>
      </c>
      <c r="E374" s="31">
        <f>IFERROR(ROUND(VLOOKUP(A374,institutions!A:X,7,0),2),"")</f>
        <v>1.43</v>
      </c>
      <c r="F374" s="31">
        <f>IFERROR(ROUND(VLOOKUP(A374,institutions!A:X,10,0),2),"")</f>
        <v>1.1499999999999999</v>
      </c>
      <c r="G374" s="31">
        <f>IFERROR(ROUND(VLOOKUP(A374,institutions!A:X,13,0),2),"")</f>
        <v>2.65</v>
      </c>
      <c r="H374" s="31">
        <f>IFERROR(ROUND(VLOOKUP(A374,institutions!A:X,16,0),2),"")</f>
        <v>4.3099999999999996</v>
      </c>
      <c r="I374" s="31">
        <f t="shared" si="30"/>
        <v>0.35499999999999998</v>
      </c>
      <c r="J374" s="31">
        <f t="shared" si="31"/>
        <v>0.442</v>
      </c>
      <c r="K374" s="31">
        <f t="shared" si="32"/>
        <v>0.17</v>
      </c>
      <c r="L374" s="31">
        <f t="shared" si="33"/>
        <v>0.73</v>
      </c>
      <c r="M374" s="31">
        <f t="shared" si="34"/>
        <v>0.89700000000000002</v>
      </c>
      <c r="N374" t="e">
        <f>VLOOKUP(A374,#REF!,11,0)</f>
        <v>#REF!</v>
      </c>
      <c r="O374" t="e">
        <f>VLOOKUP(A374,#REF!,12,0)</f>
        <v>#REF!</v>
      </c>
      <c r="P374" t="e">
        <f>VLOOKUP(A374,#REF!,13,0)</f>
        <v>#REF!</v>
      </c>
      <c r="Q374" t="e">
        <f>VLOOKUP(A374,#REF!,14,0)</f>
        <v>#REF!</v>
      </c>
      <c r="R374">
        <v>0.45569043906409989</v>
      </c>
      <c r="S374">
        <v>-1.624658812834411</v>
      </c>
      <c r="T374" s="31" t="str">
        <f>VLOOKUP(C374,V:W,2,0)</f>
        <v>DEU</v>
      </c>
      <c r="U374" t="str">
        <f t="shared" si="35"/>
        <v>Gottingen</v>
      </c>
    </row>
    <row r="375" spans="1:21" x14ac:dyDescent="0.25">
      <c r="A375" s="31" t="s">
        <v>902</v>
      </c>
      <c r="B375" s="31" t="s">
        <v>2031</v>
      </c>
      <c r="C375" s="31" t="s">
        <v>1216</v>
      </c>
      <c r="D375" s="31">
        <f>IFERROR(ROUND(VLOOKUP(A375,institutions!A:E,4,0),2),"")</f>
        <v>1.73</v>
      </c>
      <c r="E375" s="31">
        <f>IFERROR(ROUND(VLOOKUP(A375,institutions!A:X,7,0),2),"")</f>
        <v>1.04</v>
      </c>
      <c r="F375" s="31">
        <f>IFERROR(ROUND(VLOOKUP(A375,institutions!A:X,10,0),2),"")</f>
        <v>1.21</v>
      </c>
      <c r="G375" s="31">
        <f>IFERROR(ROUND(VLOOKUP(A375,institutions!A:X,13,0),2),"")</f>
        <v>1.97</v>
      </c>
      <c r="H375" s="31">
        <f>IFERROR(ROUND(VLOOKUP(A375,institutions!A:X,16,0),2),"")</f>
        <v>2.7</v>
      </c>
      <c r="I375" s="31">
        <f t="shared" si="30"/>
        <v>0.39500000000000002</v>
      </c>
      <c r="J375" s="31">
        <f t="shared" si="31"/>
        <v>2.3E-2</v>
      </c>
      <c r="K375" s="31">
        <f t="shared" si="32"/>
        <v>0.245</v>
      </c>
      <c r="L375" s="31">
        <f t="shared" si="33"/>
        <v>0.46</v>
      </c>
      <c r="M375" s="31">
        <f t="shared" si="34"/>
        <v>0.61</v>
      </c>
      <c r="N375" t="e">
        <f>VLOOKUP(A375,#REF!,11,0)</f>
        <v>#REF!</v>
      </c>
      <c r="O375" t="e">
        <f>VLOOKUP(A375,#REF!,12,0)</f>
        <v>#REF!</v>
      </c>
      <c r="P375" t="e">
        <f>VLOOKUP(A375,#REF!,13,0)</f>
        <v>#REF!</v>
      </c>
      <c r="Q375" t="e">
        <f>VLOOKUP(A375,#REF!,14,0)</f>
        <v>#REF!</v>
      </c>
      <c r="R375">
        <v>-1.086749087087481</v>
      </c>
      <c r="S375">
        <v>-1.5051822868331559</v>
      </c>
      <c r="T375" s="31" t="str">
        <f>VLOOKUP(C375,V:W,2,0)</f>
        <v>UK</v>
      </c>
      <c r="U375" t="str">
        <f t="shared" si="35"/>
        <v/>
      </c>
    </row>
    <row r="376" spans="1:21" x14ac:dyDescent="0.25">
      <c r="A376" s="31" t="s">
        <v>1124</v>
      </c>
      <c r="B376" s="31" t="s">
        <v>1954</v>
      </c>
      <c r="C376" s="31" t="s">
        <v>1271</v>
      </c>
      <c r="D376" s="31">
        <f>IFERROR(ROUND(VLOOKUP(A376,institutions!A:E,4,0),2),"")</f>
        <v>1.7</v>
      </c>
      <c r="E376" s="31">
        <f>IFERROR(ROUND(VLOOKUP(A376,institutions!A:X,7,0),2),"")</f>
        <v>1.67</v>
      </c>
      <c r="F376" s="31" t="str">
        <f>IFERROR(ROUND(VLOOKUP(A376,institutions!A:X,10,0),2),"")</f>
        <v/>
      </c>
      <c r="G376" s="31" t="str">
        <f>IFERROR(ROUND(VLOOKUP(A376,institutions!A:X,13,0),2),"")</f>
        <v/>
      </c>
      <c r="H376" s="31" t="str">
        <f>IFERROR(ROUND(VLOOKUP(A376,institutions!A:X,16,0),2),"")</f>
        <v/>
      </c>
      <c r="I376" s="31">
        <f t="shared" si="30"/>
        <v>0.36799999999999999</v>
      </c>
      <c r="J376" s="31">
        <f t="shared" si="31"/>
        <v>0.61499999999999999</v>
      </c>
      <c r="K376" s="31">
        <f t="shared" si="32"/>
        <v>0</v>
      </c>
      <c r="L376" s="31">
        <f t="shared" si="33"/>
        <v>0</v>
      </c>
      <c r="M376" s="31">
        <f t="shared" si="34"/>
        <v>0</v>
      </c>
      <c r="N376" t="e">
        <f>VLOOKUP(A376,#REF!,11,0)</f>
        <v>#REF!</v>
      </c>
      <c r="O376" t="e">
        <f>VLOOKUP(A376,#REF!,12,0)</f>
        <v>#REF!</v>
      </c>
      <c r="P376" t="e">
        <f>VLOOKUP(A376,#REF!,13,0)</f>
        <v>#REF!</v>
      </c>
      <c r="Q376" t="e">
        <f>VLOOKUP(A376,#REF!,14,0)</f>
        <v>#REF!</v>
      </c>
      <c r="R376">
        <v>-2.480745560444543</v>
      </c>
      <c r="S376">
        <v>1.136376413882245</v>
      </c>
      <c r="T376" s="31" t="str">
        <f>VLOOKUP(C376,V:W,2,0)</f>
        <v>DEU</v>
      </c>
      <c r="U376" t="str">
        <f t="shared" si="35"/>
        <v>Heidelberg</v>
      </c>
    </row>
    <row r="377" spans="1:21" x14ac:dyDescent="0.25">
      <c r="A377" s="31" t="s">
        <v>856</v>
      </c>
      <c r="B377" s="31" t="s">
        <v>1797</v>
      </c>
      <c r="C377" s="31" t="s">
        <v>1245</v>
      </c>
      <c r="D377" s="31">
        <f>IFERROR(ROUND(VLOOKUP(A377,institutions!A:E,4,0),2),"")</f>
        <v>1.72</v>
      </c>
      <c r="E377" s="31">
        <f>IFERROR(ROUND(VLOOKUP(A377,institutions!A:X,7,0),2),"")</f>
        <v>1.71</v>
      </c>
      <c r="F377" s="31">
        <f>IFERROR(ROUND(VLOOKUP(A377,institutions!A:X,10,0),2),"")</f>
        <v>1.3</v>
      </c>
      <c r="G377" s="31" t="str">
        <f>IFERROR(ROUND(VLOOKUP(A377,institutions!A:X,13,0),2),"")</f>
        <v/>
      </c>
      <c r="H377" s="31" t="str">
        <f>IFERROR(ROUND(VLOOKUP(A377,institutions!A:X,16,0),2),"")</f>
        <v/>
      </c>
      <c r="I377" s="31">
        <f t="shared" si="30"/>
        <v>0.38300000000000001</v>
      </c>
      <c r="J377" s="31">
        <f t="shared" si="31"/>
        <v>0.64300000000000002</v>
      </c>
      <c r="K377" s="31">
        <f t="shared" si="32"/>
        <v>0.34699999999999998</v>
      </c>
      <c r="L377" s="31">
        <f t="shared" si="33"/>
        <v>0</v>
      </c>
      <c r="M377" s="31">
        <f t="shared" si="34"/>
        <v>0</v>
      </c>
      <c r="N377" t="e">
        <f>VLOOKUP(A377,#REF!,11,0)</f>
        <v>#REF!</v>
      </c>
      <c r="O377" t="e">
        <f>VLOOKUP(A377,#REF!,12,0)</f>
        <v>#REF!</v>
      </c>
      <c r="P377" t="e">
        <f>VLOOKUP(A377,#REF!,13,0)</f>
        <v>#REF!</v>
      </c>
      <c r="Q377" t="e">
        <f>VLOOKUP(A377,#REF!,14,0)</f>
        <v>#REF!</v>
      </c>
      <c r="R377">
        <v>-1.8431166825115171</v>
      </c>
      <c r="S377">
        <v>1.701090146819763</v>
      </c>
      <c r="T377" s="31" t="str">
        <f>VLOOKUP(C377,V:W,2,0)</f>
        <v>RUS</v>
      </c>
      <c r="U377" t="str">
        <f t="shared" si="35"/>
        <v/>
      </c>
    </row>
    <row r="378" spans="1:21" x14ac:dyDescent="0.25">
      <c r="A378" s="31" t="s">
        <v>949</v>
      </c>
      <c r="B378" s="31" t="s">
        <v>1969</v>
      </c>
      <c r="C378" s="31" t="s">
        <v>1221</v>
      </c>
      <c r="D378" s="31">
        <f>IFERROR(ROUND(VLOOKUP(A378,institutions!A:E,4,0),2),"")</f>
        <v>1.69</v>
      </c>
      <c r="E378" s="31">
        <f>IFERROR(ROUND(VLOOKUP(A378,institutions!A:X,7,0),2),"")</f>
        <v>1.39</v>
      </c>
      <c r="F378" s="31">
        <f>IFERROR(ROUND(VLOOKUP(A378,institutions!A:X,10,0),2),"")</f>
        <v>1.33</v>
      </c>
      <c r="G378" s="31">
        <f>IFERROR(ROUND(VLOOKUP(A378,institutions!A:X,13,0),2),"")</f>
        <v>2.44</v>
      </c>
      <c r="H378" s="31">
        <f>IFERROR(ROUND(VLOOKUP(A378,institutions!A:X,16,0),2),"")</f>
        <v>1.9</v>
      </c>
      <c r="I378" s="31">
        <f t="shared" si="30"/>
        <v>0.35499999999999998</v>
      </c>
      <c r="J378" s="31">
        <f t="shared" si="31"/>
        <v>0.39200000000000002</v>
      </c>
      <c r="K378" s="31">
        <f t="shared" si="32"/>
        <v>0.38200000000000001</v>
      </c>
      <c r="L378" s="31">
        <f t="shared" si="33"/>
        <v>0.65800000000000003</v>
      </c>
      <c r="M378" s="31">
        <f t="shared" si="34"/>
        <v>0.28999999999999998</v>
      </c>
      <c r="N378" t="e">
        <f>VLOOKUP(A378,#REF!,11,0)</f>
        <v>#REF!</v>
      </c>
      <c r="O378" t="e">
        <f>VLOOKUP(A378,#REF!,12,0)</f>
        <v>#REF!</v>
      </c>
      <c r="P378" t="e">
        <f>VLOOKUP(A378,#REF!,13,0)</f>
        <v>#REF!</v>
      </c>
      <c r="Q378" t="e">
        <f>VLOOKUP(A378,#REF!,14,0)</f>
        <v>#REF!</v>
      </c>
      <c r="R378">
        <v>-0.48678923737662488</v>
      </c>
      <c r="S378">
        <v>-0.34022349705166838</v>
      </c>
      <c r="T378" s="31" t="str">
        <f>VLOOKUP(C378,V:W,2,0)</f>
        <v>NOR</v>
      </c>
      <c r="U378" t="str">
        <f t="shared" si="35"/>
        <v/>
      </c>
    </row>
    <row r="379" spans="1:21" x14ac:dyDescent="0.25">
      <c r="A379" s="31" t="s">
        <v>931</v>
      </c>
      <c r="B379" s="31" t="s">
        <v>1610</v>
      </c>
      <c r="C379" s="31" t="s">
        <v>1237</v>
      </c>
      <c r="D379" s="31">
        <f>IFERROR(ROUND(VLOOKUP(A379,institutions!A:E,4,0),2),"")</f>
        <v>1.76</v>
      </c>
      <c r="E379" s="31">
        <f>IFERROR(ROUND(VLOOKUP(A379,institutions!A:X,7,0),2),"")</f>
        <v>1.26</v>
      </c>
      <c r="F379" s="31">
        <f>IFERROR(ROUND(VLOOKUP(A379,institutions!A:X,10,0),2),"")</f>
        <v>1.21</v>
      </c>
      <c r="G379" s="31">
        <f>IFERROR(ROUND(VLOOKUP(A379,institutions!A:X,13,0),2),"")</f>
        <v>1.78</v>
      </c>
      <c r="H379" s="31">
        <f>IFERROR(ROUND(VLOOKUP(A379,institutions!A:X,16,0),2),"")</f>
        <v>2.5299999999999998</v>
      </c>
      <c r="I379" s="31">
        <f t="shared" si="30"/>
        <v>0.41199999999999998</v>
      </c>
      <c r="J379" s="31">
        <f t="shared" si="31"/>
        <v>0.22800000000000001</v>
      </c>
      <c r="K379" s="31">
        <f t="shared" si="32"/>
        <v>0.245</v>
      </c>
      <c r="L379" s="31">
        <f t="shared" si="33"/>
        <v>0.35799999999999998</v>
      </c>
      <c r="M379" s="31">
        <f t="shared" si="34"/>
        <v>0.55800000000000005</v>
      </c>
      <c r="N379" t="e">
        <f>VLOOKUP(A379,#REF!,11,0)</f>
        <v>#REF!</v>
      </c>
      <c r="O379" t="e">
        <f>VLOOKUP(A379,#REF!,12,0)</f>
        <v>#REF!</v>
      </c>
      <c r="P379" t="e">
        <f>VLOOKUP(A379,#REF!,13,0)</f>
        <v>#REF!</v>
      </c>
      <c r="Q379" t="e">
        <f>VLOOKUP(A379,#REF!,14,0)</f>
        <v>#REF!</v>
      </c>
      <c r="R379">
        <v>-1.034715427375231</v>
      </c>
      <c r="S379">
        <v>-0.81501353861156289</v>
      </c>
      <c r="T379" s="31" t="str">
        <f>VLOOKUP(C379,V:W,2,0)</f>
        <v>AUS</v>
      </c>
      <c r="U379" t="str">
        <f t="shared" si="35"/>
        <v/>
      </c>
    </row>
    <row r="380" spans="1:21" x14ac:dyDescent="0.25">
      <c r="A380" s="31" t="s">
        <v>915</v>
      </c>
      <c r="B380" s="31" t="s">
        <v>1620</v>
      </c>
      <c r="C380" s="31" t="s">
        <v>1236</v>
      </c>
      <c r="D380" s="31">
        <f>IFERROR(ROUND(VLOOKUP(A380,institutions!A:E,4,0),2),"")</f>
        <v>1.71</v>
      </c>
      <c r="E380" s="31">
        <f>IFERROR(ROUND(VLOOKUP(A380,institutions!A:X,7,0),2),"")</f>
        <v>1.28</v>
      </c>
      <c r="F380" s="31">
        <f>IFERROR(ROUND(VLOOKUP(A380,institutions!A:X,10,0),2),"")</f>
        <v>1.43</v>
      </c>
      <c r="G380" s="31">
        <f>IFERROR(ROUND(VLOOKUP(A380,institutions!A:X,13,0),2),"")</f>
        <v>1.96</v>
      </c>
      <c r="H380" s="31">
        <f>IFERROR(ROUND(VLOOKUP(A380,institutions!A:X,16,0),2),"")</f>
        <v>2.63</v>
      </c>
      <c r="I380" s="31">
        <f t="shared" si="30"/>
        <v>0.375</v>
      </c>
      <c r="J380" s="31">
        <f t="shared" si="31"/>
        <v>0.253</v>
      </c>
      <c r="K380" s="31">
        <f t="shared" si="32"/>
        <v>0.47299999999999998</v>
      </c>
      <c r="L380" s="31">
        <f t="shared" si="33"/>
        <v>0.45</v>
      </c>
      <c r="M380" s="31">
        <f t="shared" si="34"/>
        <v>0.59</v>
      </c>
      <c r="N380" t="e">
        <f>VLOOKUP(A380,#REF!,11,0)</f>
        <v>#REF!</v>
      </c>
      <c r="O380" t="e">
        <f>VLOOKUP(A380,#REF!,12,0)</f>
        <v>#REF!</v>
      </c>
      <c r="P380" t="e">
        <f>VLOOKUP(A380,#REF!,13,0)</f>
        <v>#REF!</v>
      </c>
      <c r="Q380" t="e">
        <f>VLOOKUP(A380,#REF!,14,0)</f>
        <v>#REF!</v>
      </c>
      <c r="R380">
        <v>-0.38319885473712811</v>
      </c>
      <c r="S380">
        <v>-0.63390121949922962</v>
      </c>
      <c r="T380" s="31" t="str">
        <f>VLOOKUP(C380,V:W,2,0)</f>
        <v>NZE</v>
      </c>
      <c r="U380" t="str">
        <f t="shared" si="35"/>
        <v/>
      </c>
    </row>
    <row r="381" spans="1:21" x14ac:dyDescent="0.25">
      <c r="A381" s="31" t="s">
        <v>1115</v>
      </c>
      <c r="B381" s="31" t="s">
        <v>1608</v>
      </c>
      <c r="C381" s="31" t="s">
        <v>1222</v>
      </c>
      <c r="D381" s="31">
        <f>IFERROR(ROUND(VLOOKUP(A381,institutions!A:E,4,0),2),"")</f>
        <v>1.64</v>
      </c>
      <c r="E381" s="31">
        <f>IFERROR(ROUND(VLOOKUP(A381,institutions!A:X,7,0),2),"")</f>
        <v>1.63</v>
      </c>
      <c r="F381" s="31" t="str">
        <f>IFERROR(ROUND(VLOOKUP(A381,institutions!A:X,10,0),2),"")</f>
        <v/>
      </c>
      <c r="G381" s="31">
        <f>IFERROR(ROUND(VLOOKUP(A381,institutions!A:X,13,0),2),"")</f>
        <v>1.84</v>
      </c>
      <c r="H381" s="31">
        <f>IFERROR(ROUND(VLOOKUP(A381,institutions!A:X,16,0),2),"")</f>
        <v>1.88</v>
      </c>
      <c r="I381" s="31">
        <f t="shared" si="30"/>
        <v>0.32500000000000001</v>
      </c>
      <c r="J381" s="31">
        <f t="shared" si="31"/>
        <v>0.58699999999999997</v>
      </c>
      <c r="K381" s="31">
        <f t="shared" si="32"/>
        <v>0</v>
      </c>
      <c r="L381" s="31">
        <f t="shared" si="33"/>
        <v>0.38300000000000001</v>
      </c>
      <c r="M381" s="31">
        <f t="shared" si="34"/>
        <v>0.27800000000000002</v>
      </c>
      <c r="N381" t="e">
        <f>VLOOKUP(A381,#REF!,11,0)</f>
        <v>#REF!</v>
      </c>
      <c r="O381" t="e">
        <f>VLOOKUP(A381,#REF!,12,0)</f>
        <v>#REF!</v>
      </c>
      <c r="P381" t="e">
        <f>VLOOKUP(A381,#REF!,13,0)</f>
        <v>#REF!</v>
      </c>
      <c r="Q381" t="e">
        <f>VLOOKUP(A381,#REF!,14,0)</f>
        <v>#REF!</v>
      </c>
      <c r="R381">
        <v>-1.3399217190103541</v>
      </c>
      <c r="S381">
        <v>-2.4678685346758728E-3</v>
      </c>
      <c r="T381" s="31" t="str">
        <f>VLOOKUP(C381,V:W,2,0)</f>
        <v>ITA</v>
      </c>
      <c r="U381" t="str">
        <f t="shared" si="35"/>
        <v/>
      </c>
    </row>
    <row r="382" spans="1:21" x14ac:dyDescent="0.25">
      <c r="A382" s="31" t="s">
        <v>953</v>
      </c>
      <c r="B382" s="31" t="s">
        <v>1625</v>
      </c>
      <c r="C382" s="31" t="s">
        <v>1220</v>
      </c>
      <c r="D382" s="31">
        <f>IFERROR(ROUND(VLOOKUP(A382,institutions!A:E,4,0),2),"")</f>
        <v>1.76</v>
      </c>
      <c r="E382" s="31">
        <f>IFERROR(ROUND(VLOOKUP(A382,institutions!A:X,7,0),2),"")</f>
        <v>1.31</v>
      </c>
      <c r="F382" s="31">
        <f>IFERROR(ROUND(VLOOKUP(A382,institutions!A:X,10,0),2),"")</f>
        <v>1.1399999999999999</v>
      </c>
      <c r="G382" s="31">
        <f>IFERROR(ROUND(VLOOKUP(A382,institutions!A:X,13,0),2),"")</f>
        <v>2.19</v>
      </c>
      <c r="H382" s="31">
        <f>IFERROR(ROUND(VLOOKUP(A382,institutions!A:X,16,0),2),"")</f>
        <v>2.57</v>
      </c>
      <c r="I382" s="31">
        <f t="shared" si="30"/>
        <v>0.41199999999999998</v>
      </c>
      <c r="J382" s="31">
        <f t="shared" si="31"/>
        <v>0.29799999999999999</v>
      </c>
      <c r="K382" s="31">
        <f t="shared" si="32"/>
        <v>0.157</v>
      </c>
      <c r="L382" s="31">
        <f t="shared" si="33"/>
        <v>0.54800000000000004</v>
      </c>
      <c r="M382" s="31">
        <f t="shared" si="34"/>
        <v>0.56999999999999995</v>
      </c>
      <c r="N382" t="e">
        <f>VLOOKUP(A382,#REF!,11,0)</f>
        <v>#REF!</v>
      </c>
      <c r="O382" t="e">
        <f>VLOOKUP(A382,#REF!,12,0)</f>
        <v>#REF!</v>
      </c>
      <c r="P382" t="e">
        <f>VLOOKUP(A382,#REF!,13,0)</f>
        <v>#REF!</v>
      </c>
      <c r="Q382" t="e">
        <f>VLOOKUP(A382,#REF!,14,0)</f>
        <v>#REF!</v>
      </c>
      <c r="R382">
        <v>-0.71227283097452387</v>
      </c>
      <c r="S382">
        <v>-1.1291820362656739</v>
      </c>
      <c r="T382" s="31" t="str">
        <f>VLOOKUP(C382,V:W,2,0)</f>
        <v>SPAIN</v>
      </c>
      <c r="U382" t="str">
        <f t="shared" si="35"/>
        <v>Salamanca</v>
      </c>
    </row>
    <row r="383" spans="1:21" x14ac:dyDescent="0.25">
      <c r="A383" s="31" t="s">
        <v>917</v>
      </c>
      <c r="B383" s="31" t="s">
        <v>2062</v>
      </c>
      <c r="C383" s="31" t="s">
        <v>1236</v>
      </c>
      <c r="D383" s="31">
        <f>IFERROR(ROUND(VLOOKUP(A383,institutions!A:E,4,0),2),"")</f>
        <v>1.77</v>
      </c>
      <c r="E383" s="31">
        <f>IFERROR(ROUND(VLOOKUP(A383,institutions!A:X,7,0),2),"")</f>
        <v>1.35</v>
      </c>
      <c r="F383" s="31">
        <f>IFERROR(ROUND(VLOOKUP(A383,institutions!A:X,10,0),2),"")</f>
        <v>1.27</v>
      </c>
      <c r="G383" s="31">
        <f>IFERROR(ROUND(VLOOKUP(A383,institutions!A:X,13,0),2),"")</f>
        <v>2.44</v>
      </c>
      <c r="H383" s="31">
        <f>IFERROR(ROUND(VLOOKUP(A383,institutions!A:X,16,0),2),"")</f>
        <v>1.96</v>
      </c>
      <c r="I383" s="31">
        <f t="shared" si="30"/>
        <v>0.41799999999999998</v>
      </c>
      <c r="J383" s="31">
        <f t="shared" si="31"/>
        <v>0.34799999999999998</v>
      </c>
      <c r="K383" s="31">
        <f t="shared" si="32"/>
        <v>0.318</v>
      </c>
      <c r="L383" s="31">
        <f t="shared" si="33"/>
        <v>0.65800000000000003</v>
      </c>
      <c r="M383" s="31">
        <f t="shared" si="34"/>
        <v>0.308</v>
      </c>
      <c r="N383" t="e">
        <f>VLOOKUP(A383,#REF!,11,0)</f>
        <v>#REF!</v>
      </c>
      <c r="O383" t="e">
        <f>VLOOKUP(A383,#REF!,12,0)</f>
        <v>#REF!</v>
      </c>
      <c r="P383" t="e">
        <f>VLOOKUP(A383,#REF!,13,0)</f>
        <v>#REF!</v>
      </c>
      <c r="Q383" t="e">
        <f>VLOOKUP(A383,#REF!,14,0)</f>
        <v>#REF!</v>
      </c>
      <c r="R383">
        <v>-0.63402219456973419</v>
      </c>
      <c r="S383">
        <v>-0.55585615766049123</v>
      </c>
      <c r="T383" s="31" t="str">
        <f>VLOOKUP(C383,V:W,2,0)</f>
        <v>NZE</v>
      </c>
      <c r="U383" t="str">
        <f t="shared" si="35"/>
        <v/>
      </c>
    </row>
    <row r="384" spans="1:21" x14ac:dyDescent="0.25">
      <c r="A384" s="31" t="s">
        <v>958</v>
      </c>
      <c r="B384" s="31" t="s">
        <v>1769</v>
      </c>
      <c r="C384" s="31" t="s">
        <v>1241</v>
      </c>
      <c r="D384" s="31">
        <f>IFERROR(ROUND(VLOOKUP(A384,institutions!A:E,4,0),2),"")</f>
        <v>1.76</v>
      </c>
      <c r="E384" s="31">
        <f>IFERROR(ROUND(VLOOKUP(A384,institutions!A:X,7,0),2),"")</f>
        <v>1.39</v>
      </c>
      <c r="F384" s="31">
        <f>IFERROR(ROUND(VLOOKUP(A384,institutions!A:X,10,0),2),"")</f>
        <v>1.1599999999999999</v>
      </c>
      <c r="G384" s="31">
        <f>IFERROR(ROUND(VLOOKUP(A384,institutions!A:X,13,0),2),"")</f>
        <v>2.2599999999999998</v>
      </c>
      <c r="H384" s="31">
        <f>IFERROR(ROUND(VLOOKUP(A384,institutions!A:X,16,0),2),"")</f>
        <v>2.42</v>
      </c>
      <c r="I384" s="31">
        <f t="shared" si="30"/>
        <v>0.41199999999999998</v>
      </c>
      <c r="J384" s="31">
        <f t="shared" si="31"/>
        <v>0.39200000000000002</v>
      </c>
      <c r="K384" s="31">
        <f t="shared" si="32"/>
        <v>0.187</v>
      </c>
      <c r="L384" s="31">
        <f t="shared" si="33"/>
        <v>0.58499999999999996</v>
      </c>
      <c r="M384" s="31">
        <f t="shared" si="34"/>
        <v>0.50800000000000001</v>
      </c>
      <c r="N384" t="e">
        <f>VLOOKUP(A384,#REF!,11,0)</f>
        <v>#REF!</v>
      </c>
      <c r="O384" t="e">
        <f>VLOOKUP(A384,#REF!,12,0)</f>
        <v>#REF!</v>
      </c>
      <c r="P384" t="e">
        <f>VLOOKUP(A384,#REF!,13,0)</f>
        <v>#REF!</v>
      </c>
      <c r="Q384" t="e">
        <f>VLOOKUP(A384,#REF!,14,0)</f>
        <v>#REF!</v>
      </c>
      <c r="R384">
        <v>-0.55654853568776685</v>
      </c>
      <c r="S384">
        <v>-0.8481130356112504</v>
      </c>
      <c r="T384" s="31" t="str">
        <f>VLOOKUP(C384,V:W,2,0)</f>
        <v>UK</v>
      </c>
      <c r="U384" t="str">
        <f t="shared" si="35"/>
        <v/>
      </c>
    </row>
    <row r="385" spans="1:21" x14ac:dyDescent="0.25">
      <c r="A385" s="31" t="s">
        <v>1013</v>
      </c>
      <c r="B385" s="31" t="s">
        <v>1805</v>
      </c>
      <c r="C385" s="31" t="s">
        <v>1230</v>
      </c>
      <c r="D385" s="31">
        <f>IFERROR(ROUND(VLOOKUP(A385,institutions!A:E,4,0),2),"")</f>
        <v>1.7</v>
      </c>
      <c r="E385" s="31">
        <f>IFERROR(ROUND(VLOOKUP(A385,institutions!A:X,7,0),2),"")</f>
        <v>1.71</v>
      </c>
      <c r="F385" s="31">
        <f>IFERROR(ROUND(VLOOKUP(A385,institutions!A:X,10,0),2),"")</f>
        <v>1.29</v>
      </c>
      <c r="G385" s="31">
        <f>IFERROR(ROUND(VLOOKUP(A385,institutions!A:X,13,0),2),"")</f>
        <v>1.57</v>
      </c>
      <c r="H385" s="31">
        <f>IFERROR(ROUND(VLOOKUP(A385,institutions!A:X,16,0),2),"")</f>
        <v>1.66</v>
      </c>
      <c r="I385" s="31">
        <f t="shared" si="30"/>
        <v>0.36799999999999999</v>
      </c>
      <c r="J385" s="31">
        <f t="shared" si="31"/>
        <v>0.64300000000000002</v>
      </c>
      <c r="K385" s="31">
        <f t="shared" si="32"/>
        <v>0.33800000000000002</v>
      </c>
      <c r="L385" s="31">
        <f t="shared" si="33"/>
        <v>0.23</v>
      </c>
      <c r="M385" s="31">
        <f t="shared" si="34"/>
        <v>0.16300000000000001</v>
      </c>
      <c r="N385">
        <v>1</v>
      </c>
      <c r="O385" t="e">
        <f>VLOOKUP(A385,#REF!,12,0)</f>
        <v>#REF!</v>
      </c>
      <c r="P385" t="e">
        <f>VLOOKUP(A385,#REF!,13,0)</f>
        <v>#REF!</v>
      </c>
      <c r="Q385" t="e">
        <f>VLOOKUP(A385,#REF!,14,0)</f>
        <v>#REF!</v>
      </c>
      <c r="R385">
        <v>-1.153624389488243</v>
      </c>
      <c r="S385">
        <v>1.046255552650923</v>
      </c>
      <c r="T385" s="31" t="str">
        <f>VLOOKUP(C385,V:W,2,0)</f>
        <v>CHN</v>
      </c>
      <c r="U385" t="str">
        <f t="shared" si="35"/>
        <v/>
      </c>
    </row>
    <row r="386" spans="1:21" x14ac:dyDescent="0.25">
      <c r="A386" s="31" t="s">
        <v>920</v>
      </c>
      <c r="B386" s="31" t="s">
        <v>1772</v>
      </c>
      <c r="C386" s="31" t="s">
        <v>1216</v>
      </c>
      <c r="D386" s="31">
        <f>IFERROR(ROUND(VLOOKUP(A386,institutions!A:E,4,0),2),"")</f>
        <v>1.72</v>
      </c>
      <c r="E386" s="31">
        <f>IFERROR(ROUND(VLOOKUP(A386,institutions!A:X,7,0),2),"")</f>
        <v>1.25</v>
      </c>
      <c r="F386" s="31">
        <f>IFERROR(ROUND(VLOOKUP(A386,institutions!A:X,10,0),2),"")</f>
        <v>1.25</v>
      </c>
      <c r="G386" s="31">
        <f>IFERROR(ROUND(VLOOKUP(A386,institutions!A:X,13,0),2),"")</f>
        <v>1.87</v>
      </c>
      <c r="H386" s="31">
        <f>IFERROR(ROUND(VLOOKUP(A386,institutions!A:X,16,0),2),"")</f>
        <v>2.35</v>
      </c>
      <c r="I386" s="31">
        <f t="shared" si="30"/>
        <v>0.38300000000000001</v>
      </c>
      <c r="J386" s="31">
        <f t="shared" si="31"/>
        <v>0.21</v>
      </c>
      <c r="K386" s="31">
        <f t="shared" si="32"/>
        <v>0.29699999999999999</v>
      </c>
      <c r="L386" s="31">
        <f t="shared" si="33"/>
        <v>0.40699999999999997</v>
      </c>
      <c r="M386" s="31">
        <f t="shared" si="34"/>
        <v>0.48799999999999999</v>
      </c>
      <c r="N386" t="e">
        <f>VLOOKUP(A386,#REF!,11,0)</f>
        <v>#REF!</v>
      </c>
      <c r="O386" t="e">
        <f>VLOOKUP(A386,#REF!,12,0)</f>
        <v>#REF!</v>
      </c>
      <c r="P386" t="e">
        <f>VLOOKUP(A386,#REF!,13,0)</f>
        <v>#REF!</v>
      </c>
      <c r="Q386" t="e">
        <f>VLOOKUP(A386,#REF!,14,0)</f>
        <v>#REF!</v>
      </c>
      <c r="R386">
        <v>-1.013629874061436</v>
      </c>
      <c r="S386">
        <v>-0.74839688609643118</v>
      </c>
      <c r="T386" s="31" t="str">
        <f>VLOOKUP(C386,V:W,2,0)</f>
        <v>UK</v>
      </c>
      <c r="U386" t="str">
        <f t="shared" si="35"/>
        <v/>
      </c>
    </row>
    <row r="387" spans="1:21" x14ac:dyDescent="0.25">
      <c r="A387" s="31" t="s">
        <v>890</v>
      </c>
      <c r="B387" s="31" t="s">
        <v>1773</v>
      </c>
      <c r="C387" s="31" t="s">
        <v>1222</v>
      </c>
      <c r="D387" s="31">
        <f>IFERROR(ROUND(VLOOKUP(A387,institutions!A:E,4,0),2),"")</f>
        <v>1.72</v>
      </c>
      <c r="E387" s="31">
        <f>IFERROR(ROUND(VLOOKUP(A387,institutions!A:X,7,0),2),"")</f>
        <v>1.34</v>
      </c>
      <c r="F387" s="31">
        <f>IFERROR(ROUND(VLOOKUP(A387,institutions!A:X,10,0),2),"")</f>
        <v>1.06</v>
      </c>
      <c r="G387" s="31">
        <f>IFERROR(ROUND(VLOOKUP(A387,institutions!A:X,13,0),2),"")</f>
        <v>1.97</v>
      </c>
      <c r="H387" s="31">
        <f>IFERROR(ROUND(VLOOKUP(A387,institutions!A:X,16,0),2),"")</f>
        <v>2.38</v>
      </c>
      <c r="I387" s="31">
        <f t="shared" si="30"/>
        <v>0.38300000000000001</v>
      </c>
      <c r="J387" s="31">
        <f t="shared" si="31"/>
        <v>0.34200000000000003</v>
      </c>
      <c r="K387" s="31">
        <f t="shared" si="32"/>
        <v>0.09</v>
      </c>
      <c r="L387" s="31">
        <f t="shared" si="33"/>
        <v>0.46</v>
      </c>
      <c r="M387" s="31">
        <f t="shared" si="34"/>
        <v>0.498</v>
      </c>
      <c r="N387" t="e">
        <f>VLOOKUP(A387,#REF!,11,0)</f>
        <v>#REF!</v>
      </c>
      <c r="O387" t="e">
        <f>VLOOKUP(A387,#REF!,12,0)</f>
        <v>#REF!</v>
      </c>
      <c r="P387" t="e">
        <f>VLOOKUP(A387,#REF!,13,0)</f>
        <v>#REF!</v>
      </c>
      <c r="Q387" t="e">
        <f>VLOOKUP(A387,#REF!,14,0)</f>
        <v>#REF!</v>
      </c>
      <c r="R387">
        <v>-1.043428241708537</v>
      </c>
      <c r="S387">
        <v>-0.87190224041016906</v>
      </c>
      <c r="T387" s="31" t="str">
        <f>VLOOKUP(C387,V:W,2,0)</f>
        <v>ITA</v>
      </c>
      <c r="U387" t="str">
        <f t="shared" si="35"/>
        <v/>
      </c>
    </row>
    <row r="388" spans="1:21" x14ac:dyDescent="0.25">
      <c r="A388" s="31" t="s">
        <v>946</v>
      </c>
      <c r="B388" s="31" t="s">
        <v>1955</v>
      </c>
      <c r="C388" s="31" t="s">
        <v>1237</v>
      </c>
      <c r="D388" s="31">
        <f>IFERROR(ROUND(VLOOKUP(A388,institutions!A:E,4,0),2),"")</f>
        <v>1.74</v>
      </c>
      <c r="E388" s="31">
        <f>IFERROR(ROUND(VLOOKUP(A388,institutions!A:X,7,0),2),"")</f>
        <v>1.54</v>
      </c>
      <c r="F388" s="31">
        <f>IFERROR(ROUND(VLOOKUP(A388,institutions!A:X,10,0),2),"")</f>
        <v>1.51</v>
      </c>
      <c r="G388" s="31">
        <f>IFERROR(ROUND(VLOOKUP(A388,institutions!A:X,13,0),2),"")</f>
        <v>2.2200000000000002</v>
      </c>
      <c r="H388" s="31">
        <f>IFERROR(ROUND(VLOOKUP(A388,institutions!A:X,16,0),2),"")</f>
        <v>1.97</v>
      </c>
      <c r="I388" s="31">
        <f t="shared" ref="I388:I451" si="36">ROUND(IFERROR((601-_xlfn.RANK.EQ(D388,D:D))/600,0),3)</f>
        <v>0.40200000000000002</v>
      </c>
      <c r="J388" s="31">
        <f t="shared" ref="J388:J451" si="37">ROUND(IFERROR((601-IFERROR(_xlfn.RANK.EQ(E388,E:E),""))/600,0),3)</f>
        <v>0.53300000000000003</v>
      </c>
      <c r="K388" s="31">
        <f t="shared" ref="K388:K451" si="38">ROUND(IFERROR((601-IFERROR(_xlfn.RANK.EQ(F388,F:F),""))/600,0),3)</f>
        <v>0.53300000000000003</v>
      </c>
      <c r="L388" s="31">
        <f t="shared" ref="L388:L451" si="39">ROUND(IFERROR((601-IFERROR(_xlfn.RANK.EQ(G388,G:G),""))/600,0),3)</f>
        <v>0.55800000000000005</v>
      </c>
      <c r="M388" s="31">
        <f t="shared" ref="M388:M451" si="40">ROUND(IFERROR((601-IFERROR(_xlfn.RANK.EQ(H388,H:H),""))/600,0),3)</f>
        <v>0.317</v>
      </c>
      <c r="N388" t="e">
        <f>VLOOKUP(A388,#REF!,11,0)</f>
        <v>#REF!</v>
      </c>
      <c r="O388" t="e">
        <f>VLOOKUP(A388,#REF!,12,0)</f>
        <v>#REF!</v>
      </c>
      <c r="P388" t="e">
        <f>VLOOKUP(A388,#REF!,13,0)</f>
        <v>#REF!</v>
      </c>
      <c r="Q388" t="e">
        <f>VLOOKUP(A388,#REF!,14,0)</f>
        <v>#REF!</v>
      </c>
      <c r="R388">
        <v>-0.1329445025081526</v>
      </c>
      <c r="S388">
        <v>0.30437033382495898</v>
      </c>
      <c r="T388" s="31" t="str">
        <f>VLOOKUP(C388,V:W,2,0)</f>
        <v>AUS</v>
      </c>
      <c r="U388" t="str">
        <f t="shared" ref="U388:U451" si="41">IF(T388=T$1,B388,IF(T388=T$2,B388,IF(T388=U$1,B388,"")))</f>
        <v/>
      </c>
    </row>
    <row r="389" spans="1:21" x14ac:dyDescent="0.25">
      <c r="A389" s="31" t="s">
        <v>1065</v>
      </c>
      <c r="B389" s="31" t="s">
        <v>1979</v>
      </c>
      <c r="C389" s="31" t="s">
        <v>1231</v>
      </c>
      <c r="D389" s="31">
        <f>IFERROR(ROUND(VLOOKUP(A389,institutions!A:E,4,0),2),"")</f>
        <v>1.65</v>
      </c>
      <c r="E389" s="31">
        <f>IFERROR(ROUND(VLOOKUP(A389,institutions!A:X,7,0),2),"")</f>
        <v>1.65</v>
      </c>
      <c r="F389" s="31">
        <f>IFERROR(ROUND(VLOOKUP(A389,institutions!A:X,10,0),2),"")</f>
        <v>1.33</v>
      </c>
      <c r="G389" s="31">
        <f>IFERROR(ROUND(VLOOKUP(A389,institutions!A:X,13,0),2),"")</f>
        <v>1.66</v>
      </c>
      <c r="H389" s="31">
        <f>IFERROR(ROUND(VLOOKUP(A389,institutions!A:X,16,0),2),"")</f>
        <v>1.86</v>
      </c>
      <c r="I389" s="31">
        <f t="shared" si="36"/>
        <v>0.33200000000000002</v>
      </c>
      <c r="J389" s="31">
        <f t="shared" si="37"/>
        <v>0.60799999999999998</v>
      </c>
      <c r="K389" s="31">
        <f t="shared" si="38"/>
        <v>0.38200000000000001</v>
      </c>
      <c r="L389" s="31">
        <f t="shared" si="39"/>
        <v>0.27200000000000002</v>
      </c>
      <c r="M389" s="31">
        <f t="shared" si="40"/>
        <v>0.26700000000000002</v>
      </c>
      <c r="N389" t="e">
        <f>VLOOKUP(A389,#REF!,11,0)</f>
        <v>#REF!</v>
      </c>
      <c r="O389" t="e">
        <f>VLOOKUP(A389,#REF!,12,0)</f>
        <v>#REF!</v>
      </c>
      <c r="P389" t="e">
        <f>VLOOKUP(A389,#REF!,13,0)</f>
        <v>#REF!</v>
      </c>
      <c r="Q389" t="e">
        <f>VLOOKUP(A389,#REF!,14,0)</f>
        <v>#REF!</v>
      </c>
      <c r="R389">
        <v>-0.87167791679599482</v>
      </c>
      <c r="S389">
        <v>0.80061239372936921</v>
      </c>
      <c r="T389" s="31" t="str">
        <f>VLOOKUP(C389,V:W,2,0)</f>
        <v>PRT</v>
      </c>
      <c r="U389" t="str">
        <f t="shared" si="41"/>
        <v/>
      </c>
    </row>
    <row r="390" spans="1:21" x14ac:dyDescent="0.25">
      <c r="A390" s="31" t="s">
        <v>1020</v>
      </c>
      <c r="B390" s="31" t="s">
        <v>1961</v>
      </c>
      <c r="C390" s="31" t="s">
        <v>1222</v>
      </c>
      <c r="D390" s="31">
        <f>IFERROR(ROUND(VLOOKUP(A390,institutions!A:E,4,0),2),"")</f>
        <v>1.67</v>
      </c>
      <c r="E390" s="31">
        <f>IFERROR(ROUND(VLOOKUP(A390,institutions!A:X,7,0),2),"")</f>
        <v>1.47</v>
      </c>
      <c r="F390" s="31">
        <f>IFERROR(ROUND(VLOOKUP(A390,institutions!A:X,10,0),2),"")</f>
        <v>1.26</v>
      </c>
      <c r="G390" s="31">
        <f>IFERROR(ROUND(VLOOKUP(A390,institutions!A:X,13,0),2),"")</f>
        <v>1.87</v>
      </c>
      <c r="H390" s="31">
        <f>IFERROR(ROUND(VLOOKUP(A390,institutions!A:X,16,0),2),"")</f>
        <v>4.43</v>
      </c>
      <c r="I390" s="31">
        <f t="shared" si="36"/>
        <v>0.34499999999999997</v>
      </c>
      <c r="J390" s="31">
        <f t="shared" si="37"/>
        <v>0.47799999999999998</v>
      </c>
      <c r="K390" s="31">
        <f t="shared" si="38"/>
        <v>0.312</v>
      </c>
      <c r="L390" s="31">
        <f t="shared" si="39"/>
        <v>0.40699999999999997</v>
      </c>
      <c r="M390" s="31">
        <f t="shared" si="40"/>
        <v>0.90800000000000003</v>
      </c>
      <c r="N390" t="e">
        <f>VLOOKUP(A390,#REF!,11,0)</f>
        <v>#REF!</v>
      </c>
      <c r="O390" t="e">
        <f>VLOOKUP(A390,#REF!,12,0)</f>
        <v>#REF!</v>
      </c>
      <c r="P390" t="e">
        <f>VLOOKUP(A390,#REF!,13,0)</f>
        <v>#REF!</v>
      </c>
      <c r="Q390" t="e">
        <f>VLOOKUP(A390,#REF!,14,0)</f>
        <v>#REF!</v>
      </c>
      <c r="R390">
        <v>0.19925200338126431</v>
      </c>
      <c r="S390">
        <v>-0.82045389586071205</v>
      </c>
      <c r="T390" s="31" t="str">
        <f>VLOOKUP(C390,V:W,2,0)</f>
        <v>ITA</v>
      </c>
      <c r="U390" t="str">
        <f t="shared" si="41"/>
        <v/>
      </c>
    </row>
    <row r="391" spans="1:21" x14ac:dyDescent="0.25">
      <c r="A391" s="31" t="s">
        <v>1054</v>
      </c>
      <c r="B391" s="31" t="s">
        <v>1617</v>
      </c>
      <c r="C391" s="31" t="s">
        <v>1216</v>
      </c>
      <c r="D391" s="31">
        <f>IFERROR(ROUND(VLOOKUP(A391,institutions!A:E,4,0),2),"")</f>
        <v>1.68</v>
      </c>
      <c r="E391" s="31">
        <f>IFERROR(ROUND(VLOOKUP(A391,institutions!A:X,7,0),2),"")</f>
        <v>1.65</v>
      </c>
      <c r="F391" s="31">
        <f>IFERROR(ROUND(VLOOKUP(A391,institutions!A:X,10,0),2),"")</f>
        <v>1.21</v>
      </c>
      <c r="G391" s="31">
        <f>IFERROR(ROUND(VLOOKUP(A391,institutions!A:X,13,0),2),"")</f>
        <v>1.63</v>
      </c>
      <c r="H391" s="31">
        <f>IFERROR(ROUND(VLOOKUP(A391,institutions!A:X,16,0),2),"")</f>
        <v>3.38</v>
      </c>
      <c r="I391" s="31">
        <f t="shared" si="36"/>
        <v>0.35</v>
      </c>
      <c r="J391" s="31">
        <f t="shared" si="37"/>
        <v>0.60799999999999998</v>
      </c>
      <c r="K391" s="31">
        <f t="shared" si="38"/>
        <v>0.245</v>
      </c>
      <c r="L391" s="31">
        <f t="shared" si="39"/>
        <v>0.26200000000000001</v>
      </c>
      <c r="M391" s="31">
        <f t="shared" si="40"/>
        <v>0.76700000000000002</v>
      </c>
      <c r="N391" t="e">
        <f>VLOOKUP(A391,#REF!,11,0)</f>
        <v>#REF!</v>
      </c>
      <c r="O391" t="e">
        <f>VLOOKUP(A391,#REF!,12,0)</f>
        <v>#REF!</v>
      </c>
      <c r="P391" t="e">
        <f>VLOOKUP(A391,#REF!,13,0)</f>
        <v>#REF!</v>
      </c>
      <c r="Q391" t="e">
        <f>VLOOKUP(A391,#REF!,14,0)</f>
        <v>#REF!</v>
      </c>
      <c r="R391">
        <v>-0.22064737285645061</v>
      </c>
      <c r="S391">
        <v>-0.17512440668646209</v>
      </c>
      <c r="T391" s="31" t="str">
        <f>VLOOKUP(C391,V:W,2,0)</f>
        <v>UK</v>
      </c>
      <c r="U391" t="str">
        <f t="shared" si="41"/>
        <v/>
      </c>
    </row>
    <row r="392" spans="1:21" x14ac:dyDescent="0.25">
      <c r="A392" s="31" t="s">
        <v>987</v>
      </c>
      <c r="B392" s="31" t="s">
        <v>1629</v>
      </c>
      <c r="C392" s="31" t="s">
        <v>1216</v>
      </c>
      <c r="D392" s="31">
        <f>IFERROR(ROUND(VLOOKUP(A392,institutions!A:E,4,0),2),"")</f>
        <v>1.67</v>
      </c>
      <c r="E392" s="31">
        <f>IFERROR(ROUND(VLOOKUP(A392,institutions!A:X,7,0),2),"")</f>
        <v>1.51</v>
      </c>
      <c r="F392" s="31">
        <f>IFERROR(ROUND(VLOOKUP(A392,institutions!A:X,10,0),2),"")</f>
        <v>1.26</v>
      </c>
      <c r="G392" s="31">
        <f>IFERROR(ROUND(VLOOKUP(A392,institutions!A:X,13,0),2),"")</f>
        <v>2.16</v>
      </c>
      <c r="H392" s="31">
        <f>IFERROR(ROUND(VLOOKUP(A392,institutions!A:X,16,0),2),"")</f>
        <v>2.27</v>
      </c>
      <c r="I392" s="31">
        <f t="shared" si="36"/>
        <v>0.34499999999999997</v>
      </c>
      <c r="J392" s="31">
        <f t="shared" si="37"/>
        <v>0.50800000000000001</v>
      </c>
      <c r="K392" s="31">
        <f t="shared" si="38"/>
        <v>0.312</v>
      </c>
      <c r="L392" s="31">
        <f t="shared" si="39"/>
        <v>0.53500000000000003</v>
      </c>
      <c r="M392" s="31">
        <f t="shared" si="40"/>
        <v>0.45800000000000002</v>
      </c>
      <c r="N392">
        <v>1</v>
      </c>
      <c r="O392" t="e">
        <f>VLOOKUP(A392,#REF!,12,0)</f>
        <v>#REF!</v>
      </c>
      <c r="P392" t="e">
        <f>VLOOKUP(A392,#REF!,13,0)</f>
        <v>#REF!</v>
      </c>
      <c r="Q392" t="e">
        <f>VLOOKUP(A392,#REF!,14,0)</f>
        <v>#REF!</v>
      </c>
      <c r="R392">
        <v>-0.33693285139246132</v>
      </c>
      <c r="S392">
        <v>-0.25591220262003778</v>
      </c>
      <c r="T392" s="31" t="str">
        <f>VLOOKUP(C392,V:W,2,0)</f>
        <v>UK</v>
      </c>
      <c r="U392" t="str">
        <f t="shared" si="41"/>
        <v/>
      </c>
    </row>
    <row r="393" spans="1:21" x14ac:dyDescent="0.25">
      <c r="A393" s="31" t="s">
        <v>1117</v>
      </c>
      <c r="B393" s="31" t="s">
        <v>1627</v>
      </c>
      <c r="C393" s="31" t="s">
        <v>1224</v>
      </c>
      <c r="D393" s="31">
        <f>IFERROR(ROUND(VLOOKUP(A393,institutions!A:E,4,0),2),"")</f>
        <v>1.67</v>
      </c>
      <c r="E393" s="31">
        <f>IFERROR(ROUND(VLOOKUP(A393,institutions!A:X,7,0),2),"")</f>
        <v>1.39</v>
      </c>
      <c r="F393" s="31">
        <f>IFERROR(ROUND(VLOOKUP(A393,institutions!A:X,10,0),2),"")</f>
        <v>2.29</v>
      </c>
      <c r="G393" s="31">
        <f>IFERROR(ROUND(VLOOKUP(A393,institutions!A:X,13,0),2),"")</f>
        <v>1.47</v>
      </c>
      <c r="H393" s="31">
        <f>IFERROR(ROUND(VLOOKUP(A393,institutions!A:X,16,0),2),"")</f>
        <v>1.79</v>
      </c>
      <c r="I393" s="31">
        <f t="shared" si="36"/>
        <v>0.34499999999999997</v>
      </c>
      <c r="J393" s="31">
        <f t="shared" si="37"/>
        <v>0.39200000000000002</v>
      </c>
      <c r="K393" s="31">
        <f t="shared" si="38"/>
        <v>0.8</v>
      </c>
      <c r="L393" s="31">
        <f t="shared" si="39"/>
        <v>0.183</v>
      </c>
      <c r="M393" s="31">
        <f t="shared" si="40"/>
        <v>0.23</v>
      </c>
      <c r="N393" t="e">
        <f>VLOOKUP(A393,#REF!,11,0)</f>
        <v>#REF!</v>
      </c>
      <c r="O393" t="e">
        <f>VLOOKUP(A393,#REF!,12,0)</f>
        <v>#REF!</v>
      </c>
      <c r="P393" t="e">
        <f>VLOOKUP(A393,#REF!,13,0)</f>
        <v>#REF!</v>
      </c>
      <c r="Q393" t="e">
        <f>VLOOKUP(A393,#REF!,14,0)</f>
        <v>#REF!</v>
      </c>
      <c r="R393">
        <v>-0.72880700460252146</v>
      </c>
      <c r="S393">
        <v>1.1545805662909481</v>
      </c>
      <c r="T393" s="31" t="str">
        <f>VLOOKUP(C393,V:W,2,0)</f>
        <v>CAN</v>
      </c>
      <c r="U393" t="str">
        <f t="shared" si="41"/>
        <v/>
      </c>
    </row>
    <row r="394" spans="1:21" x14ac:dyDescent="0.25">
      <c r="A394" s="31" t="s">
        <v>918</v>
      </c>
      <c r="B394" s="31" t="s">
        <v>1791</v>
      </c>
      <c r="C394" s="31" t="s">
        <v>1230</v>
      </c>
      <c r="D394" s="31">
        <f>IFERROR(ROUND(VLOOKUP(A394,institutions!A:E,4,0),2),"")</f>
        <v>1.7</v>
      </c>
      <c r="E394" s="31">
        <f>IFERROR(ROUND(VLOOKUP(A394,institutions!A:X,7,0),2),"")</f>
        <v>1.55</v>
      </c>
      <c r="F394" s="31">
        <f>IFERROR(ROUND(VLOOKUP(A394,institutions!A:X,10,0),2),"")</f>
        <v>1.25</v>
      </c>
      <c r="G394" s="31">
        <f>IFERROR(ROUND(VLOOKUP(A394,institutions!A:X,13,0),2),"")</f>
        <v>1.93</v>
      </c>
      <c r="H394" s="31">
        <f>IFERROR(ROUND(VLOOKUP(A394,institutions!A:X,16,0),2),"")</f>
        <v>2.11</v>
      </c>
      <c r="I394" s="31">
        <f t="shared" si="36"/>
        <v>0.36799999999999999</v>
      </c>
      <c r="J394" s="31">
        <f t="shared" si="37"/>
        <v>0.54300000000000004</v>
      </c>
      <c r="K394" s="31">
        <f t="shared" si="38"/>
        <v>0.29699999999999999</v>
      </c>
      <c r="L394" s="31">
        <f t="shared" si="39"/>
        <v>0.433</v>
      </c>
      <c r="M394" s="31">
        <f t="shared" si="40"/>
        <v>0.377</v>
      </c>
      <c r="N394" t="e">
        <f>VLOOKUP(A394,#REF!,11,0)</f>
        <v>#REF!</v>
      </c>
      <c r="O394" t="e">
        <f>VLOOKUP(A394,#REF!,12,0)</f>
        <v>#REF!</v>
      </c>
      <c r="P394" t="e">
        <f>VLOOKUP(A394,#REF!,13,0)</f>
        <v>#REF!</v>
      </c>
      <c r="Q394" t="e">
        <f>VLOOKUP(A394,#REF!,14,0)</f>
        <v>#REF!</v>
      </c>
      <c r="R394">
        <v>-0.63488930783105291</v>
      </c>
      <c r="S394">
        <v>9.54155363629616E-2</v>
      </c>
      <c r="T394" s="31" t="str">
        <f>VLOOKUP(C394,V:W,2,0)</f>
        <v>CHN</v>
      </c>
      <c r="U394" t="str">
        <f t="shared" si="41"/>
        <v/>
      </c>
    </row>
    <row r="395" spans="1:21" x14ac:dyDescent="0.25">
      <c r="A395" s="31" t="s">
        <v>937</v>
      </c>
      <c r="B395" s="31" t="s">
        <v>1634</v>
      </c>
      <c r="C395" s="31" t="s">
        <v>1237</v>
      </c>
      <c r="D395" s="31">
        <f>IFERROR(ROUND(VLOOKUP(A395,institutions!A:E,4,0),2),"")</f>
        <v>1.7</v>
      </c>
      <c r="E395" s="31">
        <f>IFERROR(ROUND(VLOOKUP(A395,institutions!A:X,7,0),2),"")</f>
        <v>1.49</v>
      </c>
      <c r="F395" s="31">
        <f>IFERROR(ROUND(VLOOKUP(A395,institutions!A:X,10,0),2),"")</f>
        <v>1.49</v>
      </c>
      <c r="G395" s="31">
        <f>IFERROR(ROUND(VLOOKUP(A395,institutions!A:X,13,0),2),"")</f>
        <v>1.91</v>
      </c>
      <c r="H395" s="31">
        <f>IFERROR(ROUND(VLOOKUP(A395,institutions!A:X,16,0),2),"")</f>
        <v>2.02</v>
      </c>
      <c r="I395" s="31">
        <f t="shared" si="36"/>
        <v>0.36799999999999999</v>
      </c>
      <c r="J395" s="31">
        <f t="shared" si="37"/>
        <v>0.49</v>
      </c>
      <c r="K395" s="31">
        <f t="shared" si="38"/>
        <v>0.51800000000000002</v>
      </c>
      <c r="L395" s="31">
        <f t="shared" si="39"/>
        <v>0.42299999999999999</v>
      </c>
      <c r="M395" s="31">
        <f t="shared" si="40"/>
        <v>0.32700000000000001</v>
      </c>
      <c r="N395" t="e">
        <f>VLOOKUP(A395,#REF!,11,0)</f>
        <v>#REF!</v>
      </c>
      <c r="O395" t="e">
        <f>VLOOKUP(A395,#REF!,12,0)</f>
        <v>#REF!</v>
      </c>
      <c r="P395" t="e">
        <f>VLOOKUP(A395,#REF!,13,0)</f>
        <v>#REF!</v>
      </c>
      <c r="Q395" t="e">
        <f>VLOOKUP(A395,#REF!,14,0)</f>
        <v>#REF!</v>
      </c>
      <c r="R395">
        <v>-0.45026298641714158</v>
      </c>
      <c r="S395">
        <v>0.39978696783160378</v>
      </c>
      <c r="T395" s="31" t="str">
        <f>VLOOKUP(C395,V:W,2,0)</f>
        <v>AUS</v>
      </c>
      <c r="U395" t="str">
        <f t="shared" si="41"/>
        <v/>
      </c>
    </row>
    <row r="396" spans="1:21" x14ac:dyDescent="0.25">
      <c r="A396" s="31" t="s">
        <v>968</v>
      </c>
      <c r="B396" s="31" t="s">
        <v>2039</v>
      </c>
      <c r="C396" s="31" t="s">
        <v>1230</v>
      </c>
      <c r="D396" s="31">
        <f>IFERROR(ROUND(VLOOKUP(A396,institutions!A:E,4,0),2),"")</f>
        <v>1.72</v>
      </c>
      <c r="E396" s="31">
        <f>IFERROR(ROUND(VLOOKUP(A396,institutions!A:X,7,0),2),"")</f>
        <v>1.08</v>
      </c>
      <c r="F396" s="31">
        <f>IFERROR(ROUND(VLOOKUP(A396,institutions!A:X,10,0),2),"")</f>
        <v>1.27</v>
      </c>
      <c r="G396" s="31">
        <f>IFERROR(ROUND(VLOOKUP(A396,institutions!A:X,13,0),2),"")</f>
        <v>2.08</v>
      </c>
      <c r="H396" s="31">
        <f>IFERROR(ROUND(VLOOKUP(A396,institutions!A:X,16,0),2),"")</f>
        <v>2.12</v>
      </c>
      <c r="I396" s="31">
        <f t="shared" si="36"/>
        <v>0.38300000000000001</v>
      </c>
      <c r="J396" s="31">
        <f t="shared" si="37"/>
        <v>0.04</v>
      </c>
      <c r="K396" s="31">
        <f t="shared" si="38"/>
        <v>0.318</v>
      </c>
      <c r="L396" s="31">
        <f t="shared" si="39"/>
        <v>0.502</v>
      </c>
      <c r="M396" s="31">
        <f t="shared" si="40"/>
        <v>0.38200000000000001</v>
      </c>
      <c r="N396" t="e">
        <f>VLOOKUP(A396,#REF!,11,0)</f>
        <v>#REF!</v>
      </c>
      <c r="O396" t="e">
        <f>VLOOKUP(A396,#REF!,12,0)</f>
        <v>#REF!</v>
      </c>
      <c r="P396" t="e">
        <f>VLOOKUP(A396,#REF!,13,0)</f>
        <v>#REF!</v>
      </c>
      <c r="Q396" t="e">
        <f>VLOOKUP(A396,#REF!,14,0)</f>
        <v>#REF!</v>
      </c>
      <c r="R396">
        <v>-1.271609105583003</v>
      </c>
      <c r="S396">
        <v>-1.071004902956519</v>
      </c>
      <c r="T396" s="31" t="str">
        <f>VLOOKUP(C396,V:W,2,0)</f>
        <v>CHN</v>
      </c>
      <c r="U396" t="str">
        <f t="shared" si="41"/>
        <v/>
      </c>
    </row>
    <row r="397" spans="1:21" x14ac:dyDescent="0.25">
      <c r="A397" s="31" t="s">
        <v>969</v>
      </c>
      <c r="B397" s="31" t="s">
        <v>1968</v>
      </c>
      <c r="C397" s="31" t="s">
        <v>1230</v>
      </c>
      <c r="D397" s="31">
        <f>IFERROR(ROUND(VLOOKUP(A397,institutions!A:E,4,0),2),"")</f>
        <v>1.64</v>
      </c>
      <c r="E397" s="31">
        <f>IFERROR(ROUND(VLOOKUP(A397,institutions!A:X,7,0),2),"")</f>
        <v>1.41</v>
      </c>
      <c r="F397" s="31">
        <f>IFERROR(ROUND(VLOOKUP(A397,institutions!A:X,10,0),2),"")</f>
        <v>1.47</v>
      </c>
      <c r="G397" s="31">
        <f>IFERROR(ROUND(VLOOKUP(A397,institutions!A:X,13,0),2),"")</f>
        <v>1.54</v>
      </c>
      <c r="H397" s="31">
        <f>IFERROR(ROUND(VLOOKUP(A397,institutions!A:X,16,0),2),"")</f>
        <v>2.09</v>
      </c>
      <c r="I397" s="31">
        <f t="shared" si="36"/>
        <v>0.32500000000000001</v>
      </c>
      <c r="J397" s="31">
        <f t="shared" si="37"/>
        <v>0.42199999999999999</v>
      </c>
      <c r="K397" s="31">
        <f t="shared" si="38"/>
        <v>0.498</v>
      </c>
      <c r="L397" s="31">
        <f t="shared" si="39"/>
        <v>0.21</v>
      </c>
      <c r="M397" s="31">
        <f t="shared" si="40"/>
        <v>0.372</v>
      </c>
      <c r="N397" t="e">
        <f>VLOOKUP(A397,#REF!,11,0)</f>
        <v>#REF!</v>
      </c>
      <c r="O397" t="e">
        <f>VLOOKUP(A397,#REF!,12,0)</f>
        <v>#REF!</v>
      </c>
      <c r="P397" t="e">
        <f>VLOOKUP(A397,#REF!,13,0)</f>
        <v>#REF!</v>
      </c>
      <c r="Q397" t="e">
        <f>VLOOKUP(A397,#REF!,14,0)</f>
        <v>#REF!</v>
      </c>
      <c r="R397">
        <v>-0.89213405446947125</v>
      </c>
      <c r="S397">
        <v>0.5089872264413573</v>
      </c>
      <c r="T397" s="31" t="str">
        <f>VLOOKUP(C397,V:W,2,0)</f>
        <v>CHN</v>
      </c>
      <c r="U397" t="str">
        <f t="shared" si="41"/>
        <v/>
      </c>
    </row>
    <row r="398" spans="1:21" x14ac:dyDescent="0.25">
      <c r="A398" s="31" t="s">
        <v>896</v>
      </c>
      <c r="B398" s="31" t="s">
        <v>1621</v>
      </c>
      <c r="C398" s="31" t="s">
        <v>1216</v>
      </c>
      <c r="D398" s="31">
        <f>IFERROR(ROUND(VLOOKUP(A398,institutions!A:E,4,0),2),"")</f>
        <v>1.72</v>
      </c>
      <c r="E398" s="31">
        <f>IFERROR(ROUND(VLOOKUP(A398,institutions!A:X,7,0),2),"")</f>
        <v>1.21</v>
      </c>
      <c r="F398" s="31">
        <f>IFERROR(ROUND(VLOOKUP(A398,institutions!A:X,10,0),2),"")</f>
        <v>1.1200000000000001</v>
      </c>
      <c r="G398" s="31">
        <f>IFERROR(ROUND(VLOOKUP(A398,institutions!A:X,13,0),2),"")</f>
        <v>1.97</v>
      </c>
      <c r="H398" s="31">
        <f>IFERROR(ROUND(VLOOKUP(A398,institutions!A:X,16,0),2),"")</f>
        <v>3.46</v>
      </c>
      <c r="I398" s="31">
        <f t="shared" si="36"/>
        <v>0.38300000000000001</v>
      </c>
      <c r="J398" s="31">
        <f t="shared" si="37"/>
        <v>0.16500000000000001</v>
      </c>
      <c r="K398" s="31">
        <f t="shared" si="38"/>
        <v>0.13500000000000001</v>
      </c>
      <c r="L398" s="31">
        <f t="shared" si="39"/>
        <v>0.46</v>
      </c>
      <c r="M398" s="31">
        <f t="shared" si="40"/>
        <v>0.78200000000000003</v>
      </c>
      <c r="N398" t="e">
        <f>VLOOKUP(A398,#REF!,11,0)</f>
        <v>#REF!</v>
      </c>
      <c r="O398" t="e">
        <f>VLOOKUP(A398,#REF!,12,0)</f>
        <v>#REF!</v>
      </c>
      <c r="P398" t="e">
        <f>VLOOKUP(A398,#REF!,13,0)</f>
        <v>#REF!</v>
      </c>
      <c r="Q398" t="e">
        <f>VLOOKUP(A398,#REF!,14,0)</f>
        <v>#REF!</v>
      </c>
      <c r="R398">
        <v>-0.73687372579271126</v>
      </c>
      <c r="S398">
        <v>-1.634831891198558</v>
      </c>
      <c r="T398" s="31" t="str">
        <f>VLOOKUP(C398,V:W,2,0)</f>
        <v>UK</v>
      </c>
      <c r="U398" t="str">
        <f t="shared" si="41"/>
        <v/>
      </c>
    </row>
    <row r="399" spans="1:21" x14ac:dyDescent="0.25">
      <c r="A399" s="31" t="s">
        <v>955</v>
      </c>
      <c r="B399" s="31" t="s">
        <v>1793</v>
      </c>
      <c r="C399" s="31" t="s">
        <v>1230</v>
      </c>
      <c r="D399" s="31">
        <f>IFERROR(ROUND(VLOOKUP(A399,institutions!A:E,4,0),2),"")</f>
        <v>1.65</v>
      </c>
      <c r="E399" s="31">
        <f>IFERROR(ROUND(VLOOKUP(A399,institutions!A:X,7,0),2),"")</f>
        <v>1.42</v>
      </c>
      <c r="F399" s="31">
        <f>IFERROR(ROUND(VLOOKUP(A399,institutions!A:X,10,0),2),"")</f>
        <v>1.52</v>
      </c>
      <c r="G399" s="31">
        <f>IFERROR(ROUND(VLOOKUP(A399,institutions!A:X,13,0),2),"")</f>
        <v>1.5</v>
      </c>
      <c r="H399" s="31">
        <f>IFERROR(ROUND(VLOOKUP(A399,institutions!A:X,16,0),2),"")</f>
        <v>1.71</v>
      </c>
      <c r="I399" s="31">
        <f t="shared" si="36"/>
        <v>0.33200000000000002</v>
      </c>
      <c r="J399" s="31">
        <f t="shared" si="37"/>
        <v>0.432</v>
      </c>
      <c r="K399" s="31">
        <f t="shared" si="38"/>
        <v>0.54300000000000004</v>
      </c>
      <c r="L399" s="31">
        <f t="shared" si="39"/>
        <v>0.20200000000000001</v>
      </c>
      <c r="M399" s="31">
        <f t="shared" si="40"/>
        <v>0.19</v>
      </c>
      <c r="N399" t="e">
        <f>VLOOKUP(A399,#REF!,11,0)</f>
        <v>#REF!</v>
      </c>
      <c r="O399" t="e">
        <f>VLOOKUP(A399,#REF!,12,0)</f>
        <v>#REF!</v>
      </c>
      <c r="P399" t="e">
        <f>VLOOKUP(A399,#REF!,13,0)</f>
        <v>#REF!</v>
      </c>
      <c r="Q399" t="e">
        <f>VLOOKUP(A399,#REF!,14,0)</f>
        <v>#REF!</v>
      </c>
      <c r="R399">
        <v>-1.142201716949633</v>
      </c>
      <c r="S399">
        <v>0.89781904197369777</v>
      </c>
      <c r="T399" s="31" t="str">
        <f>VLOOKUP(C399,V:W,2,0)</f>
        <v>CHN</v>
      </c>
      <c r="U399" t="str">
        <f t="shared" si="41"/>
        <v/>
      </c>
    </row>
    <row r="400" spans="1:21" x14ac:dyDescent="0.25">
      <c r="A400" s="31" t="s">
        <v>916</v>
      </c>
      <c r="B400" s="31" t="s">
        <v>1790</v>
      </c>
      <c r="C400" s="31" t="s">
        <v>1248</v>
      </c>
      <c r="D400" s="31">
        <f>IFERROR(ROUND(VLOOKUP(A400,institutions!A:E,4,0),2),"")</f>
        <v>1.68</v>
      </c>
      <c r="E400" s="31">
        <f>IFERROR(ROUND(VLOOKUP(A400,institutions!A:X,7,0),2),"")</f>
        <v>1.54</v>
      </c>
      <c r="F400" s="31">
        <f>IFERROR(ROUND(VLOOKUP(A400,institutions!A:X,10,0),2),"")</f>
        <v>1.42</v>
      </c>
      <c r="G400" s="31">
        <f>IFERROR(ROUND(VLOOKUP(A400,institutions!A:X,13,0),2),"")</f>
        <v>1.72</v>
      </c>
      <c r="H400" s="31">
        <f>IFERROR(ROUND(VLOOKUP(A400,institutions!A:X,16,0),2),"")</f>
        <v>1.81</v>
      </c>
      <c r="I400" s="31">
        <f t="shared" si="36"/>
        <v>0.35</v>
      </c>
      <c r="J400" s="31">
        <f t="shared" si="37"/>
        <v>0.53300000000000003</v>
      </c>
      <c r="K400" s="31">
        <f t="shared" si="38"/>
        <v>0.45800000000000002</v>
      </c>
      <c r="L400" s="31">
        <f t="shared" si="39"/>
        <v>0.308</v>
      </c>
      <c r="M400" s="31">
        <f t="shared" si="40"/>
        <v>0.24199999999999999</v>
      </c>
      <c r="N400" t="e">
        <f>VLOOKUP(A400,#REF!,11,0)</f>
        <v>#REF!</v>
      </c>
      <c r="O400" t="e">
        <f>VLOOKUP(A400,#REF!,12,0)</f>
        <v>#REF!</v>
      </c>
      <c r="P400" t="e">
        <f>VLOOKUP(A400,#REF!,13,0)</f>
        <v>#REF!</v>
      </c>
      <c r="Q400" t="e">
        <f>VLOOKUP(A400,#REF!,14,0)</f>
        <v>#REF!</v>
      </c>
      <c r="R400">
        <v>-0.8427260301381081</v>
      </c>
      <c r="S400">
        <v>0.73072136509326202</v>
      </c>
      <c r="T400" s="31" t="str">
        <f>VLOOKUP(C400,V:W,2,0)</f>
        <v>UAE</v>
      </c>
      <c r="U400" t="str">
        <f t="shared" si="41"/>
        <v/>
      </c>
    </row>
    <row r="401" spans="1:21" x14ac:dyDescent="0.25">
      <c r="A401" s="31" t="s">
        <v>1040</v>
      </c>
      <c r="B401" s="31" t="s">
        <v>1630</v>
      </c>
      <c r="C401" s="31" t="s">
        <v>1237</v>
      </c>
      <c r="D401" s="31">
        <f>IFERROR(ROUND(VLOOKUP(A401,institutions!A:E,4,0),2),"")</f>
        <v>1.63</v>
      </c>
      <c r="E401" s="31">
        <f>IFERROR(ROUND(VLOOKUP(A401,institutions!A:X,7,0),2),"")</f>
        <v>1.53</v>
      </c>
      <c r="F401" s="31">
        <f>IFERROR(ROUND(VLOOKUP(A401,institutions!A:X,10,0),2),"")</f>
        <v>1.55</v>
      </c>
      <c r="G401" s="31">
        <f>IFERROR(ROUND(VLOOKUP(A401,institutions!A:X,13,0),2),"")</f>
        <v>1.85</v>
      </c>
      <c r="H401" s="31">
        <f>IFERROR(ROUND(VLOOKUP(A401,institutions!A:X,16,0),2),"")</f>
        <v>1.6</v>
      </c>
      <c r="I401" s="31">
        <f t="shared" si="36"/>
        <v>0.318</v>
      </c>
      <c r="J401" s="31">
        <f t="shared" si="37"/>
        <v>0.52500000000000002</v>
      </c>
      <c r="K401" s="31">
        <f t="shared" si="38"/>
        <v>0.56000000000000005</v>
      </c>
      <c r="L401" s="31">
        <f t="shared" si="39"/>
        <v>0.39200000000000002</v>
      </c>
      <c r="M401" s="31">
        <f t="shared" si="40"/>
        <v>0.155</v>
      </c>
      <c r="N401" t="e">
        <f>VLOOKUP(A401,#REF!,11,0)</f>
        <v>#REF!</v>
      </c>
      <c r="O401" t="e">
        <f>VLOOKUP(A401,#REF!,12,0)</f>
        <v>#REF!</v>
      </c>
      <c r="P401" t="e">
        <f>VLOOKUP(A401,#REF!,13,0)</f>
        <v>#REF!</v>
      </c>
      <c r="Q401" t="e">
        <f>VLOOKUP(A401,#REF!,14,0)</f>
        <v>#REF!</v>
      </c>
      <c r="R401">
        <v>-0.68844939463425603</v>
      </c>
      <c r="S401">
        <v>0.86009698845724181</v>
      </c>
      <c r="T401" s="31" t="str">
        <f>VLOOKUP(C401,V:W,2,0)</f>
        <v>AUS</v>
      </c>
      <c r="U401" t="str">
        <f t="shared" si="41"/>
        <v/>
      </c>
    </row>
    <row r="402" spans="1:21" x14ac:dyDescent="0.25">
      <c r="A402" s="31" t="s">
        <v>1066</v>
      </c>
      <c r="B402" s="31" t="s">
        <v>2064</v>
      </c>
      <c r="C402" s="31" t="s">
        <v>1271</v>
      </c>
      <c r="D402" s="31">
        <f>IFERROR(ROUND(VLOOKUP(A402,institutions!A:E,4,0),2),"")</f>
        <v>1.65</v>
      </c>
      <c r="E402" s="31">
        <f>IFERROR(ROUND(VLOOKUP(A402,institutions!A:X,7,0),2),"")</f>
        <v>1.55</v>
      </c>
      <c r="F402" s="31">
        <f>IFERROR(ROUND(VLOOKUP(A402,institutions!A:X,10,0),2),"")</f>
        <v>1.32</v>
      </c>
      <c r="G402" s="31">
        <f>IFERROR(ROUND(VLOOKUP(A402,institutions!A:X,13,0),2),"")</f>
        <v>1.76</v>
      </c>
      <c r="H402" s="31">
        <f>IFERROR(ROUND(VLOOKUP(A402,institutions!A:X,16,0),2),"")</f>
        <v>2.09</v>
      </c>
      <c r="I402" s="31">
        <f t="shared" si="36"/>
        <v>0.33200000000000002</v>
      </c>
      <c r="J402" s="31">
        <f t="shared" si="37"/>
        <v>0.54300000000000004</v>
      </c>
      <c r="K402" s="31">
        <f t="shared" si="38"/>
        <v>0.36499999999999999</v>
      </c>
      <c r="L402" s="31">
        <f t="shared" si="39"/>
        <v>0.34200000000000003</v>
      </c>
      <c r="M402" s="31">
        <f t="shared" si="40"/>
        <v>0.372</v>
      </c>
      <c r="N402" t="e">
        <f>VLOOKUP(A402,#REF!,11,0)</f>
        <v>#REF!</v>
      </c>
      <c r="O402" t="e">
        <f>VLOOKUP(A402,#REF!,12,0)</f>
        <v>#REF!</v>
      </c>
      <c r="P402" t="e">
        <f>VLOOKUP(A402,#REF!,13,0)</f>
        <v>#REF!</v>
      </c>
      <c r="Q402" t="e">
        <f>VLOOKUP(A402,#REF!,14,0)</f>
        <v>#REF!</v>
      </c>
      <c r="R402">
        <v>-0.69016415905217188</v>
      </c>
      <c r="S402">
        <v>0.35390950792316</v>
      </c>
      <c r="T402" s="31" t="str">
        <f>VLOOKUP(C402,V:W,2,0)</f>
        <v>DEU</v>
      </c>
      <c r="U402" t="str">
        <f t="shared" si="41"/>
        <v>Erlangen Nur</v>
      </c>
    </row>
    <row r="403" spans="1:21" x14ac:dyDescent="0.25">
      <c r="A403" s="31" t="s">
        <v>1006</v>
      </c>
      <c r="B403" s="31" t="s">
        <v>1623</v>
      </c>
      <c r="C403" s="31" t="s">
        <v>1220</v>
      </c>
      <c r="D403" s="31">
        <f>IFERROR(ROUND(VLOOKUP(A403,institutions!A:E,4,0),2),"")</f>
        <v>1.66</v>
      </c>
      <c r="E403" s="31">
        <f>IFERROR(ROUND(VLOOKUP(A403,institutions!A:X,7,0),2),"")</f>
        <v>1.22</v>
      </c>
      <c r="F403" s="31">
        <f>IFERROR(ROUND(VLOOKUP(A403,institutions!A:X,10,0),2),"")</f>
        <v>1.35</v>
      </c>
      <c r="G403" s="31">
        <f>IFERROR(ROUND(VLOOKUP(A403,institutions!A:X,13,0),2),"")</f>
        <v>2.17</v>
      </c>
      <c r="H403" s="31">
        <f>IFERROR(ROUND(VLOOKUP(A403,institutions!A:X,16,0),2),"")</f>
        <v>2.76</v>
      </c>
      <c r="I403" s="31">
        <f t="shared" si="36"/>
        <v>0.33300000000000002</v>
      </c>
      <c r="J403" s="31">
        <f t="shared" si="37"/>
        <v>0.18</v>
      </c>
      <c r="K403" s="31">
        <f t="shared" si="38"/>
        <v>0.40200000000000002</v>
      </c>
      <c r="L403" s="31">
        <f t="shared" si="39"/>
        <v>0.54</v>
      </c>
      <c r="M403" s="31">
        <f t="shared" si="40"/>
        <v>0.625</v>
      </c>
      <c r="N403" t="e">
        <f>VLOOKUP(A403,#REF!,11,0)</f>
        <v>#REF!</v>
      </c>
      <c r="O403" t="e">
        <f>VLOOKUP(A403,#REF!,12,0)</f>
        <v>#REF!</v>
      </c>
      <c r="P403" t="e">
        <f>VLOOKUP(A403,#REF!,13,0)</f>
        <v>#REF!</v>
      </c>
      <c r="Q403" t="e">
        <f>VLOOKUP(A403,#REF!,14,0)</f>
        <v>#REF!</v>
      </c>
      <c r="R403">
        <v>-0.39745510290916042</v>
      </c>
      <c r="S403">
        <v>-1.098558510744976</v>
      </c>
      <c r="T403" s="31" t="str">
        <f>VLOOKUP(C403,V:W,2,0)</f>
        <v>SPAIN</v>
      </c>
      <c r="U403" t="str">
        <f t="shared" si="41"/>
        <v>Granada</v>
      </c>
    </row>
    <row r="404" spans="1:21" x14ac:dyDescent="0.25">
      <c r="A404" s="31" t="s">
        <v>972</v>
      </c>
      <c r="B404" s="31" t="s">
        <v>1787</v>
      </c>
      <c r="C404" s="31" t="s">
        <v>1230</v>
      </c>
      <c r="D404" s="31">
        <f>IFERROR(ROUND(VLOOKUP(A404,institutions!A:E,4,0),2),"")</f>
        <v>1.67</v>
      </c>
      <c r="E404" s="31">
        <f>IFERROR(ROUND(VLOOKUP(A404,institutions!A:X,7,0),2),"")</f>
        <v>1.47</v>
      </c>
      <c r="F404" s="31">
        <f>IFERROR(ROUND(VLOOKUP(A404,institutions!A:X,10,0),2),"")</f>
        <v>1.33</v>
      </c>
      <c r="G404" s="31">
        <f>IFERROR(ROUND(VLOOKUP(A404,institutions!A:X,13,0),2),"")</f>
        <v>1.98</v>
      </c>
      <c r="H404" s="31">
        <f>IFERROR(ROUND(VLOOKUP(A404,institutions!A:X,16,0),2),"")</f>
        <v>2.19</v>
      </c>
      <c r="I404" s="31">
        <f t="shared" si="36"/>
        <v>0.34499999999999997</v>
      </c>
      <c r="J404" s="31">
        <f t="shared" si="37"/>
        <v>0.47799999999999998</v>
      </c>
      <c r="K404" s="31">
        <f t="shared" si="38"/>
        <v>0.38200000000000001</v>
      </c>
      <c r="L404" s="31">
        <f t="shared" si="39"/>
        <v>0.46500000000000002</v>
      </c>
      <c r="M404" s="31">
        <f t="shared" si="40"/>
        <v>0.41199999999999998</v>
      </c>
      <c r="N404" t="e">
        <f>VLOOKUP(A404,#REF!,11,0)</f>
        <v>#REF!</v>
      </c>
      <c r="O404" t="e">
        <f>VLOOKUP(A404,#REF!,12,0)</f>
        <v>#REF!</v>
      </c>
      <c r="P404" t="e">
        <f>VLOOKUP(A404,#REF!,13,0)</f>
        <v>#REF!</v>
      </c>
      <c r="Q404" t="e">
        <f>VLOOKUP(A404,#REF!,14,0)</f>
        <v>#REF!</v>
      </c>
      <c r="R404">
        <v>-0.47334887451303559</v>
      </c>
      <c r="S404">
        <v>-2.8527174049231149E-2</v>
      </c>
      <c r="T404" s="31" t="str">
        <f>VLOOKUP(C404,V:W,2,0)</f>
        <v>CHN</v>
      </c>
      <c r="U404" t="str">
        <f t="shared" si="41"/>
        <v/>
      </c>
    </row>
    <row r="405" spans="1:21" x14ac:dyDescent="0.25">
      <c r="A405" s="31" t="s">
        <v>967</v>
      </c>
      <c r="B405" s="31" t="s">
        <v>1785</v>
      </c>
      <c r="C405" s="31" t="s">
        <v>1216</v>
      </c>
      <c r="D405" s="31">
        <f>IFERROR(ROUND(VLOOKUP(A405,institutions!A:E,4,0),2),"")</f>
        <v>1.7</v>
      </c>
      <c r="E405" s="31">
        <f>IFERROR(ROUND(VLOOKUP(A405,institutions!A:X,7,0),2),"")</f>
        <v>1.34</v>
      </c>
      <c r="F405" s="31">
        <f>IFERROR(ROUND(VLOOKUP(A405,institutions!A:X,10,0),2),"")</f>
        <v>1.2</v>
      </c>
      <c r="G405" s="31">
        <f>IFERROR(ROUND(VLOOKUP(A405,institutions!A:X,13,0),2),"")</f>
        <v>1.93</v>
      </c>
      <c r="H405" s="31">
        <f>IFERROR(ROUND(VLOOKUP(A405,institutions!A:X,16,0),2),"")</f>
        <v>2.27</v>
      </c>
      <c r="I405" s="31">
        <f t="shared" si="36"/>
        <v>0.36799999999999999</v>
      </c>
      <c r="J405" s="31">
        <f t="shared" si="37"/>
        <v>0.34200000000000003</v>
      </c>
      <c r="K405" s="31">
        <f t="shared" si="38"/>
        <v>0.23</v>
      </c>
      <c r="L405" s="31">
        <f t="shared" si="39"/>
        <v>0.433</v>
      </c>
      <c r="M405" s="31">
        <f t="shared" si="40"/>
        <v>0.45800000000000002</v>
      </c>
      <c r="N405" t="e">
        <f>VLOOKUP(A405,#REF!,11,0)</f>
        <v>#REF!</v>
      </c>
      <c r="O405" t="e">
        <f>VLOOKUP(A405,#REF!,12,0)</f>
        <v>#REF!</v>
      </c>
      <c r="P405" t="e">
        <f>VLOOKUP(A405,#REF!,13,0)</f>
        <v>#REF!</v>
      </c>
      <c r="Q405" t="e">
        <f>VLOOKUP(A405,#REF!,14,0)</f>
        <v>#REF!</v>
      </c>
      <c r="R405">
        <v>-0.92467141469726666</v>
      </c>
      <c r="S405">
        <v>-0.55975788651901004</v>
      </c>
      <c r="T405" s="31" t="str">
        <f>VLOOKUP(C405,V:W,2,0)</f>
        <v>UK</v>
      </c>
      <c r="U405" t="str">
        <f t="shared" si="41"/>
        <v/>
      </c>
    </row>
    <row r="406" spans="1:21" x14ac:dyDescent="0.25">
      <c r="A406" s="31" t="s">
        <v>982</v>
      </c>
      <c r="B406" s="31" t="s">
        <v>1775</v>
      </c>
      <c r="C406" s="31" t="s">
        <v>1217</v>
      </c>
      <c r="D406" s="31">
        <f>IFERROR(ROUND(VLOOKUP(A406,institutions!A:E,4,0),2),"")</f>
        <v>1.7</v>
      </c>
      <c r="E406" s="31">
        <f>IFERROR(ROUND(VLOOKUP(A406,institutions!A:X,7,0),2),"")</f>
        <v>1.45</v>
      </c>
      <c r="F406" s="31">
        <f>IFERROR(ROUND(VLOOKUP(A406,institutions!A:X,10,0),2),"")</f>
        <v>1.54</v>
      </c>
      <c r="G406" s="31">
        <f>IFERROR(ROUND(VLOOKUP(A406,institutions!A:X,13,0),2),"")</f>
        <v>1.89</v>
      </c>
      <c r="H406" s="31">
        <f>IFERROR(ROUND(VLOOKUP(A406,institutions!A:X,16,0),2),"")</f>
        <v>2</v>
      </c>
      <c r="I406" s="31">
        <f t="shared" si="36"/>
        <v>0.36799999999999999</v>
      </c>
      <c r="J406" s="31">
        <f t="shared" si="37"/>
        <v>0.45300000000000001</v>
      </c>
      <c r="K406" s="31">
        <f t="shared" si="38"/>
        <v>0.55700000000000005</v>
      </c>
      <c r="L406" s="31">
        <f t="shared" si="39"/>
        <v>0.41199999999999998</v>
      </c>
      <c r="M406" s="31">
        <f t="shared" si="40"/>
        <v>0.32200000000000001</v>
      </c>
      <c r="N406" t="e">
        <f>VLOOKUP(A406,#REF!,11,0)</f>
        <v>#REF!</v>
      </c>
      <c r="O406" t="e">
        <f>VLOOKUP(A406,#REF!,12,0)</f>
        <v>#REF!</v>
      </c>
      <c r="P406" t="e">
        <f>VLOOKUP(A406,#REF!,13,0)</f>
        <v>#REF!</v>
      </c>
      <c r="Q406" t="e">
        <f>VLOOKUP(A406,#REF!,14,0)</f>
        <v>#REF!</v>
      </c>
      <c r="R406">
        <v>-0.47149470003289218</v>
      </c>
      <c r="S406">
        <v>0.40378569082017929</v>
      </c>
      <c r="T406" s="31" t="str">
        <f>VLOOKUP(C406,V:W,2,0)</f>
        <v>USA</v>
      </c>
      <c r="U406" t="str">
        <f t="shared" si="41"/>
        <v/>
      </c>
    </row>
    <row r="407" spans="1:21" x14ac:dyDescent="0.25">
      <c r="A407" s="31" t="s">
        <v>1086</v>
      </c>
      <c r="B407" s="31" t="s">
        <v>2033</v>
      </c>
      <c r="C407" s="31" t="s">
        <v>1220</v>
      </c>
      <c r="D407" s="31">
        <f>IFERROR(ROUND(VLOOKUP(A407,institutions!A:E,4,0),2),"")</f>
        <v>1.55</v>
      </c>
      <c r="E407" s="31">
        <f>IFERROR(ROUND(VLOOKUP(A407,institutions!A:X,7,0),2),"")</f>
        <v>1.38</v>
      </c>
      <c r="F407" s="31" t="str">
        <f>IFERROR(ROUND(VLOOKUP(A407,institutions!A:X,10,0),2),"")</f>
        <v/>
      </c>
      <c r="G407" s="31">
        <f>IFERROR(ROUND(VLOOKUP(A407,institutions!A:X,13,0),2),"")</f>
        <v>1.62</v>
      </c>
      <c r="H407" s="31">
        <f>IFERROR(ROUND(VLOOKUP(A407,institutions!A:X,16,0),2),"")</f>
        <v>2.0699999999999998</v>
      </c>
      <c r="I407" s="31">
        <f t="shared" si="36"/>
        <v>0.248</v>
      </c>
      <c r="J407" s="31">
        <f t="shared" si="37"/>
        <v>0.372</v>
      </c>
      <c r="K407" s="31">
        <f t="shared" si="38"/>
        <v>0</v>
      </c>
      <c r="L407" s="31">
        <f t="shared" si="39"/>
        <v>0.255</v>
      </c>
      <c r="M407" s="31">
        <f t="shared" si="40"/>
        <v>0.35799999999999998</v>
      </c>
      <c r="N407" t="e">
        <f>VLOOKUP(A407,#REF!,11,0)</f>
        <v>#REF!</v>
      </c>
      <c r="O407" t="e">
        <f>VLOOKUP(A407,#REF!,12,0)</f>
        <v>#REF!</v>
      </c>
      <c r="P407" t="e">
        <f>VLOOKUP(A407,#REF!,13,0)</f>
        <v>#REF!</v>
      </c>
      <c r="Q407" t="e">
        <f>VLOOKUP(A407,#REF!,14,0)</f>
        <v>#REF!</v>
      </c>
      <c r="R407">
        <v>-1.7679018430740969</v>
      </c>
      <c r="S407">
        <v>-0.37519581165513533</v>
      </c>
      <c r="T407" s="31" t="str">
        <f>VLOOKUP(C407,V:W,2,0)</f>
        <v>SPAIN</v>
      </c>
      <c r="U407" t="str">
        <f t="shared" si="41"/>
        <v>Pablo Olavide</v>
      </c>
    </row>
    <row r="408" spans="1:21" x14ac:dyDescent="0.25">
      <c r="A408" s="31" t="s">
        <v>1027</v>
      </c>
      <c r="B408" s="31" t="s">
        <v>1779</v>
      </c>
      <c r="C408" s="31" t="s">
        <v>1217</v>
      </c>
      <c r="D408" s="31">
        <f>IFERROR(ROUND(VLOOKUP(A408,institutions!A:E,4,0),2),"")</f>
        <v>1.67</v>
      </c>
      <c r="E408" s="31">
        <f>IFERROR(ROUND(VLOOKUP(A408,institutions!A:X,7,0),2),"")</f>
        <v>1.43</v>
      </c>
      <c r="F408" s="31">
        <f>IFERROR(ROUND(VLOOKUP(A408,institutions!A:X,10,0),2),"")</f>
        <v>2.11</v>
      </c>
      <c r="G408" s="31">
        <f>IFERROR(ROUND(VLOOKUP(A408,institutions!A:X,13,0),2),"")</f>
        <v>1.59</v>
      </c>
      <c r="H408" s="31">
        <f>IFERROR(ROUND(VLOOKUP(A408,institutions!A:X,16,0),2),"")</f>
        <v>2.16</v>
      </c>
      <c r="I408" s="31">
        <f t="shared" si="36"/>
        <v>0.34499999999999997</v>
      </c>
      <c r="J408" s="31">
        <f t="shared" si="37"/>
        <v>0.442</v>
      </c>
      <c r="K408" s="31">
        <f t="shared" si="38"/>
        <v>0.77300000000000002</v>
      </c>
      <c r="L408" s="31">
        <f t="shared" si="39"/>
        <v>0.23300000000000001</v>
      </c>
      <c r="M408" s="31">
        <f t="shared" si="40"/>
        <v>0.39800000000000002</v>
      </c>
      <c r="N408" t="e">
        <f>VLOOKUP(A408,#REF!,11,0)</f>
        <v>#REF!</v>
      </c>
      <c r="O408" t="e">
        <f>VLOOKUP(A408,#REF!,12,0)</f>
        <v>#REF!</v>
      </c>
      <c r="P408" t="e">
        <f>VLOOKUP(A408,#REF!,13,0)</f>
        <v>#REF!</v>
      </c>
      <c r="Q408" t="e">
        <f>VLOOKUP(A408,#REF!,14,0)</f>
        <v>#REF!</v>
      </c>
      <c r="R408">
        <v>-0.30230902933917148</v>
      </c>
      <c r="S408">
        <v>0.87229107745507295</v>
      </c>
      <c r="T408" s="31" t="str">
        <f>VLOOKUP(C408,V:W,2,0)</f>
        <v>USA</v>
      </c>
      <c r="U408" t="str">
        <f t="shared" si="41"/>
        <v/>
      </c>
    </row>
    <row r="409" spans="1:21" x14ac:dyDescent="0.25">
      <c r="A409" s="31" t="s">
        <v>1098</v>
      </c>
      <c r="B409" s="31" t="s">
        <v>1978</v>
      </c>
      <c r="C409" s="31" t="s">
        <v>1218</v>
      </c>
      <c r="D409" s="31">
        <f>IFERROR(ROUND(VLOOKUP(A409,institutions!A:E,4,0),2),"")</f>
        <v>1.64</v>
      </c>
      <c r="E409" s="31">
        <f>IFERROR(ROUND(VLOOKUP(A409,institutions!A:X,7,0),2),"")</f>
        <v>1.62</v>
      </c>
      <c r="F409" s="31">
        <f>IFERROR(ROUND(VLOOKUP(A409,institutions!A:X,10,0),2),"")</f>
        <v>1.1299999999999999</v>
      </c>
      <c r="G409" s="31" t="str">
        <f>IFERROR(ROUND(VLOOKUP(A409,institutions!A:X,13,0),2),"")</f>
        <v/>
      </c>
      <c r="H409" s="31">
        <f>IFERROR(ROUND(VLOOKUP(A409,institutions!A:X,16,0),2),"")</f>
        <v>1.25</v>
      </c>
      <c r="I409" s="31">
        <f t="shared" si="36"/>
        <v>0.32500000000000001</v>
      </c>
      <c r="J409" s="31">
        <f t="shared" si="37"/>
        <v>0.57999999999999996</v>
      </c>
      <c r="K409" s="31">
        <f t="shared" si="38"/>
        <v>0.14299999999999999</v>
      </c>
      <c r="L409" s="31">
        <f t="shared" si="39"/>
        <v>0</v>
      </c>
      <c r="M409" s="31">
        <f t="shared" si="40"/>
        <v>6.2E-2</v>
      </c>
      <c r="N409" t="e">
        <f>VLOOKUP(A409,#REF!,11,0)</f>
        <v>#REF!</v>
      </c>
      <c r="O409" t="e">
        <f>VLOOKUP(A409,#REF!,12,0)</f>
        <v>#REF!</v>
      </c>
      <c r="P409" t="e">
        <f>VLOOKUP(A409,#REF!,13,0)</f>
        <v>#REF!</v>
      </c>
      <c r="Q409" t="e">
        <f>VLOOKUP(A409,#REF!,14,0)</f>
        <v>#REF!</v>
      </c>
      <c r="R409">
        <v>-2.1804726728850299</v>
      </c>
      <c r="S409">
        <v>1.171381865077548</v>
      </c>
      <c r="T409" s="31" t="str">
        <f>VLOOKUP(C409,V:W,2,0)</f>
        <v>FRA</v>
      </c>
      <c r="U409" t="str">
        <f t="shared" si="41"/>
        <v>OECD</v>
      </c>
    </row>
    <row r="410" spans="1:21" x14ac:dyDescent="0.25">
      <c r="A410" s="31" t="s">
        <v>1041</v>
      </c>
      <c r="B410" s="31" t="s">
        <v>2041</v>
      </c>
      <c r="C410" s="31" t="s">
        <v>1217</v>
      </c>
      <c r="D410" s="31">
        <f>IFERROR(ROUND(VLOOKUP(A410,institutions!A:E,4,0),2),"")</f>
        <v>1.65</v>
      </c>
      <c r="E410" s="31">
        <f>IFERROR(ROUND(VLOOKUP(A410,institutions!A:X,7,0),2),"")</f>
        <v>1.46</v>
      </c>
      <c r="F410" s="31">
        <f>IFERROR(ROUND(VLOOKUP(A410,institutions!A:X,10,0),2),"")</f>
        <v>1.52</v>
      </c>
      <c r="G410" s="31">
        <f>IFERROR(ROUND(VLOOKUP(A410,institutions!A:X,13,0),2),"")</f>
        <v>1.69</v>
      </c>
      <c r="H410" s="31">
        <f>IFERROR(ROUND(VLOOKUP(A410,institutions!A:X,16,0),2),"")</f>
        <v>1.89</v>
      </c>
      <c r="I410" s="31">
        <f t="shared" si="36"/>
        <v>0.33200000000000002</v>
      </c>
      <c r="J410" s="31">
        <f t="shared" si="37"/>
        <v>0.46800000000000003</v>
      </c>
      <c r="K410" s="31">
        <f t="shared" si="38"/>
        <v>0.54300000000000004</v>
      </c>
      <c r="L410" s="31">
        <f t="shared" si="39"/>
        <v>0.29299999999999998</v>
      </c>
      <c r="M410" s="31">
        <f t="shared" si="40"/>
        <v>0.28699999999999998</v>
      </c>
      <c r="N410" t="e">
        <f>VLOOKUP(A410,#REF!,11,0)</f>
        <v>#REF!</v>
      </c>
      <c r="O410" t="e">
        <f>VLOOKUP(A410,#REF!,12,0)</f>
        <v>#REF!</v>
      </c>
      <c r="P410" t="e">
        <f>VLOOKUP(A410,#REF!,13,0)</f>
        <v>#REF!</v>
      </c>
      <c r="Q410" t="e">
        <f>VLOOKUP(A410,#REF!,14,0)</f>
        <v>#REF!</v>
      </c>
      <c r="R410">
        <v>-0.7470139675587022</v>
      </c>
      <c r="S410">
        <v>0.66922482442241948</v>
      </c>
      <c r="T410" s="31" t="str">
        <f>VLOOKUP(C410,V:W,2,0)</f>
        <v>USA</v>
      </c>
      <c r="U410" t="str">
        <f t="shared" si="41"/>
        <v/>
      </c>
    </row>
    <row r="411" spans="1:21" x14ac:dyDescent="0.25">
      <c r="A411" s="31" t="s">
        <v>1026</v>
      </c>
      <c r="B411" s="31" t="s">
        <v>2063</v>
      </c>
      <c r="C411" s="31" t="s">
        <v>1217</v>
      </c>
      <c r="D411" s="31">
        <f>IFERROR(ROUND(VLOOKUP(A411,institutions!A:E,4,0),2),"")</f>
        <v>1.67</v>
      </c>
      <c r="E411" s="31">
        <f>IFERROR(ROUND(VLOOKUP(A411,institutions!A:X,7,0),2),"")</f>
        <v>1.83</v>
      </c>
      <c r="F411" s="31">
        <f>IFERROR(ROUND(VLOOKUP(A411,institutions!A:X,10,0),2),"")</f>
        <v>1.67</v>
      </c>
      <c r="G411" s="31">
        <f>IFERROR(ROUND(VLOOKUP(A411,institutions!A:X,13,0),2),"")</f>
        <v>1.6</v>
      </c>
      <c r="H411" s="31">
        <f>IFERROR(ROUND(VLOOKUP(A411,institutions!A:X,16,0),2),"")</f>
        <v>2.12</v>
      </c>
      <c r="I411" s="31">
        <f t="shared" si="36"/>
        <v>0.34499999999999997</v>
      </c>
      <c r="J411" s="31">
        <f t="shared" si="37"/>
        <v>0.69699999999999995</v>
      </c>
      <c r="K411" s="31">
        <f t="shared" si="38"/>
        <v>0.625</v>
      </c>
      <c r="L411" s="31">
        <f t="shared" si="39"/>
        <v>0.23799999999999999</v>
      </c>
      <c r="M411" s="31">
        <f t="shared" si="40"/>
        <v>0.38200000000000001</v>
      </c>
      <c r="N411" t="e">
        <f>VLOOKUP(A411,#REF!,11,0)</f>
        <v>#REF!</v>
      </c>
      <c r="O411" t="e">
        <f>VLOOKUP(A411,#REF!,12,0)</f>
        <v>#REF!</v>
      </c>
      <c r="P411" t="e">
        <f>VLOOKUP(A411,#REF!,13,0)</f>
        <v>#REF!</v>
      </c>
      <c r="Q411" t="e">
        <f>VLOOKUP(A411,#REF!,14,0)</f>
        <v>#REF!</v>
      </c>
      <c r="R411">
        <v>-0.1671387091751641</v>
      </c>
      <c r="S411">
        <v>1.218498213138193</v>
      </c>
      <c r="T411" s="31" t="str">
        <f>VLOOKUP(C411,V:W,2,0)</f>
        <v>USA</v>
      </c>
      <c r="U411" t="str">
        <f t="shared" si="41"/>
        <v/>
      </c>
    </row>
    <row r="412" spans="1:21" x14ac:dyDescent="0.25">
      <c r="A412" s="31" t="s">
        <v>1120</v>
      </c>
      <c r="B412" s="31" t="s">
        <v>1990</v>
      </c>
      <c r="C412" s="31" t="s">
        <v>1233</v>
      </c>
      <c r="D412" s="31">
        <f>IFERROR(ROUND(VLOOKUP(A412,institutions!A:E,4,0),2),"")</f>
        <v>1.63</v>
      </c>
      <c r="E412" s="31">
        <f>IFERROR(ROUND(VLOOKUP(A412,institutions!A:X,7,0),2),"")</f>
        <v>1.44</v>
      </c>
      <c r="F412" s="31" t="str">
        <f>IFERROR(ROUND(VLOOKUP(A412,institutions!A:X,10,0),2),"")</f>
        <v/>
      </c>
      <c r="G412" s="31">
        <f>IFERROR(ROUND(VLOOKUP(A412,institutions!A:X,13,0),2),"")</f>
        <v>2.36</v>
      </c>
      <c r="H412" s="31">
        <f>IFERROR(ROUND(VLOOKUP(A412,institutions!A:X,16,0),2),"")</f>
        <v>2.15</v>
      </c>
      <c r="I412" s="31">
        <f t="shared" si="36"/>
        <v>0.318</v>
      </c>
      <c r="J412" s="31">
        <f t="shared" si="37"/>
        <v>0.44800000000000001</v>
      </c>
      <c r="K412" s="31">
        <f t="shared" si="38"/>
        <v>0</v>
      </c>
      <c r="L412" s="31">
        <f t="shared" si="39"/>
        <v>0.61799999999999999</v>
      </c>
      <c r="M412" s="31">
        <f t="shared" si="40"/>
        <v>0.39</v>
      </c>
      <c r="N412" t="e">
        <f>VLOOKUP(A412,#REF!,11,0)</f>
        <v>#REF!</v>
      </c>
      <c r="O412" t="e">
        <f>VLOOKUP(A412,#REF!,12,0)</f>
        <v>#REF!</v>
      </c>
      <c r="P412" t="e">
        <f>VLOOKUP(A412,#REF!,13,0)</f>
        <v>#REF!</v>
      </c>
      <c r="Q412" t="e">
        <f>VLOOKUP(A412,#REF!,14,0)</f>
        <v>#REF!</v>
      </c>
      <c r="R412">
        <v>-0.94062314375677136</v>
      </c>
      <c r="S412">
        <v>-0.86846110517328801</v>
      </c>
      <c r="T412" s="31" t="str">
        <f>VLOOKUP(C412,V:W,2,0)</f>
        <v>NED</v>
      </c>
      <c r="U412" t="str">
        <f t="shared" si="41"/>
        <v/>
      </c>
    </row>
    <row r="413" spans="1:21" x14ac:dyDescent="0.25">
      <c r="A413" s="31" t="s">
        <v>1071</v>
      </c>
      <c r="B413" s="31" t="s">
        <v>1776</v>
      </c>
      <c r="C413" s="31" t="s">
        <v>1254</v>
      </c>
      <c r="D413" s="31">
        <f>IFERROR(ROUND(VLOOKUP(A413,institutions!A:E,4,0),2),"")</f>
        <v>1.63</v>
      </c>
      <c r="E413" s="31">
        <f>IFERROR(ROUND(VLOOKUP(A413,institutions!A:X,7,0),2),"")</f>
        <v>1.4</v>
      </c>
      <c r="F413" s="31">
        <f>IFERROR(ROUND(VLOOKUP(A413,institutions!A:X,10,0),2),"")</f>
        <v>2.06</v>
      </c>
      <c r="G413" s="31">
        <f>IFERROR(ROUND(VLOOKUP(A413,institutions!A:X,13,0),2),"")</f>
        <v>1.9</v>
      </c>
      <c r="H413" s="31">
        <f>IFERROR(ROUND(VLOOKUP(A413,institutions!A:X,16,0),2),"")</f>
        <v>1.8</v>
      </c>
      <c r="I413" s="31">
        <f t="shared" si="36"/>
        <v>0.318</v>
      </c>
      <c r="J413" s="31">
        <f t="shared" si="37"/>
        <v>0.40300000000000002</v>
      </c>
      <c r="K413" s="31">
        <f t="shared" si="38"/>
        <v>0.76</v>
      </c>
      <c r="L413" s="31">
        <f t="shared" si="39"/>
        <v>0.41699999999999998</v>
      </c>
      <c r="M413" s="31">
        <f t="shared" si="40"/>
        <v>0.23699999999999999</v>
      </c>
      <c r="N413" t="e">
        <f>VLOOKUP(A413,#REF!,11,0)</f>
        <v>#REF!</v>
      </c>
      <c r="O413" t="e">
        <f>VLOOKUP(A413,#REF!,12,0)</f>
        <v>#REF!</v>
      </c>
      <c r="P413" t="e">
        <f>VLOOKUP(A413,#REF!,13,0)</f>
        <v>#REF!</v>
      </c>
      <c r="Q413" t="e">
        <f>VLOOKUP(A413,#REF!,14,0)</f>
        <v>#REF!</v>
      </c>
      <c r="R413">
        <v>-0.3492535098666672</v>
      </c>
      <c r="S413">
        <v>0.71889289348130259</v>
      </c>
      <c r="T413" s="31" t="str">
        <f>VLOOKUP(C413,V:W,2,0)</f>
        <v>KOREA</v>
      </c>
      <c r="U413" t="str">
        <f t="shared" si="41"/>
        <v/>
      </c>
    </row>
    <row r="414" spans="1:21" x14ac:dyDescent="0.25">
      <c r="A414" s="31" t="s">
        <v>869</v>
      </c>
      <c r="B414" s="31" t="s">
        <v>2045</v>
      </c>
      <c r="C414" s="31" t="s">
        <v>1247</v>
      </c>
      <c r="D414" s="31">
        <f>IFERROR(ROUND(VLOOKUP(A414,institutions!A:E,4,0),2),"")</f>
        <v>1.67</v>
      </c>
      <c r="E414" s="31">
        <f>IFERROR(ROUND(VLOOKUP(A414,institutions!A:X,7,0),2),"")</f>
        <v>1.41</v>
      </c>
      <c r="F414" s="31">
        <f>IFERROR(ROUND(VLOOKUP(A414,institutions!A:X,10,0),2),"")</f>
        <v>1.6</v>
      </c>
      <c r="G414" s="31">
        <f>IFERROR(ROUND(VLOOKUP(A414,institutions!A:X,13,0),2),"")</f>
        <v>1.57</v>
      </c>
      <c r="H414" s="31">
        <f>IFERROR(ROUND(VLOOKUP(A414,institutions!A:X,16,0),2),"")</f>
        <v>1.83</v>
      </c>
      <c r="I414" s="31">
        <f t="shared" si="36"/>
        <v>0.34499999999999997</v>
      </c>
      <c r="J414" s="31">
        <f t="shared" si="37"/>
        <v>0.42199999999999999</v>
      </c>
      <c r="K414" s="31">
        <f t="shared" si="38"/>
        <v>0.6</v>
      </c>
      <c r="L414" s="31">
        <f t="shared" si="39"/>
        <v>0.23</v>
      </c>
      <c r="M414" s="31">
        <f t="shared" si="40"/>
        <v>0.25</v>
      </c>
      <c r="N414" t="e">
        <f>VLOOKUP(A414,#REF!,11,0)</f>
        <v>#REF!</v>
      </c>
      <c r="O414" t="e">
        <f>VLOOKUP(A414,#REF!,12,0)</f>
        <v>#REF!</v>
      </c>
      <c r="P414" t="e">
        <f>VLOOKUP(A414,#REF!,13,0)</f>
        <v>#REF!</v>
      </c>
      <c r="Q414" t="e">
        <f>VLOOKUP(A414,#REF!,14,0)</f>
        <v>#REF!</v>
      </c>
      <c r="R414">
        <v>-0.9024924563401705</v>
      </c>
      <c r="S414">
        <v>0.81759003361767002</v>
      </c>
      <c r="T414" s="31" t="str">
        <f>VLOOKUP(C414,V:W,2,0)</f>
        <v>VTN</v>
      </c>
      <c r="U414" t="str">
        <f t="shared" si="41"/>
        <v/>
      </c>
    </row>
    <row r="415" spans="1:21" x14ac:dyDescent="0.25">
      <c r="A415" s="31" t="s">
        <v>1161</v>
      </c>
      <c r="B415" s="31" t="s">
        <v>1796</v>
      </c>
      <c r="C415" s="31" t="s">
        <v>1246</v>
      </c>
      <c r="D415" s="31">
        <f>IFERROR(ROUND(VLOOKUP(A415,institutions!A:E,4,0),2),"")</f>
        <v>1.55</v>
      </c>
      <c r="E415" s="31">
        <f>IFERROR(ROUND(VLOOKUP(A415,institutions!A:X,7,0),2),"")</f>
        <v>1.38</v>
      </c>
      <c r="F415" s="31">
        <f>IFERROR(ROUND(VLOOKUP(A415,institutions!A:X,10,0),2),"")</f>
        <v>1.49</v>
      </c>
      <c r="G415" s="31">
        <f>IFERROR(ROUND(VLOOKUP(A415,institutions!A:X,13,0),2),"")</f>
        <v>1.83</v>
      </c>
      <c r="H415" s="31">
        <f>IFERROR(ROUND(VLOOKUP(A415,institutions!A:X,16,0),2),"")</f>
        <v>3.3</v>
      </c>
      <c r="I415" s="31">
        <f t="shared" si="36"/>
        <v>0.248</v>
      </c>
      <c r="J415" s="31">
        <f t="shared" si="37"/>
        <v>0.372</v>
      </c>
      <c r="K415" s="31">
        <f t="shared" si="38"/>
        <v>0.51800000000000002</v>
      </c>
      <c r="L415" s="31">
        <f t="shared" si="39"/>
        <v>0.378</v>
      </c>
      <c r="M415" s="31">
        <f t="shared" si="40"/>
        <v>0.74</v>
      </c>
      <c r="N415" t="e">
        <f>VLOOKUP(A415,#REF!,11,0)</f>
        <v>#REF!</v>
      </c>
      <c r="O415" t="e">
        <f>VLOOKUP(A415,#REF!,12,0)</f>
        <v>#REF!</v>
      </c>
      <c r="P415" t="e">
        <f>VLOOKUP(A415,#REF!,13,0)</f>
        <v>#REF!</v>
      </c>
      <c r="Q415" t="e">
        <f>VLOOKUP(A415,#REF!,14,0)</f>
        <v>#REF!</v>
      </c>
      <c r="R415">
        <v>2.644917482842362E-2</v>
      </c>
      <c r="S415">
        <v>-0.43226787501904701</v>
      </c>
      <c r="T415" s="31" t="str">
        <f>VLOOKUP(C415,V:W,2,0)</f>
        <v>JAP</v>
      </c>
      <c r="U415" t="str">
        <f t="shared" si="41"/>
        <v/>
      </c>
    </row>
    <row r="416" spans="1:21" x14ac:dyDescent="0.25">
      <c r="A416" s="31" t="s">
        <v>948</v>
      </c>
      <c r="B416" s="31" t="s">
        <v>2037</v>
      </c>
      <c r="C416" s="31" t="s">
        <v>1237</v>
      </c>
      <c r="D416" s="31">
        <f>IFERROR(ROUND(VLOOKUP(A416,institutions!A:E,4,0),2),"")</f>
        <v>1.71</v>
      </c>
      <c r="E416" s="31">
        <f>IFERROR(ROUND(VLOOKUP(A416,institutions!A:X,7,0),2),"")</f>
        <v>1.05</v>
      </c>
      <c r="F416" s="31">
        <f>IFERROR(ROUND(VLOOKUP(A416,institutions!A:X,10,0),2),"")</f>
        <v>1.26</v>
      </c>
      <c r="G416" s="31">
        <f>IFERROR(ROUND(VLOOKUP(A416,institutions!A:X,13,0),2),"")</f>
        <v>2.29</v>
      </c>
      <c r="H416" s="31">
        <f>IFERROR(ROUND(VLOOKUP(A416,institutions!A:X,16,0),2),"")</f>
        <v>1.88</v>
      </c>
      <c r="I416" s="31">
        <f t="shared" si="36"/>
        <v>0.375</v>
      </c>
      <c r="J416" s="31">
        <f t="shared" si="37"/>
        <v>2.8000000000000001E-2</v>
      </c>
      <c r="K416" s="31">
        <f t="shared" si="38"/>
        <v>0.312</v>
      </c>
      <c r="L416" s="31">
        <f t="shared" si="39"/>
        <v>0.59499999999999997</v>
      </c>
      <c r="M416" s="31">
        <f t="shared" si="40"/>
        <v>0.27800000000000002</v>
      </c>
      <c r="N416" t="e">
        <f>VLOOKUP(A416,#REF!,11,0)</f>
        <v>#REF!</v>
      </c>
      <c r="O416" t="e">
        <f>VLOOKUP(A416,#REF!,12,0)</f>
        <v>#REF!</v>
      </c>
      <c r="P416" t="e">
        <f>VLOOKUP(A416,#REF!,13,0)</f>
        <v>#REF!</v>
      </c>
      <c r="Q416" t="e">
        <f>VLOOKUP(A416,#REF!,14,0)</f>
        <v>#REF!</v>
      </c>
      <c r="R416">
        <v>-1.3228805688266509</v>
      </c>
      <c r="S416">
        <v>-1.095354114344169</v>
      </c>
      <c r="T416" s="31" t="str">
        <f>VLOOKUP(C416,V:W,2,0)</f>
        <v>AUS</v>
      </c>
      <c r="U416" t="str">
        <f t="shared" si="41"/>
        <v/>
      </c>
    </row>
    <row r="417" spans="1:21" x14ac:dyDescent="0.25">
      <c r="A417" s="31" t="s">
        <v>1028</v>
      </c>
      <c r="B417" s="31" t="s">
        <v>1808</v>
      </c>
      <c r="C417" s="31" t="s">
        <v>1230</v>
      </c>
      <c r="D417" s="31">
        <f>IFERROR(ROUND(VLOOKUP(A417,institutions!A:E,4,0),2),"")</f>
        <v>1.59</v>
      </c>
      <c r="E417" s="31">
        <f>IFERROR(ROUND(VLOOKUP(A417,institutions!A:X,7,0),2),"")</f>
        <v>1.33</v>
      </c>
      <c r="F417" s="31">
        <f>IFERROR(ROUND(VLOOKUP(A417,institutions!A:X,10,0),2),"")</f>
        <v>2.08</v>
      </c>
      <c r="G417" s="31">
        <f>IFERROR(ROUND(VLOOKUP(A417,institutions!A:X,13,0),2),"")</f>
        <v>1.49</v>
      </c>
      <c r="H417" s="31">
        <f>IFERROR(ROUND(VLOOKUP(A417,institutions!A:X,16,0),2),"")</f>
        <v>2.67</v>
      </c>
      <c r="I417" s="31">
        <f t="shared" si="36"/>
        <v>0.28799999999999998</v>
      </c>
      <c r="J417" s="31">
        <f t="shared" si="37"/>
        <v>0.33</v>
      </c>
      <c r="K417" s="31">
        <f t="shared" si="38"/>
        <v>0.76500000000000001</v>
      </c>
      <c r="L417" s="31">
        <f t="shared" si="39"/>
        <v>0.19800000000000001</v>
      </c>
      <c r="M417" s="31">
        <f t="shared" si="40"/>
        <v>0.60199999999999998</v>
      </c>
      <c r="N417" t="e">
        <f>VLOOKUP(A417,#REF!,11,0)</f>
        <v>#REF!</v>
      </c>
      <c r="O417" t="e">
        <f>VLOOKUP(A417,#REF!,12,0)</f>
        <v>#REF!</v>
      </c>
      <c r="P417" t="e">
        <f>VLOOKUP(A417,#REF!,13,0)</f>
        <v>#REF!</v>
      </c>
      <c r="Q417" t="e">
        <f>VLOOKUP(A417,#REF!,14,0)</f>
        <v>#REF!</v>
      </c>
      <c r="R417">
        <v>-0.18924344923816519</v>
      </c>
      <c r="S417">
        <v>0.35624031616151269</v>
      </c>
      <c r="T417" s="31" t="str">
        <f>VLOOKUP(C417,V:W,2,0)</f>
        <v>CHN</v>
      </c>
      <c r="U417" t="str">
        <f t="shared" si="41"/>
        <v/>
      </c>
    </row>
    <row r="418" spans="1:21" x14ac:dyDescent="0.25">
      <c r="A418" s="31" t="s">
        <v>956</v>
      </c>
      <c r="B418" s="31" t="s">
        <v>1780</v>
      </c>
      <c r="C418" s="31" t="s">
        <v>1230</v>
      </c>
      <c r="D418" s="31">
        <f>IFERROR(ROUND(VLOOKUP(A418,institutions!A:E,4,0),2),"")</f>
        <v>1.6</v>
      </c>
      <c r="E418" s="31">
        <f>IFERROR(ROUND(VLOOKUP(A418,institutions!A:X,7,0),2),"")</f>
        <v>1.48</v>
      </c>
      <c r="F418" s="31">
        <f>IFERROR(ROUND(VLOOKUP(A418,institutions!A:X,10,0),2),"")</f>
        <v>1.56</v>
      </c>
      <c r="G418" s="31">
        <f>IFERROR(ROUND(VLOOKUP(A418,institutions!A:X,13,0),2),"")</f>
        <v>1.41</v>
      </c>
      <c r="H418" s="31">
        <f>IFERROR(ROUND(VLOOKUP(A418,institutions!A:X,16,0),2),"")</f>
        <v>1.7</v>
      </c>
      <c r="I418" s="31">
        <f t="shared" si="36"/>
        <v>0.29799999999999999</v>
      </c>
      <c r="J418" s="31">
        <f t="shared" si="37"/>
        <v>0.48199999999999998</v>
      </c>
      <c r="K418" s="31">
        <f t="shared" si="38"/>
        <v>0.56299999999999994</v>
      </c>
      <c r="L418" s="31">
        <f t="shared" si="39"/>
        <v>0.16200000000000001</v>
      </c>
      <c r="M418" s="31">
        <f t="shared" si="40"/>
        <v>0.182</v>
      </c>
      <c r="N418" t="e">
        <f>VLOOKUP(A418,#REF!,11,0)</f>
        <v>#REF!</v>
      </c>
      <c r="O418" t="e">
        <f>VLOOKUP(A418,#REF!,12,0)</f>
        <v>#REF!</v>
      </c>
      <c r="P418" t="e">
        <f>VLOOKUP(A418,#REF!,13,0)</f>
        <v>#REF!</v>
      </c>
      <c r="Q418" t="e">
        <f>VLOOKUP(A418,#REF!,14,0)</f>
        <v>#REF!</v>
      </c>
      <c r="R418">
        <v>-1.113875077113526</v>
      </c>
      <c r="S418">
        <v>1.113022362575699</v>
      </c>
      <c r="T418" s="31" t="str">
        <f>VLOOKUP(C418,V:W,2,0)</f>
        <v>CHN</v>
      </c>
      <c r="U418" t="str">
        <f t="shared" si="41"/>
        <v/>
      </c>
    </row>
    <row r="419" spans="1:21" x14ac:dyDescent="0.25">
      <c r="A419" s="31" t="s">
        <v>957</v>
      </c>
      <c r="B419" s="31" t="s">
        <v>1964</v>
      </c>
      <c r="C419" s="31" t="s">
        <v>1230</v>
      </c>
      <c r="D419" s="31">
        <f>IFERROR(ROUND(VLOOKUP(A419,institutions!A:E,4,0),2),"")</f>
        <v>1.68</v>
      </c>
      <c r="E419" s="31">
        <f>IFERROR(ROUND(VLOOKUP(A419,institutions!A:X,7,0),2),"")</f>
        <v>1.42</v>
      </c>
      <c r="F419" s="31">
        <f>IFERROR(ROUND(VLOOKUP(A419,institutions!A:X,10,0),2),"")</f>
        <v>1.48</v>
      </c>
      <c r="G419" s="31">
        <f>IFERROR(ROUND(VLOOKUP(A419,institutions!A:X,13,0),2),"")</f>
        <v>1.85</v>
      </c>
      <c r="H419" s="31">
        <f>IFERROR(ROUND(VLOOKUP(A419,institutions!A:X,16,0),2),"")</f>
        <v>1.89</v>
      </c>
      <c r="I419" s="31">
        <f t="shared" si="36"/>
        <v>0.35</v>
      </c>
      <c r="J419" s="31">
        <f t="shared" si="37"/>
        <v>0.432</v>
      </c>
      <c r="K419" s="31">
        <f t="shared" si="38"/>
        <v>0.50700000000000001</v>
      </c>
      <c r="L419" s="31">
        <f t="shared" si="39"/>
        <v>0.39200000000000002</v>
      </c>
      <c r="M419" s="31">
        <f t="shared" si="40"/>
        <v>0.28699999999999998</v>
      </c>
      <c r="N419" t="e">
        <f>VLOOKUP(A419,#REF!,11,0)</f>
        <v>#REF!</v>
      </c>
      <c r="O419" t="e">
        <f>VLOOKUP(A419,#REF!,12,0)</f>
        <v>#REF!</v>
      </c>
      <c r="P419" t="e">
        <f>VLOOKUP(A419,#REF!,13,0)</f>
        <v>#REF!</v>
      </c>
      <c r="Q419" t="e">
        <f>VLOOKUP(A419,#REF!,14,0)</f>
        <v>#REF!</v>
      </c>
      <c r="R419">
        <v>-0.6894181767295765</v>
      </c>
      <c r="S419">
        <v>0.37502308450845517</v>
      </c>
      <c r="T419" s="31" t="str">
        <f>VLOOKUP(C419,V:W,2,0)</f>
        <v>CHN</v>
      </c>
      <c r="U419" t="str">
        <f t="shared" si="41"/>
        <v/>
      </c>
    </row>
    <row r="420" spans="1:21" x14ac:dyDescent="0.25">
      <c r="A420" s="31" t="s">
        <v>1132</v>
      </c>
      <c r="B420" s="31" t="s">
        <v>1959</v>
      </c>
      <c r="C420" s="31" t="s">
        <v>1218</v>
      </c>
      <c r="D420" s="31">
        <f>IFERROR(ROUND(VLOOKUP(A420,institutions!A:E,4,0),2),"")</f>
        <v>1.58</v>
      </c>
      <c r="E420" s="31">
        <f>IFERROR(ROUND(VLOOKUP(A420,institutions!A:X,7,0),2),"")</f>
        <v>1.47</v>
      </c>
      <c r="F420" s="31">
        <f>IFERROR(ROUND(VLOOKUP(A420,institutions!A:X,10,0),2),"")</f>
        <v>1.2</v>
      </c>
      <c r="G420" s="31">
        <f>IFERROR(ROUND(VLOOKUP(A420,institutions!A:X,13,0),2),"")</f>
        <v>2.02</v>
      </c>
      <c r="H420" s="31">
        <f>IFERROR(ROUND(VLOOKUP(A420,institutions!A:X,16,0),2),"")</f>
        <v>2.13</v>
      </c>
      <c r="I420" s="31">
        <f t="shared" si="36"/>
        <v>0.28299999999999997</v>
      </c>
      <c r="J420" s="31">
        <f t="shared" si="37"/>
        <v>0.47799999999999998</v>
      </c>
      <c r="K420" s="31">
        <f t="shared" si="38"/>
        <v>0.23</v>
      </c>
      <c r="L420" s="31">
        <f t="shared" si="39"/>
        <v>0.47799999999999998</v>
      </c>
      <c r="M420" s="31">
        <f t="shared" si="40"/>
        <v>0.38700000000000001</v>
      </c>
      <c r="N420" t="e">
        <f>VLOOKUP(A420,#REF!,11,0)</f>
        <v>#REF!</v>
      </c>
      <c r="O420" t="e">
        <f>VLOOKUP(A420,#REF!,12,0)</f>
        <v>#REF!</v>
      </c>
      <c r="P420" t="e">
        <f>VLOOKUP(A420,#REF!,13,0)</f>
        <v>#REF!</v>
      </c>
      <c r="Q420" t="e">
        <f>VLOOKUP(A420,#REF!,14,0)</f>
        <v>#REF!</v>
      </c>
      <c r="R420">
        <v>-0.75497630506068159</v>
      </c>
      <c r="S420">
        <v>-0.23171114845199611</v>
      </c>
      <c r="T420" s="31" t="str">
        <f>VLOOKUP(C420,V:W,2,0)</f>
        <v>FRA</v>
      </c>
      <c r="U420" t="str">
        <f t="shared" si="41"/>
        <v>CNRS</v>
      </c>
    </row>
    <row r="421" spans="1:21" x14ac:dyDescent="0.25">
      <c r="A421" s="31" t="s">
        <v>985</v>
      </c>
      <c r="B421" s="31" t="s">
        <v>2028</v>
      </c>
      <c r="C421" s="31" t="s">
        <v>1218</v>
      </c>
      <c r="D421" s="31">
        <f>IFERROR(ROUND(VLOOKUP(A421,institutions!A:E,4,0),2),"")</f>
        <v>1.61</v>
      </c>
      <c r="E421" s="31">
        <f>IFERROR(ROUND(VLOOKUP(A421,institutions!A:X,7,0),2),"")</f>
        <v>1.23</v>
      </c>
      <c r="F421" s="31">
        <f>IFERROR(ROUND(VLOOKUP(A421,institutions!A:X,10,0),2),"")</f>
        <v>1.26</v>
      </c>
      <c r="G421" s="31">
        <f>IFERROR(ROUND(VLOOKUP(A421,institutions!A:X,13,0),2),"")</f>
        <v>2.34</v>
      </c>
      <c r="H421" s="31">
        <f>IFERROR(ROUND(VLOOKUP(A421,institutions!A:X,16,0),2),"")</f>
        <v>2.46</v>
      </c>
      <c r="I421" s="31">
        <f t="shared" si="36"/>
        <v>0.307</v>
      </c>
      <c r="J421" s="31">
        <f t="shared" si="37"/>
        <v>0.188</v>
      </c>
      <c r="K421" s="31">
        <f t="shared" si="38"/>
        <v>0.312</v>
      </c>
      <c r="L421" s="31">
        <f t="shared" si="39"/>
        <v>0.61199999999999999</v>
      </c>
      <c r="M421" s="31">
        <f t="shared" si="40"/>
        <v>0.53</v>
      </c>
      <c r="N421" t="e">
        <f>VLOOKUP(A421,#REF!,11,0)</f>
        <v>#REF!</v>
      </c>
      <c r="O421" t="e">
        <f>VLOOKUP(A421,#REF!,12,0)</f>
        <v>#REF!</v>
      </c>
      <c r="P421" t="e">
        <f>VLOOKUP(A421,#REF!,13,0)</f>
        <v>#REF!</v>
      </c>
      <c r="Q421" t="e">
        <f>VLOOKUP(A421,#REF!,14,0)</f>
        <v>#REF!</v>
      </c>
      <c r="R421">
        <v>-0.58146526779158236</v>
      </c>
      <c r="S421">
        <v>-1.181716463396562</v>
      </c>
      <c r="T421" s="31" t="str">
        <f>VLOOKUP(C421,V:W,2,0)</f>
        <v>FRA</v>
      </c>
      <c r="U421" t="str">
        <f t="shared" si="41"/>
        <v>Montpellier</v>
      </c>
    </row>
    <row r="422" spans="1:21" x14ac:dyDescent="0.25">
      <c r="A422" s="31" t="s">
        <v>1024</v>
      </c>
      <c r="B422" s="31" t="s">
        <v>1645</v>
      </c>
      <c r="C422" s="31" t="s">
        <v>1237</v>
      </c>
      <c r="D422" s="31">
        <f>IFERROR(ROUND(VLOOKUP(A422,institutions!A:E,4,0),2),"")</f>
        <v>1.61</v>
      </c>
      <c r="E422" s="31">
        <f>IFERROR(ROUND(VLOOKUP(A422,institutions!A:X,7,0),2),"")</f>
        <v>1.46</v>
      </c>
      <c r="F422" s="31">
        <f>IFERROR(ROUND(VLOOKUP(A422,institutions!A:X,10,0),2),"")</f>
        <v>1.5</v>
      </c>
      <c r="G422" s="31">
        <f>IFERROR(ROUND(VLOOKUP(A422,institutions!A:X,13,0),2),"")</f>
        <v>1.64</v>
      </c>
      <c r="H422" s="31">
        <f>IFERROR(ROUND(VLOOKUP(A422,institutions!A:X,16,0),2),"")</f>
        <v>1.8</v>
      </c>
      <c r="I422" s="31">
        <f t="shared" si="36"/>
        <v>0.307</v>
      </c>
      <c r="J422" s="31">
        <f t="shared" si="37"/>
        <v>0.46800000000000003</v>
      </c>
      <c r="K422" s="31">
        <f t="shared" si="38"/>
        <v>0.52700000000000002</v>
      </c>
      <c r="L422" s="31">
        <f t="shared" si="39"/>
        <v>0.26500000000000001</v>
      </c>
      <c r="M422" s="31">
        <f t="shared" si="40"/>
        <v>0.23699999999999999</v>
      </c>
      <c r="N422" t="e">
        <f>VLOOKUP(A422,#REF!,11,0)</f>
        <v>#REF!</v>
      </c>
      <c r="O422" t="e">
        <f>VLOOKUP(A422,#REF!,12,0)</f>
        <v>#REF!</v>
      </c>
      <c r="P422" t="e">
        <f>VLOOKUP(A422,#REF!,13,0)</f>
        <v>#REF!</v>
      </c>
      <c r="Q422" t="e">
        <f>VLOOKUP(A422,#REF!,14,0)</f>
        <v>#REF!</v>
      </c>
      <c r="R422">
        <v>-0.91461791851448959</v>
      </c>
      <c r="S422">
        <v>0.77189885522421287</v>
      </c>
      <c r="T422" s="31" t="str">
        <f>VLOOKUP(C422,V:W,2,0)</f>
        <v>AUS</v>
      </c>
      <c r="U422" t="str">
        <f t="shared" si="41"/>
        <v/>
      </c>
    </row>
    <row r="423" spans="1:21" x14ac:dyDescent="0.25">
      <c r="A423" s="31" t="s">
        <v>964</v>
      </c>
      <c r="B423" s="31" t="s">
        <v>1984</v>
      </c>
      <c r="C423" s="31" t="s">
        <v>1230</v>
      </c>
      <c r="D423" s="31">
        <f>IFERROR(ROUND(VLOOKUP(A423,institutions!A:E,4,0),2),"")</f>
        <v>1.61</v>
      </c>
      <c r="E423" s="31">
        <f>IFERROR(ROUND(VLOOKUP(A423,institutions!A:X,7,0),2),"")</f>
        <v>1.33</v>
      </c>
      <c r="F423" s="31">
        <f>IFERROR(ROUND(VLOOKUP(A423,institutions!A:X,10,0),2),"")</f>
        <v>1.71</v>
      </c>
      <c r="G423" s="31">
        <f>IFERROR(ROUND(VLOOKUP(A423,institutions!A:X,13,0),2),"")</f>
        <v>1.71</v>
      </c>
      <c r="H423" s="31">
        <f>IFERROR(ROUND(VLOOKUP(A423,institutions!A:X,16,0),2),"")</f>
        <v>1.83</v>
      </c>
      <c r="I423" s="31">
        <f t="shared" si="36"/>
        <v>0.307</v>
      </c>
      <c r="J423" s="31">
        <f t="shared" si="37"/>
        <v>0.33</v>
      </c>
      <c r="K423" s="31">
        <f t="shared" si="38"/>
        <v>0.64500000000000002</v>
      </c>
      <c r="L423" s="31">
        <f t="shared" si="39"/>
        <v>0.30499999999999999</v>
      </c>
      <c r="M423" s="31">
        <f t="shared" si="40"/>
        <v>0.25</v>
      </c>
      <c r="N423" t="e">
        <f>VLOOKUP(A423,#REF!,11,0)</f>
        <v>#REF!</v>
      </c>
      <c r="O423" t="e">
        <f>VLOOKUP(A423,#REF!,12,0)</f>
        <v>#REF!</v>
      </c>
      <c r="P423" t="e">
        <f>VLOOKUP(A423,#REF!,13,0)</f>
        <v>#REF!</v>
      </c>
      <c r="Q423" t="e">
        <f>VLOOKUP(A423,#REF!,14,0)</f>
        <v>#REF!</v>
      </c>
      <c r="R423">
        <v>-0.83894643224411614</v>
      </c>
      <c r="S423">
        <v>0.56165880889281994</v>
      </c>
      <c r="T423" s="31" t="str">
        <f>VLOOKUP(C423,V:W,2,0)</f>
        <v>CHN</v>
      </c>
      <c r="U423" t="str">
        <f t="shared" si="41"/>
        <v/>
      </c>
    </row>
    <row r="424" spans="1:21" x14ac:dyDescent="0.25">
      <c r="A424" s="31" t="s">
        <v>1039</v>
      </c>
      <c r="B424" s="31" t="s">
        <v>2042</v>
      </c>
      <c r="C424" s="31" t="s">
        <v>1217</v>
      </c>
      <c r="D424" s="31">
        <f>IFERROR(ROUND(VLOOKUP(A424,institutions!A:E,4,0),2),"")</f>
        <v>1.59</v>
      </c>
      <c r="E424" s="31">
        <f>IFERROR(ROUND(VLOOKUP(A424,institutions!A:X,7,0),2),"")</f>
        <v>1.24</v>
      </c>
      <c r="F424" s="31">
        <f>IFERROR(ROUND(VLOOKUP(A424,institutions!A:X,10,0),2),"")</f>
        <v>1.1599999999999999</v>
      </c>
      <c r="G424" s="31">
        <f>IFERROR(ROUND(VLOOKUP(A424,institutions!A:X,13,0),2),"")</f>
        <v>2.83</v>
      </c>
      <c r="H424" s="31">
        <f>IFERROR(ROUND(VLOOKUP(A424,institutions!A:X,16,0),2),"")</f>
        <v>2.36</v>
      </c>
      <c r="I424" s="31">
        <f t="shared" si="36"/>
        <v>0.28799999999999998</v>
      </c>
      <c r="J424" s="31">
        <f t="shared" si="37"/>
        <v>0.2</v>
      </c>
      <c r="K424" s="31">
        <f t="shared" si="38"/>
        <v>0.187</v>
      </c>
      <c r="L424" s="31">
        <f t="shared" si="39"/>
        <v>0.77800000000000002</v>
      </c>
      <c r="M424" s="31">
        <f t="shared" si="40"/>
        <v>0.49</v>
      </c>
      <c r="N424" t="e">
        <f>VLOOKUP(A424,#REF!,11,0)</f>
        <v>#REF!</v>
      </c>
      <c r="O424" t="e">
        <f>VLOOKUP(A424,#REF!,12,0)</f>
        <v>#REF!</v>
      </c>
      <c r="P424" t="e">
        <f>VLOOKUP(A424,#REF!,13,0)</f>
        <v>#REF!</v>
      </c>
      <c r="Q424" t="e">
        <f>VLOOKUP(A424,#REF!,14,0)</f>
        <v>#REF!</v>
      </c>
      <c r="R424">
        <v>-0.55177403540755054</v>
      </c>
      <c r="S424">
        <v>-1.5511113617238861</v>
      </c>
      <c r="T424" s="31" t="str">
        <f>VLOOKUP(C424,V:W,2,0)</f>
        <v>USA</v>
      </c>
      <c r="U424" t="str">
        <f t="shared" si="41"/>
        <v/>
      </c>
    </row>
    <row r="425" spans="1:21" x14ac:dyDescent="0.25">
      <c r="A425" s="31" t="s">
        <v>1007</v>
      </c>
      <c r="B425" s="31" t="s">
        <v>2044</v>
      </c>
      <c r="C425" s="31" t="s">
        <v>1217</v>
      </c>
      <c r="D425" s="31">
        <f>IFERROR(ROUND(VLOOKUP(A425,institutions!A:E,4,0),2),"")</f>
        <v>1.61</v>
      </c>
      <c r="E425" s="31">
        <f>IFERROR(ROUND(VLOOKUP(A425,institutions!A:X,7,0),2),"")</f>
        <v>1.2</v>
      </c>
      <c r="F425" s="31">
        <f>IFERROR(ROUND(VLOOKUP(A425,institutions!A:X,10,0),2),"")</f>
        <v>1.72</v>
      </c>
      <c r="G425" s="31">
        <f>IFERROR(ROUND(VLOOKUP(A425,institutions!A:X,13,0),2),"")</f>
        <v>1.79</v>
      </c>
      <c r="H425" s="31">
        <f>IFERROR(ROUND(VLOOKUP(A425,institutions!A:X,16,0),2),"")</f>
        <v>1.8</v>
      </c>
      <c r="I425" s="31">
        <f t="shared" si="36"/>
        <v>0.307</v>
      </c>
      <c r="J425" s="31">
        <f t="shared" si="37"/>
        <v>0.14499999999999999</v>
      </c>
      <c r="K425" s="31">
        <f t="shared" si="38"/>
        <v>0.64700000000000002</v>
      </c>
      <c r="L425" s="31">
        <f t="shared" si="39"/>
        <v>0.36199999999999999</v>
      </c>
      <c r="M425" s="31">
        <f t="shared" si="40"/>
        <v>0.23699999999999999</v>
      </c>
      <c r="N425" t="e">
        <f>VLOOKUP(A425,#REF!,11,0)</f>
        <v>#REF!</v>
      </c>
      <c r="O425" t="e">
        <f>VLOOKUP(A425,#REF!,12,0)</f>
        <v>#REF!</v>
      </c>
      <c r="P425" t="e">
        <f>VLOOKUP(A425,#REF!,13,0)</f>
        <v>#REF!</v>
      </c>
      <c r="Q425" t="e">
        <f>VLOOKUP(A425,#REF!,14,0)</f>
        <v>#REF!</v>
      </c>
      <c r="R425">
        <v>-1.053263062117046</v>
      </c>
      <c r="S425">
        <v>9.5178566994239183E-2</v>
      </c>
      <c r="T425" s="31" t="str">
        <f>VLOOKUP(C425,V:W,2,0)</f>
        <v>USA</v>
      </c>
      <c r="U425" t="str">
        <f t="shared" si="41"/>
        <v/>
      </c>
    </row>
    <row r="426" spans="1:21" x14ac:dyDescent="0.25">
      <c r="A426" s="31" t="s">
        <v>626</v>
      </c>
      <c r="B426" s="31" t="s">
        <v>2065</v>
      </c>
      <c r="C426" s="31" t="s">
        <v>1231</v>
      </c>
      <c r="D426" s="31">
        <f>IFERROR(ROUND(VLOOKUP(A426,institutions!A:E,4,0),2),"")</f>
        <v>1.6</v>
      </c>
      <c r="E426" s="31">
        <f>IFERROR(ROUND(VLOOKUP(A426,institutions!A:X,7,0),2),"")</f>
        <v>1.64</v>
      </c>
      <c r="F426" s="31">
        <f>IFERROR(ROUND(VLOOKUP(A426,institutions!A:X,10,0),2),"")</f>
        <v>1.48</v>
      </c>
      <c r="G426" s="31">
        <f>IFERROR(ROUND(VLOOKUP(A426,institutions!A:X,13,0),2),"")</f>
        <v>1.61</v>
      </c>
      <c r="H426" s="31">
        <f>IFERROR(ROUND(VLOOKUP(A426,institutions!A:X,16,0),2),"")</f>
        <v>1.89</v>
      </c>
      <c r="I426" s="31">
        <f t="shared" si="36"/>
        <v>0.29799999999999999</v>
      </c>
      <c r="J426" s="31">
        <f t="shared" si="37"/>
        <v>0.59199999999999997</v>
      </c>
      <c r="K426" s="31">
        <f t="shared" si="38"/>
        <v>0.50700000000000001</v>
      </c>
      <c r="L426" s="31">
        <f t="shared" si="39"/>
        <v>0.247</v>
      </c>
      <c r="M426" s="31">
        <f t="shared" si="40"/>
        <v>0.28699999999999998</v>
      </c>
      <c r="N426" t="e">
        <f>VLOOKUP(A426,#REF!,11,0)</f>
        <v>#REF!</v>
      </c>
      <c r="O426" t="e">
        <f>VLOOKUP(A426,#REF!,12,0)</f>
        <v>#REF!</v>
      </c>
      <c r="P426" t="e">
        <f>VLOOKUP(A426,#REF!,13,0)</f>
        <v>#REF!</v>
      </c>
      <c r="Q426" t="e">
        <f>VLOOKUP(A426,#REF!,14,0)</f>
        <v>#REF!</v>
      </c>
      <c r="R426">
        <v>-0.69222516353552055</v>
      </c>
      <c r="S426">
        <v>0.95826639272942038</v>
      </c>
      <c r="T426" s="31" t="str">
        <f>VLOOKUP(C426,V:W,2,0)</f>
        <v>PRT</v>
      </c>
      <c r="U426" t="str">
        <f t="shared" si="41"/>
        <v/>
      </c>
    </row>
    <row r="427" spans="1:21" x14ac:dyDescent="0.25">
      <c r="A427" s="31" t="s">
        <v>1005</v>
      </c>
      <c r="B427" s="31" t="s">
        <v>1646</v>
      </c>
      <c r="C427" s="31" t="s">
        <v>1253</v>
      </c>
      <c r="D427" s="31">
        <f>IFERROR(ROUND(VLOOKUP(A427,institutions!A:E,4,0),2),"")</f>
        <v>1.55</v>
      </c>
      <c r="E427" s="31">
        <f>IFERROR(ROUND(VLOOKUP(A427,institutions!A:X,7,0),2),"")</f>
        <v>1.24</v>
      </c>
      <c r="F427" s="31">
        <f>IFERROR(ROUND(VLOOKUP(A427,institutions!A:X,10,0),2),"")</f>
        <v>1.1499999999999999</v>
      </c>
      <c r="G427" s="31">
        <f>IFERROR(ROUND(VLOOKUP(A427,institutions!A:X,13,0),2),"")</f>
        <v>3.08</v>
      </c>
      <c r="H427" s="31">
        <f>IFERROR(ROUND(VLOOKUP(A427,institutions!A:X,16,0),2),"")</f>
        <v>1.21</v>
      </c>
      <c r="I427" s="31">
        <f t="shared" si="36"/>
        <v>0.248</v>
      </c>
      <c r="J427" s="31">
        <f t="shared" si="37"/>
        <v>0.2</v>
      </c>
      <c r="K427" s="31">
        <f t="shared" si="38"/>
        <v>0.17</v>
      </c>
      <c r="L427" s="31">
        <f t="shared" si="39"/>
        <v>0.82499999999999996</v>
      </c>
      <c r="M427" s="31">
        <f t="shared" si="40"/>
        <v>0.05</v>
      </c>
      <c r="N427" t="e">
        <f>VLOOKUP(A427,#REF!,11,0)</f>
        <v>#REF!</v>
      </c>
      <c r="O427" t="e">
        <f>VLOOKUP(A427,#REF!,12,0)</f>
        <v>#REF!</v>
      </c>
      <c r="P427" t="e">
        <f>VLOOKUP(A427,#REF!,13,0)</f>
        <v>#REF!</v>
      </c>
      <c r="Q427" t="e">
        <f>VLOOKUP(A427,#REF!,14,0)</f>
        <v>#REF!</v>
      </c>
      <c r="R427">
        <v>-1.2915138774340389</v>
      </c>
      <c r="S427">
        <v>-0.95627347010237651</v>
      </c>
      <c r="T427" s="31" t="str">
        <f>VLOOKUP(C427,V:W,2,0)</f>
        <v>EST</v>
      </c>
      <c r="U427" t="str">
        <f t="shared" si="41"/>
        <v/>
      </c>
    </row>
    <row r="428" spans="1:21" x14ac:dyDescent="0.25">
      <c r="A428" s="31" t="s">
        <v>1052</v>
      </c>
      <c r="B428" s="31" t="s">
        <v>1792</v>
      </c>
      <c r="C428" s="31" t="s">
        <v>1217</v>
      </c>
      <c r="D428" s="31">
        <f>IFERROR(ROUND(VLOOKUP(A428,institutions!A:E,4,0),2),"")</f>
        <v>1.62</v>
      </c>
      <c r="E428" s="31">
        <f>IFERROR(ROUND(VLOOKUP(A428,institutions!A:X,7,0),2),"")</f>
        <v>1.4</v>
      </c>
      <c r="F428" s="31">
        <f>IFERROR(ROUND(VLOOKUP(A428,institutions!A:X,10,0),2),"")</f>
        <v>1.41</v>
      </c>
      <c r="G428" s="31">
        <f>IFERROR(ROUND(VLOOKUP(A428,institutions!A:X,13,0),2),"")</f>
        <v>1.9</v>
      </c>
      <c r="H428" s="31">
        <f>IFERROR(ROUND(VLOOKUP(A428,institutions!A:X,16,0),2),"")</f>
        <v>2.08</v>
      </c>
      <c r="I428" s="31">
        <f t="shared" si="36"/>
        <v>0.312</v>
      </c>
      <c r="J428" s="31">
        <f t="shared" si="37"/>
        <v>0.40300000000000002</v>
      </c>
      <c r="K428" s="31">
        <f t="shared" si="38"/>
        <v>0.45300000000000001</v>
      </c>
      <c r="L428" s="31">
        <f t="shared" si="39"/>
        <v>0.41699999999999998</v>
      </c>
      <c r="M428" s="31">
        <f t="shared" si="40"/>
        <v>0.36299999999999999</v>
      </c>
      <c r="N428" t="e">
        <f>VLOOKUP(A428,#REF!,11,0)</f>
        <v>#REF!</v>
      </c>
      <c r="O428" t="e">
        <f>VLOOKUP(A428,#REF!,12,0)</f>
        <v>#REF!</v>
      </c>
      <c r="P428" t="e">
        <f>VLOOKUP(A428,#REF!,13,0)</f>
        <v>#REF!</v>
      </c>
      <c r="Q428" t="e">
        <f>VLOOKUP(A428,#REF!,14,0)</f>
        <v>#REF!</v>
      </c>
      <c r="R428">
        <v>-0.64620597074395836</v>
      </c>
      <c r="S428">
        <v>7.2325680599689759E-2</v>
      </c>
      <c r="T428" s="31" t="str">
        <f>VLOOKUP(C428,V:W,2,0)</f>
        <v>USA</v>
      </c>
      <c r="U428" t="str">
        <f t="shared" si="41"/>
        <v/>
      </c>
    </row>
    <row r="429" spans="1:21" x14ac:dyDescent="0.25">
      <c r="A429" s="31" t="s">
        <v>1128</v>
      </c>
      <c r="B429" s="31" t="s">
        <v>1951</v>
      </c>
      <c r="C429" s="31" t="s">
        <v>1261</v>
      </c>
      <c r="D429" s="31">
        <f>IFERROR(ROUND(VLOOKUP(A429,institutions!A:E,4,0),2),"")</f>
        <v>1.6</v>
      </c>
      <c r="E429" s="31">
        <f>IFERROR(ROUND(VLOOKUP(A429,institutions!A:X,7,0),2),"")</f>
        <v>1.93</v>
      </c>
      <c r="F429" s="31">
        <f>IFERROR(ROUND(VLOOKUP(A429,institutions!A:X,10,0),2),"")</f>
        <v>1.1399999999999999</v>
      </c>
      <c r="G429" s="31">
        <f>IFERROR(ROUND(VLOOKUP(A429,institutions!A:X,13,0),2),"")</f>
        <v>1.47</v>
      </c>
      <c r="H429" s="31">
        <f>IFERROR(ROUND(VLOOKUP(A429,institutions!A:X,16,0),2),"")</f>
        <v>1.29</v>
      </c>
      <c r="I429" s="31">
        <f t="shared" si="36"/>
        <v>0.29799999999999999</v>
      </c>
      <c r="J429" s="31">
        <f t="shared" si="37"/>
        <v>0.73199999999999998</v>
      </c>
      <c r="K429" s="31">
        <f t="shared" si="38"/>
        <v>0.157</v>
      </c>
      <c r="L429" s="31">
        <f t="shared" si="39"/>
        <v>0.183</v>
      </c>
      <c r="M429" s="31">
        <f t="shared" si="40"/>
        <v>6.5000000000000002E-2</v>
      </c>
      <c r="N429" t="e">
        <f>VLOOKUP(A429,#REF!,11,0)</f>
        <v>#REF!</v>
      </c>
      <c r="O429" t="e">
        <f>VLOOKUP(A429,#REF!,12,0)</f>
        <v>#REF!</v>
      </c>
      <c r="P429" t="e">
        <f>VLOOKUP(A429,#REF!,13,0)</f>
        <v>#REF!</v>
      </c>
      <c r="Q429" t="e">
        <f>VLOOKUP(A429,#REF!,14,0)</f>
        <v>#REF!</v>
      </c>
      <c r="R429">
        <v>-1.5813187559780091</v>
      </c>
      <c r="S429">
        <v>1.206671825991783</v>
      </c>
      <c r="T429" s="31" t="str">
        <f>VLOOKUP(C429,V:W,2,0)</f>
        <v>COL</v>
      </c>
      <c r="U429" t="str">
        <f t="shared" si="41"/>
        <v/>
      </c>
    </row>
    <row r="430" spans="1:21" x14ac:dyDescent="0.25">
      <c r="A430" s="31" t="s">
        <v>1152</v>
      </c>
      <c r="B430" s="31" t="s">
        <v>1643</v>
      </c>
      <c r="C430" s="31" t="s">
        <v>1271</v>
      </c>
      <c r="D430" s="31">
        <f>IFERROR(ROUND(VLOOKUP(A430,institutions!A:E,4,0),2),"")</f>
        <v>1.58</v>
      </c>
      <c r="E430" s="31">
        <f>IFERROR(ROUND(VLOOKUP(A430,institutions!A:X,7,0),2),"")</f>
        <v>1.57</v>
      </c>
      <c r="F430" s="31">
        <f>IFERROR(ROUND(VLOOKUP(A430,institutions!A:X,10,0),2),"")</f>
        <v>1.08</v>
      </c>
      <c r="G430" s="31">
        <f>IFERROR(ROUND(VLOOKUP(A430,institutions!A:X,13,0),2),"")</f>
        <v>1.47</v>
      </c>
      <c r="H430" s="31">
        <f>IFERROR(ROUND(VLOOKUP(A430,institutions!A:X,16,0),2),"")</f>
        <v>1.63</v>
      </c>
      <c r="I430" s="31">
        <f t="shared" si="36"/>
        <v>0.28299999999999997</v>
      </c>
      <c r="J430" s="31">
        <f t="shared" si="37"/>
        <v>0.55700000000000005</v>
      </c>
      <c r="K430" s="31">
        <f t="shared" si="38"/>
        <v>0.107</v>
      </c>
      <c r="L430" s="31">
        <f t="shared" si="39"/>
        <v>0.183</v>
      </c>
      <c r="M430" s="31">
        <f t="shared" si="40"/>
        <v>0.158</v>
      </c>
      <c r="N430" t="e">
        <f>VLOOKUP(A430,#REF!,11,0)</f>
        <v>#REF!</v>
      </c>
      <c r="O430" t="e">
        <f>VLOOKUP(A430,#REF!,12,0)</f>
        <v>#REF!</v>
      </c>
      <c r="P430" t="e">
        <f>VLOOKUP(A430,#REF!,13,0)</f>
        <v>#REF!</v>
      </c>
      <c r="Q430" t="e">
        <f>VLOOKUP(A430,#REF!,14,0)</f>
        <v>#REF!</v>
      </c>
      <c r="R430">
        <v>-1.778787903755277</v>
      </c>
      <c r="S430">
        <v>0.6127214992979807</v>
      </c>
      <c r="T430" s="31" t="str">
        <f>VLOOKUP(C430,V:W,2,0)</f>
        <v>DEU</v>
      </c>
      <c r="U430" t="str">
        <f t="shared" si="41"/>
        <v>Kiel</v>
      </c>
    </row>
    <row r="431" spans="1:21" x14ac:dyDescent="0.25">
      <c r="A431" s="31" t="s">
        <v>932</v>
      </c>
      <c r="B431" s="31" t="s">
        <v>2038</v>
      </c>
      <c r="C431" s="31" t="s">
        <v>1230</v>
      </c>
      <c r="D431" s="31">
        <f>IFERROR(ROUND(VLOOKUP(A431,institutions!A:E,4,0),2),"")</f>
        <v>1.62</v>
      </c>
      <c r="E431" s="31">
        <f>IFERROR(ROUND(VLOOKUP(A431,institutions!A:X,7,0),2),"")</f>
        <v>1.1299999999999999</v>
      </c>
      <c r="F431" s="31">
        <f>IFERROR(ROUND(VLOOKUP(A431,institutions!A:X,10,0),2),"")</f>
        <v>1.19</v>
      </c>
      <c r="G431" s="31">
        <f>IFERROR(ROUND(VLOOKUP(A431,institutions!A:X,13,0),2),"")</f>
        <v>2.08</v>
      </c>
      <c r="H431" s="31">
        <f>IFERROR(ROUND(VLOOKUP(A431,institutions!A:X,16,0),2),"")</f>
        <v>2.37</v>
      </c>
      <c r="I431" s="31">
        <f t="shared" si="36"/>
        <v>0.312</v>
      </c>
      <c r="J431" s="31">
        <f t="shared" si="37"/>
        <v>7.6999999999999999E-2</v>
      </c>
      <c r="K431" s="31">
        <f t="shared" si="38"/>
        <v>0.22</v>
      </c>
      <c r="L431" s="31">
        <f t="shared" si="39"/>
        <v>0.502</v>
      </c>
      <c r="M431" s="31">
        <f t="shared" si="40"/>
        <v>0.497</v>
      </c>
      <c r="N431" t="e">
        <f>VLOOKUP(A431,#REF!,11,0)</f>
        <v>#REF!</v>
      </c>
      <c r="O431" t="e">
        <f>VLOOKUP(A431,#REF!,12,0)</f>
        <v>#REF!</v>
      </c>
      <c r="P431" t="e">
        <f>VLOOKUP(A431,#REF!,13,0)</f>
        <v>#REF!</v>
      </c>
      <c r="Q431" t="e">
        <f>VLOOKUP(A431,#REF!,14,0)</f>
        <v>#REF!</v>
      </c>
      <c r="R431">
        <v>-1.1721628782852269</v>
      </c>
      <c r="S431">
        <v>-1.3169984791246021</v>
      </c>
      <c r="T431" s="31" t="str">
        <f>VLOOKUP(C431,V:W,2,0)</f>
        <v>CHN</v>
      </c>
      <c r="U431" t="str">
        <f t="shared" si="41"/>
        <v/>
      </c>
    </row>
    <row r="432" spans="1:21" x14ac:dyDescent="0.25">
      <c r="A432" s="31" t="s">
        <v>1118</v>
      </c>
      <c r="B432" s="31" t="s">
        <v>2040</v>
      </c>
      <c r="C432" s="31" t="s">
        <v>1217</v>
      </c>
      <c r="D432" s="31">
        <f>IFERROR(ROUND(VLOOKUP(A432,institutions!A:E,4,0),2),"")</f>
        <v>1.56</v>
      </c>
      <c r="E432" s="31">
        <f>IFERROR(ROUND(VLOOKUP(A432,institutions!A:X,7,0),2),"")</f>
        <v>1.32</v>
      </c>
      <c r="F432" s="31">
        <f>IFERROR(ROUND(VLOOKUP(A432,institutions!A:X,10,0),2),"")</f>
        <v>1.36</v>
      </c>
      <c r="G432" s="31">
        <f>IFERROR(ROUND(VLOOKUP(A432,institutions!A:X,13,0),2),"")</f>
        <v>2.17</v>
      </c>
      <c r="H432" s="31">
        <f>IFERROR(ROUND(VLOOKUP(A432,institutions!A:X,16,0),2),"")</f>
        <v>2.04</v>
      </c>
      <c r="I432" s="31">
        <f t="shared" si="36"/>
        <v>0.26200000000000001</v>
      </c>
      <c r="J432" s="31">
        <f t="shared" si="37"/>
        <v>0.31</v>
      </c>
      <c r="K432" s="31">
        <f t="shared" si="38"/>
        <v>0.41199999999999998</v>
      </c>
      <c r="L432" s="31">
        <f t="shared" si="39"/>
        <v>0.54</v>
      </c>
      <c r="M432" s="31">
        <f t="shared" si="40"/>
        <v>0.34200000000000003</v>
      </c>
      <c r="N432" t="e">
        <f>VLOOKUP(A432,#REF!,11,0)</f>
        <v>#REF!</v>
      </c>
      <c r="O432" t="e">
        <f>VLOOKUP(A432,#REF!,12,0)</f>
        <v>#REF!</v>
      </c>
      <c r="P432" t="e">
        <f>VLOOKUP(A432,#REF!,13,0)</f>
        <v>#REF!</v>
      </c>
      <c r="Q432" t="e">
        <f>VLOOKUP(A432,#REF!,14,0)</f>
        <v>#REF!</v>
      </c>
      <c r="R432">
        <v>-0.68343745582543336</v>
      </c>
      <c r="S432">
        <v>-0.35754571833407811</v>
      </c>
      <c r="T432" s="31" t="str">
        <f>VLOOKUP(C432,V:W,2,0)</f>
        <v>USA</v>
      </c>
      <c r="U432" t="str">
        <f t="shared" si="41"/>
        <v/>
      </c>
    </row>
    <row r="433" spans="1:21" x14ac:dyDescent="0.25">
      <c r="A433" s="31" t="s">
        <v>1055</v>
      </c>
      <c r="B433" s="31" t="s">
        <v>1799</v>
      </c>
      <c r="C433" s="31" t="s">
        <v>1230</v>
      </c>
      <c r="D433" s="31">
        <f>IFERROR(ROUND(VLOOKUP(A433,institutions!A:E,4,0),2),"")</f>
        <v>1.57</v>
      </c>
      <c r="E433" s="31">
        <f>IFERROR(ROUND(VLOOKUP(A433,institutions!A:X,7,0),2),"")</f>
        <v>1.51</v>
      </c>
      <c r="F433" s="31">
        <f>IFERROR(ROUND(VLOOKUP(A433,institutions!A:X,10,0),2),"")</f>
        <v>1.29</v>
      </c>
      <c r="G433" s="31">
        <f>IFERROR(ROUND(VLOOKUP(A433,institutions!A:X,13,0),2),"")</f>
        <v>1.71</v>
      </c>
      <c r="H433" s="31">
        <f>IFERROR(ROUND(VLOOKUP(A433,institutions!A:X,16,0),2),"")</f>
        <v>1.84</v>
      </c>
      <c r="I433" s="31">
        <f t="shared" si="36"/>
        <v>0.27700000000000002</v>
      </c>
      <c r="J433" s="31">
        <f t="shared" si="37"/>
        <v>0.50800000000000001</v>
      </c>
      <c r="K433" s="31">
        <f t="shared" si="38"/>
        <v>0.33800000000000002</v>
      </c>
      <c r="L433" s="31">
        <f t="shared" si="39"/>
        <v>0.30499999999999999</v>
      </c>
      <c r="M433" s="31">
        <f t="shared" si="40"/>
        <v>0.255</v>
      </c>
      <c r="N433" t="e">
        <f>VLOOKUP(A433,#REF!,11,0)</f>
        <v>#REF!</v>
      </c>
      <c r="O433" t="e">
        <f>VLOOKUP(A433,#REF!,12,0)</f>
        <v>#REF!</v>
      </c>
      <c r="P433" t="e">
        <f>VLOOKUP(A433,#REF!,13,0)</f>
        <v>#REF!</v>
      </c>
      <c r="Q433" t="e">
        <f>VLOOKUP(A433,#REF!,14,0)</f>
        <v>#REF!</v>
      </c>
      <c r="R433">
        <v>-1.069616452622866</v>
      </c>
      <c r="S433">
        <v>0.48710309586197548</v>
      </c>
      <c r="T433" s="31" t="str">
        <f>VLOOKUP(C433,V:W,2,0)</f>
        <v>CHN</v>
      </c>
      <c r="U433" t="str">
        <f t="shared" si="41"/>
        <v/>
      </c>
    </row>
    <row r="434" spans="1:21" x14ac:dyDescent="0.25">
      <c r="A434" s="31" t="s">
        <v>966</v>
      </c>
      <c r="B434" s="31" t="s">
        <v>1795</v>
      </c>
      <c r="C434" s="31" t="s">
        <v>1236</v>
      </c>
      <c r="D434" s="31">
        <f>IFERROR(ROUND(VLOOKUP(A434,institutions!A:E,4,0),2),"")</f>
        <v>1.63</v>
      </c>
      <c r="E434" s="31">
        <f>IFERROR(ROUND(VLOOKUP(A434,institutions!A:X,7,0),2),"")</f>
        <v>1.45</v>
      </c>
      <c r="F434" s="31">
        <f>IFERROR(ROUND(VLOOKUP(A434,institutions!A:X,10,0),2),"")</f>
        <v>1.33</v>
      </c>
      <c r="G434" s="31">
        <f>IFERROR(ROUND(VLOOKUP(A434,institutions!A:X,13,0),2),"")</f>
        <v>1.73</v>
      </c>
      <c r="H434" s="31">
        <f>IFERROR(ROUND(VLOOKUP(A434,institutions!A:X,16,0),2),"")</f>
        <v>2.16</v>
      </c>
      <c r="I434" s="31">
        <f t="shared" si="36"/>
        <v>0.318</v>
      </c>
      <c r="J434" s="31">
        <f t="shared" si="37"/>
        <v>0.45300000000000001</v>
      </c>
      <c r="K434" s="31">
        <f t="shared" si="38"/>
        <v>0.38200000000000001</v>
      </c>
      <c r="L434" s="31">
        <f t="shared" si="39"/>
        <v>0.315</v>
      </c>
      <c r="M434" s="31">
        <f t="shared" si="40"/>
        <v>0.39800000000000002</v>
      </c>
      <c r="N434" t="e">
        <f>VLOOKUP(A434,#REF!,11,0)</f>
        <v>#REF!</v>
      </c>
      <c r="O434" t="e">
        <f>VLOOKUP(A434,#REF!,12,0)</f>
        <v>#REF!</v>
      </c>
      <c r="P434" t="e">
        <f>VLOOKUP(A434,#REF!,13,0)</f>
        <v>#REF!</v>
      </c>
      <c r="Q434" t="e">
        <f>VLOOKUP(A434,#REF!,14,0)</f>
        <v>#REF!</v>
      </c>
      <c r="R434">
        <v>-0.80635480767011924</v>
      </c>
      <c r="S434">
        <v>0.19021052158867119</v>
      </c>
      <c r="T434" s="31" t="str">
        <f>VLOOKUP(C434,V:W,2,0)</f>
        <v>NZE</v>
      </c>
      <c r="U434" t="str">
        <f t="shared" si="41"/>
        <v/>
      </c>
    </row>
    <row r="435" spans="1:21" x14ac:dyDescent="0.25">
      <c r="A435" s="31" t="s">
        <v>928</v>
      </c>
      <c r="B435" s="31" t="s">
        <v>1647</v>
      </c>
      <c r="C435" s="31" t="s">
        <v>1216</v>
      </c>
      <c r="D435" s="31">
        <f>IFERROR(ROUND(VLOOKUP(A435,institutions!A:E,4,0),2),"")</f>
        <v>1.62</v>
      </c>
      <c r="E435" s="31">
        <f>IFERROR(ROUND(VLOOKUP(A435,institutions!A:X,7,0),2),"")</f>
        <v>1.39</v>
      </c>
      <c r="F435" s="31">
        <f>IFERROR(ROUND(VLOOKUP(A435,institutions!A:X,10,0),2),"")</f>
        <v>1.31</v>
      </c>
      <c r="G435" s="31">
        <f>IFERROR(ROUND(VLOOKUP(A435,institutions!A:X,13,0),2),"")</f>
        <v>1.87</v>
      </c>
      <c r="H435" s="31">
        <f>IFERROR(ROUND(VLOOKUP(A435,institutions!A:X,16,0),2),"")</f>
        <v>1.86</v>
      </c>
      <c r="I435" s="31">
        <f t="shared" si="36"/>
        <v>0.312</v>
      </c>
      <c r="J435" s="31">
        <f t="shared" si="37"/>
        <v>0.39200000000000002</v>
      </c>
      <c r="K435" s="31">
        <f t="shared" si="38"/>
        <v>0.35699999999999998</v>
      </c>
      <c r="L435" s="31">
        <f t="shared" si="39"/>
        <v>0.40699999999999997</v>
      </c>
      <c r="M435" s="31">
        <f t="shared" si="40"/>
        <v>0.26700000000000002</v>
      </c>
      <c r="N435" t="e">
        <f>VLOOKUP(A435,#REF!,11,0)</f>
        <v>#REF!</v>
      </c>
      <c r="O435" t="e">
        <f>VLOOKUP(A435,#REF!,12,0)</f>
        <v>#REF!</v>
      </c>
      <c r="P435" t="e">
        <f>VLOOKUP(A435,#REF!,13,0)</f>
        <v>#REF!</v>
      </c>
      <c r="Q435" t="e">
        <f>VLOOKUP(A435,#REF!,14,0)</f>
        <v>#REF!</v>
      </c>
      <c r="R435">
        <v>-1.019028097754427</v>
      </c>
      <c r="S435">
        <v>7.8072262367362533E-2</v>
      </c>
      <c r="T435" s="31" t="str">
        <f>VLOOKUP(C435,V:W,2,0)</f>
        <v>UK</v>
      </c>
      <c r="U435" t="str">
        <f t="shared" si="41"/>
        <v/>
      </c>
    </row>
    <row r="436" spans="1:21" x14ac:dyDescent="0.25">
      <c r="A436" s="31" t="s">
        <v>976</v>
      </c>
      <c r="B436" s="31" t="s">
        <v>1789</v>
      </c>
      <c r="C436" s="31" t="s">
        <v>1237</v>
      </c>
      <c r="D436" s="31">
        <f>IFERROR(ROUND(VLOOKUP(A436,institutions!A:E,4,0),2),"")</f>
        <v>1.58</v>
      </c>
      <c r="E436" s="31">
        <f>IFERROR(ROUND(VLOOKUP(A436,institutions!A:X,7,0),2),"")</f>
        <v>1.22</v>
      </c>
      <c r="F436" s="31">
        <f>IFERROR(ROUND(VLOOKUP(A436,institutions!A:X,10,0),2),"")</f>
        <v>1.39</v>
      </c>
      <c r="G436" s="31">
        <f>IFERROR(ROUND(VLOOKUP(A436,institutions!A:X,13,0),2),"")</f>
        <v>1.69</v>
      </c>
      <c r="H436" s="31">
        <f>IFERROR(ROUND(VLOOKUP(A436,institutions!A:X,16,0),2),"")</f>
        <v>2.1800000000000002</v>
      </c>
      <c r="I436" s="31">
        <f t="shared" si="36"/>
        <v>0.28299999999999997</v>
      </c>
      <c r="J436" s="31">
        <f t="shared" si="37"/>
        <v>0.18</v>
      </c>
      <c r="K436" s="31">
        <f t="shared" si="38"/>
        <v>0.435</v>
      </c>
      <c r="L436" s="31">
        <f t="shared" si="39"/>
        <v>0.29299999999999998</v>
      </c>
      <c r="M436" s="31">
        <f t="shared" si="40"/>
        <v>0.41</v>
      </c>
      <c r="N436" t="e">
        <f>VLOOKUP(A436,#REF!,11,0)</f>
        <v>#REF!</v>
      </c>
      <c r="O436" t="e">
        <f>VLOOKUP(A436,#REF!,12,0)</f>
        <v>#REF!</v>
      </c>
      <c r="P436" t="e">
        <f>VLOOKUP(A436,#REF!,13,0)</f>
        <v>#REF!</v>
      </c>
      <c r="Q436" t="e">
        <f>VLOOKUP(A436,#REF!,14,0)</f>
        <v>#REF!</v>
      </c>
      <c r="R436">
        <v>-1.170192190125215</v>
      </c>
      <c r="S436">
        <v>-0.29800043652274932</v>
      </c>
      <c r="T436" s="31" t="str">
        <f>VLOOKUP(C436,V:W,2,0)</f>
        <v>AUS</v>
      </c>
      <c r="U436" t="str">
        <f t="shared" si="41"/>
        <v/>
      </c>
    </row>
    <row r="437" spans="1:21" x14ac:dyDescent="0.25">
      <c r="A437" s="31" t="s">
        <v>1169</v>
      </c>
      <c r="B437" s="31" t="s">
        <v>1169</v>
      </c>
      <c r="C437" s="31" t="s">
        <v>1218</v>
      </c>
      <c r="D437" s="31">
        <f>IFERROR(ROUND(VLOOKUP(A437,institutions!A:E,4,0),2),"")</f>
        <v>1.53</v>
      </c>
      <c r="E437" s="31">
        <f>IFERROR(ROUND(VLOOKUP(A437,institutions!A:X,7,0),2),"")</f>
        <v>1.52</v>
      </c>
      <c r="F437" s="31">
        <f>IFERROR(ROUND(VLOOKUP(A437,institutions!A:X,10,0),2),"")</f>
        <v>1.5</v>
      </c>
      <c r="G437" s="31">
        <f>IFERROR(ROUND(VLOOKUP(A437,institutions!A:X,13,0),2),"")</f>
        <v>1.92</v>
      </c>
      <c r="H437" s="31">
        <f>IFERROR(ROUND(VLOOKUP(A437,institutions!A:X,16,0),2),"")</f>
        <v>1.43</v>
      </c>
      <c r="I437" s="31">
        <f t="shared" si="36"/>
        <v>0.23</v>
      </c>
      <c r="J437" s="31">
        <f t="shared" si="37"/>
        <v>0.52</v>
      </c>
      <c r="K437" s="31">
        <f t="shared" si="38"/>
        <v>0.52700000000000002</v>
      </c>
      <c r="L437" s="31">
        <f t="shared" si="39"/>
        <v>0.42699999999999999</v>
      </c>
      <c r="M437" s="31">
        <f t="shared" si="40"/>
        <v>0.09</v>
      </c>
      <c r="N437" t="e">
        <f>VLOOKUP(A437,#REF!,11,0)</f>
        <v>#REF!</v>
      </c>
      <c r="O437" t="e">
        <f>VLOOKUP(A437,#REF!,12,0)</f>
        <v>#REF!</v>
      </c>
      <c r="P437" t="e">
        <f>VLOOKUP(A437,#REF!,13,0)</f>
        <v>#REF!</v>
      </c>
      <c r="Q437" t="e">
        <f>VLOOKUP(A437,#REF!,14,0)</f>
        <v>#REF!</v>
      </c>
      <c r="R437">
        <v>-0.80774037065373194</v>
      </c>
      <c r="S437">
        <v>0.84618389049881459</v>
      </c>
      <c r="T437" s="31" t="str">
        <f>VLOOKUP(C437,V:W,2,0)</f>
        <v>FRA</v>
      </c>
      <c r="U437" t="str">
        <f t="shared" si="41"/>
        <v>INRAE</v>
      </c>
    </row>
    <row r="438" spans="1:21" x14ac:dyDescent="0.25">
      <c r="A438" s="31" t="s">
        <v>1108</v>
      </c>
      <c r="B438" s="31" t="s">
        <v>1813</v>
      </c>
      <c r="C438" s="31" t="s">
        <v>1217</v>
      </c>
      <c r="D438" s="31">
        <f>IFERROR(ROUND(VLOOKUP(A438,institutions!A:E,4,0),2),"")</f>
        <v>1.61</v>
      </c>
      <c r="E438" s="31">
        <f>IFERROR(ROUND(VLOOKUP(A438,institutions!A:X,7,0),2),"")</f>
        <v>1.51</v>
      </c>
      <c r="F438" s="31">
        <f>IFERROR(ROUND(VLOOKUP(A438,institutions!A:X,10,0),2),"")</f>
        <v>1.57</v>
      </c>
      <c r="G438" s="31">
        <f>IFERROR(ROUND(VLOOKUP(A438,institutions!A:X,13,0),2),"")</f>
        <v>2.0099999999999998</v>
      </c>
      <c r="H438" s="31">
        <f>IFERROR(ROUND(VLOOKUP(A438,institutions!A:X,16,0),2),"")</f>
        <v>2.35</v>
      </c>
      <c r="I438" s="31">
        <f t="shared" si="36"/>
        <v>0.307</v>
      </c>
      <c r="J438" s="31">
        <f t="shared" si="37"/>
        <v>0.50800000000000001</v>
      </c>
      <c r="K438" s="31">
        <f t="shared" si="38"/>
        <v>0.56799999999999995</v>
      </c>
      <c r="L438" s="31">
        <f t="shared" si="39"/>
        <v>0.47299999999999998</v>
      </c>
      <c r="M438" s="31">
        <f t="shared" si="40"/>
        <v>0.48799999999999999</v>
      </c>
      <c r="N438" t="e">
        <f>VLOOKUP(A438,#REF!,11,0)</f>
        <v>#REF!</v>
      </c>
      <c r="O438" t="e">
        <f>VLOOKUP(A438,#REF!,12,0)</f>
        <v>#REF!</v>
      </c>
      <c r="P438" t="e">
        <f>VLOOKUP(A438,#REF!,13,0)</f>
        <v>#REF!</v>
      </c>
      <c r="Q438" t="e">
        <f>VLOOKUP(A438,#REF!,14,0)</f>
        <v>#REF!</v>
      </c>
      <c r="R438">
        <v>4.3945344117951729E-2</v>
      </c>
      <c r="S438">
        <v>0.17231222540979921</v>
      </c>
      <c r="T438" s="31" t="str">
        <f>VLOOKUP(C438,V:W,2,0)</f>
        <v>USA</v>
      </c>
      <c r="U438" t="str">
        <f t="shared" si="41"/>
        <v/>
      </c>
    </row>
    <row r="439" spans="1:21" x14ac:dyDescent="0.25">
      <c r="A439" s="31" t="s">
        <v>1150</v>
      </c>
      <c r="B439" s="31" t="s">
        <v>2032</v>
      </c>
      <c r="C439" s="31" t="s">
        <v>1227</v>
      </c>
      <c r="D439" s="31">
        <f>IFERROR(ROUND(VLOOKUP(A439,institutions!A:E,4,0),2),"")</f>
        <v>1.55</v>
      </c>
      <c r="E439" s="31">
        <f>IFERROR(ROUND(VLOOKUP(A439,institutions!A:X,7,0),2),"")</f>
        <v>1.43</v>
      </c>
      <c r="F439" s="31">
        <f>IFERROR(ROUND(VLOOKUP(A439,institutions!A:X,10,0),2),"")</f>
        <v>1.24</v>
      </c>
      <c r="G439" s="31">
        <f>IFERROR(ROUND(VLOOKUP(A439,institutions!A:X,13,0),2),"")</f>
        <v>2.06</v>
      </c>
      <c r="H439" s="31">
        <f>IFERROR(ROUND(VLOOKUP(A439,institutions!A:X,16,0),2),"")</f>
        <v>1.87</v>
      </c>
      <c r="I439" s="31">
        <f t="shared" si="36"/>
        <v>0.248</v>
      </c>
      <c r="J439" s="31">
        <f t="shared" si="37"/>
        <v>0.442</v>
      </c>
      <c r="K439" s="31">
        <f t="shared" si="38"/>
        <v>0.27800000000000002</v>
      </c>
      <c r="L439" s="31">
        <f t="shared" si="39"/>
        <v>0.48699999999999999</v>
      </c>
      <c r="M439" s="31">
        <f t="shared" si="40"/>
        <v>0.27200000000000002</v>
      </c>
      <c r="N439" t="e">
        <f>VLOOKUP(A439,#REF!,11,0)</f>
        <v>#REF!</v>
      </c>
      <c r="O439" t="e">
        <f>VLOOKUP(A439,#REF!,12,0)</f>
        <v>#REF!</v>
      </c>
      <c r="P439" t="e">
        <f>VLOOKUP(A439,#REF!,13,0)</f>
        <v>#REF!</v>
      </c>
      <c r="Q439" t="e">
        <f>VLOOKUP(A439,#REF!,14,0)</f>
        <v>#REF!</v>
      </c>
      <c r="R439">
        <v>-0.92218127837405595</v>
      </c>
      <c r="S439">
        <v>-7.1332765686594385E-2</v>
      </c>
      <c r="T439" s="31" t="str">
        <f>VLOOKUP(C439,V:W,2,0)</f>
        <v>BEL</v>
      </c>
      <c r="U439" t="str">
        <f t="shared" si="41"/>
        <v/>
      </c>
    </row>
    <row r="440" spans="1:21" x14ac:dyDescent="0.25">
      <c r="A440" s="31" t="s">
        <v>1023</v>
      </c>
      <c r="B440" s="31" t="s">
        <v>1980</v>
      </c>
      <c r="C440" s="31" t="s">
        <v>1230</v>
      </c>
      <c r="D440" s="31">
        <f>IFERROR(ROUND(VLOOKUP(A440,institutions!A:E,4,0),2),"")</f>
        <v>1.57</v>
      </c>
      <c r="E440" s="31">
        <f>IFERROR(ROUND(VLOOKUP(A440,institutions!A:X,7,0),2),"")</f>
        <v>1.31</v>
      </c>
      <c r="F440" s="31">
        <f>IFERROR(ROUND(VLOOKUP(A440,institutions!A:X,10,0),2),"")</f>
        <v>1.43</v>
      </c>
      <c r="G440" s="31">
        <f>IFERROR(ROUND(VLOOKUP(A440,institutions!A:X,13,0),2),"")</f>
        <v>1.78</v>
      </c>
      <c r="H440" s="31">
        <f>IFERROR(ROUND(VLOOKUP(A440,institutions!A:X,16,0),2),"")</f>
        <v>1.82</v>
      </c>
      <c r="I440" s="31">
        <f t="shared" si="36"/>
        <v>0.27700000000000002</v>
      </c>
      <c r="J440" s="31">
        <f t="shared" si="37"/>
        <v>0.29799999999999999</v>
      </c>
      <c r="K440" s="31">
        <f t="shared" si="38"/>
        <v>0.47299999999999998</v>
      </c>
      <c r="L440" s="31">
        <f t="shared" si="39"/>
        <v>0.35799999999999998</v>
      </c>
      <c r="M440" s="31">
        <f t="shared" si="40"/>
        <v>0.247</v>
      </c>
      <c r="N440" t="e">
        <f>VLOOKUP(A440,#REF!,11,0)</f>
        <v>#REF!</v>
      </c>
      <c r="O440" t="e">
        <f>VLOOKUP(A440,#REF!,12,0)</f>
        <v>#REF!</v>
      </c>
      <c r="P440" t="e">
        <f>VLOOKUP(A440,#REF!,13,0)</f>
        <v>#REF!</v>
      </c>
      <c r="Q440" t="e">
        <f>VLOOKUP(A440,#REF!,14,0)</f>
        <v>#REF!</v>
      </c>
      <c r="R440">
        <v>-1.094819025105062</v>
      </c>
      <c r="S440">
        <v>0.15950264983152029</v>
      </c>
      <c r="T440" s="31" t="str">
        <f>VLOOKUP(C440,V:W,2,0)</f>
        <v>CHN</v>
      </c>
      <c r="U440" t="str">
        <f t="shared" si="41"/>
        <v/>
      </c>
    </row>
    <row r="441" spans="1:21" x14ac:dyDescent="0.25">
      <c r="A441" s="31" t="s">
        <v>1025</v>
      </c>
      <c r="B441" s="31" t="s">
        <v>1635</v>
      </c>
      <c r="C441" s="31" t="s">
        <v>1220</v>
      </c>
      <c r="D441" s="31">
        <f>IFERROR(ROUND(VLOOKUP(A441,institutions!A:E,4,0),2),"")</f>
        <v>1.6</v>
      </c>
      <c r="E441" s="31">
        <f>IFERROR(ROUND(VLOOKUP(A441,institutions!A:X,7,0),2),"")</f>
        <v>2.2000000000000002</v>
      </c>
      <c r="F441" s="31">
        <f>IFERROR(ROUND(VLOOKUP(A441,institutions!A:X,10,0),2),"")</f>
        <v>1.1399999999999999</v>
      </c>
      <c r="G441" s="31">
        <f>IFERROR(ROUND(VLOOKUP(A441,institutions!A:X,13,0),2),"")</f>
        <v>2.17</v>
      </c>
      <c r="H441" s="31">
        <f>IFERROR(ROUND(VLOOKUP(A441,institutions!A:X,16,0),2),"")</f>
        <v>2.39</v>
      </c>
      <c r="I441" s="31">
        <f t="shared" si="36"/>
        <v>0.29799999999999999</v>
      </c>
      <c r="J441" s="31">
        <f t="shared" si="37"/>
        <v>0.81699999999999995</v>
      </c>
      <c r="K441" s="31">
        <f t="shared" si="38"/>
        <v>0.157</v>
      </c>
      <c r="L441" s="31">
        <f t="shared" si="39"/>
        <v>0.54</v>
      </c>
      <c r="M441" s="31">
        <f t="shared" si="40"/>
        <v>0.502</v>
      </c>
      <c r="N441" t="e">
        <f>VLOOKUP(A441,#REF!,11,0)</f>
        <v>#REF!</v>
      </c>
      <c r="O441" t="e">
        <f>VLOOKUP(A441,#REF!,12,0)</f>
        <v>#REF!</v>
      </c>
      <c r="P441" t="e">
        <f>VLOOKUP(A441,#REF!,13,0)</f>
        <v>#REF!</v>
      </c>
      <c r="Q441" t="e">
        <f>VLOOKUP(A441,#REF!,14,0)</f>
        <v>#REF!</v>
      </c>
      <c r="R441">
        <v>-1.897152149523651E-2</v>
      </c>
      <c r="S441">
        <v>0.10025284638811149</v>
      </c>
      <c r="T441" s="31" t="str">
        <f>VLOOKUP(C441,V:W,2,0)</f>
        <v>SPAIN</v>
      </c>
      <c r="U441" t="str">
        <f t="shared" si="41"/>
        <v>Zaragoza</v>
      </c>
    </row>
    <row r="442" spans="1:21" x14ac:dyDescent="0.25">
      <c r="A442" s="31" t="s">
        <v>1095</v>
      </c>
      <c r="B442" s="31" t="s">
        <v>1818</v>
      </c>
      <c r="C442" s="31" t="s">
        <v>1234</v>
      </c>
      <c r="D442" s="31">
        <f>IFERROR(ROUND(VLOOKUP(A442,institutions!A:E,4,0),2),"")</f>
        <v>1.59</v>
      </c>
      <c r="E442" s="31">
        <f>IFERROR(ROUND(VLOOKUP(A442,institutions!A:X,7,0),2),"")</f>
        <v>1.38</v>
      </c>
      <c r="F442" s="31">
        <f>IFERROR(ROUND(VLOOKUP(A442,institutions!A:X,10,0),2),"")</f>
        <v>1.25</v>
      </c>
      <c r="G442" s="31">
        <f>IFERROR(ROUND(VLOOKUP(A442,institutions!A:X,13,0),2),"")</f>
        <v>1.57</v>
      </c>
      <c r="H442" s="31">
        <f>IFERROR(ROUND(VLOOKUP(A442,institutions!A:X,16,0),2),"")</f>
        <v>2.56</v>
      </c>
      <c r="I442" s="31">
        <f t="shared" si="36"/>
        <v>0.28799999999999998</v>
      </c>
      <c r="J442" s="31">
        <f t="shared" si="37"/>
        <v>0.372</v>
      </c>
      <c r="K442" s="31">
        <f t="shared" si="38"/>
        <v>0.29699999999999999</v>
      </c>
      <c r="L442" s="31">
        <f t="shared" si="39"/>
        <v>0.23</v>
      </c>
      <c r="M442" s="31">
        <f t="shared" si="40"/>
        <v>0.56699999999999995</v>
      </c>
      <c r="N442" t="e">
        <f>VLOOKUP(A442,#REF!,11,0)</f>
        <v>#REF!</v>
      </c>
      <c r="O442" t="e">
        <f>VLOOKUP(A442,#REF!,12,0)</f>
        <v>#REF!</v>
      </c>
      <c r="P442" t="e">
        <f>VLOOKUP(A442,#REF!,13,0)</f>
        <v>#REF!</v>
      </c>
      <c r="Q442" t="e">
        <f>VLOOKUP(A442,#REF!,14,0)</f>
        <v>#REF!</v>
      </c>
      <c r="R442">
        <v>-0.92768771694891683</v>
      </c>
      <c r="S442">
        <v>-0.23286889604081901</v>
      </c>
      <c r="T442" s="31" t="str">
        <f>VLOOKUP(C442,V:W,2,0)</f>
        <v>UK</v>
      </c>
      <c r="U442" t="str">
        <f t="shared" si="41"/>
        <v/>
      </c>
    </row>
    <row r="443" spans="1:21" x14ac:dyDescent="0.25">
      <c r="A443" s="31" t="s">
        <v>1051</v>
      </c>
      <c r="B443" s="31" t="s">
        <v>1806</v>
      </c>
      <c r="C443" s="31" t="s">
        <v>1257</v>
      </c>
      <c r="D443" s="31">
        <f>IFERROR(ROUND(VLOOKUP(A443,institutions!A:E,4,0),2),"")</f>
        <v>1.57</v>
      </c>
      <c r="E443" s="31">
        <f>IFERROR(ROUND(VLOOKUP(A443,institutions!A:X,7,0),2),"")</f>
        <v>1.1299999999999999</v>
      </c>
      <c r="F443" s="31">
        <f>IFERROR(ROUND(VLOOKUP(A443,institutions!A:X,10,0),2),"")</f>
        <v>1.35</v>
      </c>
      <c r="G443" s="31">
        <f>IFERROR(ROUND(VLOOKUP(A443,institutions!A:X,13,0),2),"")</f>
        <v>1.88</v>
      </c>
      <c r="H443" s="31">
        <f>IFERROR(ROUND(VLOOKUP(A443,institutions!A:X,16,0),2),"")</f>
        <v>1.87</v>
      </c>
      <c r="I443" s="31">
        <f t="shared" si="36"/>
        <v>0.27700000000000002</v>
      </c>
      <c r="J443" s="31">
        <f t="shared" si="37"/>
        <v>7.6999999999999999E-2</v>
      </c>
      <c r="K443" s="31">
        <f t="shared" si="38"/>
        <v>0.40200000000000002</v>
      </c>
      <c r="L443" s="31">
        <f t="shared" si="39"/>
        <v>0.41</v>
      </c>
      <c r="M443" s="31">
        <f t="shared" si="40"/>
        <v>0.27200000000000002</v>
      </c>
      <c r="N443" t="e">
        <f>VLOOKUP(A443,#REF!,11,0)</f>
        <v>#REF!</v>
      </c>
      <c r="O443" t="e">
        <f>VLOOKUP(A443,#REF!,12,0)</f>
        <v>#REF!</v>
      </c>
      <c r="P443" t="e">
        <f>VLOOKUP(A443,#REF!,13,0)</f>
        <v>#REF!</v>
      </c>
      <c r="Q443" t="e">
        <f>VLOOKUP(A443,#REF!,14,0)</f>
        <v>#REF!</v>
      </c>
      <c r="R443">
        <v>-1.431751658268859</v>
      </c>
      <c r="S443">
        <v>-0.54201474035290365</v>
      </c>
      <c r="T443" s="31" t="str">
        <f>VLOOKUP(C443,V:W,2,0)</f>
        <v>SAU</v>
      </c>
      <c r="U443" t="str">
        <f t="shared" si="41"/>
        <v/>
      </c>
    </row>
    <row r="444" spans="1:21" x14ac:dyDescent="0.25">
      <c r="A444" s="31" t="s">
        <v>1167</v>
      </c>
      <c r="B444" s="31" t="s">
        <v>1638</v>
      </c>
      <c r="C444" s="31" t="s">
        <v>1220</v>
      </c>
      <c r="D444" s="31">
        <f>IFERROR(ROUND(VLOOKUP(A444,institutions!A:E,4,0),2),"")</f>
        <v>1.49</v>
      </c>
      <c r="E444" s="31">
        <f>IFERROR(ROUND(VLOOKUP(A444,institutions!A:X,7,0),2),"")</f>
        <v>1.37</v>
      </c>
      <c r="F444" s="31">
        <f>IFERROR(ROUND(VLOOKUP(A444,institutions!A:X,10,0),2),"")</f>
        <v>1.1599999999999999</v>
      </c>
      <c r="G444" s="31">
        <f>IFERROR(ROUND(VLOOKUP(A444,institutions!A:X,13,0),2),"")</f>
        <v>2.1</v>
      </c>
      <c r="H444" s="31">
        <f>IFERROR(ROUND(VLOOKUP(A444,institutions!A:X,16,0),2),"")</f>
        <v>2.33</v>
      </c>
      <c r="I444" s="31">
        <f t="shared" si="36"/>
        <v>0.21199999999999999</v>
      </c>
      <c r="J444" s="31">
        <f t="shared" si="37"/>
        <v>0.36199999999999999</v>
      </c>
      <c r="K444" s="31">
        <f t="shared" si="38"/>
        <v>0.187</v>
      </c>
      <c r="L444" s="31">
        <f t="shared" si="39"/>
        <v>0.51300000000000001</v>
      </c>
      <c r="M444" s="31">
        <f t="shared" si="40"/>
        <v>0.47299999999999998</v>
      </c>
      <c r="N444" t="e">
        <f>VLOOKUP(A444,#REF!,11,0)</f>
        <v>#REF!</v>
      </c>
      <c r="O444" t="e">
        <f>VLOOKUP(A444,#REF!,12,0)</f>
        <v>#REF!</v>
      </c>
      <c r="P444" t="e">
        <f>VLOOKUP(A444,#REF!,13,0)</f>
        <v>#REF!</v>
      </c>
      <c r="Q444" t="e">
        <f>VLOOKUP(A444,#REF!,14,0)</f>
        <v>#REF!</v>
      </c>
      <c r="R444">
        <v>-0.79626070359295942</v>
      </c>
      <c r="S444">
        <v>-0.73670063753394177</v>
      </c>
      <c r="T444" s="31" t="str">
        <f>VLOOKUP(C444,V:W,2,0)</f>
        <v>SPAIN</v>
      </c>
      <c r="U444" t="str">
        <f t="shared" si="41"/>
        <v>Barcelona</v>
      </c>
    </row>
    <row r="445" spans="1:21" x14ac:dyDescent="0.25">
      <c r="A445" s="31" t="s">
        <v>1032</v>
      </c>
      <c r="B445" s="31" t="s">
        <v>1950</v>
      </c>
      <c r="C445" s="31" t="s">
        <v>1230</v>
      </c>
      <c r="D445" s="31">
        <f>IFERROR(ROUND(VLOOKUP(A445,institutions!A:E,4,0),2),"")</f>
        <v>1.56</v>
      </c>
      <c r="E445" s="31">
        <f>IFERROR(ROUND(VLOOKUP(A445,institutions!A:X,7,0),2),"")</f>
        <v>1.51</v>
      </c>
      <c r="F445" s="31">
        <f>IFERROR(ROUND(VLOOKUP(A445,institutions!A:X,10,0),2),"")</f>
        <v>1.2</v>
      </c>
      <c r="G445" s="31">
        <f>IFERROR(ROUND(VLOOKUP(A445,institutions!A:X,13,0),2),"")</f>
        <v>1.74</v>
      </c>
      <c r="H445" s="31">
        <f>IFERROR(ROUND(VLOOKUP(A445,institutions!A:X,16,0),2),"")</f>
        <v>2.2200000000000002</v>
      </c>
      <c r="I445" s="31">
        <f t="shared" si="36"/>
        <v>0.26200000000000001</v>
      </c>
      <c r="J445" s="31">
        <f t="shared" si="37"/>
        <v>0.50800000000000001</v>
      </c>
      <c r="K445" s="31">
        <f t="shared" si="38"/>
        <v>0.23</v>
      </c>
      <c r="L445" s="31">
        <f t="shared" si="39"/>
        <v>0.32200000000000001</v>
      </c>
      <c r="M445" s="31">
        <f t="shared" si="40"/>
        <v>0.43</v>
      </c>
      <c r="N445" t="e">
        <f>VLOOKUP(A445,#REF!,11,0)</f>
        <v>#REF!</v>
      </c>
      <c r="O445" t="e">
        <f>VLOOKUP(A445,#REF!,12,0)</f>
        <v>#REF!</v>
      </c>
      <c r="P445" t="e">
        <f>VLOOKUP(A445,#REF!,13,0)</f>
        <v>#REF!</v>
      </c>
      <c r="Q445" t="e">
        <f>VLOOKUP(A445,#REF!,14,0)</f>
        <v>#REF!</v>
      </c>
      <c r="R445">
        <v>-0.90775876532573396</v>
      </c>
      <c r="S445">
        <v>2.4060539633222709E-2</v>
      </c>
      <c r="T445" s="31" t="str">
        <f>VLOOKUP(C445,V:W,2,0)</f>
        <v>CHN</v>
      </c>
      <c r="U445" t="str">
        <f t="shared" si="41"/>
        <v/>
      </c>
    </row>
    <row r="446" spans="1:21" x14ac:dyDescent="0.25">
      <c r="A446" s="31" t="s">
        <v>992</v>
      </c>
      <c r="B446" s="31" t="s">
        <v>1983</v>
      </c>
      <c r="C446" s="31" t="s">
        <v>1230</v>
      </c>
      <c r="D446" s="31">
        <f>IFERROR(ROUND(VLOOKUP(A446,institutions!A:E,4,0),2),"")</f>
        <v>1.57</v>
      </c>
      <c r="E446" s="31">
        <f>IFERROR(ROUND(VLOOKUP(A446,institutions!A:X,7,0),2),"")</f>
        <v>1.33</v>
      </c>
      <c r="F446" s="31">
        <f>IFERROR(ROUND(VLOOKUP(A446,institutions!A:X,10,0),2),"")</f>
        <v>1.54</v>
      </c>
      <c r="G446" s="31">
        <f>IFERROR(ROUND(VLOOKUP(A446,institutions!A:X,13,0),2),"")</f>
        <v>1.66</v>
      </c>
      <c r="H446" s="31">
        <f>IFERROR(ROUND(VLOOKUP(A446,institutions!A:X,16,0),2),"")</f>
        <v>1.86</v>
      </c>
      <c r="I446" s="31">
        <f t="shared" si="36"/>
        <v>0.27700000000000002</v>
      </c>
      <c r="J446" s="31">
        <f t="shared" si="37"/>
        <v>0.33</v>
      </c>
      <c r="K446" s="31">
        <f t="shared" si="38"/>
        <v>0.55700000000000005</v>
      </c>
      <c r="L446" s="31">
        <f t="shared" si="39"/>
        <v>0.27200000000000002</v>
      </c>
      <c r="M446" s="31">
        <f t="shared" si="40"/>
        <v>0.26700000000000002</v>
      </c>
      <c r="N446" t="e">
        <f>VLOOKUP(A446,#REF!,11,0)</f>
        <v>#REF!</v>
      </c>
      <c r="O446" t="e">
        <f>VLOOKUP(A446,#REF!,12,0)</f>
        <v>#REF!</v>
      </c>
      <c r="P446" t="e">
        <f>VLOOKUP(A446,#REF!,13,0)</f>
        <v>#REF!</v>
      </c>
      <c r="Q446" t="e">
        <f>VLOOKUP(A446,#REF!,14,0)</f>
        <v>#REF!</v>
      </c>
      <c r="R446">
        <v>-1.017489116321495</v>
      </c>
      <c r="S446">
        <v>0.46162697948890191</v>
      </c>
      <c r="T446" s="31" t="str">
        <f>VLOOKUP(C446,V:W,2,0)</f>
        <v>CHN</v>
      </c>
      <c r="U446" t="str">
        <f t="shared" si="41"/>
        <v/>
      </c>
    </row>
    <row r="447" spans="1:21" x14ac:dyDescent="0.25">
      <c r="A447" s="31" t="s">
        <v>994</v>
      </c>
      <c r="B447" s="31" t="s">
        <v>1921</v>
      </c>
      <c r="C447" s="31" t="s">
        <v>1230</v>
      </c>
      <c r="D447" s="31">
        <f>IFERROR(ROUND(VLOOKUP(A447,institutions!A:E,4,0),2),"")</f>
        <v>1.57</v>
      </c>
      <c r="E447" s="31">
        <f>IFERROR(ROUND(VLOOKUP(A447,institutions!A:X,7,0),2),"")</f>
        <v>1.27</v>
      </c>
      <c r="F447" s="31">
        <f>IFERROR(ROUND(VLOOKUP(A447,institutions!A:X,10,0),2),"")</f>
        <v>1.78</v>
      </c>
      <c r="G447" s="31">
        <f>IFERROR(ROUND(VLOOKUP(A447,institutions!A:X,13,0),2),"")</f>
        <v>1.41</v>
      </c>
      <c r="H447" s="31">
        <f>IFERROR(ROUND(VLOOKUP(A447,institutions!A:X,16,0),2),"")</f>
        <v>1.76</v>
      </c>
      <c r="I447" s="31">
        <f t="shared" si="36"/>
        <v>0.27700000000000002</v>
      </c>
      <c r="J447" s="31">
        <f t="shared" si="37"/>
        <v>0.24199999999999999</v>
      </c>
      <c r="K447" s="31">
        <f t="shared" si="38"/>
        <v>0.67500000000000004</v>
      </c>
      <c r="L447" s="31">
        <f t="shared" si="39"/>
        <v>0.16200000000000001</v>
      </c>
      <c r="M447" s="31">
        <f t="shared" si="40"/>
        <v>0.21299999999999999</v>
      </c>
      <c r="N447" t="e">
        <f>VLOOKUP(A447,#REF!,11,0)</f>
        <v>#REF!</v>
      </c>
      <c r="O447" t="e">
        <f>VLOOKUP(A447,#REF!,12,0)</f>
        <v>#REF!</v>
      </c>
      <c r="P447" t="e">
        <f>VLOOKUP(A447,#REF!,13,0)</f>
        <v>#REF!</v>
      </c>
      <c r="Q447" t="e">
        <f>VLOOKUP(A447,#REF!,14,0)</f>
        <v>#REF!</v>
      </c>
      <c r="R447">
        <v>-1.2505377472920609</v>
      </c>
      <c r="S447">
        <v>0.71433963262779576</v>
      </c>
      <c r="T447" s="31" t="str">
        <f>VLOOKUP(C447,V:W,2,0)</f>
        <v>CHN</v>
      </c>
      <c r="U447" t="str">
        <f t="shared" si="41"/>
        <v/>
      </c>
    </row>
    <row r="448" spans="1:21" x14ac:dyDescent="0.25">
      <c r="A448" s="31" t="s">
        <v>1072</v>
      </c>
      <c r="B448" s="31" t="s">
        <v>1956</v>
      </c>
      <c r="C448" s="31" t="s">
        <v>1255</v>
      </c>
      <c r="D448" s="31">
        <f>IFERROR(ROUND(VLOOKUP(A448,institutions!A:E,4,0),2),"")</f>
        <v>1.54</v>
      </c>
      <c r="E448" s="31">
        <f>IFERROR(ROUND(VLOOKUP(A448,institutions!A:X,7,0),2),"")</f>
        <v>1.49</v>
      </c>
      <c r="F448" s="31">
        <f>IFERROR(ROUND(VLOOKUP(A448,institutions!A:X,10,0),2),"")</f>
        <v>1.45</v>
      </c>
      <c r="G448" s="31">
        <f>IFERROR(ROUND(VLOOKUP(A448,institutions!A:X,13,0),2),"")</f>
        <v>1.63</v>
      </c>
      <c r="H448" s="31">
        <f>IFERROR(ROUND(VLOOKUP(A448,institutions!A:X,16,0),2),"")</f>
        <v>1.77</v>
      </c>
      <c r="I448" s="31">
        <f t="shared" si="36"/>
        <v>0.23699999999999999</v>
      </c>
      <c r="J448" s="31">
        <f t="shared" si="37"/>
        <v>0.49</v>
      </c>
      <c r="K448" s="31">
        <f t="shared" si="38"/>
        <v>0.48499999999999999</v>
      </c>
      <c r="L448" s="31">
        <f t="shared" si="39"/>
        <v>0.26200000000000001</v>
      </c>
      <c r="M448" s="31">
        <f t="shared" si="40"/>
        <v>0.217</v>
      </c>
      <c r="N448" t="e">
        <f>VLOOKUP(A448,#REF!,11,0)</f>
        <v>#REF!</v>
      </c>
      <c r="O448" t="e">
        <f>VLOOKUP(A448,#REF!,12,0)</f>
        <v>#REF!</v>
      </c>
      <c r="P448" t="e">
        <f>VLOOKUP(A448,#REF!,13,0)</f>
        <v>#REF!</v>
      </c>
      <c r="Q448" t="e">
        <f>VLOOKUP(A448,#REF!,14,0)</f>
        <v>#REF!</v>
      </c>
      <c r="R448">
        <v>-0.99264536055254071</v>
      </c>
      <c r="S448">
        <v>0.79448231367551037</v>
      </c>
      <c r="T448" s="31" t="str">
        <f>VLOOKUP(C448,V:W,2,0)</f>
        <v>BRA</v>
      </c>
      <c r="U448" t="str">
        <f t="shared" si="41"/>
        <v/>
      </c>
    </row>
    <row r="449" spans="1:21" x14ac:dyDescent="0.25">
      <c r="A449" s="31" t="s">
        <v>980</v>
      </c>
      <c r="B449" s="31" t="s">
        <v>1801</v>
      </c>
      <c r="C449" s="31" t="s">
        <v>1230</v>
      </c>
      <c r="D449" s="31">
        <f>IFERROR(ROUND(VLOOKUP(A449,institutions!A:E,4,0),2),"")</f>
        <v>1.6</v>
      </c>
      <c r="E449" s="31">
        <f>IFERROR(ROUND(VLOOKUP(A449,institutions!A:X,7,0),2),"")</f>
        <v>1.26</v>
      </c>
      <c r="F449" s="31">
        <f>IFERROR(ROUND(VLOOKUP(A449,institutions!A:X,10,0),2),"")</f>
        <v>1.66</v>
      </c>
      <c r="G449" s="31">
        <f>IFERROR(ROUND(VLOOKUP(A449,institutions!A:X,13,0),2),"")</f>
        <v>1.78</v>
      </c>
      <c r="H449" s="31">
        <f>IFERROR(ROUND(VLOOKUP(A449,institutions!A:X,16,0),2),"")</f>
        <v>1.85</v>
      </c>
      <c r="I449" s="31">
        <f t="shared" si="36"/>
        <v>0.29799999999999999</v>
      </c>
      <c r="J449" s="31">
        <f t="shared" si="37"/>
        <v>0.22800000000000001</v>
      </c>
      <c r="K449" s="31">
        <f t="shared" si="38"/>
        <v>0.622</v>
      </c>
      <c r="L449" s="31">
        <f t="shared" si="39"/>
        <v>0.35799999999999998</v>
      </c>
      <c r="M449" s="31">
        <f t="shared" si="40"/>
        <v>0.25800000000000001</v>
      </c>
      <c r="N449" t="e">
        <f>VLOOKUP(A449,#REF!,11,0)</f>
        <v>#REF!</v>
      </c>
      <c r="O449" t="e">
        <f>VLOOKUP(A449,#REF!,12,0)</f>
        <v>#REF!</v>
      </c>
      <c r="P449" t="e">
        <f>VLOOKUP(A449,#REF!,13,0)</f>
        <v>#REF!</v>
      </c>
      <c r="Q449" t="e">
        <f>VLOOKUP(A449,#REF!,14,0)</f>
        <v>#REF!</v>
      </c>
      <c r="R449">
        <v>-0.93239351021861816</v>
      </c>
      <c r="S449">
        <v>0.20939204784704599</v>
      </c>
      <c r="T449" s="31" t="str">
        <f>VLOOKUP(C449,V:W,2,0)</f>
        <v>CHN</v>
      </c>
      <c r="U449" t="str">
        <f t="shared" si="41"/>
        <v/>
      </c>
    </row>
    <row r="450" spans="1:21" x14ac:dyDescent="0.25">
      <c r="A450" s="31" t="s">
        <v>1004</v>
      </c>
      <c r="B450" s="31" t="s">
        <v>1817</v>
      </c>
      <c r="C450" s="31" t="s">
        <v>1230</v>
      </c>
      <c r="D450" s="31">
        <f>IFERROR(ROUND(VLOOKUP(A450,institutions!A:E,4,0),2),"")</f>
        <v>1.56</v>
      </c>
      <c r="E450" s="31">
        <f>IFERROR(ROUND(VLOOKUP(A450,institutions!A:X,7,0),2),"")</f>
        <v>1.56</v>
      </c>
      <c r="F450" s="31">
        <f>IFERROR(ROUND(VLOOKUP(A450,institutions!A:X,10,0),2),"")</f>
        <v>1.48</v>
      </c>
      <c r="G450" s="31">
        <f>IFERROR(ROUND(VLOOKUP(A450,institutions!A:X,13,0),2),"")</f>
        <v>1.37</v>
      </c>
      <c r="H450" s="31">
        <f>IFERROR(ROUND(VLOOKUP(A450,institutions!A:X,16,0),2),"")</f>
        <v>1.78</v>
      </c>
      <c r="I450" s="31">
        <f t="shared" si="36"/>
        <v>0.26200000000000001</v>
      </c>
      <c r="J450" s="31">
        <f t="shared" si="37"/>
        <v>0.54700000000000004</v>
      </c>
      <c r="K450" s="31">
        <f t="shared" si="38"/>
        <v>0.50700000000000001</v>
      </c>
      <c r="L450" s="31">
        <f t="shared" si="39"/>
        <v>0.14799999999999999</v>
      </c>
      <c r="M450" s="31">
        <f t="shared" si="40"/>
        <v>0.22500000000000001</v>
      </c>
      <c r="N450" t="e">
        <f>VLOOKUP(A450,#REF!,11,0)</f>
        <v>#REF!</v>
      </c>
      <c r="O450" t="e">
        <f>VLOOKUP(A450,#REF!,12,0)</f>
        <v>#REF!</v>
      </c>
      <c r="P450" t="e">
        <f>VLOOKUP(A450,#REF!,13,0)</f>
        <v>#REF!</v>
      </c>
      <c r="Q450" t="e">
        <f>VLOOKUP(A450,#REF!,14,0)</f>
        <v>#REF!</v>
      </c>
      <c r="R450">
        <v>-1.052885708784087</v>
      </c>
      <c r="S450">
        <v>1.1254579138362211</v>
      </c>
      <c r="T450" s="31" t="str">
        <f>VLOOKUP(C450,V:W,2,0)</f>
        <v>CHN</v>
      </c>
      <c r="U450" t="str">
        <f t="shared" si="41"/>
        <v/>
      </c>
    </row>
    <row r="451" spans="1:21" x14ac:dyDescent="0.25">
      <c r="A451" s="31" t="s">
        <v>1077</v>
      </c>
      <c r="B451" s="31" t="s">
        <v>1642</v>
      </c>
      <c r="C451" s="31" t="s">
        <v>1234</v>
      </c>
      <c r="D451" s="31">
        <f>IFERROR(ROUND(VLOOKUP(A451,institutions!A:E,4,0),2),"")</f>
        <v>1.6</v>
      </c>
      <c r="E451" s="31">
        <f>IFERROR(ROUND(VLOOKUP(A451,institutions!A:X,7,0),2),"")</f>
        <v>1.47</v>
      </c>
      <c r="F451" s="31">
        <f>IFERROR(ROUND(VLOOKUP(A451,institutions!A:X,10,0),2),"")</f>
        <v>1.1599999999999999</v>
      </c>
      <c r="G451" s="31">
        <f>IFERROR(ROUND(VLOOKUP(A451,institutions!A:X,13,0),2),"")</f>
        <v>1.75</v>
      </c>
      <c r="H451" s="31">
        <f>IFERROR(ROUND(VLOOKUP(A451,institutions!A:X,16,0),2),"")</f>
        <v>3.19</v>
      </c>
      <c r="I451" s="31">
        <f t="shared" si="36"/>
        <v>0.29799999999999999</v>
      </c>
      <c r="J451" s="31">
        <f t="shared" si="37"/>
        <v>0.47799999999999998</v>
      </c>
      <c r="K451" s="31">
        <f t="shared" si="38"/>
        <v>0.187</v>
      </c>
      <c r="L451" s="31">
        <f t="shared" si="39"/>
        <v>0.33700000000000002</v>
      </c>
      <c r="M451" s="31">
        <f t="shared" si="40"/>
        <v>0.72</v>
      </c>
      <c r="N451" t="e">
        <f>VLOOKUP(A451,#REF!,11,0)</f>
        <v>#REF!</v>
      </c>
      <c r="O451" t="e">
        <f>VLOOKUP(A451,#REF!,12,0)</f>
        <v>#REF!</v>
      </c>
      <c r="P451" t="e">
        <f>VLOOKUP(A451,#REF!,13,0)</f>
        <v>#REF!</v>
      </c>
      <c r="Q451" t="e">
        <f>VLOOKUP(A451,#REF!,14,0)</f>
        <v>#REF!</v>
      </c>
      <c r="R451">
        <v>-0.47874549045275577</v>
      </c>
      <c r="S451">
        <v>-0.58752929069273818</v>
      </c>
      <c r="T451" s="31" t="str">
        <f>VLOOKUP(C451,V:W,2,0)</f>
        <v>UK</v>
      </c>
      <c r="U451" t="str">
        <f t="shared" si="41"/>
        <v/>
      </c>
    </row>
    <row r="452" spans="1:21" x14ac:dyDescent="0.25">
      <c r="A452" s="31" t="s">
        <v>988</v>
      </c>
      <c r="B452" s="31" t="s">
        <v>1636</v>
      </c>
      <c r="C452" s="31" t="s">
        <v>1220</v>
      </c>
      <c r="D452" s="31">
        <f>IFERROR(ROUND(VLOOKUP(A452,institutions!A:E,4,0),2),"")</f>
        <v>1.57</v>
      </c>
      <c r="E452" s="31">
        <f>IFERROR(ROUND(VLOOKUP(A452,institutions!A:X,7,0),2),"")</f>
        <v>1.21</v>
      </c>
      <c r="F452" s="31">
        <f>IFERROR(ROUND(VLOOKUP(A452,institutions!A:X,10,0),2),"")</f>
        <v>1.22</v>
      </c>
      <c r="G452" s="31">
        <f>IFERROR(ROUND(VLOOKUP(A452,institutions!A:X,13,0),2),"")</f>
        <v>1.84</v>
      </c>
      <c r="H452" s="31">
        <f>IFERROR(ROUND(VLOOKUP(A452,institutions!A:X,16,0),2),"")</f>
        <v>2.2599999999999998</v>
      </c>
      <c r="I452" s="31">
        <f t="shared" ref="I452:I515" si="42">ROUND(IFERROR((601-_xlfn.RANK.EQ(D452,D:D))/600,0),3)</f>
        <v>0.27700000000000002</v>
      </c>
      <c r="J452" s="31">
        <f t="shared" ref="J452:J515" si="43">ROUND(IFERROR((601-IFERROR(_xlfn.RANK.EQ(E452,E:E),""))/600,0),3)</f>
        <v>0.16500000000000001</v>
      </c>
      <c r="K452" s="31">
        <f t="shared" ref="K452:K515" si="44">ROUND(IFERROR((601-IFERROR(_xlfn.RANK.EQ(F452,F:F),""))/600,0),3)</f>
        <v>0.253</v>
      </c>
      <c r="L452" s="31">
        <f t="shared" ref="L452:L515" si="45">ROUND(IFERROR((601-IFERROR(_xlfn.RANK.EQ(G452,G:G),""))/600,0),3)</f>
        <v>0.38300000000000001</v>
      </c>
      <c r="M452" s="31">
        <f t="shared" ref="M452:M515" si="46">ROUND(IFERROR((601-IFERROR(_xlfn.RANK.EQ(H452,H:H),""))/600,0),3)</f>
        <v>0.45</v>
      </c>
      <c r="N452" t="e">
        <f>VLOOKUP(A452,#REF!,11,0)</f>
        <v>#REF!</v>
      </c>
      <c r="O452" t="e">
        <f>VLOOKUP(A452,#REF!,12,0)</f>
        <v>#REF!</v>
      </c>
      <c r="P452" t="e">
        <f>VLOOKUP(A452,#REF!,13,0)</f>
        <v>#REF!</v>
      </c>
      <c r="Q452" t="e">
        <f>VLOOKUP(A452,#REF!,14,0)</f>
        <v>#REF!</v>
      </c>
      <c r="R452">
        <v>-1.272258666901799</v>
      </c>
      <c r="S452">
        <v>-0.80825472795393982</v>
      </c>
      <c r="T452" s="31" t="str">
        <f>VLOOKUP(C452,V:W,2,0)</f>
        <v>SPAIN</v>
      </c>
      <c r="U452" t="str">
        <f t="shared" ref="U452:U515" si="47">IF(T452=T$1,B452,IF(T452=T$2,B452,IF(T452=U$1,B452,"")))</f>
        <v>Valencia</v>
      </c>
    </row>
    <row r="453" spans="1:21" x14ac:dyDescent="0.25">
      <c r="A453" s="31" t="s">
        <v>1031</v>
      </c>
      <c r="B453" s="31" t="s">
        <v>1782</v>
      </c>
      <c r="C453" s="31" t="s">
        <v>1228</v>
      </c>
      <c r="D453" s="31">
        <f>IFERROR(ROUND(VLOOKUP(A453,institutions!A:E,4,0),2),"")</f>
        <v>1.56</v>
      </c>
      <c r="E453" s="31">
        <f>IFERROR(ROUND(VLOOKUP(A453,institutions!A:X,7,0),2),"")</f>
        <v>1.29</v>
      </c>
      <c r="F453" s="31">
        <f>IFERROR(ROUND(VLOOKUP(A453,institutions!A:X,10,0),2),"")</f>
        <v>1.29</v>
      </c>
      <c r="G453" s="31">
        <f>IFERROR(ROUND(VLOOKUP(A453,institutions!A:X,13,0),2),"")</f>
        <v>1.77</v>
      </c>
      <c r="H453" s="31">
        <f>IFERROR(ROUND(VLOOKUP(A453,institutions!A:X,16,0),2),"")</f>
        <v>1.92</v>
      </c>
      <c r="I453" s="31">
        <f t="shared" si="42"/>
        <v>0.26200000000000001</v>
      </c>
      <c r="J453" s="31">
        <f t="shared" si="43"/>
        <v>0.26800000000000002</v>
      </c>
      <c r="K453" s="31">
        <f t="shared" si="44"/>
        <v>0.33800000000000002</v>
      </c>
      <c r="L453" s="31">
        <f t="shared" si="45"/>
        <v>0.35</v>
      </c>
      <c r="M453" s="31">
        <f t="shared" si="46"/>
        <v>0.29699999999999999</v>
      </c>
      <c r="N453" t="e">
        <f>VLOOKUP(A453,#REF!,11,0)</f>
        <v>#REF!</v>
      </c>
      <c r="O453" t="e">
        <f>VLOOKUP(A453,#REF!,12,0)</f>
        <v>#REF!</v>
      </c>
      <c r="P453" t="e">
        <f>VLOOKUP(A453,#REF!,13,0)</f>
        <v>#REF!</v>
      </c>
      <c r="Q453" t="e">
        <f>VLOOKUP(A453,#REF!,14,0)</f>
        <v>#REF!</v>
      </c>
      <c r="R453">
        <v>-1.2974428233379349</v>
      </c>
      <c r="S453">
        <v>-0.16697406723331909</v>
      </c>
      <c r="T453" s="31" t="str">
        <f>VLOOKUP(C453,V:W,2,0)</f>
        <v>DEN</v>
      </c>
      <c r="U453" t="str">
        <f t="shared" si="47"/>
        <v/>
      </c>
    </row>
    <row r="454" spans="1:21" x14ac:dyDescent="0.25">
      <c r="A454" s="31" t="s">
        <v>1131</v>
      </c>
      <c r="B454" s="31" t="s">
        <v>1988</v>
      </c>
      <c r="C454" s="31" t="s">
        <v>1218</v>
      </c>
      <c r="D454" s="31">
        <f>IFERROR(ROUND(VLOOKUP(A454,institutions!A:E,4,0),2),"")</f>
        <v>1.52</v>
      </c>
      <c r="E454" s="31">
        <f>IFERROR(ROUND(VLOOKUP(A454,institutions!A:X,7,0),2),"")</f>
        <v>1.47</v>
      </c>
      <c r="F454" s="31">
        <f>IFERROR(ROUND(VLOOKUP(A454,institutions!A:X,10,0),2),"")</f>
        <v>1.1599999999999999</v>
      </c>
      <c r="G454" s="31">
        <f>IFERROR(ROUND(VLOOKUP(A454,institutions!A:X,13,0),2),"")</f>
        <v>1.48</v>
      </c>
      <c r="H454" s="31">
        <f>IFERROR(ROUND(VLOOKUP(A454,institutions!A:X,16,0),2),"")</f>
        <v>2.0299999999999998</v>
      </c>
      <c r="I454" s="31">
        <f t="shared" si="42"/>
        <v>0.223</v>
      </c>
      <c r="J454" s="31">
        <f t="shared" si="43"/>
        <v>0.47799999999999998</v>
      </c>
      <c r="K454" s="31">
        <f t="shared" si="44"/>
        <v>0.187</v>
      </c>
      <c r="L454" s="31">
        <f t="shared" si="45"/>
        <v>0.192</v>
      </c>
      <c r="M454" s="31">
        <f t="shared" si="46"/>
        <v>0.33500000000000002</v>
      </c>
      <c r="N454" t="e">
        <f>VLOOKUP(A454,#REF!,11,0)</f>
        <v>#REF!</v>
      </c>
      <c r="O454" t="e">
        <f>VLOOKUP(A454,#REF!,12,0)</f>
        <v>#REF!</v>
      </c>
      <c r="P454" t="e">
        <f>VLOOKUP(A454,#REF!,13,0)</f>
        <v>#REF!</v>
      </c>
      <c r="Q454" t="e">
        <f>VLOOKUP(A454,#REF!,14,0)</f>
        <v>#REF!</v>
      </c>
      <c r="R454">
        <v>-1.432806527267541</v>
      </c>
      <c r="S454">
        <v>0.26470318160291839</v>
      </c>
      <c r="T454" s="31" t="str">
        <f>VLOOKUP(C454,V:W,2,0)</f>
        <v>FRA</v>
      </c>
      <c r="U454" t="str">
        <f t="shared" si="47"/>
        <v>Aix-Marseille</v>
      </c>
    </row>
    <row r="455" spans="1:21" x14ac:dyDescent="0.25">
      <c r="A455" s="31" t="s">
        <v>995</v>
      </c>
      <c r="B455" s="31" t="s">
        <v>1997</v>
      </c>
      <c r="C455" s="31" t="s">
        <v>1230</v>
      </c>
      <c r="D455" s="31">
        <f>IFERROR(ROUND(VLOOKUP(A455,institutions!A:E,4,0),2),"")</f>
        <v>1.57</v>
      </c>
      <c r="E455" s="31">
        <f>IFERROR(ROUND(VLOOKUP(A455,institutions!A:X,7,0),2),"")</f>
        <v>1.19</v>
      </c>
      <c r="F455" s="31">
        <f>IFERROR(ROUND(VLOOKUP(A455,institutions!A:X,10,0),2),"")</f>
        <v>1.43</v>
      </c>
      <c r="G455" s="31">
        <f>IFERROR(ROUND(VLOOKUP(A455,institutions!A:X,13,0),2),"")</f>
        <v>1.6</v>
      </c>
      <c r="H455" s="31">
        <f>IFERROR(ROUND(VLOOKUP(A455,institutions!A:X,16,0),2),"")</f>
        <v>1.94</v>
      </c>
      <c r="I455" s="31">
        <f t="shared" si="42"/>
        <v>0.27700000000000002</v>
      </c>
      <c r="J455" s="31">
        <f t="shared" si="43"/>
        <v>0.13500000000000001</v>
      </c>
      <c r="K455" s="31">
        <f t="shared" si="44"/>
        <v>0.47299999999999998</v>
      </c>
      <c r="L455" s="31">
        <f t="shared" si="45"/>
        <v>0.23799999999999999</v>
      </c>
      <c r="M455" s="31">
        <f t="shared" si="46"/>
        <v>0.30199999999999999</v>
      </c>
      <c r="N455" t="e">
        <f>VLOOKUP(A455,#REF!,11,0)</f>
        <v>#REF!</v>
      </c>
      <c r="O455" t="e">
        <f>VLOOKUP(A455,#REF!,12,0)</f>
        <v>#REF!</v>
      </c>
      <c r="P455" t="e">
        <f>VLOOKUP(A455,#REF!,13,0)</f>
        <v>#REF!</v>
      </c>
      <c r="Q455" t="e">
        <f>VLOOKUP(A455,#REF!,14,0)</f>
        <v>#REF!</v>
      </c>
      <c r="R455">
        <v>-1.4704693624263441</v>
      </c>
      <c r="S455">
        <v>-7.5863094653828983E-2</v>
      </c>
      <c r="T455" s="31" t="str">
        <f>VLOOKUP(C455,V:W,2,0)</f>
        <v>CHN</v>
      </c>
      <c r="U455" t="str">
        <f t="shared" si="47"/>
        <v/>
      </c>
    </row>
    <row r="456" spans="1:21" x14ac:dyDescent="0.25">
      <c r="A456" s="31" t="s">
        <v>977</v>
      </c>
      <c r="B456" s="31" t="s">
        <v>1802</v>
      </c>
      <c r="C456" s="31" t="s">
        <v>1237</v>
      </c>
      <c r="D456" s="31">
        <f>IFERROR(ROUND(VLOOKUP(A456,institutions!A:E,4,0),2),"")</f>
        <v>1.54</v>
      </c>
      <c r="E456" s="31">
        <f>IFERROR(ROUND(VLOOKUP(A456,institutions!A:X,7,0),2),"")</f>
        <v>1.21</v>
      </c>
      <c r="F456" s="31">
        <f>IFERROR(ROUND(VLOOKUP(A456,institutions!A:X,10,0),2),"")</f>
        <v>1.32</v>
      </c>
      <c r="G456" s="31">
        <f>IFERROR(ROUND(VLOOKUP(A456,institutions!A:X,13,0),2),"")</f>
        <v>1.83</v>
      </c>
      <c r="H456" s="31">
        <f>IFERROR(ROUND(VLOOKUP(A456,institutions!A:X,16,0),2),"")</f>
        <v>1.78</v>
      </c>
      <c r="I456" s="31">
        <f t="shared" si="42"/>
        <v>0.23699999999999999</v>
      </c>
      <c r="J456" s="31">
        <f t="shared" si="43"/>
        <v>0.16500000000000001</v>
      </c>
      <c r="K456" s="31">
        <f t="shared" si="44"/>
        <v>0.36499999999999999</v>
      </c>
      <c r="L456" s="31">
        <f t="shared" si="45"/>
        <v>0.378</v>
      </c>
      <c r="M456" s="31">
        <f t="shared" si="46"/>
        <v>0.22500000000000001</v>
      </c>
      <c r="N456" t="e">
        <f>VLOOKUP(A456,#REF!,11,0)</f>
        <v>#REF!</v>
      </c>
      <c r="O456" t="e">
        <f>VLOOKUP(A456,#REF!,12,0)</f>
        <v>#REF!</v>
      </c>
      <c r="P456" t="e">
        <f>VLOOKUP(A456,#REF!,13,0)</f>
        <v>#REF!</v>
      </c>
      <c r="Q456" t="e">
        <f>VLOOKUP(A456,#REF!,14,0)</f>
        <v>#REF!</v>
      </c>
      <c r="R456">
        <v>-1.4961581661689749</v>
      </c>
      <c r="S456">
        <v>-0.28008027145834852</v>
      </c>
      <c r="T456" s="31" t="str">
        <f>VLOOKUP(C456,V:W,2,0)</f>
        <v>AUS</v>
      </c>
      <c r="U456" t="str">
        <f t="shared" si="47"/>
        <v/>
      </c>
    </row>
    <row r="457" spans="1:21" x14ac:dyDescent="0.25">
      <c r="A457" s="31" t="s">
        <v>1012</v>
      </c>
      <c r="B457" s="31" t="s">
        <v>1820</v>
      </c>
      <c r="C457" s="31" t="s">
        <v>1230</v>
      </c>
      <c r="D457" s="31">
        <f>IFERROR(ROUND(VLOOKUP(A457,institutions!A:E,4,0),2),"")</f>
        <v>1.53</v>
      </c>
      <c r="E457" s="31">
        <f>IFERROR(ROUND(VLOOKUP(A457,institutions!A:X,7,0),2),"")</f>
        <v>1.41</v>
      </c>
      <c r="F457" s="31">
        <f>IFERROR(ROUND(VLOOKUP(A457,institutions!A:X,10,0),2),"")</f>
        <v>1.34</v>
      </c>
      <c r="G457" s="31">
        <f>IFERROR(ROUND(VLOOKUP(A457,institutions!A:X,13,0),2),"")</f>
        <v>1.48</v>
      </c>
      <c r="H457" s="31">
        <f>IFERROR(ROUND(VLOOKUP(A457,institutions!A:X,16,0),2),"")</f>
        <v>3.62</v>
      </c>
      <c r="I457" s="31">
        <f t="shared" si="42"/>
        <v>0.23</v>
      </c>
      <c r="J457" s="31">
        <f t="shared" si="43"/>
        <v>0.42199999999999999</v>
      </c>
      <c r="K457" s="31">
        <f t="shared" si="44"/>
        <v>0.39</v>
      </c>
      <c r="L457" s="31">
        <f t="shared" si="45"/>
        <v>0.192</v>
      </c>
      <c r="M457" s="31">
        <f t="shared" si="46"/>
        <v>0.81799999999999995</v>
      </c>
      <c r="N457" t="e">
        <f>VLOOKUP(A457,#REF!,11,0)</f>
        <v>#REF!</v>
      </c>
      <c r="O457" t="e">
        <f>VLOOKUP(A457,#REF!,12,0)</f>
        <v>#REF!</v>
      </c>
      <c r="P457" t="e">
        <f>VLOOKUP(A457,#REF!,13,0)</f>
        <v>#REF!</v>
      </c>
      <c r="Q457" t="e">
        <f>VLOOKUP(A457,#REF!,14,0)</f>
        <v>#REF!</v>
      </c>
      <c r="R457">
        <v>-0.30335434419212759</v>
      </c>
      <c r="S457">
        <v>-0.325573327079555</v>
      </c>
      <c r="T457" s="31" t="str">
        <f>VLOOKUP(C457,V:W,2,0)</f>
        <v>CHN</v>
      </c>
      <c r="U457" t="str">
        <f t="shared" si="47"/>
        <v/>
      </c>
    </row>
    <row r="458" spans="1:21" x14ac:dyDescent="0.25">
      <c r="A458" s="31" t="s">
        <v>1059</v>
      </c>
      <c r="B458" s="31" t="s">
        <v>1781</v>
      </c>
      <c r="C458" s="31" t="s">
        <v>1217</v>
      </c>
      <c r="D458" s="31">
        <f>IFERROR(ROUND(VLOOKUP(A458,institutions!A:E,4,0),2),"")</f>
        <v>1.56</v>
      </c>
      <c r="E458" s="31">
        <f>IFERROR(ROUND(VLOOKUP(A458,institutions!A:X,7,0),2),"")</f>
        <v>1.27</v>
      </c>
      <c r="F458" s="31">
        <f>IFERROR(ROUND(VLOOKUP(A458,institutions!A:X,10,0),2),"")</f>
        <v>1.3</v>
      </c>
      <c r="G458" s="31">
        <f>IFERROR(ROUND(VLOOKUP(A458,institutions!A:X,13,0),2),"")</f>
        <v>1.86</v>
      </c>
      <c r="H458" s="31">
        <f>IFERROR(ROUND(VLOOKUP(A458,institutions!A:X,16,0),2),"")</f>
        <v>1.75</v>
      </c>
      <c r="I458" s="31">
        <f t="shared" si="42"/>
        <v>0.26200000000000001</v>
      </c>
      <c r="J458" s="31">
        <f t="shared" si="43"/>
        <v>0.24199999999999999</v>
      </c>
      <c r="K458" s="31">
        <f t="shared" si="44"/>
        <v>0.34699999999999998</v>
      </c>
      <c r="L458" s="31">
        <f t="shared" si="45"/>
        <v>0.39700000000000002</v>
      </c>
      <c r="M458" s="31">
        <f t="shared" si="46"/>
        <v>0.21199999999999999</v>
      </c>
      <c r="N458" t="e">
        <f>VLOOKUP(A458,#REF!,11,0)</f>
        <v>#REF!</v>
      </c>
      <c r="O458" t="e">
        <f>VLOOKUP(A458,#REF!,12,0)</f>
        <v>#REF!</v>
      </c>
      <c r="P458" t="e">
        <f>VLOOKUP(A458,#REF!,13,0)</f>
        <v>#REF!</v>
      </c>
      <c r="Q458" t="e">
        <f>VLOOKUP(A458,#REF!,14,0)</f>
        <v>#REF!</v>
      </c>
      <c r="R458">
        <v>-1.393277766061396</v>
      </c>
      <c r="S458">
        <v>-0.1528864352350631</v>
      </c>
      <c r="T458" s="31" t="str">
        <f>VLOOKUP(C458,V:W,2,0)</f>
        <v>USA</v>
      </c>
      <c r="U458" t="str">
        <f t="shared" si="47"/>
        <v/>
      </c>
    </row>
    <row r="459" spans="1:21" x14ac:dyDescent="0.25">
      <c r="A459" s="31" t="s">
        <v>1001</v>
      </c>
      <c r="B459" s="31" t="s">
        <v>2047</v>
      </c>
      <c r="C459" s="31" t="s">
        <v>1216</v>
      </c>
      <c r="D459" s="31">
        <f>IFERROR(ROUND(VLOOKUP(A459,institutions!A:E,4,0),2),"")</f>
        <v>1.56</v>
      </c>
      <c r="E459" s="31">
        <f>IFERROR(ROUND(VLOOKUP(A459,institutions!A:X,7,0),2),"")</f>
        <v>1.32</v>
      </c>
      <c r="F459" s="31">
        <f>IFERROR(ROUND(VLOOKUP(A459,institutions!A:X,10,0),2),"")</f>
        <v>1.07</v>
      </c>
      <c r="G459" s="31">
        <f>IFERROR(ROUND(VLOOKUP(A459,institutions!A:X,13,0),2),"")</f>
        <v>1.75</v>
      </c>
      <c r="H459" s="31">
        <f>IFERROR(ROUND(VLOOKUP(A459,institutions!A:X,16,0),2),"")</f>
        <v>1.81</v>
      </c>
      <c r="I459" s="31">
        <f t="shared" si="42"/>
        <v>0.26200000000000001</v>
      </c>
      <c r="J459" s="31">
        <f t="shared" si="43"/>
        <v>0.31</v>
      </c>
      <c r="K459" s="31">
        <f t="shared" si="44"/>
        <v>0.1</v>
      </c>
      <c r="L459" s="31">
        <f t="shared" si="45"/>
        <v>0.33700000000000002</v>
      </c>
      <c r="M459" s="31">
        <f t="shared" si="46"/>
        <v>0.24199999999999999</v>
      </c>
      <c r="N459" t="e">
        <f>VLOOKUP(A459,#REF!,11,0)</f>
        <v>#REF!</v>
      </c>
      <c r="O459" t="e">
        <f>VLOOKUP(A459,#REF!,12,0)</f>
        <v>#REF!</v>
      </c>
      <c r="P459" t="e">
        <f>VLOOKUP(A459,#REF!,13,0)</f>
        <v>#REF!</v>
      </c>
      <c r="Q459" t="e">
        <f>VLOOKUP(A459,#REF!,14,0)</f>
        <v>#REF!</v>
      </c>
      <c r="R459">
        <v>-1.759379863714569</v>
      </c>
      <c r="S459">
        <v>-0.31471083923367599</v>
      </c>
      <c r="T459" s="31" t="str">
        <f>VLOOKUP(C459,V:W,2,0)</f>
        <v>UK</v>
      </c>
      <c r="U459" t="str">
        <f t="shared" si="47"/>
        <v/>
      </c>
    </row>
    <row r="460" spans="1:21" x14ac:dyDescent="0.25">
      <c r="A460" s="31" t="s">
        <v>1019</v>
      </c>
      <c r="B460" s="31" t="s">
        <v>1798</v>
      </c>
      <c r="C460" s="31" t="s">
        <v>1230</v>
      </c>
      <c r="D460" s="31">
        <f>IFERROR(ROUND(VLOOKUP(A460,institutions!A:E,4,0),2),"")</f>
        <v>1.56</v>
      </c>
      <c r="E460" s="31">
        <f>IFERROR(ROUND(VLOOKUP(A460,institutions!A:X,7,0),2),"")</f>
        <v>1.27</v>
      </c>
      <c r="F460" s="31">
        <f>IFERROR(ROUND(VLOOKUP(A460,institutions!A:X,10,0),2),"")</f>
        <v>1.33</v>
      </c>
      <c r="G460" s="31">
        <f>IFERROR(ROUND(VLOOKUP(A460,institutions!A:X,13,0),2),"")</f>
        <v>1.86</v>
      </c>
      <c r="H460" s="31">
        <f>IFERROR(ROUND(VLOOKUP(A460,institutions!A:X,16,0),2),"")</f>
        <v>2.0099999999999998</v>
      </c>
      <c r="I460" s="31">
        <f t="shared" si="42"/>
        <v>0.26200000000000001</v>
      </c>
      <c r="J460" s="31">
        <f t="shared" si="43"/>
        <v>0.24199999999999999</v>
      </c>
      <c r="K460" s="31">
        <f t="shared" si="44"/>
        <v>0.38200000000000001</v>
      </c>
      <c r="L460" s="31">
        <f t="shared" si="45"/>
        <v>0.39700000000000002</v>
      </c>
      <c r="M460" s="31">
        <f t="shared" si="46"/>
        <v>0.32500000000000001</v>
      </c>
      <c r="N460" t="e">
        <f>VLOOKUP(A460,#REF!,11,0)</f>
        <v>#REF!</v>
      </c>
      <c r="O460" t="e">
        <f>VLOOKUP(A460,#REF!,12,0)</f>
        <v>#REF!</v>
      </c>
      <c r="P460" t="e">
        <f>VLOOKUP(A460,#REF!,13,0)</f>
        <v>#REF!</v>
      </c>
      <c r="Q460" t="e">
        <f>VLOOKUP(A460,#REF!,14,0)</f>
        <v>#REF!</v>
      </c>
      <c r="R460">
        <v>-1.129418773678232</v>
      </c>
      <c r="S460">
        <v>-0.2811862976704087</v>
      </c>
      <c r="T460" s="31" t="str">
        <f>VLOOKUP(C460,V:W,2,0)</f>
        <v>CHN</v>
      </c>
      <c r="U460" t="str">
        <f t="shared" si="47"/>
        <v/>
      </c>
    </row>
    <row r="461" spans="1:21" x14ac:dyDescent="0.25">
      <c r="A461" s="31" t="s">
        <v>1129</v>
      </c>
      <c r="B461" s="31" t="s">
        <v>2034</v>
      </c>
      <c r="C461" s="31" t="s">
        <v>1218</v>
      </c>
      <c r="D461" s="31">
        <f>IFERROR(ROUND(VLOOKUP(A461,institutions!A:E,4,0),2),"")</f>
        <v>1.52</v>
      </c>
      <c r="E461" s="31">
        <f>IFERROR(ROUND(VLOOKUP(A461,institutions!A:X,7,0),2),"")</f>
        <v>1.35</v>
      </c>
      <c r="F461" s="31">
        <f>IFERROR(ROUND(VLOOKUP(A461,institutions!A:X,10,0),2),"")</f>
        <v>1.47</v>
      </c>
      <c r="G461" s="31">
        <f>IFERROR(ROUND(VLOOKUP(A461,institutions!A:X,13,0),2),"")</f>
        <v>1.7</v>
      </c>
      <c r="H461" s="31">
        <f>IFERROR(ROUND(VLOOKUP(A461,institutions!A:X,16,0),2),"")</f>
        <v>2.93</v>
      </c>
      <c r="I461" s="31">
        <f t="shared" si="42"/>
        <v>0.223</v>
      </c>
      <c r="J461" s="31">
        <f t="shared" si="43"/>
        <v>0.34799999999999998</v>
      </c>
      <c r="K461" s="31">
        <f t="shared" si="44"/>
        <v>0.498</v>
      </c>
      <c r="L461" s="31">
        <f t="shared" si="45"/>
        <v>0.3</v>
      </c>
      <c r="M461" s="31">
        <f t="shared" si="46"/>
        <v>0.67200000000000004</v>
      </c>
      <c r="N461" t="e">
        <f>VLOOKUP(A461,#REF!,11,0)</f>
        <v>#REF!</v>
      </c>
      <c r="O461" t="e">
        <f>VLOOKUP(A461,#REF!,12,0)</f>
        <v>#REF!</v>
      </c>
      <c r="P461" t="e">
        <f>VLOOKUP(A461,#REF!,13,0)</f>
        <v>#REF!</v>
      </c>
      <c r="Q461" t="e">
        <f>VLOOKUP(A461,#REF!,14,0)</f>
        <v>#REF!</v>
      </c>
      <c r="R461">
        <v>-0.30813485249112438</v>
      </c>
      <c r="S461">
        <v>-0.27480775224491982</v>
      </c>
      <c r="T461" s="31" t="str">
        <f>VLOOKUP(C461,V:W,2,0)</f>
        <v>FRA</v>
      </c>
      <c r="U461" t="str">
        <f t="shared" si="47"/>
        <v>Strasbourg</v>
      </c>
    </row>
    <row r="462" spans="1:21" x14ac:dyDescent="0.25">
      <c r="A462" s="31" t="s">
        <v>1092</v>
      </c>
      <c r="B462" s="31" t="s">
        <v>1971</v>
      </c>
      <c r="C462" s="31" t="s">
        <v>1217</v>
      </c>
      <c r="D462" s="31">
        <f>IFERROR(ROUND(VLOOKUP(A462,institutions!A:E,4,0),2),"")</f>
        <v>1.54</v>
      </c>
      <c r="E462" s="31">
        <f>IFERROR(ROUND(VLOOKUP(A462,institutions!A:X,7,0),2),"")</f>
        <v>1.24</v>
      </c>
      <c r="F462" s="31">
        <f>IFERROR(ROUND(VLOOKUP(A462,institutions!A:X,10,0),2),"")</f>
        <v>1.1499999999999999</v>
      </c>
      <c r="G462" s="31">
        <f>IFERROR(ROUND(VLOOKUP(A462,institutions!A:X,13,0),2),"")</f>
        <v>1.75</v>
      </c>
      <c r="H462" s="31">
        <f>IFERROR(ROUND(VLOOKUP(A462,institutions!A:X,16,0),2),"")</f>
        <v>2.44</v>
      </c>
      <c r="I462" s="31">
        <f t="shared" si="42"/>
        <v>0.23699999999999999</v>
      </c>
      <c r="J462" s="31">
        <f t="shared" si="43"/>
        <v>0.2</v>
      </c>
      <c r="K462" s="31">
        <f t="shared" si="44"/>
        <v>0.17</v>
      </c>
      <c r="L462" s="31">
        <f t="shared" si="45"/>
        <v>0.33700000000000002</v>
      </c>
      <c r="M462" s="31">
        <f t="shared" si="46"/>
        <v>0.51800000000000002</v>
      </c>
      <c r="N462" t="e">
        <f>VLOOKUP(A462,#REF!,11,0)</f>
        <v>#REF!</v>
      </c>
      <c r="O462" t="e">
        <f>VLOOKUP(A462,#REF!,12,0)</f>
        <v>#REF!</v>
      </c>
      <c r="P462" t="e">
        <f>VLOOKUP(A462,#REF!,13,0)</f>
        <v>#REF!</v>
      </c>
      <c r="Q462" t="e">
        <f>VLOOKUP(A462,#REF!,14,0)</f>
        <v>#REF!</v>
      </c>
      <c r="R462">
        <v>-1.3173639069336851</v>
      </c>
      <c r="S462">
        <v>-0.88550486156615782</v>
      </c>
      <c r="T462" s="31" t="str">
        <f>VLOOKUP(C462,V:W,2,0)</f>
        <v>USA</v>
      </c>
      <c r="U462" t="str">
        <f t="shared" si="47"/>
        <v/>
      </c>
    </row>
    <row r="463" spans="1:21" x14ac:dyDescent="0.25">
      <c r="A463" s="31" t="s">
        <v>1070</v>
      </c>
      <c r="B463" s="31" t="s">
        <v>1633</v>
      </c>
      <c r="C463" s="31" t="s">
        <v>1216</v>
      </c>
      <c r="D463" s="31">
        <f>IFERROR(ROUND(VLOOKUP(A463,institutions!A:E,4,0),2),"")</f>
        <v>1.64</v>
      </c>
      <c r="E463" s="31">
        <f>IFERROR(ROUND(VLOOKUP(A463,institutions!A:X,7,0),2),"")</f>
        <v>1.28</v>
      </c>
      <c r="F463" s="31" t="str">
        <f>IFERROR(ROUND(VLOOKUP(A463,institutions!A:X,10,0),2),"")</f>
        <v/>
      </c>
      <c r="G463" s="31">
        <f>IFERROR(ROUND(VLOOKUP(A463,institutions!A:X,13,0),2),"")</f>
        <v>1.78</v>
      </c>
      <c r="H463" s="31">
        <f>IFERROR(ROUND(VLOOKUP(A463,institutions!A:X,16,0),2),"")</f>
        <v>2.2599999999999998</v>
      </c>
      <c r="I463" s="31">
        <f t="shared" si="42"/>
        <v>0.32500000000000001</v>
      </c>
      <c r="J463" s="31">
        <f t="shared" si="43"/>
        <v>0.253</v>
      </c>
      <c r="K463" s="31">
        <f t="shared" si="44"/>
        <v>0</v>
      </c>
      <c r="L463" s="31">
        <f t="shared" si="45"/>
        <v>0.35799999999999998</v>
      </c>
      <c r="M463" s="31">
        <f t="shared" si="46"/>
        <v>0.45</v>
      </c>
      <c r="N463" t="e">
        <f>VLOOKUP(A463,#REF!,11,0)</f>
        <v>#REF!</v>
      </c>
      <c r="O463" t="e">
        <f>VLOOKUP(A463,#REF!,12,0)</f>
        <v>#REF!</v>
      </c>
      <c r="P463" t="e">
        <f>VLOOKUP(A463,#REF!,13,0)</f>
        <v>#REF!</v>
      </c>
      <c r="Q463" t="e">
        <f>VLOOKUP(A463,#REF!,14,0)</f>
        <v>#REF!</v>
      </c>
      <c r="R463">
        <v>-1.6083192630189229</v>
      </c>
      <c r="S463">
        <v>-0.94683356940088115</v>
      </c>
      <c r="T463" s="31" t="str">
        <f>VLOOKUP(C463,V:W,2,0)</f>
        <v>UK</v>
      </c>
      <c r="U463" t="str">
        <f t="shared" si="47"/>
        <v/>
      </c>
    </row>
    <row r="464" spans="1:21" x14ac:dyDescent="0.25">
      <c r="A464" s="31" t="s">
        <v>1009</v>
      </c>
      <c r="B464" s="31" t="s">
        <v>1794</v>
      </c>
      <c r="C464" s="31" t="s">
        <v>1216</v>
      </c>
      <c r="D464" s="31">
        <f>IFERROR(ROUND(VLOOKUP(A464,institutions!A:E,4,0),2),"")</f>
        <v>1.55</v>
      </c>
      <c r="E464" s="31">
        <f>IFERROR(ROUND(VLOOKUP(A464,institutions!A:X,7,0),2),"")</f>
        <v>1.18</v>
      </c>
      <c r="F464" s="31">
        <f>IFERROR(ROUND(VLOOKUP(A464,institutions!A:X,10,0),2),"")</f>
        <v>1.1599999999999999</v>
      </c>
      <c r="G464" s="31">
        <f>IFERROR(ROUND(VLOOKUP(A464,institutions!A:X,13,0),2),"")</f>
        <v>1.83</v>
      </c>
      <c r="H464" s="31">
        <f>IFERROR(ROUND(VLOOKUP(A464,institutions!A:X,16,0),2),"")</f>
        <v>2.5499999999999998</v>
      </c>
      <c r="I464" s="31">
        <f t="shared" si="42"/>
        <v>0.248</v>
      </c>
      <c r="J464" s="31">
        <f t="shared" si="43"/>
        <v>0.125</v>
      </c>
      <c r="K464" s="31">
        <f t="shared" si="44"/>
        <v>0.187</v>
      </c>
      <c r="L464" s="31">
        <f t="shared" si="45"/>
        <v>0.378</v>
      </c>
      <c r="M464" s="31">
        <f t="shared" si="46"/>
        <v>0.56499999999999995</v>
      </c>
      <c r="N464" t="e">
        <f>VLOOKUP(A464,#REF!,11,0)</f>
        <v>#REF!</v>
      </c>
      <c r="O464" t="e">
        <f>VLOOKUP(A464,#REF!,12,0)</f>
        <v>#REF!</v>
      </c>
      <c r="P464" t="e">
        <f>VLOOKUP(A464,#REF!,13,0)</f>
        <v>#REF!</v>
      </c>
      <c r="Q464" t="e">
        <f>VLOOKUP(A464,#REF!,14,0)</f>
        <v>#REF!</v>
      </c>
      <c r="R464">
        <v>-1.250263311625303</v>
      </c>
      <c r="S464">
        <v>-1.163776867757768</v>
      </c>
      <c r="T464" s="31" t="str">
        <f>VLOOKUP(C464,V:W,2,0)</f>
        <v>UK</v>
      </c>
      <c r="U464" t="str">
        <f t="shared" si="47"/>
        <v/>
      </c>
    </row>
    <row r="465" spans="1:21" x14ac:dyDescent="0.25">
      <c r="A465" s="31" t="s">
        <v>1080</v>
      </c>
      <c r="B465" s="31" t="s">
        <v>1982</v>
      </c>
      <c r="C465" s="31" t="s">
        <v>1222</v>
      </c>
      <c r="D465" s="31">
        <f>IFERROR(ROUND(VLOOKUP(A465,institutions!A:E,4,0),2),"")</f>
        <v>1.52</v>
      </c>
      <c r="E465" s="31">
        <f>IFERROR(ROUND(VLOOKUP(A465,institutions!A:X,7,0),2),"")</f>
        <v>1.37</v>
      </c>
      <c r="F465" s="31">
        <f>IFERROR(ROUND(VLOOKUP(A465,institutions!A:X,10,0),2),"")</f>
        <v>1.24</v>
      </c>
      <c r="G465" s="31">
        <f>IFERROR(ROUND(VLOOKUP(A465,institutions!A:X,13,0),2),"")</f>
        <v>1.91</v>
      </c>
      <c r="H465" s="31">
        <f>IFERROR(ROUND(VLOOKUP(A465,institutions!A:X,16,0),2),"")</f>
        <v>1.98</v>
      </c>
      <c r="I465" s="31">
        <f t="shared" si="42"/>
        <v>0.223</v>
      </c>
      <c r="J465" s="31">
        <f t="shared" si="43"/>
        <v>0.36199999999999999</v>
      </c>
      <c r="K465" s="31">
        <f t="shared" si="44"/>
        <v>0.27800000000000002</v>
      </c>
      <c r="L465" s="31">
        <f t="shared" si="45"/>
        <v>0.42299999999999999</v>
      </c>
      <c r="M465" s="31">
        <f t="shared" si="46"/>
        <v>0.318</v>
      </c>
      <c r="N465" t="e">
        <f>VLOOKUP(A465,#REF!,11,0)</f>
        <v>#REF!</v>
      </c>
      <c r="O465" t="e">
        <f>VLOOKUP(A465,#REF!,12,0)</f>
        <v>#REF!</v>
      </c>
      <c r="P465" t="e">
        <f>VLOOKUP(A465,#REF!,13,0)</f>
        <v>#REF!</v>
      </c>
      <c r="Q465" t="e">
        <f>VLOOKUP(A465,#REF!,14,0)</f>
        <v>#REF!</v>
      </c>
      <c r="R465">
        <v>-1.081337213967043</v>
      </c>
      <c r="S465">
        <v>-0.20849092493458199</v>
      </c>
      <c r="T465" s="31" t="str">
        <f>VLOOKUP(C465,V:W,2,0)</f>
        <v>ITA</v>
      </c>
      <c r="U465" t="str">
        <f t="shared" si="47"/>
        <v/>
      </c>
    </row>
    <row r="466" spans="1:21" x14ac:dyDescent="0.25">
      <c r="A466" s="31" t="s">
        <v>999</v>
      </c>
      <c r="B466" s="31" t="s">
        <v>1807</v>
      </c>
      <c r="C466" s="31" t="s">
        <v>1237</v>
      </c>
      <c r="D466" s="31">
        <f>IFERROR(ROUND(VLOOKUP(A466,institutions!A:E,4,0),2),"")</f>
        <v>1.55</v>
      </c>
      <c r="E466" s="31">
        <f>IFERROR(ROUND(VLOOKUP(A466,institutions!A:X,7,0),2),"")</f>
        <v>1.41</v>
      </c>
      <c r="F466" s="31">
        <f>IFERROR(ROUND(VLOOKUP(A466,institutions!A:X,10,0),2),"")</f>
        <v>1.36</v>
      </c>
      <c r="G466" s="31">
        <f>IFERROR(ROUND(VLOOKUP(A466,institutions!A:X,13,0),2),"")</f>
        <v>1.74</v>
      </c>
      <c r="H466" s="31">
        <f>IFERROR(ROUND(VLOOKUP(A466,institutions!A:X,16,0),2),"")</f>
        <v>1.77</v>
      </c>
      <c r="I466" s="31">
        <f t="shared" si="42"/>
        <v>0.248</v>
      </c>
      <c r="J466" s="31">
        <f t="shared" si="43"/>
        <v>0.42199999999999999</v>
      </c>
      <c r="K466" s="31">
        <f t="shared" si="44"/>
        <v>0.41199999999999998</v>
      </c>
      <c r="L466" s="31">
        <f t="shared" si="45"/>
        <v>0.32200000000000001</v>
      </c>
      <c r="M466" s="31">
        <f t="shared" si="46"/>
        <v>0.217</v>
      </c>
      <c r="N466" t="e">
        <f>VLOOKUP(A466,#REF!,11,0)</f>
        <v>#REF!</v>
      </c>
      <c r="O466" t="e">
        <f>VLOOKUP(A466,#REF!,12,0)</f>
        <v>#REF!</v>
      </c>
      <c r="P466" t="e">
        <f>VLOOKUP(A466,#REF!,13,0)</f>
        <v>#REF!</v>
      </c>
      <c r="Q466" t="e">
        <f>VLOOKUP(A466,#REF!,14,0)</f>
        <v>#REF!</v>
      </c>
      <c r="R466">
        <v>-1.1190691400453281</v>
      </c>
      <c r="S466">
        <v>0.44308819970882263</v>
      </c>
      <c r="T466" s="31" t="str">
        <f>VLOOKUP(C466,V:W,2,0)</f>
        <v>AUS</v>
      </c>
      <c r="U466" t="str">
        <f t="shared" si="47"/>
        <v/>
      </c>
    </row>
    <row r="467" spans="1:21" x14ac:dyDescent="0.25">
      <c r="A467" s="31" t="s">
        <v>1042</v>
      </c>
      <c r="B467" s="31" t="s">
        <v>1632</v>
      </c>
      <c r="C467" s="31" t="s">
        <v>1216</v>
      </c>
      <c r="D467" s="31">
        <f>IFERROR(ROUND(VLOOKUP(A467,institutions!A:E,4,0),2),"")</f>
        <v>1.58</v>
      </c>
      <c r="E467" s="31">
        <f>IFERROR(ROUND(VLOOKUP(A467,institutions!A:X,7,0),2),"")</f>
        <v>1.4</v>
      </c>
      <c r="F467" s="31">
        <f>IFERROR(ROUND(VLOOKUP(A467,institutions!A:X,10,0),2),"")</f>
        <v>1.23</v>
      </c>
      <c r="G467" s="31">
        <f>IFERROR(ROUND(VLOOKUP(A467,institutions!A:X,13,0),2),"")</f>
        <v>1.7</v>
      </c>
      <c r="H467" s="31">
        <f>IFERROR(ROUND(VLOOKUP(A467,institutions!A:X,16,0),2),"")</f>
        <v>2.0499999999999998</v>
      </c>
      <c r="I467" s="31">
        <f t="shared" si="42"/>
        <v>0.28299999999999997</v>
      </c>
      <c r="J467" s="31">
        <f t="shared" si="43"/>
        <v>0.40300000000000002</v>
      </c>
      <c r="K467" s="31">
        <f t="shared" si="44"/>
        <v>0.26800000000000002</v>
      </c>
      <c r="L467" s="31">
        <f t="shared" si="45"/>
        <v>0.3</v>
      </c>
      <c r="M467" s="31">
        <f t="shared" si="46"/>
        <v>0.34799999999999998</v>
      </c>
      <c r="N467" t="e">
        <f>VLOOKUP(A467,#REF!,11,0)</f>
        <v>#REF!</v>
      </c>
      <c r="O467" t="e">
        <f>VLOOKUP(A467,#REF!,12,0)</f>
        <v>#REF!</v>
      </c>
      <c r="P467" t="e">
        <f>VLOOKUP(A467,#REF!,13,0)</f>
        <v>#REF!</v>
      </c>
      <c r="Q467" t="e">
        <f>VLOOKUP(A467,#REF!,14,0)</f>
        <v>#REF!</v>
      </c>
      <c r="R467">
        <v>-1.198181438104851</v>
      </c>
      <c r="S467">
        <v>2.185624403250807E-2</v>
      </c>
      <c r="T467" s="31" t="str">
        <f>VLOOKUP(C467,V:W,2,0)</f>
        <v>UK</v>
      </c>
      <c r="U467" t="str">
        <f t="shared" si="47"/>
        <v/>
      </c>
    </row>
    <row r="468" spans="1:21" x14ac:dyDescent="0.25">
      <c r="A468" s="31" t="s">
        <v>1073</v>
      </c>
      <c r="B468" s="31" t="s">
        <v>1821</v>
      </c>
      <c r="C468" s="31" t="s">
        <v>1230</v>
      </c>
      <c r="D468" s="31">
        <f>IFERROR(ROUND(VLOOKUP(A468,institutions!A:E,4,0),2),"")</f>
        <v>1.53</v>
      </c>
      <c r="E468" s="31">
        <f>IFERROR(ROUND(VLOOKUP(A468,institutions!A:X,7,0),2),"")</f>
        <v>1.4</v>
      </c>
      <c r="F468" s="31">
        <f>IFERROR(ROUND(VLOOKUP(A468,institutions!A:X,10,0),2),"")</f>
        <v>1.36</v>
      </c>
      <c r="G468" s="31">
        <f>IFERROR(ROUND(VLOOKUP(A468,institutions!A:X,13,0),2),"")</f>
        <v>1.3</v>
      </c>
      <c r="H468" s="31">
        <f>IFERROR(ROUND(VLOOKUP(A468,institutions!A:X,16,0),2),"")</f>
        <v>1.7</v>
      </c>
      <c r="I468" s="31">
        <f t="shared" si="42"/>
        <v>0.23</v>
      </c>
      <c r="J468" s="31">
        <f t="shared" si="43"/>
        <v>0.40300000000000002</v>
      </c>
      <c r="K468" s="31">
        <f t="shared" si="44"/>
        <v>0.41199999999999998</v>
      </c>
      <c r="L468" s="31">
        <f t="shared" si="45"/>
        <v>0.122</v>
      </c>
      <c r="M468" s="31">
        <f t="shared" si="46"/>
        <v>0.182</v>
      </c>
      <c r="N468" t="e">
        <f>VLOOKUP(A468,#REF!,11,0)</f>
        <v>#REF!</v>
      </c>
      <c r="O468" t="e">
        <f>VLOOKUP(A468,#REF!,12,0)</f>
        <v>#REF!</v>
      </c>
      <c r="P468" t="e">
        <f>VLOOKUP(A468,#REF!,13,0)</f>
        <v>#REF!</v>
      </c>
      <c r="Q468" t="e">
        <f>VLOOKUP(A468,#REF!,14,0)</f>
        <v>#REF!</v>
      </c>
      <c r="R468">
        <v>-1.5696401899437751</v>
      </c>
      <c r="S468">
        <v>0.7912515011299146</v>
      </c>
      <c r="T468" s="31" t="str">
        <f>VLOOKUP(C468,V:W,2,0)</f>
        <v>CHN</v>
      </c>
      <c r="U468" t="str">
        <f t="shared" si="47"/>
        <v/>
      </c>
    </row>
    <row r="469" spans="1:21" x14ac:dyDescent="0.25">
      <c r="A469" s="31" t="s">
        <v>1003</v>
      </c>
      <c r="B469" s="31" t="s">
        <v>1986</v>
      </c>
      <c r="C469" s="31" t="s">
        <v>1230</v>
      </c>
      <c r="D469" s="31">
        <f>IFERROR(ROUND(VLOOKUP(A469,institutions!A:E,4,0),2),"")</f>
        <v>1.53</v>
      </c>
      <c r="E469" s="31">
        <f>IFERROR(ROUND(VLOOKUP(A469,institutions!A:X,7,0),2),"")</f>
        <v>1.65</v>
      </c>
      <c r="F469" s="31">
        <f>IFERROR(ROUND(VLOOKUP(A469,institutions!A:X,10,0),2),"")</f>
        <v>1.26</v>
      </c>
      <c r="G469" s="31">
        <f>IFERROR(ROUND(VLOOKUP(A469,institutions!A:X,13,0),2),"")</f>
        <v>1.4</v>
      </c>
      <c r="H469" s="31">
        <f>IFERROR(ROUND(VLOOKUP(A469,institutions!A:X,16,0),2),"")</f>
        <v>1.53</v>
      </c>
      <c r="I469" s="31">
        <f t="shared" si="42"/>
        <v>0.23</v>
      </c>
      <c r="J469" s="31">
        <f t="shared" si="43"/>
        <v>0.60799999999999998</v>
      </c>
      <c r="K469" s="31">
        <f t="shared" si="44"/>
        <v>0.312</v>
      </c>
      <c r="L469" s="31">
        <f t="shared" si="45"/>
        <v>0.158</v>
      </c>
      <c r="M469" s="31">
        <f t="shared" si="46"/>
        <v>0.125</v>
      </c>
      <c r="N469" t="e">
        <f>VLOOKUP(A469,#REF!,11,0)</f>
        <v>#REF!</v>
      </c>
      <c r="O469" t="e">
        <f>VLOOKUP(A469,#REF!,12,0)</f>
        <v>#REF!</v>
      </c>
      <c r="P469" t="e">
        <f>VLOOKUP(A469,#REF!,13,0)</f>
        <v>#REF!</v>
      </c>
      <c r="Q469" t="e">
        <f>VLOOKUP(A469,#REF!,14,0)</f>
        <v>#REF!</v>
      </c>
      <c r="R469">
        <v>-1.4511735099500429</v>
      </c>
      <c r="S469">
        <v>1.1139165419917869</v>
      </c>
      <c r="T469" s="31" t="str">
        <f>VLOOKUP(C469,V:W,2,0)</f>
        <v>CHN</v>
      </c>
      <c r="U469" t="str">
        <f t="shared" si="47"/>
        <v/>
      </c>
    </row>
    <row r="470" spans="1:21" x14ac:dyDescent="0.25">
      <c r="A470" s="31" t="s">
        <v>1074</v>
      </c>
      <c r="B470" s="31" t="s">
        <v>2048</v>
      </c>
      <c r="C470" s="31" t="s">
        <v>1243</v>
      </c>
      <c r="D470" s="31">
        <f>IFERROR(ROUND(VLOOKUP(A470,institutions!A:E,4,0),2),"")</f>
        <v>1.48</v>
      </c>
      <c r="E470" s="31">
        <f>IFERROR(ROUND(VLOOKUP(A470,institutions!A:X,7,0),2),"")</f>
        <v>1.2</v>
      </c>
      <c r="F470" s="31">
        <f>IFERROR(ROUND(VLOOKUP(A470,institutions!A:X,10,0),2),"")</f>
        <v>1.42</v>
      </c>
      <c r="G470" s="31">
        <f>IFERROR(ROUND(VLOOKUP(A470,institutions!A:X,13,0),2),"")</f>
        <v>1.7</v>
      </c>
      <c r="H470" s="31">
        <f>IFERROR(ROUND(VLOOKUP(A470,institutions!A:X,16,0),2),"")</f>
        <v>2.09</v>
      </c>
      <c r="I470" s="31">
        <f t="shared" si="42"/>
        <v>0.2</v>
      </c>
      <c r="J470" s="31">
        <f t="shared" si="43"/>
        <v>0.14499999999999999</v>
      </c>
      <c r="K470" s="31">
        <f t="shared" si="44"/>
        <v>0.45800000000000002</v>
      </c>
      <c r="L470" s="31">
        <f t="shared" si="45"/>
        <v>0.3</v>
      </c>
      <c r="M470" s="31">
        <f t="shared" si="46"/>
        <v>0.372</v>
      </c>
      <c r="N470" t="e">
        <f>VLOOKUP(A470,#REF!,11,0)</f>
        <v>#REF!</v>
      </c>
      <c r="O470" t="e">
        <f>VLOOKUP(A470,#REF!,12,0)</f>
        <v>#REF!</v>
      </c>
      <c r="P470" t="e">
        <f>VLOOKUP(A470,#REF!,13,0)</f>
        <v>#REF!</v>
      </c>
      <c r="Q470" t="e">
        <f>VLOOKUP(A470,#REF!,14,0)</f>
        <v>#REF!</v>
      </c>
      <c r="R470">
        <v>-1.243025869966939</v>
      </c>
      <c r="S470">
        <v>-0.29066159631490163</v>
      </c>
      <c r="T470" s="31" t="str">
        <f>VLOOKUP(C470,V:W,2,0)</f>
        <v>TWN</v>
      </c>
      <c r="U470" t="str">
        <f t="shared" si="47"/>
        <v/>
      </c>
    </row>
    <row r="471" spans="1:21" x14ac:dyDescent="0.25">
      <c r="A471" s="31" t="s">
        <v>971</v>
      </c>
      <c r="B471" s="31" t="s">
        <v>1640</v>
      </c>
      <c r="C471" s="31" t="s">
        <v>1222</v>
      </c>
      <c r="D471" s="31">
        <f>IFERROR(ROUND(VLOOKUP(A471,institutions!A:E,4,0),2),"")</f>
        <v>1.55</v>
      </c>
      <c r="E471" s="31">
        <f>IFERROR(ROUND(VLOOKUP(A471,institutions!A:X,7,0),2),"")</f>
        <v>1.1000000000000001</v>
      </c>
      <c r="F471" s="31" t="str">
        <f>IFERROR(ROUND(VLOOKUP(A471,institutions!A:X,10,0),2),"")</f>
        <v/>
      </c>
      <c r="G471" s="31">
        <f>IFERROR(ROUND(VLOOKUP(A471,institutions!A:X,13,0),2),"")</f>
        <v>1.81</v>
      </c>
      <c r="H471" s="31">
        <f>IFERROR(ROUND(VLOOKUP(A471,institutions!A:X,16,0),2),"")</f>
        <v>2.4300000000000002</v>
      </c>
      <c r="I471" s="31">
        <f t="shared" si="42"/>
        <v>0.248</v>
      </c>
      <c r="J471" s="31">
        <f t="shared" si="43"/>
        <v>4.8000000000000001E-2</v>
      </c>
      <c r="K471" s="31">
        <f t="shared" si="44"/>
        <v>0</v>
      </c>
      <c r="L471" s="31">
        <f t="shared" si="45"/>
        <v>0.37</v>
      </c>
      <c r="M471" s="31">
        <f t="shared" si="46"/>
        <v>0.51500000000000001</v>
      </c>
      <c r="N471" t="e">
        <f>VLOOKUP(A471,#REF!,11,0)</f>
        <v>#REF!</v>
      </c>
      <c r="O471" t="e">
        <f>VLOOKUP(A471,#REF!,12,0)</f>
        <v>#REF!</v>
      </c>
      <c r="P471" t="e">
        <f>VLOOKUP(A471,#REF!,13,0)</f>
        <v>#REF!</v>
      </c>
      <c r="Q471" t="e">
        <f>VLOOKUP(A471,#REF!,14,0)</f>
        <v>#REF!</v>
      </c>
      <c r="R471">
        <v>-1.797511437163235</v>
      </c>
      <c r="S471">
        <v>-1.5076717473490711</v>
      </c>
      <c r="T471" s="31" t="str">
        <f>VLOOKUP(C471,V:W,2,0)</f>
        <v>ITA</v>
      </c>
      <c r="U471" t="str">
        <f t="shared" si="47"/>
        <v/>
      </c>
    </row>
    <row r="472" spans="1:21" x14ac:dyDescent="0.25">
      <c r="A472" s="31" t="s">
        <v>1038</v>
      </c>
      <c r="B472" s="31" t="s">
        <v>2043</v>
      </c>
      <c r="C472" s="31" t="s">
        <v>1224</v>
      </c>
      <c r="D472" s="31">
        <f>IFERROR(ROUND(VLOOKUP(A472,institutions!A:E,4,0),2),"")</f>
        <v>1.57</v>
      </c>
      <c r="E472" s="31">
        <f>IFERROR(ROUND(VLOOKUP(A472,institutions!A:X,7,0),2),"")</f>
        <v>1.18</v>
      </c>
      <c r="F472" s="31">
        <f>IFERROR(ROUND(VLOOKUP(A472,institutions!A:X,10,0),2),"")</f>
        <v>1.2</v>
      </c>
      <c r="G472" s="31">
        <f>IFERROR(ROUND(VLOOKUP(A472,institutions!A:X,13,0),2),"")</f>
        <v>1.65</v>
      </c>
      <c r="H472" s="31">
        <f>IFERROR(ROUND(VLOOKUP(A472,institutions!A:X,16,0),2),"")</f>
        <v>2.16</v>
      </c>
      <c r="I472" s="31">
        <f t="shared" si="42"/>
        <v>0.27700000000000002</v>
      </c>
      <c r="J472" s="31">
        <f t="shared" si="43"/>
        <v>0.125</v>
      </c>
      <c r="K472" s="31">
        <f t="shared" si="44"/>
        <v>0.23</v>
      </c>
      <c r="L472" s="31">
        <f t="shared" si="45"/>
        <v>0.26700000000000002</v>
      </c>
      <c r="M472" s="31">
        <f t="shared" si="46"/>
        <v>0.39800000000000002</v>
      </c>
      <c r="N472" t="e">
        <f>VLOOKUP(A472,#REF!,11,0)</f>
        <v>#REF!</v>
      </c>
      <c r="O472" t="e">
        <f>VLOOKUP(A472,#REF!,12,0)</f>
        <v>#REF!</v>
      </c>
      <c r="P472" t="e">
        <f>VLOOKUP(A472,#REF!,13,0)</f>
        <v>#REF!</v>
      </c>
      <c r="Q472" t="e">
        <f>VLOOKUP(A472,#REF!,14,0)</f>
        <v>#REF!</v>
      </c>
      <c r="R472">
        <v>-1.6764970434132109</v>
      </c>
      <c r="S472">
        <v>-0.65139107264854768</v>
      </c>
      <c r="T472" s="31" t="str">
        <f>VLOOKUP(C472,V:W,2,0)</f>
        <v>CAN</v>
      </c>
      <c r="U472" t="str">
        <f t="shared" si="47"/>
        <v/>
      </c>
    </row>
    <row r="473" spans="1:21" x14ac:dyDescent="0.25">
      <c r="A473" s="31" t="s">
        <v>1090</v>
      </c>
      <c r="B473" s="31" t="s">
        <v>1619</v>
      </c>
      <c r="C473" s="31" t="s">
        <v>1258</v>
      </c>
      <c r="D473" s="31">
        <f>IFERROR(ROUND(VLOOKUP(A473,institutions!A:E,4,0),2),"")</f>
        <v>1.49</v>
      </c>
      <c r="E473" s="31">
        <f>IFERROR(ROUND(VLOOKUP(A473,institutions!A:X,7,0),2),"")</f>
        <v>1.31</v>
      </c>
      <c r="F473" s="31">
        <f>IFERROR(ROUND(VLOOKUP(A473,institutions!A:X,10,0),2),"")</f>
        <v>1.1399999999999999</v>
      </c>
      <c r="G473" s="31">
        <f>IFERROR(ROUND(VLOOKUP(A473,institutions!A:X,13,0),2),"")</f>
        <v>2.63</v>
      </c>
      <c r="H473" s="31">
        <f>IFERROR(ROUND(VLOOKUP(A473,institutions!A:X,16,0),2),"")</f>
        <v>1.33</v>
      </c>
      <c r="I473" s="31">
        <f t="shared" si="42"/>
        <v>0.21199999999999999</v>
      </c>
      <c r="J473" s="31">
        <f t="shared" si="43"/>
        <v>0.29799999999999999</v>
      </c>
      <c r="K473" s="31">
        <f t="shared" si="44"/>
        <v>0.157</v>
      </c>
      <c r="L473" s="31">
        <f t="shared" si="45"/>
        <v>0.71799999999999997</v>
      </c>
      <c r="M473" s="31">
        <f t="shared" si="46"/>
        <v>7.4999999999999997E-2</v>
      </c>
      <c r="N473" t="e">
        <f>VLOOKUP(A473,#REF!,11,0)</f>
        <v>#REF!</v>
      </c>
      <c r="O473" t="e">
        <f>VLOOKUP(A473,#REF!,12,0)</f>
        <v>#REF!</v>
      </c>
      <c r="P473" t="e">
        <f>VLOOKUP(A473,#REF!,13,0)</f>
        <v>#REF!</v>
      </c>
      <c r="Q473" t="e">
        <f>VLOOKUP(A473,#REF!,14,0)</f>
        <v>#REF!</v>
      </c>
      <c r="R473">
        <v>-1.302757767495625</v>
      </c>
      <c r="S473">
        <v>-0.6273034165522392</v>
      </c>
      <c r="T473" s="31" t="str">
        <f>VLOOKUP(C473,V:W,2,0)</f>
        <v>ZAF</v>
      </c>
      <c r="U473" t="str">
        <f t="shared" si="47"/>
        <v/>
      </c>
    </row>
    <row r="474" spans="1:21" x14ac:dyDescent="0.25">
      <c r="A474" s="31" t="s">
        <v>1091</v>
      </c>
      <c r="B474" s="31" t="s">
        <v>1648</v>
      </c>
      <c r="C474" s="31" t="s">
        <v>1216</v>
      </c>
      <c r="D474" s="31">
        <f>IFERROR(ROUND(VLOOKUP(A474,institutions!A:E,4,0),2),"")</f>
        <v>1.49</v>
      </c>
      <c r="E474" s="31">
        <f>IFERROR(ROUND(VLOOKUP(A474,institutions!A:X,7,0),2),"")</f>
        <v>1.31</v>
      </c>
      <c r="F474" s="31">
        <f>IFERROR(ROUND(VLOOKUP(A474,institutions!A:X,10,0),2),"")</f>
        <v>1.08</v>
      </c>
      <c r="G474" s="31">
        <f>IFERROR(ROUND(VLOOKUP(A474,institutions!A:X,13,0),2),"")</f>
        <v>2.0699999999999998</v>
      </c>
      <c r="H474" s="31">
        <f>IFERROR(ROUND(VLOOKUP(A474,institutions!A:X,16,0),2),"")</f>
        <v>1.95</v>
      </c>
      <c r="I474" s="31">
        <f t="shared" si="42"/>
        <v>0.21199999999999999</v>
      </c>
      <c r="J474" s="31">
        <f t="shared" si="43"/>
        <v>0.29799999999999999</v>
      </c>
      <c r="K474" s="31">
        <f t="shared" si="44"/>
        <v>0.107</v>
      </c>
      <c r="L474" s="31">
        <f t="shared" si="45"/>
        <v>0.49</v>
      </c>
      <c r="M474" s="31">
        <f t="shared" si="46"/>
        <v>0.30499999999999999</v>
      </c>
      <c r="N474" t="e">
        <f>VLOOKUP(A474,#REF!,11,0)</f>
        <v>#REF!</v>
      </c>
      <c r="O474" t="e">
        <f>VLOOKUP(A474,#REF!,12,0)</f>
        <v>#REF!</v>
      </c>
      <c r="P474" t="e">
        <f>VLOOKUP(A474,#REF!,13,0)</f>
        <v>#REF!</v>
      </c>
      <c r="Q474" t="e">
        <f>VLOOKUP(A474,#REF!,14,0)</f>
        <v>#REF!</v>
      </c>
      <c r="R474">
        <v>-1.379771152477846</v>
      </c>
      <c r="S474">
        <v>-0.68498804699407234</v>
      </c>
      <c r="T474" s="31" t="str">
        <f>VLOOKUP(C474,V:W,2,0)</f>
        <v>UK</v>
      </c>
      <c r="U474" t="str">
        <f t="shared" si="47"/>
        <v/>
      </c>
    </row>
    <row r="475" spans="1:21" x14ac:dyDescent="0.25">
      <c r="A475" s="31" t="s">
        <v>1030</v>
      </c>
      <c r="B475" s="31" t="s">
        <v>2046</v>
      </c>
      <c r="C475" s="31" t="s">
        <v>1230</v>
      </c>
      <c r="D475" s="31">
        <f>IFERROR(ROUND(VLOOKUP(A475,institutions!A:E,4,0),2),"")</f>
        <v>1.51</v>
      </c>
      <c r="E475" s="31">
        <f>IFERROR(ROUND(VLOOKUP(A475,institutions!A:X,7,0),2),"")</f>
        <v>1.1599999999999999</v>
      </c>
      <c r="F475" s="31">
        <f>IFERROR(ROUND(VLOOKUP(A475,institutions!A:X,10,0),2),"")</f>
        <v>1.1499999999999999</v>
      </c>
      <c r="G475" s="31">
        <f>IFERROR(ROUND(VLOOKUP(A475,institutions!A:X,13,0),2),"")</f>
        <v>1.77</v>
      </c>
      <c r="H475" s="31">
        <f>IFERROR(ROUND(VLOOKUP(A475,institutions!A:X,16,0),2),"")</f>
        <v>2.2000000000000002</v>
      </c>
      <c r="I475" s="31">
        <f t="shared" si="42"/>
        <v>0.217</v>
      </c>
      <c r="J475" s="31">
        <f t="shared" si="43"/>
        <v>0.108</v>
      </c>
      <c r="K475" s="31">
        <f t="shared" si="44"/>
        <v>0.17</v>
      </c>
      <c r="L475" s="31">
        <f t="shared" si="45"/>
        <v>0.35</v>
      </c>
      <c r="M475" s="31">
        <f t="shared" si="46"/>
        <v>0.41699999999999998</v>
      </c>
      <c r="N475" t="e">
        <f>VLOOKUP(A475,#REF!,11,0)</f>
        <v>#REF!</v>
      </c>
      <c r="O475" t="e">
        <f>VLOOKUP(A475,#REF!,12,0)</f>
        <v>#REF!</v>
      </c>
      <c r="P475" t="e">
        <f>VLOOKUP(A475,#REF!,13,0)</f>
        <v>#REF!</v>
      </c>
      <c r="Q475" t="e">
        <f>VLOOKUP(A475,#REF!,14,0)</f>
        <v>#REF!</v>
      </c>
      <c r="R475">
        <v>-1.623750414942738</v>
      </c>
      <c r="S475">
        <v>-0.94342172425423754</v>
      </c>
      <c r="T475" s="31" t="str">
        <f>VLOOKUP(C475,V:W,2,0)</f>
        <v>CHN</v>
      </c>
      <c r="U475" t="str">
        <f t="shared" si="47"/>
        <v/>
      </c>
    </row>
    <row r="476" spans="1:21" x14ac:dyDescent="0.25">
      <c r="A476" s="31" t="s">
        <v>1082</v>
      </c>
      <c r="B476" s="31" t="s">
        <v>1970</v>
      </c>
      <c r="C476" s="31" t="s">
        <v>1220</v>
      </c>
      <c r="D476" s="31">
        <f>IFERROR(ROUND(VLOOKUP(A476,institutions!A:E,4,0),2),"")</f>
        <v>1.51</v>
      </c>
      <c r="E476" s="31">
        <f>IFERROR(ROUND(VLOOKUP(A476,institutions!A:X,7,0),2),"")</f>
        <v>1.42</v>
      </c>
      <c r="F476" s="31" t="str">
        <f>IFERROR(ROUND(VLOOKUP(A476,institutions!A:X,10,0),2),"")</f>
        <v/>
      </c>
      <c r="G476" s="31" t="str">
        <f>IFERROR(ROUND(VLOOKUP(A476,institutions!A:X,13,0),2),"")</f>
        <v/>
      </c>
      <c r="H476" s="31">
        <f>IFERROR(ROUND(VLOOKUP(A476,institutions!A:X,16,0),2),"")</f>
        <v>2.2200000000000002</v>
      </c>
      <c r="I476" s="31">
        <f t="shared" si="42"/>
        <v>0.217</v>
      </c>
      <c r="J476" s="31">
        <f t="shared" si="43"/>
        <v>0.432</v>
      </c>
      <c r="K476" s="31">
        <f t="shared" si="44"/>
        <v>0</v>
      </c>
      <c r="L476" s="31">
        <f t="shared" si="45"/>
        <v>0</v>
      </c>
      <c r="M476" s="31">
        <f t="shared" si="46"/>
        <v>0.43</v>
      </c>
      <c r="N476" t="e">
        <f>VLOOKUP(A476,#REF!,11,0)</f>
        <v>#REF!</v>
      </c>
      <c r="O476" t="e">
        <f>VLOOKUP(A476,#REF!,12,0)</f>
        <v>#REF!</v>
      </c>
      <c r="P476" t="e">
        <f>VLOOKUP(A476,#REF!,13,0)</f>
        <v>#REF!</v>
      </c>
      <c r="Q476" t="e">
        <f>VLOOKUP(A476,#REF!,14,0)</f>
        <v>#REF!</v>
      </c>
      <c r="R476">
        <v>-1.9970135624162511</v>
      </c>
      <c r="S476">
        <v>6.3584685928101042E-2</v>
      </c>
      <c r="T476" s="31" t="str">
        <f>VLOOKUP(C476,V:W,2,0)</f>
        <v>SPAIN</v>
      </c>
      <c r="U476" t="str">
        <f t="shared" si="47"/>
        <v>CSIC</v>
      </c>
    </row>
    <row r="477" spans="1:21" x14ac:dyDescent="0.25">
      <c r="A477" s="31" t="s">
        <v>1037</v>
      </c>
      <c r="B477" s="31" t="s">
        <v>1783</v>
      </c>
      <c r="C477" s="31" t="s">
        <v>1251</v>
      </c>
      <c r="D477" s="31">
        <f>IFERROR(ROUND(VLOOKUP(A477,institutions!A:E,4,0),2),"")</f>
        <v>1.48</v>
      </c>
      <c r="E477" s="31">
        <f>IFERROR(ROUND(VLOOKUP(A477,institutions!A:X,7,0),2),"")</f>
        <v>1.1399999999999999</v>
      </c>
      <c r="F477" s="31">
        <f>IFERROR(ROUND(VLOOKUP(A477,institutions!A:X,10,0),2),"")</f>
        <v>1.1200000000000001</v>
      </c>
      <c r="G477" s="31">
        <f>IFERROR(ROUND(VLOOKUP(A477,institutions!A:X,13,0),2),"")</f>
        <v>1.94</v>
      </c>
      <c r="H477" s="31">
        <f>IFERROR(ROUND(VLOOKUP(A477,institutions!A:X,16,0),2),"")</f>
        <v>1.96</v>
      </c>
      <c r="I477" s="31">
        <f t="shared" si="42"/>
        <v>0.2</v>
      </c>
      <c r="J477" s="31">
        <f t="shared" si="43"/>
        <v>8.7999999999999995E-2</v>
      </c>
      <c r="K477" s="31">
        <f t="shared" si="44"/>
        <v>0.13500000000000001</v>
      </c>
      <c r="L477" s="31">
        <f t="shared" si="45"/>
        <v>0.44</v>
      </c>
      <c r="M477" s="31">
        <f t="shared" si="46"/>
        <v>0.308</v>
      </c>
      <c r="N477" t="e">
        <f>VLOOKUP(A477,#REF!,11,0)</f>
        <v>#REF!</v>
      </c>
      <c r="O477" t="e">
        <f>VLOOKUP(A477,#REF!,12,0)</f>
        <v>#REF!</v>
      </c>
      <c r="P477" t="e">
        <f>VLOOKUP(A477,#REF!,13,0)</f>
        <v>#REF!</v>
      </c>
      <c r="Q477" t="e">
        <f>VLOOKUP(A477,#REF!,14,0)</f>
        <v>#REF!</v>
      </c>
      <c r="R477">
        <v>-1.751750279350655</v>
      </c>
      <c r="S477">
        <v>-1.014123239486473</v>
      </c>
      <c r="T477" s="31" t="str">
        <f>VLOOKUP(C477,V:W,2,0)</f>
        <v>POL</v>
      </c>
      <c r="U477" t="str">
        <f t="shared" si="47"/>
        <v/>
      </c>
    </row>
    <row r="478" spans="1:21" x14ac:dyDescent="0.25">
      <c r="A478" s="31" t="s">
        <v>1016</v>
      </c>
      <c r="B478" s="31" t="s">
        <v>1816</v>
      </c>
      <c r="C478" s="31" t="s">
        <v>1230</v>
      </c>
      <c r="D478" s="31">
        <f>IFERROR(ROUND(VLOOKUP(A478,institutions!A:E,4,0),2),"")</f>
        <v>1.54</v>
      </c>
      <c r="E478" s="31">
        <f>IFERROR(ROUND(VLOOKUP(A478,institutions!A:X,7,0),2),"")</f>
        <v>1.21</v>
      </c>
      <c r="F478" s="31">
        <f>IFERROR(ROUND(VLOOKUP(A478,institutions!A:X,10,0),2),"")</f>
        <v>1.39</v>
      </c>
      <c r="G478" s="31">
        <f>IFERROR(ROUND(VLOOKUP(A478,institutions!A:X,13,0),2),"")</f>
        <v>2.4300000000000002</v>
      </c>
      <c r="H478" s="31">
        <f>IFERROR(ROUND(VLOOKUP(A478,institutions!A:X,16,0),2),"")</f>
        <v>1.85</v>
      </c>
      <c r="I478" s="31">
        <f t="shared" si="42"/>
        <v>0.23699999999999999</v>
      </c>
      <c r="J478" s="31">
        <f t="shared" si="43"/>
        <v>0.16500000000000001</v>
      </c>
      <c r="K478" s="31">
        <f t="shared" si="44"/>
        <v>0.435</v>
      </c>
      <c r="L478" s="31">
        <f t="shared" si="45"/>
        <v>0.64800000000000002</v>
      </c>
      <c r="M478" s="31">
        <f t="shared" si="46"/>
        <v>0.25800000000000001</v>
      </c>
      <c r="N478" t="e">
        <f>VLOOKUP(A478,#REF!,11,0)</f>
        <v>#REF!</v>
      </c>
      <c r="O478" t="e">
        <f>VLOOKUP(A478,#REF!,12,0)</f>
        <v>#REF!</v>
      </c>
      <c r="P478" t="e">
        <f>VLOOKUP(A478,#REF!,13,0)</f>
        <v>#REF!</v>
      </c>
      <c r="Q478" t="e">
        <f>VLOOKUP(A478,#REF!,14,0)</f>
        <v>#REF!</v>
      </c>
      <c r="R478">
        <v>-0.83506882157396134</v>
      </c>
      <c r="S478">
        <v>-0.68041303924689012</v>
      </c>
      <c r="T478" s="31" t="str">
        <f>VLOOKUP(C478,V:W,2,0)</f>
        <v>CHN</v>
      </c>
      <c r="U478" t="str">
        <f t="shared" si="47"/>
        <v/>
      </c>
    </row>
    <row r="479" spans="1:21" x14ac:dyDescent="0.25">
      <c r="A479" s="31" t="s">
        <v>1076</v>
      </c>
      <c r="B479" s="31" t="s">
        <v>1631</v>
      </c>
      <c r="C479" s="31" t="s">
        <v>1225</v>
      </c>
      <c r="D479" s="31">
        <f>IFERROR(ROUND(VLOOKUP(A479,institutions!A:E,4,0),2),"")</f>
        <v>1.56</v>
      </c>
      <c r="E479" s="31">
        <f>IFERROR(ROUND(VLOOKUP(A479,institutions!A:X,7,0),2),"")</f>
        <v>1.3</v>
      </c>
      <c r="F479" s="31">
        <f>IFERROR(ROUND(VLOOKUP(A479,institutions!A:X,10,0),2),"")</f>
        <v>1.25</v>
      </c>
      <c r="G479" s="31">
        <f>IFERROR(ROUND(VLOOKUP(A479,institutions!A:X,13,0),2),"")</f>
        <v>1.81</v>
      </c>
      <c r="H479" s="31">
        <f>IFERROR(ROUND(VLOOKUP(A479,institutions!A:X,16,0),2),"")</f>
        <v>2.68</v>
      </c>
      <c r="I479" s="31">
        <f t="shared" si="42"/>
        <v>0.26200000000000001</v>
      </c>
      <c r="J479" s="31">
        <f t="shared" si="43"/>
        <v>0.28299999999999997</v>
      </c>
      <c r="K479" s="31">
        <f t="shared" si="44"/>
        <v>0.29699999999999999</v>
      </c>
      <c r="L479" s="31">
        <f t="shared" si="45"/>
        <v>0.37</v>
      </c>
      <c r="M479" s="31">
        <f t="shared" si="46"/>
        <v>0.60499999999999998</v>
      </c>
      <c r="N479" t="e">
        <f>VLOOKUP(A479,#REF!,11,0)</f>
        <v>#REF!</v>
      </c>
      <c r="O479" t="e">
        <f>VLOOKUP(A479,#REF!,12,0)</f>
        <v>#REF!</v>
      </c>
      <c r="P479" t="e">
        <f>VLOOKUP(A479,#REF!,13,0)</f>
        <v>#REF!</v>
      </c>
      <c r="Q479" t="e">
        <f>VLOOKUP(A479,#REF!,14,0)</f>
        <v>#REF!</v>
      </c>
      <c r="R479">
        <v>-0.7515846216466433</v>
      </c>
      <c r="S479">
        <v>-0.71644276055311473</v>
      </c>
      <c r="T479" s="31" t="str">
        <f>VLOOKUP(C479,V:W,2,0)</f>
        <v>FIN</v>
      </c>
      <c r="U479" t="str">
        <f t="shared" si="47"/>
        <v/>
      </c>
    </row>
    <row r="480" spans="1:21" x14ac:dyDescent="0.25">
      <c r="A480" s="31" t="s">
        <v>1029</v>
      </c>
      <c r="B480" s="31" t="s">
        <v>1809</v>
      </c>
      <c r="C480" s="31" t="s">
        <v>1230</v>
      </c>
      <c r="D480" s="31">
        <f>IFERROR(ROUND(VLOOKUP(A480,institutions!A:E,4,0),2),"")</f>
        <v>1.52</v>
      </c>
      <c r="E480" s="31">
        <f>IFERROR(ROUND(VLOOKUP(A480,institutions!A:X,7,0),2),"")</f>
        <v>1.03</v>
      </c>
      <c r="F480" s="31">
        <f>IFERROR(ROUND(VLOOKUP(A480,institutions!A:X,10,0),2),"")</f>
        <v>1.37</v>
      </c>
      <c r="G480" s="31">
        <f>IFERROR(ROUND(VLOOKUP(A480,institutions!A:X,13,0),2),"")</f>
        <v>1.62</v>
      </c>
      <c r="H480" s="31">
        <f>IFERROR(ROUND(VLOOKUP(A480,institutions!A:X,16,0),2),"")</f>
        <v>1.84</v>
      </c>
      <c r="I480" s="31">
        <f t="shared" si="42"/>
        <v>0.223</v>
      </c>
      <c r="J480" s="31">
        <f t="shared" si="43"/>
        <v>0.02</v>
      </c>
      <c r="K480" s="31">
        <f t="shared" si="44"/>
        <v>0.42199999999999999</v>
      </c>
      <c r="L480" s="31">
        <f t="shared" si="45"/>
        <v>0.255</v>
      </c>
      <c r="M480" s="31">
        <f t="shared" si="46"/>
        <v>0.255</v>
      </c>
      <c r="N480" t="e">
        <f>VLOOKUP(A480,#REF!,11,0)</f>
        <v>#REF!</v>
      </c>
      <c r="O480" t="e">
        <f>VLOOKUP(A480,#REF!,12,0)</f>
        <v>#REF!</v>
      </c>
      <c r="P480" t="e">
        <f>VLOOKUP(A480,#REF!,13,0)</f>
        <v>#REF!</v>
      </c>
      <c r="Q480" t="e">
        <f>VLOOKUP(A480,#REF!,14,0)</f>
        <v>#REF!</v>
      </c>
      <c r="R480">
        <v>-1.7961292054758149</v>
      </c>
      <c r="S480">
        <v>-0.34941748641136372</v>
      </c>
      <c r="T480" s="31" t="str">
        <f>VLOOKUP(C480,V:W,2,0)</f>
        <v>CHN</v>
      </c>
      <c r="U480" t="str">
        <f t="shared" si="47"/>
        <v/>
      </c>
    </row>
    <row r="481" spans="1:21" x14ac:dyDescent="0.25">
      <c r="A481" s="31" t="s">
        <v>1045</v>
      </c>
      <c r="B481" s="31" t="s">
        <v>1824</v>
      </c>
      <c r="C481" s="31" t="s">
        <v>1230</v>
      </c>
      <c r="D481" s="31">
        <f>IFERROR(ROUND(VLOOKUP(A481,institutions!A:E,4,0),2),"")</f>
        <v>1.48</v>
      </c>
      <c r="E481" s="31">
        <f>IFERROR(ROUND(VLOOKUP(A481,institutions!A:X,7,0),2),"")</f>
        <v>1.37</v>
      </c>
      <c r="F481" s="31">
        <f>IFERROR(ROUND(VLOOKUP(A481,institutions!A:X,10,0),2),"")</f>
        <v>1.44</v>
      </c>
      <c r="G481" s="31">
        <f>IFERROR(ROUND(VLOOKUP(A481,institutions!A:X,13,0),2),"")</f>
        <v>1.26</v>
      </c>
      <c r="H481" s="31">
        <f>IFERROR(ROUND(VLOOKUP(A481,institutions!A:X,16,0),2),"")</f>
        <v>1.59</v>
      </c>
      <c r="I481" s="31">
        <f t="shared" si="42"/>
        <v>0.2</v>
      </c>
      <c r="J481" s="31">
        <f t="shared" si="43"/>
        <v>0.36199999999999999</v>
      </c>
      <c r="K481" s="31">
        <f t="shared" si="44"/>
        <v>0.48</v>
      </c>
      <c r="L481" s="31">
        <f t="shared" si="45"/>
        <v>0.107</v>
      </c>
      <c r="M481" s="31">
        <f t="shared" si="46"/>
        <v>0.152</v>
      </c>
      <c r="N481" t="e">
        <f>VLOOKUP(A481,#REF!,11,0)</f>
        <v>#REF!</v>
      </c>
      <c r="O481" t="e">
        <f>VLOOKUP(A481,#REF!,12,0)</f>
        <v>#REF!</v>
      </c>
      <c r="P481" t="e">
        <f>VLOOKUP(A481,#REF!,13,0)</f>
        <v>#REF!</v>
      </c>
      <c r="Q481" t="e">
        <f>VLOOKUP(A481,#REF!,14,0)</f>
        <v>#REF!</v>
      </c>
      <c r="R481">
        <v>-1.600012982396237</v>
      </c>
      <c r="S481">
        <v>0.87522383530179015</v>
      </c>
      <c r="T481" s="31" t="str">
        <f>VLOOKUP(C481,V:W,2,0)</f>
        <v>CHN</v>
      </c>
      <c r="U481" t="str">
        <f t="shared" si="47"/>
        <v/>
      </c>
    </row>
    <row r="482" spans="1:21" x14ac:dyDescent="0.25">
      <c r="A482" s="31" t="s">
        <v>1083</v>
      </c>
      <c r="B482" s="31" t="s">
        <v>2060</v>
      </c>
      <c r="C482" s="31" t="s">
        <v>1222</v>
      </c>
      <c r="D482" s="31">
        <f>IFERROR(ROUND(VLOOKUP(A482,institutions!A:E,4,0),2),"")</f>
        <v>1.45</v>
      </c>
      <c r="E482" s="31">
        <f>IFERROR(ROUND(VLOOKUP(A482,institutions!A:X,7,0),2),"")</f>
        <v>1.28</v>
      </c>
      <c r="F482" s="31">
        <f>IFERROR(ROUND(VLOOKUP(A482,institutions!A:X,10,0),2),"")</f>
        <v>1.31</v>
      </c>
      <c r="G482" s="31">
        <f>IFERROR(ROUND(VLOOKUP(A482,institutions!A:X,13,0),2),"")</f>
        <v>1.91</v>
      </c>
      <c r="H482" s="31">
        <f>IFERROR(ROUND(VLOOKUP(A482,institutions!A:X,16,0),2),"")</f>
        <v>1.75</v>
      </c>
      <c r="I482" s="31">
        <f t="shared" si="42"/>
        <v>0.17799999999999999</v>
      </c>
      <c r="J482" s="31">
        <f t="shared" si="43"/>
        <v>0.253</v>
      </c>
      <c r="K482" s="31">
        <f t="shared" si="44"/>
        <v>0.35699999999999998</v>
      </c>
      <c r="L482" s="31">
        <f t="shared" si="45"/>
        <v>0.42299999999999999</v>
      </c>
      <c r="M482" s="31">
        <f t="shared" si="46"/>
        <v>0.21199999999999999</v>
      </c>
      <c r="N482" t="e">
        <f>VLOOKUP(A482,#REF!,11,0)</f>
        <v>#REF!</v>
      </c>
      <c r="O482" t="e">
        <f>VLOOKUP(A482,#REF!,12,0)</f>
        <v>#REF!</v>
      </c>
      <c r="P482" t="e">
        <f>VLOOKUP(A482,#REF!,13,0)</f>
        <v>#REF!</v>
      </c>
      <c r="Q482" t="e">
        <f>VLOOKUP(A482,#REF!,14,0)</f>
        <v>#REF!</v>
      </c>
      <c r="R482">
        <v>-1.3121881477233659</v>
      </c>
      <c r="S482">
        <v>-0.15816520088515429</v>
      </c>
      <c r="T482" s="31" t="str">
        <f>VLOOKUP(C482,V:W,2,0)</f>
        <v>ITA</v>
      </c>
      <c r="U482" t="str">
        <f t="shared" si="47"/>
        <v/>
      </c>
    </row>
    <row r="483" spans="1:21" x14ac:dyDescent="0.25">
      <c r="A483" s="31" t="s">
        <v>1088</v>
      </c>
      <c r="B483" s="31" t="s">
        <v>1987</v>
      </c>
      <c r="C483" s="31" t="s">
        <v>1218</v>
      </c>
      <c r="D483" s="31">
        <f>IFERROR(ROUND(VLOOKUP(A483,institutions!A:E,4,0),2),"")</f>
        <v>1.47</v>
      </c>
      <c r="E483" s="31">
        <f>IFERROR(ROUND(VLOOKUP(A483,institutions!A:X,7,0),2),"")</f>
        <v>1.33</v>
      </c>
      <c r="F483" s="31">
        <f>IFERROR(ROUND(VLOOKUP(A483,institutions!A:X,10,0),2),"")</f>
        <v>1.08</v>
      </c>
      <c r="G483" s="31">
        <f>IFERROR(ROUND(VLOOKUP(A483,institutions!A:X,13,0),2),"")</f>
        <v>1.5</v>
      </c>
      <c r="H483" s="31">
        <f>IFERROR(ROUND(VLOOKUP(A483,institutions!A:X,16,0),2),"")</f>
        <v>2.21</v>
      </c>
      <c r="I483" s="31">
        <f t="shared" si="42"/>
        <v>0.19500000000000001</v>
      </c>
      <c r="J483" s="31">
        <f t="shared" si="43"/>
        <v>0.33</v>
      </c>
      <c r="K483" s="31">
        <f t="shared" si="44"/>
        <v>0.107</v>
      </c>
      <c r="L483" s="31">
        <f t="shared" si="45"/>
        <v>0.20200000000000001</v>
      </c>
      <c r="M483" s="31">
        <f t="shared" si="46"/>
        <v>0.42699999999999999</v>
      </c>
      <c r="N483" t="e">
        <f>VLOOKUP(A483,#REF!,11,0)</f>
        <v>#REF!</v>
      </c>
      <c r="O483" t="e">
        <f>VLOOKUP(A483,#REF!,12,0)</f>
        <v>#REF!</v>
      </c>
      <c r="P483" t="e">
        <f>VLOOKUP(A483,#REF!,13,0)</f>
        <v>#REF!</v>
      </c>
      <c r="Q483" t="e">
        <f>VLOOKUP(A483,#REF!,14,0)</f>
        <v>#REF!</v>
      </c>
      <c r="R483">
        <v>-1.6222876261665331</v>
      </c>
      <c r="S483">
        <v>-0.33032077877092519</v>
      </c>
      <c r="T483" s="31" t="str">
        <f>VLOOKUP(C483,V:W,2,0)</f>
        <v>FRA</v>
      </c>
      <c r="U483" t="str">
        <f t="shared" si="47"/>
        <v>Rennes</v>
      </c>
    </row>
    <row r="484" spans="1:21" x14ac:dyDescent="0.25">
      <c r="A484" s="31" t="s">
        <v>990</v>
      </c>
      <c r="B484" s="31" t="s">
        <v>1626</v>
      </c>
      <c r="C484" s="31" t="s">
        <v>1252</v>
      </c>
      <c r="D484" s="31">
        <f>IFERROR(ROUND(VLOOKUP(A484,institutions!A:E,4,0),2),"")</f>
        <v>1.49</v>
      </c>
      <c r="E484" s="31">
        <f>IFERROR(ROUND(VLOOKUP(A484,institutions!A:X,7,0),2),"")</f>
        <v>1.05</v>
      </c>
      <c r="F484" s="31">
        <f>IFERROR(ROUND(VLOOKUP(A484,institutions!A:X,10,0),2),"")</f>
        <v>1</v>
      </c>
      <c r="G484" s="31">
        <f>IFERROR(ROUND(VLOOKUP(A484,institutions!A:X,13,0),2),"")</f>
        <v>2.08</v>
      </c>
      <c r="H484" s="31">
        <f>IFERROR(ROUND(VLOOKUP(A484,institutions!A:X,16,0),2),"")</f>
        <v>1.89</v>
      </c>
      <c r="I484" s="31">
        <f t="shared" si="42"/>
        <v>0.21199999999999999</v>
      </c>
      <c r="J484" s="31">
        <f t="shared" si="43"/>
        <v>2.8000000000000001E-2</v>
      </c>
      <c r="K484" s="31">
        <f t="shared" si="44"/>
        <v>6.2E-2</v>
      </c>
      <c r="L484" s="31">
        <f t="shared" si="45"/>
        <v>0.502</v>
      </c>
      <c r="M484" s="31">
        <f t="shared" si="46"/>
        <v>0.28699999999999998</v>
      </c>
      <c r="N484" t="e">
        <f>VLOOKUP(A484,#REF!,11,0)</f>
        <v>#REF!</v>
      </c>
      <c r="O484" t="e">
        <f>VLOOKUP(A484,#REF!,12,0)</f>
        <v>#REF!</v>
      </c>
      <c r="P484" t="e">
        <f>VLOOKUP(A484,#REF!,13,0)</f>
        <v>#REF!</v>
      </c>
      <c r="Q484" t="e">
        <f>VLOOKUP(A484,#REF!,14,0)</f>
        <v>#REF!</v>
      </c>
      <c r="R484">
        <v>-1.8997280138751631</v>
      </c>
      <c r="S484">
        <v>-1.318458695966662</v>
      </c>
      <c r="T484" s="31" t="str">
        <f>VLOOKUP(C484,V:W,2,0)</f>
        <v>CRO</v>
      </c>
      <c r="U484" t="str">
        <f t="shared" si="47"/>
        <v/>
      </c>
    </row>
    <row r="485" spans="1:21" x14ac:dyDescent="0.25">
      <c r="A485" s="31" t="s">
        <v>1049</v>
      </c>
      <c r="B485" s="31" t="s">
        <v>2053</v>
      </c>
      <c r="C485" s="31" t="s">
        <v>1230</v>
      </c>
      <c r="D485" s="31">
        <f>IFERROR(ROUND(VLOOKUP(A485,institutions!A:E,4,0),2),"")</f>
        <v>1.46</v>
      </c>
      <c r="E485" s="31">
        <f>IFERROR(ROUND(VLOOKUP(A485,institutions!A:X,7,0),2),"")</f>
        <v>1.21</v>
      </c>
      <c r="F485" s="31">
        <f>IFERROR(ROUND(VLOOKUP(A485,institutions!A:X,10,0),2),"")</f>
        <v>1.41</v>
      </c>
      <c r="G485" s="31">
        <f>IFERROR(ROUND(VLOOKUP(A485,institutions!A:X,13,0),2),"")</f>
        <v>1.62</v>
      </c>
      <c r="H485" s="31">
        <f>IFERROR(ROUND(VLOOKUP(A485,institutions!A:X,16,0),2),"")</f>
        <v>1.7</v>
      </c>
      <c r="I485" s="31">
        <f t="shared" si="42"/>
        <v>0.188</v>
      </c>
      <c r="J485" s="31">
        <f t="shared" si="43"/>
        <v>0.16500000000000001</v>
      </c>
      <c r="K485" s="31">
        <f t="shared" si="44"/>
        <v>0.45300000000000001</v>
      </c>
      <c r="L485" s="31">
        <f t="shared" si="45"/>
        <v>0.255</v>
      </c>
      <c r="M485" s="31">
        <f t="shared" si="46"/>
        <v>0.182</v>
      </c>
      <c r="N485" t="e">
        <f>VLOOKUP(A485,#REF!,11,0)</f>
        <v>#REF!</v>
      </c>
      <c r="O485" t="e">
        <f>VLOOKUP(A485,#REF!,12,0)</f>
        <v>#REF!</v>
      </c>
      <c r="P485" t="e">
        <f>VLOOKUP(A485,#REF!,13,0)</f>
        <v>#REF!</v>
      </c>
      <c r="Q485" t="e">
        <f>VLOOKUP(A485,#REF!,14,0)</f>
        <v>#REF!</v>
      </c>
      <c r="R485">
        <v>-1.6430018618969251</v>
      </c>
      <c r="S485">
        <v>0.12110303569778789</v>
      </c>
      <c r="T485" s="31" t="str">
        <f>VLOOKUP(C485,V:W,2,0)</f>
        <v>CHN</v>
      </c>
      <c r="U485" t="str">
        <f t="shared" si="47"/>
        <v/>
      </c>
    </row>
    <row r="486" spans="1:21" x14ac:dyDescent="0.25">
      <c r="A486" s="31" t="s">
        <v>997</v>
      </c>
      <c r="B486" s="31" t="s">
        <v>1899</v>
      </c>
      <c r="C486" s="31" t="s">
        <v>1218</v>
      </c>
      <c r="D486" s="31">
        <f>IFERROR(ROUND(VLOOKUP(A486,institutions!A:E,4,0),2),"")</f>
        <v>1.49</v>
      </c>
      <c r="E486" s="31">
        <f>IFERROR(ROUND(VLOOKUP(A486,institutions!A:X,7,0),2),"")</f>
        <v>1.29</v>
      </c>
      <c r="F486" s="31">
        <f>IFERROR(ROUND(VLOOKUP(A486,institutions!A:X,10,0),2),"")</f>
        <v>1.37</v>
      </c>
      <c r="G486" s="31">
        <f>IFERROR(ROUND(VLOOKUP(A486,institutions!A:X,13,0),2),"")</f>
        <v>1.75</v>
      </c>
      <c r="H486" s="31">
        <f>IFERROR(ROUND(VLOOKUP(A486,institutions!A:X,16,0),2),"")</f>
        <v>1.65</v>
      </c>
      <c r="I486" s="31">
        <f t="shared" si="42"/>
        <v>0.21199999999999999</v>
      </c>
      <c r="J486" s="31">
        <f t="shared" si="43"/>
        <v>0.26800000000000002</v>
      </c>
      <c r="K486" s="31">
        <f t="shared" si="44"/>
        <v>0.42199999999999999</v>
      </c>
      <c r="L486" s="31">
        <f t="shared" si="45"/>
        <v>0.33700000000000002</v>
      </c>
      <c r="M486" s="31">
        <f t="shared" si="46"/>
        <v>0.16200000000000001</v>
      </c>
      <c r="N486" t="e">
        <f>VLOOKUP(A486,#REF!,11,0)</f>
        <v>#REF!</v>
      </c>
      <c r="O486" t="e">
        <f>VLOOKUP(A486,#REF!,12,0)</f>
        <v>#REF!</v>
      </c>
      <c r="P486" t="e">
        <f>VLOOKUP(A486,#REF!,13,0)</f>
        <v>#REF!</v>
      </c>
      <c r="Q486" t="e">
        <f>VLOOKUP(A486,#REF!,14,0)</f>
        <v>#REF!</v>
      </c>
      <c r="R486">
        <v>-1.4209289827513689</v>
      </c>
      <c r="S486">
        <v>0.19103756867490421</v>
      </c>
      <c r="T486" s="31" t="str">
        <f>VLOOKUP(C486,V:W,2,0)</f>
        <v>FRA</v>
      </c>
      <c r="U486" t="str">
        <f t="shared" si="47"/>
        <v>IPAG BS</v>
      </c>
    </row>
    <row r="487" spans="1:21" x14ac:dyDescent="0.25">
      <c r="A487" s="31" t="s">
        <v>1063</v>
      </c>
      <c r="B487" s="31" t="s">
        <v>1819</v>
      </c>
      <c r="C487" s="31" t="s">
        <v>1230</v>
      </c>
      <c r="D487" s="31">
        <f>IFERROR(ROUND(VLOOKUP(A487,institutions!A:E,4,0),2),"")</f>
        <v>1.46</v>
      </c>
      <c r="E487" s="31">
        <f>IFERROR(ROUND(VLOOKUP(A487,institutions!A:X,7,0),2),"")</f>
        <v>1.26</v>
      </c>
      <c r="F487" s="31">
        <f>IFERROR(ROUND(VLOOKUP(A487,institutions!A:X,10,0),2),"")</f>
        <v>1.31</v>
      </c>
      <c r="G487" s="31">
        <f>IFERROR(ROUND(VLOOKUP(A487,institutions!A:X,13,0),2),"")</f>
        <v>1.77</v>
      </c>
      <c r="H487" s="31">
        <f>IFERROR(ROUND(VLOOKUP(A487,institutions!A:X,16,0),2),"")</f>
        <v>1.75</v>
      </c>
      <c r="I487" s="31">
        <f t="shared" si="42"/>
        <v>0.188</v>
      </c>
      <c r="J487" s="31">
        <f t="shared" si="43"/>
        <v>0.22800000000000001</v>
      </c>
      <c r="K487" s="31">
        <f t="shared" si="44"/>
        <v>0.35699999999999998</v>
      </c>
      <c r="L487" s="31">
        <f t="shared" si="45"/>
        <v>0.35</v>
      </c>
      <c r="M487" s="31">
        <f t="shared" si="46"/>
        <v>0.21199999999999999</v>
      </c>
      <c r="N487" t="e">
        <f>VLOOKUP(A487,#REF!,11,0)</f>
        <v>#REF!</v>
      </c>
      <c r="O487" t="e">
        <f>VLOOKUP(A487,#REF!,12,0)</f>
        <v>#REF!</v>
      </c>
      <c r="P487" t="e">
        <f>VLOOKUP(A487,#REF!,13,0)</f>
        <v>#REF!</v>
      </c>
      <c r="Q487" t="e">
        <f>VLOOKUP(A487,#REF!,14,0)</f>
        <v>#REF!</v>
      </c>
      <c r="R487">
        <v>-1.4824798512299879</v>
      </c>
      <c r="S487">
        <v>-8.9923230386447589E-2</v>
      </c>
      <c r="T487" s="31" t="str">
        <f>VLOOKUP(C487,V:W,2,0)</f>
        <v>CHN</v>
      </c>
      <c r="U487" t="str">
        <f t="shared" si="47"/>
        <v/>
      </c>
    </row>
    <row r="488" spans="1:21" x14ac:dyDescent="0.25">
      <c r="A488" s="31" t="s">
        <v>1165</v>
      </c>
      <c r="B488" s="31" t="s">
        <v>1957</v>
      </c>
      <c r="C488" s="31" t="s">
        <v>1218</v>
      </c>
      <c r="D488" s="31">
        <f>IFERROR(ROUND(VLOOKUP(A488,institutions!A:E,4,0),2),"")</f>
        <v>1.46</v>
      </c>
      <c r="E488" s="31">
        <f>IFERROR(ROUND(VLOOKUP(A488,institutions!A:X,7,0),2),"")</f>
        <v>1.27</v>
      </c>
      <c r="F488" s="31">
        <f>IFERROR(ROUND(VLOOKUP(A488,institutions!A:X,10,0),2),"")</f>
        <v>1.35</v>
      </c>
      <c r="G488" s="31">
        <f>IFERROR(ROUND(VLOOKUP(A488,institutions!A:X,13,0),2),"")</f>
        <v>1.4</v>
      </c>
      <c r="H488" s="31">
        <f>IFERROR(ROUND(VLOOKUP(A488,institutions!A:X,16,0),2),"")</f>
        <v>2.35</v>
      </c>
      <c r="I488" s="31">
        <f t="shared" si="42"/>
        <v>0.188</v>
      </c>
      <c r="J488" s="31">
        <f t="shared" si="43"/>
        <v>0.24199999999999999</v>
      </c>
      <c r="K488" s="31">
        <f t="shared" si="44"/>
        <v>0.40200000000000002</v>
      </c>
      <c r="L488" s="31">
        <f t="shared" si="45"/>
        <v>0.158</v>
      </c>
      <c r="M488" s="31">
        <f t="shared" si="46"/>
        <v>0.48799999999999999</v>
      </c>
      <c r="N488" t="e">
        <f>VLOOKUP(A488,#REF!,11,0)</f>
        <v>#REF!</v>
      </c>
      <c r="O488" t="e">
        <f>VLOOKUP(A488,#REF!,12,0)</f>
        <v>#REF!</v>
      </c>
      <c r="P488" t="e">
        <f>VLOOKUP(A488,#REF!,13,0)</f>
        <v>#REF!</v>
      </c>
      <c r="Q488" t="e">
        <f>VLOOKUP(A488,#REF!,14,0)</f>
        <v>#REF!</v>
      </c>
      <c r="R488">
        <v>-1.2274676183184881</v>
      </c>
      <c r="S488">
        <v>-0.1124175470566411</v>
      </c>
      <c r="T488" s="31" t="str">
        <f>VLOOKUP(C488,V:W,2,0)</f>
        <v>FRA</v>
      </c>
      <c r="U488" t="str">
        <f t="shared" si="47"/>
        <v>PSL</v>
      </c>
    </row>
    <row r="489" spans="1:21" x14ac:dyDescent="0.25">
      <c r="A489" s="31" t="s">
        <v>1034</v>
      </c>
      <c r="B489" s="31" t="s">
        <v>1788</v>
      </c>
      <c r="C489" s="31" t="s">
        <v>1224</v>
      </c>
      <c r="D489" s="31">
        <f>IFERROR(ROUND(VLOOKUP(A489,institutions!A:E,4,0),2),"")</f>
        <v>1.57</v>
      </c>
      <c r="E489" s="31">
        <f>IFERROR(ROUND(VLOOKUP(A489,institutions!A:X,7,0),2),"")</f>
        <v>1.05</v>
      </c>
      <c r="F489" s="31">
        <f>IFERROR(ROUND(VLOOKUP(A489,institutions!A:X,10,0),2),"")</f>
        <v>1.1000000000000001</v>
      </c>
      <c r="G489" s="31">
        <f>IFERROR(ROUND(VLOOKUP(A489,institutions!A:X,13,0),2),"")</f>
        <v>1.73</v>
      </c>
      <c r="H489" s="31">
        <f>IFERROR(ROUND(VLOOKUP(A489,institutions!A:X,16,0),2),"")</f>
        <v>2.16</v>
      </c>
      <c r="I489" s="31">
        <f t="shared" si="42"/>
        <v>0.27700000000000002</v>
      </c>
      <c r="J489" s="31">
        <f t="shared" si="43"/>
        <v>2.8000000000000001E-2</v>
      </c>
      <c r="K489" s="31">
        <f t="shared" si="44"/>
        <v>0.127</v>
      </c>
      <c r="L489" s="31">
        <f t="shared" si="45"/>
        <v>0.315</v>
      </c>
      <c r="M489" s="31">
        <f t="shared" si="46"/>
        <v>0.39800000000000002</v>
      </c>
      <c r="N489" t="e">
        <f>VLOOKUP(A489,#REF!,11,0)</f>
        <v>#REF!</v>
      </c>
      <c r="O489" t="e">
        <f>VLOOKUP(A489,#REF!,12,0)</f>
        <v>#REF!</v>
      </c>
      <c r="P489" t="e">
        <f>VLOOKUP(A489,#REF!,13,0)</f>
        <v>#REF!</v>
      </c>
      <c r="Q489" t="e">
        <f>VLOOKUP(A489,#REF!,14,0)</f>
        <v>#REF!</v>
      </c>
      <c r="R489">
        <v>-1.9219909542908009</v>
      </c>
      <c r="S489">
        <v>-1.088370644903097</v>
      </c>
      <c r="T489" s="31" t="str">
        <f>VLOOKUP(C489,V:W,2,0)</f>
        <v>CAN</v>
      </c>
      <c r="U489" t="str">
        <f t="shared" si="47"/>
        <v/>
      </c>
    </row>
    <row r="490" spans="1:21" x14ac:dyDescent="0.25">
      <c r="A490" s="31" t="s">
        <v>1035</v>
      </c>
      <c r="B490" s="31" t="s">
        <v>1811</v>
      </c>
      <c r="C490" s="31" t="s">
        <v>1216</v>
      </c>
      <c r="D490" s="31">
        <f>IFERROR(ROUND(VLOOKUP(A490,institutions!A:E,4,0),2),"")</f>
        <v>1.46</v>
      </c>
      <c r="E490" s="31">
        <f>IFERROR(ROUND(VLOOKUP(A490,institutions!A:X,7,0),2),"")</f>
        <v>1.1200000000000001</v>
      </c>
      <c r="F490" s="31">
        <f>IFERROR(ROUND(VLOOKUP(A490,institutions!A:X,10,0),2),"")</f>
        <v>1.19</v>
      </c>
      <c r="G490" s="31">
        <f>IFERROR(ROUND(VLOOKUP(A490,institutions!A:X,13,0),2),"")</f>
        <v>1.68</v>
      </c>
      <c r="H490" s="31">
        <f>IFERROR(ROUND(VLOOKUP(A490,institutions!A:X,16,0),2),"")</f>
        <v>1.8</v>
      </c>
      <c r="I490" s="31">
        <f t="shared" si="42"/>
        <v>0.188</v>
      </c>
      <c r="J490" s="31">
        <f t="shared" si="43"/>
        <v>6.8000000000000005E-2</v>
      </c>
      <c r="K490" s="31">
        <f t="shared" si="44"/>
        <v>0.22</v>
      </c>
      <c r="L490" s="31">
        <f t="shared" si="45"/>
        <v>0.28699999999999998</v>
      </c>
      <c r="M490" s="31">
        <f t="shared" si="46"/>
        <v>0.23699999999999999</v>
      </c>
      <c r="N490" t="e">
        <f>VLOOKUP(A490,#REF!,11,0)</f>
        <v>#REF!</v>
      </c>
      <c r="O490" t="e">
        <f>VLOOKUP(A490,#REF!,12,0)</f>
        <v>#REF!</v>
      </c>
      <c r="P490" t="e">
        <f>VLOOKUP(A490,#REF!,13,0)</f>
        <v>#REF!</v>
      </c>
      <c r="Q490" t="e">
        <f>VLOOKUP(A490,#REF!,14,0)</f>
        <v>#REF!</v>
      </c>
      <c r="R490">
        <v>-2.039827849600174</v>
      </c>
      <c r="S490">
        <v>-0.56561851847611866</v>
      </c>
      <c r="T490" s="31" t="str">
        <f>VLOOKUP(C490,V:W,2,0)</f>
        <v>UK</v>
      </c>
      <c r="U490" t="str">
        <f t="shared" si="47"/>
        <v/>
      </c>
    </row>
    <row r="491" spans="1:21" x14ac:dyDescent="0.25">
      <c r="A491" s="31" t="s">
        <v>1061</v>
      </c>
      <c r="B491" s="31" t="s">
        <v>1829</v>
      </c>
      <c r="C491" s="31" t="s">
        <v>1230</v>
      </c>
      <c r="D491" s="31">
        <f>IFERROR(ROUND(VLOOKUP(A491,institutions!A:E,4,0),2),"")</f>
        <v>1.42</v>
      </c>
      <c r="E491" s="31">
        <f>IFERROR(ROUND(VLOOKUP(A491,institutions!A:X,7,0),2),"")</f>
        <v>1.41</v>
      </c>
      <c r="F491" s="31">
        <f>IFERROR(ROUND(VLOOKUP(A491,institutions!A:X,10,0),2),"")</f>
        <v>1.19</v>
      </c>
      <c r="G491" s="31">
        <f>IFERROR(ROUND(VLOOKUP(A491,institutions!A:X,13,0),2),"")</f>
        <v>1.39</v>
      </c>
      <c r="H491" s="31">
        <f>IFERROR(ROUND(VLOOKUP(A491,institutions!A:X,16,0),2),"")</f>
        <v>1.53</v>
      </c>
      <c r="I491" s="31">
        <f t="shared" si="42"/>
        <v>0.14699999999999999</v>
      </c>
      <c r="J491" s="31">
        <f t="shared" si="43"/>
        <v>0.42199999999999999</v>
      </c>
      <c r="K491" s="31">
        <f t="shared" si="44"/>
        <v>0.22</v>
      </c>
      <c r="L491" s="31">
        <f t="shared" si="45"/>
        <v>0.152</v>
      </c>
      <c r="M491" s="31">
        <f t="shared" si="46"/>
        <v>0.125</v>
      </c>
      <c r="N491" t="e">
        <f>VLOOKUP(A491,#REF!,11,0)</f>
        <v>#REF!</v>
      </c>
      <c r="O491" t="e">
        <f>VLOOKUP(A491,#REF!,12,0)</f>
        <v>#REF!</v>
      </c>
      <c r="P491" t="e">
        <f>VLOOKUP(A491,#REF!,13,0)</f>
        <v>#REF!</v>
      </c>
      <c r="Q491" t="e">
        <f>VLOOKUP(A491,#REF!,14,0)</f>
        <v>#REF!</v>
      </c>
      <c r="R491">
        <v>-1.9166518791483991</v>
      </c>
      <c r="S491">
        <v>0.59286609311833449</v>
      </c>
      <c r="T491" s="31" t="str">
        <f>VLOOKUP(C491,V:W,2,0)</f>
        <v>CHN</v>
      </c>
      <c r="U491" t="str">
        <f t="shared" si="47"/>
        <v/>
      </c>
    </row>
    <row r="492" spans="1:21" x14ac:dyDescent="0.25">
      <c r="A492" s="31" t="s">
        <v>1125</v>
      </c>
      <c r="B492" s="31" t="s">
        <v>1981</v>
      </c>
      <c r="C492" s="31" t="s">
        <v>1254</v>
      </c>
      <c r="D492" s="31">
        <f>IFERROR(ROUND(VLOOKUP(A492,institutions!A:E,4,0),2),"")</f>
        <v>1.45</v>
      </c>
      <c r="E492" s="31">
        <f>IFERROR(ROUND(VLOOKUP(A492,institutions!A:X,7,0),2),"")</f>
        <v>1.34</v>
      </c>
      <c r="F492" s="31">
        <f>IFERROR(ROUND(VLOOKUP(A492,institutions!A:X,10,0),2),"")</f>
        <v>1.73</v>
      </c>
      <c r="G492" s="31">
        <f>IFERROR(ROUND(VLOOKUP(A492,institutions!A:X,13,0),2),"")</f>
        <v>1.56</v>
      </c>
      <c r="H492" s="31">
        <f>IFERROR(ROUND(VLOOKUP(A492,institutions!A:X,16,0),2),"")</f>
        <v>1.86</v>
      </c>
      <c r="I492" s="31">
        <f t="shared" si="42"/>
        <v>0.17799999999999999</v>
      </c>
      <c r="J492" s="31">
        <f t="shared" si="43"/>
        <v>0.34200000000000003</v>
      </c>
      <c r="K492" s="31">
        <f t="shared" si="44"/>
        <v>0.65500000000000003</v>
      </c>
      <c r="L492" s="31">
        <f t="shared" si="45"/>
        <v>0.223</v>
      </c>
      <c r="M492" s="31">
        <f t="shared" si="46"/>
        <v>0.26700000000000002</v>
      </c>
      <c r="N492" t="e">
        <f>VLOOKUP(A492,#REF!,11,0)</f>
        <v>#REF!</v>
      </c>
      <c r="O492" t="e">
        <f>VLOOKUP(A492,#REF!,12,0)</f>
        <v>#REF!</v>
      </c>
      <c r="P492" t="e">
        <f>VLOOKUP(A492,#REF!,13,0)</f>
        <v>#REF!</v>
      </c>
      <c r="Q492" t="e">
        <f>VLOOKUP(A492,#REF!,14,0)</f>
        <v>#REF!</v>
      </c>
      <c r="R492">
        <v>-0.91831885142897907</v>
      </c>
      <c r="S492">
        <v>0.71149155363675343</v>
      </c>
      <c r="T492" s="31" t="str">
        <f>VLOOKUP(C492,V:W,2,0)</f>
        <v>KOREA</v>
      </c>
      <c r="U492" t="str">
        <f t="shared" si="47"/>
        <v/>
      </c>
    </row>
    <row r="493" spans="1:21" x14ac:dyDescent="0.25">
      <c r="A493" s="31" t="s">
        <v>1164</v>
      </c>
      <c r="B493" s="31" t="s">
        <v>1973</v>
      </c>
      <c r="C493" s="31" t="s">
        <v>1239</v>
      </c>
      <c r="D493" s="31">
        <f>IFERROR(ROUND(VLOOKUP(A493,institutions!A:E,4,0),2),"")</f>
        <v>1.42</v>
      </c>
      <c r="E493" s="31">
        <f>IFERROR(ROUND(VLOOKUP(A493,institutions!A:X,7,0),2),"")</f>
        <v>1.22</v>
      </c>
      <c r="F493" s="31">
        <f>IFERROR(ROUND(VLOOKUP(A493,institutions!A:X,10,0),2),"")</f>
        <v>1.59</v>
      </c>
      <c r="G493" s="31">
        <f>IFERROR(ROUND(VLOOKUP(A493,institutions!A:X,13,0),2),"")</f>
        <v>1.28</v>
      </c>
      <c r="H493" s="31">
        <f>IFERROR(ROUND(VLOOKUP(A493,institutions!A:X,16,0),2),"")</f>
        <v>2.3199999999999998</v>
      </c>
      <c r="I493" s="31">
        <f t="shared" si="42"/>
        <v>0.14699999999999999</v>
      </c>
      <c r="J493" s="31">
        <f t="shared" si="43"/>
        <v>0.18</v>
      </c>
      <c r="K493" s="31">
        <f t="shared" si="44"/>
        <v>0.59199999999999997</v>
      </c>
      <c r="L493" s="31">
        <f t="shared" si="45"/>
        <v>0.112</v>
      </c>
      <c r="M493" s="31">
        <f t="shared" si="46"/>
        <v>0.47199999999999998</v>
      </c>
      <c r="N493" t="e">
        <f>VLOOKUP(A493,#REF!,11,0)</f>
        <v>#REF!</v>
      </c>
      <c r="O493" t="e">
        <f>VLOOKUP(A493,#REF!,12,0)</f>
        <v>#REF!</v>
      </c>
      <c r="P493" t="e">
        <f>VLOOKUP(A493,#REF!,13,0)</f>
        <v>#REF!</v>
      </c>
      <c r="Q493" t="e">
        <f>VLOOKUP(A493,#REF!,14,0)</f>
        <v>#REF!</v>
      </c>
      <c r="R493">
        <v>-1.1130570060150211</v>
      </c>
      <c r="S493">
        <v>0.13367988011970661</v>
      </c>
      <c r="T493" s="31" t="str">
        <f>VLOOKUP(C493,V:W,2,0)</f>
        <v>CHL</v>
      </c>
      <c r="U493" t="str">
        <f t="shared" si="47"/>
        <v/>
      </c>
    </row>
    <row r="494" spans="1:21" x14ac:dyDescent="0.25">
      <c r="A494" s="31" t="s">
        <v>1099</v>
      </c>
      <c r="B494" s="31" t="s">
        <v>1989</v>
      </c>
      <c r="C494" s="31" t="s">
        <v>1222</v>
      </c>
      <c r="D494" s="31">
        <f>IFERROR(ROUND(VLOOKUP(A494,institutions!A:E,4,0),2),"")</f>
        <v>1.47</v>
      </c>
      <c r="E494" s="31">
        <f>IFERROR(ROUND(VLOOKUP(A494,institutions!A:X,7,0),2),"")</f>
        <v>1.21</v>
      </c>
      <c r="F494" s="31">
        <f>IFERROR(ROUND(VLOOKUP(A494,institutions!A:X,10,0),2),"")</f>
        <v>1.19</v>
      </c>
      <c r="G494" s="31">
        <f>IFERROR(ROUND(VLOOKUP(A494,institutions!A:X,13,0),2),"")</f>
        <v>1.64</v>
      </c>
      <c r="H494" s="31">
        <f>IFERROR(ROUND(VLOOKUP(A494,institutions!A:X,16,0),2),"")</f>
        <v>1.91</v>
      </c>
      <c r="I494" s="31">
        <f t="shared" si="42"/>
        <v>0.19500000000000001</v>
      </c>
      <c r="J494" s="31">
        <f t="shared" si="43"/>
        <v>0.16500000000000001</v>
      </c>
      <c r="K494" s="31">
        <f t="shared" si="44"/>
        <v>0.22</v>
      </c>
      <c r="L494" s="31">
        <f t="shared" si="45"/>
        <v>0.26500000000000001</v>
      </c>
      <c r="M494" s="31">
        <f t="shared" si="46"/>
        <v>0.29499999999999998</v>
      </c>
      <c r="N494" t="e">
        <f>VLOOKUP(A494,#REF!,11,0)</f>
        <v>#REF!</v>
      </c>
      <c r="O494" t="e">
        <f>VLOOKUP(A494,#REF!,12,0)</f>
        <v>#REF!</v>
      </c>
      <c r="P494" t="e">
        <f>VLOOKUP(A494,#REF!,13,0)</f>
        <v>#REF!</v>
      </c>
      <c r="Q494" t="e">
        <f>VLOOKUP(A494,#REF!,14,0)</f>
        <v>#REF!</v>
      </c>
      <c r="R494">
        <v>-1.8191574928348839</v>
      </c>
      <c r="S494">
        <v>-0.41382778230507961</v>
      </c>
      <c r="T494" s="31" t="str">
        <f>VLOOKUP(C494,V:W,2,0)</f>
        <v>ITA</v>
      </c>
      <c r="U494" t="str">
        <f t="shared" si="47"/>
        <v/>
      </c>
    </row>
    <row r="495" spans="1:21" x14ac:dyDescent="0.25">
      <c r="A495" s="31" t="s">
        <v>1166</v>
      </c>
      <c r="B495" s="31" t="s">
        <v>1993</v>
      </c>
      <c r="C495" s="31" t="s">
        <v>1218</v>
      </c>
      <c r="D495" s="31">
        <f>IFERROR(ROUND(VLOOKUP(A495,institutions!A:E,4,0),2),"")</f>
        <v>1.43</v>
      </c>
      <c r="E495" s="31">
        <f>IFERROR(ROUND(VLOOKUP(A495,institutions!A:X,7,0),2),"")</f>
        <v>1.37</v>
      </c>
      <c r="F495" s="31">
        <f>IFERROR(ROUND(VLOOKUP(A495,institutions!A:X,10,0),2),"")</f>
        <v>1.04</v>
      </c>
      <c r="G495" s="31">
        <f>IFERROR(ROUND(VLOOKUP(A495,institutions!A:X,13,0),2),"")</f>
        <v>1.87</v>
      </c>
      <c r="H495" s="31">
        <f>IFERROR(ROUND(VLOOKUP(A495,institutions!A:X,16,0),2),"")</f>
        <v>1.75</v>
      </c>
      <c r="I495" s="31">
        <f t="shared" si="42"/>
        <v>0.16300000000000001</v>
      </c>
      <c r="J495" s="31">
        <f t="shared" si="43"/>
        <v>0.36199999999999999</v>
      </c>
      <c r="K495" s="31">
        <f t="shared" si="44"/>
        <v>7.1999999999999995E-2</v>
      </c>
      <c r="L495" s="31">
        <f t="shared" si="45"/>
        <v>0.40699999999999997</v>
      </c>
      <c r="M495" s="31">
        <f t="shared" si="46"/>
        <v>0.21199999999999999</v>
      </c>
      <c r="N495" t="e">
        <f>VLOOKUP(A495,#REF!,11,0)</f>
        <v>#REF!</v>
      </c>
      <c r="O495" t="e">
        <f>VLOOKUP(A495,#REF!,12,0)</f>
        <v>#REF!</v>
      </c>
      <c r="P495" t="e">
        <f>VLOOKUP(A495,#REF!,13,0)</f>
        <v>#REF!</v>
      </c>
      <c r="Q495" t="e">
        <f>VLOOKUP(A495,#REF!,14,0)</f>
        <v>#REF!</v>
      </c>
      <c r="R495">
        <v>-1.653256302494561</v>
      </c>
      <c r="S495">
        <v>-0.31346004161690472</v>
      </c>
      <c r="T495" s="31" t="str">
        <f>VLOOKUP(C495,V:W,2,0)</f>
        <v>FRA</v>
      </c>
      <c r="U495" t="str">
        <f t="shared" si="47"/>
        <v>Lille</v>
      </c>
    </row>
    <row r="496" spans="1:21" x14ac:dyDescent="0.25">
      <c r="A496" s="31" t="s">
        <v>1153</v>
      </c>
      <c r="B496" s="31" t="s">
        <v>1644</v>
      </c>
      <c r="C496" s="31" t="s">
        <v>1263</v>
      </c>
      <c r="D496" s="31">
        <f>IFERROR(ROUND(VLOOKUP(A496,institutions!A:E,4,0),2),"")</f>
        <v>1.4</v>
      </c>
      <c r="E496" s="31">
        <f>IFERROR(ROUND(VLOOKUP(A496,institutions!A:X,7,0),2),"")</f>
        <v>1.29</v>
      </c>
      <c r="F496" s="31">
        <f>IFERROR(ROUND(VLOOKUP(A496,institutions!A:X,10,0),2),"")</f>
        <v>1.47</v>
      </c>
      <c r="G496" s="31">
        <f>IFERROR(ROUND(VLOOKUP(A496,institutions!A:X,13,0),2),"")</f>
        <v>1.31</v>
      </c>
      <c r="H496" s="31">
        <f>IFERROR(ROUND(VLOOKUP(A496,institutions!A:X,16,0),2),"")</f>
        <v>1.54</v>
      </c>
      <c r="I496" s="31">
        <f t="shared" si="42"/>
        <v>0.13200000000000001</v>
      </c>
      <c r="J496" s="31">
        <f t="shared" si="43"/>
        <v>0.26800000000000002</v>
      </c>
      <c r="K496" s="31">
        <f t="shared" si="44"/>
        <v>0.498</v>
      </c>
      <c r="L496" s="31">
        <f t="shared" si="45"/>
        <v>0.125</v>
      </c>
      <c r="M496" s="31">
        <f t="shared" si="46"/>
        <v>0.13200000000000001</v>
      </c>
      <c r="N496" t="e">
        <f>VLOOKUP(A496,#REF!,11,0)</f>
        <v>#REF!</v>
      </c>
      <c r="O496" t="e">
        <f>VLOOKUP(A496,#REF!,12,0)</f>
        <v>#REF!</v>
      </c>
      <c r="P496" t="e">
        <f>VLOOKUP(A496,#REF!,13,0)</f>
        <v>#REF!</v>
      </c>
      <c r="Q496" t="e">
        <f>VLOOKUP(A496,#REF!,14,0)</f>
        <v>#REF!</v>
      </c>
      <c r="R496">
        <v>-1.723647686967303</v>
      </c>
      <c r="S496">
        <v>0.70242399984959658</v>
      </c>
      <c r="T496" s="31" t="str">
        <f>VLOOKUP(C496,V:W,2,0)</f>
        <v>LUX</v>
      </c>
      <c r="U496" t="str">
        <f t="shared" si="47"/>
        <v/>
      </c>
    </row>
    <row r="497" spans="1:21" x14ac:dyDescent="0.25">
      <c r="A497" s="31" t="s">
        <v>1104</v>
      </c>
      <c r="B497" s="31" t="s">
        <v>1654</v>
      </c>
      <c r="C497" s="31" t="s">
        <v>1222</v>
      </c>
      <c r="D497" s="31">
        <f>IFERROR(ROUND(VLOOKUP(A497,institutions!A:E,4,0),2),"")</f>
        <v>1.43</v>
      </c>
      <c r="E497" s="31">
        <f>IFERROR(ROUND(VLOOKUP(A497,institutions!A:X,7,0),2),"")</f>
        <v>1.33</v>
      </c>
      <c r="F497" s="31">
        <f>IFERROR(ROUND(VLOOKUP(A497,institutions!A:X,10,0),2),"")</f>
        <v>1.1299999999999999</v>
      </c>
      <c r="G497" s="31">
        <f>IFERROR(ROUND(VLOOKUP(A497,institutions!A:X,13,0),2),"")</f>
        <v>1.49</v>
      </c>
      <c r="H497" s="31">
        <f>IFERROR(ROUND(VLOOKUP(A497,institutions!A:X,16,0),2),"")</f>
        <v>1.71</v>
      </c>
      <c r="I497" s="31">
        <f t="shared" si="42"/>
        <v>0.16300000000000001</v>
      </c>
      <c r="J497" s="31">
        <f t="shared" si="43"/>
        <v>0.33</v>
      </c>
      <c r="K497" s="31">
        <f t="shared" si="44"/>
        <v>0.14299999999999999</v>
      </c>
      <c r="L497" s="31">
        <f t="shared" si="45"/>
        <v>0.19800000000000001</v>
      </c>
      <c r="M497" s="31">
        <f t="shared" si="46"/>
        <v>0.19</v>
      </c>
      <c r="N497" t="e">
        <f>VLOOKUP(A497,#REF!,11,0)</f>
        <v>#REF!</v>
      </c>
      <c r="O497" t="e">
        <f>VLOOKUP(A497,#REF!,12,0)</f>
        <v>#REF!</v>
      </c>
      <c r="P497" t="e">
        <f>VLOOKUP(A497,#REF!,13,0)</f>
        <v>#REF!</v>
      </c>
      <c r="Q497" t="e">
        <f>VLOOKUP(A497,#REF!,14,0)</f>
        <v>#REF!</v>
      </c>
      <c r="R497">
        <v>-1.9959144787007379</v>
      </c>
      <c r="S497">
        <v>0.1046322423069046</v>
      </c>
      <c r="T497" s="31" t="str">
        <f>VLOOKUP(C497,V:W,2,0)</f>
        <v>ITA</v>
      </c>
      <c r="U497" t="str">
        <f t="shared" si="47"/>
        <v/>
      </c>
    </row>
    <row r="498" spans="1:21" x14ac:dyDescent="0.25">
      <c r="A498" s="31" t="s">
        <v>1050</v>
      </c>
      <c r="B498" s="31" t="s">
        <v>1803</v>
      </c>
      <c r="C498" s="31" t="s">
        <v>1254</v>
      </c>
      <c r="D498" s="31">
        <f>IFERROR(ROUND(VLOOKUP(A498,institutions!A:E,4,0),2),"")</f>
        <v>1.5</v>
      </c>
      <c r="E498" s="31">
        <f>IFERROR(ROUND(VLOOKUP(A498,institutions!A:X,7,0),2),"")</f>
        <v>1.3</v>
      </c>
      <c r="F498" s="31">
        <f>IFERROR(ROUND(VLOOKUP(A498,institutions!A:X,10,0),2),"")</f>
        <v>1.23</v>
      </c>
      <c r="G498" s="31">
        <f>IFERROR(ROUND(VLOOKUP(A498,institutions!A:X,13,0),2),"")</f>
        <v>1.78</v>
      </c>
      <c r="H498" s="31">
        <f>IFERROR(ROUND(VLOOKUP(A498,institutions!A:X,16,0),2),"")</f>
        <v>1.57</v>
      </c>
      <c r="I498" s="31">
        <f t="shared" si="42"/>
        <v>0.21299999999999999</v>
      </c>
      <c r="J498" s="31">
        <f t="shared" si="43"/>
        <v>0.28299999999999997</v>
      </c>
      <c r="K498" s="31">
        <f t="shared" si="44"/>
        <v>0.26800000000000002</v>
      </c>
      <c r="L498" s="31">
        <f t="shared" si="45"/>
        <v>0.35799999999999998</v>
      </c>
      <c r="M498" s="31">
        <f t="shared" si="46"/>
        <v>0.14699999999999999</v>
      </c>
      <c r="N498" t="e">
        <f>VLOOKUP(A498,#REF!,11,0)</f>
        <v>#REF!</v>
      </c>
      <c r="O498" t="e">
        <f>VLOOKUP(A498,#REF!,12,0)</f>
        <v>#REF!</v>
      </c>
      <c r="P498" t="e">
        <f>VLOOKUP(A498,#REF!,13,0)</f>
        <v>#REF!</v>
      </c>
      <c r="Q498" t="e">
        <f>VLOOKUP(A498,#REF!,14,0)</f>
        <v>#REF!</v>
      </c>
      <c r="R498">
        <v>-1.6496365359162279</v>
      </c>
      <c r="S498">
        <v>-1.2216061774338011E-2</v>
      </c>
      <c r="T498" s="31" t="str">
        <f>VLOOKUP(C498,V:W,2,0)</f>
        <v>KOREA</v>
      </c>
      <c r="U498" t="str">
        <f t="shared" si="47"/>
        <v/>
      </c>
    </row>
    <row r="499" spans="1:21" x14ac:dyDescent="0.25">
      <c r="A499" s="31" t="s">
        <v>1018</v>
      </c>
      <c r="B499" s="31" t="s">
        <v>1812</v>
      </c>
      <c r="C499" s="31" t="s">
        <v>1256</v>
      </c>
      <c r="D499" s="31">
        <f>IFERROR(ROUND(VLOOKUP(A499,institutions!A:E,4,0),2),"")</f>
        <v>1.49</v>
      </c>
      <c r="E499" s="31">
        <f>IFERROR(ROUND(VLOOKUP(A499,institutions!A:X,7,0),2),"")</f>
        <v>1.23</v>
      </c>
      <c r="F499" s="31">
        <f>IFERROR(ROUND(VLOOKUP(A499,institutions!A:X,10,0),2),"")</f>
        <v>1.21</v>
      </c>
      <c r="G499" s="31">
        <f>IFERROR(ROUND(VLOOKUP(A499,institutions!A:X,13,0),2),"")</f>
        <v>1.79</v>
      </c>
      <c r="H499" s="31">
        <f>IFERROR(ROUND(VLOOKUP(A499,institutions!A:X,16,0),2),"")</f>
        <v>1.97</v>
      </c>
      <c r="I499" s="31">
        <f t="shared" si="42"/>
        <v>0.21199999999999999</v>
      </c>
      <c r="J499" s="31">
        <f t="shared" si="43"/>
        <v>0.188</v>
      </c>
      <c r="K499" s="31">
        <f t="shared" si="44"/>
        <v>0.245</v>
      </c>
      <c r="L499" s="31">
        <f t="shared" si="45"/>
        <v>0.36199999999999999</v>
      </c>
      <c r="M499" s="31">
        <f t="shared" si="46"/>
        <v>0.317</v>
      </c>
      <c r="N499" t="e">
        <f>VLOOKUP(A499,#REF!,11,0)</f>
        <v>#REF!</v>
      </c>
      <c r="O499" t="e">
        <f>VLOOKUP(A499,#REF!,12,0)</f>
        <v>#REF!</v>
      </c>
      <c r="P499" t="e">
        <f>VLOOKUP(A499,#REF!,13,0)</f>
        <v>#REF!</v>
      </c>
      <c r="Q499" t="e">
        <f>VLOOKUP(A499,#REF!,14,0)</f>
        <v>#REF!</v>
      </c>
      <c r="R499">
        <v>-1.5267894873299921</v>
      </c>
      <c r="S499">
        <v>-0.52484339664926438</v>
      </c>
      <c r="T499" s="31" t="str">
        <f>VLOOKUP(C499,V:W,2,0)</f>
        <v>QAT</v>
      </c>
      <c r="U499" t="str">
        <f t="shared" si="47"/>
        <v/>
      </c>
    </row>
    <row r="500" spans="1:21" x14ac:dyDescent="0.25">
      <c r="A500" s="31" t="s">
        <v>1085</v>
      </c>
      <c r="B500" s="31" t="s">
        <v>1814</v>
      </c>
      <c r="C500" s="31" t="s">
        <v>1230</v>
      </c>
      <c r="D500" s="31">
        <f>IFERROR(ROUND(VLOOKUP(A500,institutions!A:E,4,0),2),"")</f>
        <v>1.45</v>
      </c>
      <c r="E500" s="31">
        <f>IFERROR(ROUND(VLOOKUP(A500,institutions!A:X,7,0),2),"")</f>
        <v>1.21</v>
      </c>
      <c r="F500" s="31">
        <f>IFERROR(ROUND(VLOOKUP(A500,institutions!A:X,10,0),2),"")</f>
        <v>1.35</v>
      </c>
      <c r="G500" s="31">
        <f>IFERROR(ROUND(VLOOKUP(A500,institutions!A:X,13,0),2),"")</f>
        <v>2.0699999999999998</v>
      </c>
      <c r="H500" s="31">
        <f>IFERROR(ROUND(VLOOKUP(A500,institutions!A:X,16,0),2),"")</f>
        <v>1.73</v>
      </c>
      <c r="I500" s="31">
        <f t="shared" si="42"/>
        <v>0.17799999999999999</v>
      </c>
      <c r="J500" s="31">
        <f t="shared" si="43"/>
        <v>0.16500000000000001</v>
      </c>
      <c r="K500" s="31">
        <f t="shared" si="44"/>
        <v>0.40200000000000002</v>
      </c>
      <c r="L500" s="31">
        <f t="shared" si="45"/>
        <v>0.49</v>
      </c>
      <c r="M500" s="31">
        <f t="shared" si="46"/>
        <v>0.2</v>
      </c>
      <c r="N500" t="e">
        <f>VLOOKUP(A500,#REF!,11,0)</f>
        <v>#REF!</v>
      </c>
      <c r="O500" t="e">
        <f>VLOOKUP(A500,#REF!,12,0)</f>
        <v>#REF!</v>
      </c>
      <c r="P500" t="e">
        <f>VLOOKUP(A500,#REF!,13,0)</f>
        <v>#REF!</v>
      </c>
      <c r="Q500" t="e">
        <f>VLOOKUP(A500,#REF!,14,0)</f>
        <v>#REF!</v>
      </c>
      <c r="R500">
        <v>-1.278191392285787</v>
      </c>
      <c r="S500">
        <v>-0.37319297315028133</v>
      </c>
      <c r="T500" s="31" t="str">
        <f>VLOOKUP(C500,V:W,2,0)</f>
        <v>CHN</v>
      </c>
      <c r="U500" t="str">
        <f t="shared" si="47"/>
        <v/>
      </c>
    </row>
    <row r="501" spans="1:21" x14ac:dyDescent="0.25">
      <c r="A501" s="31" t="s">
        <v>1064</v>
      </c>
      <c r="B501" s="31" t="s">
        <v>1992</v>
      </c>
      <c r="C501" s="31" t="s">
        <v>1230</v>
      </c>
      <c r="D501" s="31">
        <f>IFERROR(ROUND(VLOOKUP(A501,institutions!A:E,4,0),2),"")</f>
        <v>1.47</v>
      </c>
      <c r="E501" s="31">
        <f>IFERROR(ROUND(VLOOKUP(A501,institutions!A:X,7,0),2),"")</f>
        <v>1.1499999999999999</v>
      </c>
      <c r="F501" s="31">
        <f>IFERROR(ROUND(VLOOKUP(A501,institutions!A:X,10,0),2),"")</f>
        <v>1.59</v>
      </c>
      <c r="G501" s="31">
        <f>IFERROR(ROUND(VLOOKUP(A501,institutions!A:X,13,0),2),"")</f>
        <v>1.62</v>
      </c>
      <c r="H501" s="31">
        <f>IFERROR(ROUND(VLOOKUP(A501,institutions!A:X,16,0),2),"")</f>
        <v>1.56</v>
      </c>
      <c r="I501" s="31">
        <f t="shared" si="42"/>
        <v>0.19500000000000001</v>
      </c>
      <c r="J501" s="31">
        <f t="shared" si="43"/>
        <v>0.1</v>
      </c>
      <c r="K501" s="31">
        <f t="shared" si="44"/>
        <v>0.59199999999999997</v>
      </c>
      <c r="L501" s="31">
        <f t="shared" si="45"/>
        <v>0.255</v>
      </c>
      <c r="M501" s="31">
        <f t="shared" si="46"/>
        <v>0.14199999999999999</v>
      </c>
      <c r="N501" t="e">
        <f>VLOOKUP(A501,#REF!,11,0)</f>
        <v>#REF!</v>
      </c>
      <c r="O501" t="e">
        <f>VLOOKUP(A501,#REF!,12,0)</f>
        <v>#REF!</v>
      </c>
      <c r="P501" t="e">
        <f>VLOOKUP(A501,#REF!,13,0)</f>
        <v>#REF!</v>
      </c>
      <c r="Q501" t="e">
        <f>VLOOKUP(A501,#REF!,14,0)</f>
        <v>#REF!</v>
      </c>
      <c r="R501">
        <v>-1.581760422687648</v>
      </c>
      <c r="S501">
        <v>0.2480089739247523</v>
      </c>
      <c r="T501" s="31" t="str">
        <f>VLOOKUP(C501,V:W,2,0)</f>
        <v>CHN</v>
      </c>
      <c r="U501" t="str">
        <f t="shared" si="47"/>
        <v/>
      </c>
    </row>
    <row r="502" spans="1:21" x14ac:dyDescent="0.25">
      <c r="A502" s="31" t="s">
        <v>1141</v>
      </c>
      <c r="B502" s="31" t="s">
        <v>1651</v>
      </c>
      <c r="C502" s="31" t="s">
        <v>1222</v>
      </c>
      <c r="D502" s="31">
        <f>IFERROR(ROUND(VLOOKUP(A502,institutions!A:E,4,0),2),"")</f>
        <v>1.44</v>
      </c>
      <c r="E502" s="31">
        <f>IFERROR(ROUND(VLOOKUP(A502,institutions!A:X,7,0),2),"")</f>
        <v>1.3</v>
      </c>
      <c r="F502" s="31">
        <f>IFERROR(ROUND(VLOOKUP(A502,institutions!A:X,10,0),2),"")</f>
        <v>1.1399999999999999</v>
      </c>
      <c r="G502" s="31">
        <f>IFERROR(ROUND(VLOOKUP(A502,institutions!A:X,13,0),2),"")</f>
        <v>1.97</v>
      </c>
      <c r="H502" s="31">
        <f>IFERROR(ROUND(VLOOKUP(A502,institutions!A:X,16,0),2),"")</f>
        <v>1.72</v>
      </c>
      <c r="I502" s="31">
        <f t="shared" si="42"/>
        <v>0.17199999999999999</v>
      </c>
      <c r="J502" s="31">
        <f t="shared" si="43"/>
        <v>0.28299999999999997</v>
      </c>
      <c r="K502" s="31">
        <f t="shared" si="44"/>
        <v>0.157</v>
      </c>
      <c r="L502" s="31">
        <f t="shared" si="45"/>
        <v>0.46</v>
      </c>
      <c r="M502" s="31">
        <f t="shared" si="46"/>
        <v>0.19700000000000001</v>
      </c>
      <c r="N502" t="e">
        <f>VLOOKUP(A502,#REF!,11,0)</f>
        <v>#REF!</v>
      </c>
      <c r="O502" t="e">
        <f>VLOOKUP(A502,#REF!,12,0)</f>
        <v>#REF!</v>
      </c>
      <c r="P502" t="e">
        <f>VLOOKUP(A502,#REF!,13,0)</f>
        <v>#REF!</v>
      </c>
      <c r="Q502" t="e">
        <f>VLOOKUP(A502,#REF!,14,0)</f>
        <v>#REF!</v>
      </c>
      <c r="R502">
        <v>-1.5669274114378371</v>
      </c>
      <c r="S502">
        <v>-0.42298131011393142</v>
      </c>
      <c r="T502" s="31" t="str">
        <f>VLOOKUP(C502,V:W,2,0)</f>
        <v>ITA</v>
      </c>
      <c r="U502" t="str">
        <f t="shared" si="47"/>
        <v/>
      </c>
    </row>
    <row r="503" spans="1:21" x14ac:dyDescent="0.25">
      <c r="A503" s="31" t="s">
        <v>1078</v>
      </c>
      <c r="B503" s="31" t="s">
        <v>2007</v>
      </c>
      <c r="C503" s="31" t="s">
        <v>1230</v>
      </c>
      <c r="D503" s="31">
        <f>IFERROR(ROUND(VLOOKUP(A503,institutions!A:E,4,0),2),"")</f>
        <v>1.45</v>
      </c>
      <c r="E503" s="31">
        <f>IFERROR(ROUND(VLOOKUP(A503,institutions!A:X,7,0),2),"")</f>
        <v>1.32</v>
      </c>
      <c r="F503" s="31">
        <f>IFERROR(ROUND(VLOOKUP(A503,institutions!A:X,10,0),2),"")</f>
        <v>1.43</v>
      </c>
      <c r="G503" s="31">
        <f>IFERROR(ROUND(VLOOKUP(A503,institutions!A:X,13,0),2),"")</f>
        <v>1.3</v>
      </c>
      <c r="H503" s="31">
        <f>IFERROR(ROUND(VLOOKUP(A503,institutions!A:X,16,0),2),"")</f>
        <v>1.78</v>
      </c>
      <c r="I503" s="31">
        <f t="shared" si="42"/>
        <v>0.17799999999999999</v>
      </c>
      <c r="J503" s="31">
        <f t="shared" si="43"/>
        <v>0.31</v>
      </c>
      <c r="K503" s="31">
        <f t="shared" si="44"/>
        <v>0.47299999999999998</v>
      </c>
      <c r="L503" s="31">
        <f t="shared" si="45"/>
        <v>0.122</v>
      </c>
      <c r="M503" s="31">
        <f t="shared" si="46"/>
        <v>0.22500000000000001</v>
      </c>
      <c r="N503" t="e">
        <f>VLOOKUP(A503,#REF!,11,0)</f>
        <v>#REF!</v>
      </c>
      <c r="O503" t="e">
        <f>VLOOKUP(A503,#REF!,12,0)</f>
        <v>#REF!</v>
      </c>
      <c r="P503" t="e">
        <f>VLOOKUP(A503,#REF!,13,0)</f>
        <v>#REF!</v>
      </c>
      <c r="Q503" t="e">
        <f>VLOOKUP(A503,#REF!,14,0)</f>
        <v>#REF!</v>
      </c>
      <c r="R503">
        <v>-1.536568926148693</v>
      </c>
      <c r="S503">
        <v>0.61322277816797754</v>
      </c>
      <c r="T503" s="31" t="str">
        <f>VLOOKUP(C503,V:W,2,0)</f>
        <v>CHN</v>
      </c>
      <c r="U503" t="str">
        <f t="shared" si="47"/>
        <v/>
      </c>
    </row>
    <row r="504" spans="1:21" x14ac:dyDescent="0.25">
      <c r="A504" s="31" t="s">
        <v>1093</v>
      </c>
      <c r="B504" s="31" t="s">
        <v>1655</v>
      </c>
      <c r="C504" s="31" t="s">
        <v>1248</v>
      </c>
      <c r="D504" s="31">
        <f>IFERROR(ROUND(VLOOKUP(A504,institutions!A:E,4,0),2),"")</f>
        <v>1.43</v>
      </c>
      <c r="E504" s="31">
        <f>IFERROR(ROUND(VLOOKUP(A504,institutions!A:X,7,0),2),"")</f>
        <v>1.33</v>
      </c>
      <c r="F504" s="31">
        <f>IFERROR(ROUND(VLOOKUP(A504,institutions!A:X,10,0),2),"")</f>
        <v>1.27</v>
      </c>
      <c r="G504" s="31">
        <f>IFERROR(ROUND(VLOOKUP(A504,institutions!A:X,13,0),2),"")</f>
        <v>1.75</v>
      </c>
      <c r="H504" s="31">
        <f>IFERROR(ROUND(VLOOKUP(A504,institutions!A:X,16,0),2),"")</f>
        <v>1.55</v>
      </c>
      <c r="I504" s="31">
        <f t="shared" si="42"/>
        <v>0.16300000000000001</v>
      </c>
      <c r="J504" s="31">
        <f t="shared" si="43"/>
        <v>0.33</v>
      </c>
      <c r="K504" s="31">
        <f t="shared" si="44"/>
        <v>0.318</v>
      </c>
      <c r="L504" s="31">
        <f t="shared" si="45"/>
        <v>0.33700000000000002</v>
      </c>
      <c r="M504" s="31">
        <f t="shared" si="46"/>
        <v>0.13800000000000001</v>
      </c>
      <c r="N504" t="e">
        <f>VLOOKUP(A504,#REF!,11,0)</f>
        <v>#REF!</v>
      </c>
      <c r="O504" t="e">
        <f>VLOOKUP(A504,#REF!,12,0)</f>
        <v>#REF!</v>
      </c>
      <c r="P504" t="e">
        <f>VLOOKUP(A504,#REF!,13,0)</f>
        <v>#REF!</v>
      </c>
      <c r="Q504" t="e">
        <f>VLOOKUP(A504,#REF!,14,0)</f>
        <v>#REF!</v>
      </c>
      <c r="R504">
        <v>-1.5427505332706091</v>
      </c>
      <c r="S504">
        <v>0.21016454834417311</v>
      </c>
      <c r="T504" s="31" t="str">
        <f>VLOOKUP(C504,V:W,2,0)</f>
        <v>UAE</v>
      </c>
      <c r="U504" t="str">
        <f t="shared" si="47"/>
        <v/>
      </c>
    </row>
    <row r="505" spans="1:21" x14ac:dyDescent="0.25">
      <c r="A505" s="31" t="s">
        <v>1144</v>
      </c>
      <c r="B505" s="31" t="s">
        <v>1833</v>
      </c>
      <c r="C505" s="31" t="s">
        <v>1230</v>
      </c>
      <c r="D505" s="31">
        <f>IFERROR(ROUND(VLOOKUP(A505,institutions!A:E,4,0),2),"")</f>
        <v>1.43</v>
      </c>
      <c r="E505" s="31">
        <f>IFERROR(ROUND(VLOOKUP(A505,institutions!A:X,7,0),2),"")</f>
        <v>1.4</v>
      </c>
      <c r="F505" s="31" t="str">
        <f>IFERROR(ROUND(VLOOKUP(A505,institutions!A:X,10,0),2),"")</f>
        <v/>
      </c>
      <c r="G505" s="31">
        <f>IFERROR(ROUND(VLOOKUP(A505,institutions!A:X,13,0),2),"")</f>
        <v>1.42</v>
      </c>
      <c r="H505" s="31" t="str">
        <f>IFERROR(ROUND(VLOOKUP(A505,institutions!A:X,16,0),2),"")</f>
        <v/>
      </c>
      <c r="I505" s="31">
        <f t="shared" si="42"/>
        <v>0.16300000000000001</v>
      </c>
      <c r="J505" s="31">
        <f t="shared" si="43"/>
        <v>0.40300000000000002</v>
      </c>
      <c r="K505" s="31">
        <f t="shared" si="44"/>
        <v>0</v>
      </c>
      <c r="L505" s="31">
        <f t="shared" si="45"/>
        <v>0.16500000000000001</v>
      </c>
      <c r="M505" s="31">
        <f t="shared" si="46"/>
        <v>0</v>
      </c>
      <c r="N505" t="e">
        <f>VLOOKUP(A505,#REF!,11,0)</f>
        <v>#REF!</v>
      </c>
      <c r="O505" t="e">
        <f>VLOOKUP(A505,#REF!,12,0)</f>
        <v>#REF!</v>
      </c>
      <c r="P505" t="e">
        <f>VLOOKUP(A505,#REF!,13,0)</f>
        <v>#REF!</v>
      </c>
      <c r="Q505" t="e">
        <f>VLOOKUP(A505,#REF!,14,0)</f>
        <v>#REF!</v>
      </c>
      <c r="R505">
        <v>-2.525439859355711</v>
      </c>
      <c r="S505">
        <v>0.40877223665423162</v>
      </c>
      <c r="T505" s="31" t="str">
        <f>VLOOKUP(C505,V:W,2,0)</f>
        <v>CHN</v>
      </c>
      <c r="U505" t="str">
        <f t="shared" si="47"/>
        <v/>
      </c>
    </row>
    <row r="506" spans="1:21" x14ac:dyDescent="0.25">
      <c r="A506" s="31" t="s">
        <v>1097</v>
      </c>
      <c r="B506" s="31" t="s">
        <v>1800</v>
      </c>
      <c r="C506" s="31" t="s">
        <v>1217</v>
      </c>
      <c r="D506" s="31">
        <f>IFERROR(ROUND(VLOOKUP(A506,institutions!A:E,4,0),2),"")</f>
        <v>1.46</v>
      </c>
      <c r="E506" s="31">
        <f>IFERROR(ROUND(VLOOKUP(A506,institutions!A:X,7,0),2),"")</f>
        <v>1.1499999999999999</v>
      </c>
      <c r="F506" s="31">
        <f>IFERROR(ROUND(VLOOKUP(A506,institutions!A:X,10,0),2),"")</f>
        <v>1.33</v>
      </c>
      <c r="G506" s="31">
        <f>IFERROR(ROUND(VLOOKUP(A506,institutions!A:X,13,0),2),"")</f>
        <v>1.67</v>
      </c>
      <c r="H506" s="31">
        <f>IFERROR(ROUND(VLOOKUP(A506,institutions!A:X,16,0),2),"")</f>
        <v>2.06</v>
      </c>
      <c r="I506" s="31">
        <f t="shared" si="42"/>
        <v>0.188</v>
      </c>
      <c r="J506" s="31">
        <f t="shared" si="43"/>
        <v>0.1</v>
      </c>
      <c r="K506" s="31">
        <f t="shared" si="44"/>
        <v>0.38200000000000001</v>
      </c>
      <c r="L506" s="31">
        <f t="shared" si="45"/>
        <v>0.28199999999999997</v>
      </c>
      <c r="M506" s="31">
        <f t="shared" si="46"/>
        <v>0.35199999999999998</v>
      </c>
      <c r="N506" t="e">
        <f>VLOOKUP(A506,#REF!,11,0)</f>
        <v>#REF!</v>
      </c>
      <c r="O506" t="e">
        <f>VLOOKUP(A506,#REF!,12,0)</f>
        <v>#REF!</v>
      </c>
      <c r="P506" t="e">
        <f>VLOOKUP(A506,#REF!,13,0)</f>
        <v>#REF!</v>
      </c>
      <c r="Q506" t="e">
        <f>VLOOKUP(A506,#REF!,14,0)</f>
        <v>#REF!</v>
      </c>
      <c r="R506">
        <v>-1.5131101912631111</v>
      </c>
      <c r="S506">
        <v>-0.43562937255892548</v>
      </c>
      <c r="T506" s="31" t="str">
        <f>VLOOKUP(C506,V:W,2,0)</f>
        <v>USA</v>
      </c>
      <c r="U506" t="str">
        <f t="shared" si="47"/>
        <v/>
      </c>
    </row>
    <row r="507" spans="1:21" x14ac:dyDescent="0.25">
      <c r="A507" s="31" t="s">
        <v>1147</v>
      </c>
      <c r="B507" s="31" t="s">
        <v>1831</v>
      </c>
      <c r="C507" s="31" t="s">
        <v>1222</v>
      </c>
      <c r="D507" s="31">
        <f>IFERROR(ROUND(VLOOKUP(A507,institutions!A:E,4,0),2),"")</f>
        <v>1.42</v>
      </c>
      <c r="E507" s="31">
        <f>IFERROR(ROUND(VLOOKUP(A507,institutions!A:X,7,0),2),"")</f>
        <v>1.38</v>
      </c>
      <c r="F507" s="31">
        <f>IFERROR(ROUND(VLOOKUP(A507,institutions!A:X,10,0),2),"")</f>
        <v>1.4</v>
      </c>
      <c r="G507" s="31">
        <f>IFERROR(ROUND(VLOOKUP(A507,institutions!A:X,13,0),2),"")</f>
        <v>1.37</v>
      </c>
      <c r="H507" s="31">
        <f>IFERROR(ROUND(VLOOKUP(A507,institutions!A:X,16,0),2),"")</f>
        <v>1.82</v>
      </c>
      <c r="I507" s="31">
        <f t="shared" si="42"/>
        <v>0.14699999999999999</v>
      </c>
      <c r="J507" s="31">
        <f t="shared" si="43"/>
        <v>0.372</v>
      </c>
      <c r="K507" s="31">
        <f t="shared" si="44"/>
        <v>0.44</v>
      </c>
      <c r="L507" s="31">
        <f t="shared" si="45"/>
        <v>0.14799999999999999</v>
      </c>
      <c r="M507" s="31">
        <f t="shared" si="46"/>
        <v>0.247</v>
      </c>
      <c r="N507" t="e">
        <f>VLOOKUP(A507,#REF!,11,0)</f>
        <v>#REF!</v>
      </c>
      <c r="O507" t="e">
        <f>VLOOKUP(A507,#REF!,12,0)</f>
        <v>#REF!</v>
      </c>
      <c r="P507" t="e">
        <f>VLOOKUP(A507,#REF!,13,0)</f>
        <v>#REF!</v>
      </c>
      <c r="Q507" t="e">
        <f>VLOOKUP(A507,#REF!,14,0)</f>
        <v>#REF!</v>
      </c>
      <c r="R507">
        <v>-1.4076152650093681</v>
      </c>
      <c r="S507">
        <v>0.61938345514847915</v>
      </c>
      <c r="T507" s="31" t="str">
        <f>VLOOKUP(C507,V:W,2,0)</f>
        <v>ITA</v>
      </c>
      <c r="U507" t="str">
        <f t="shared" si="47"/>
        <v/>
      </c>
    </row>
    <row r="508" spans="1:21" x14ac:dyDescent="0.25">
      <c r="A508" s="31" t="s">
        <v>1111</v>
      </c>
      <c r="B508" s="31" t="s">
        <v>1822</v>
      </c>
      <c r="C508" s="31" t="s">
        <v>1222</v>
      </c>
      <c r="D508" s="31">
        <f>IFERROR(ROUND(VLOOKUP(A508,institutions!A:E,4,0),2),"")</f>
        <v>1.43</v>
      </c>
      <c r="E508" s="31">
        <f>IFERROR(ROUND(VLOOKUP(A508,institutions!A:X,7,0),2),"")</f>
        <v>1.32</v>
      </c>
      <c r="F508" s="31">
        <f>IFERROR(ROUND(VLOOKUP(A508,institutions!A:X,10,0),2),"")</f>
        <v>1.32</v>
      </c>
      <c r="G508" s="31">
        <f>IFERROR(ROUND(VLOOKUP(A508,institutions!A:X,13,0),2),"")</f>
        <v>1.67</v>
      </c>
      <c r="H508" s="31">
        <f>IFERROR(ROUND(VLOOKUP(A508,institutions!A:X,16,0),2),"")</f>
        <v>2.15</v>
      </c>
      <c r="I508" s="31">
        <f t="shared" si="42"/>
        <v>0.16300000000000001</v>
      </c>
      <c r="J508" s="31">
        <f t="shared" si="43"/>
        <v>0.31</v>
      </c>
      <c r="K508" s="31">
        <f t="shared" si="44"/>
        <v>0.36499999999999999</v>
      </c>
      <c r="L508" s="31">
        <f t="shared" si="45"/>
        <v>0.28199999999999997</v>
      </c>
      <c r="M508" s="31">
        <f t="shared" si="46"/>
        <v>0.39</v>
      </c>
      <c r="N508" t="e">
        <f>VLOOKUP(A508,#REF!,11,0)</f>
        <v>#REF!</v>
      </c>
      <c r="O508" t="e">
        <f>VLOOKUP(A508,#REF!,12,0)</f>
        <v>#REF!</v>
      </c>
      <c r="P508" t="e">
        <f>VLOOKUP(A508,#REF!,13,0)</f>
        <v>#REF!</v>
      </c>
      <c r="Q508" t="e">
        <f>VLOOKUP(A508,#REF!,14,0)</f>
        <v>#REF!</v>
      </c>
      <c r="R508">
        <v>-1.1375390370645351</v>
      </c>
      <c r="S508">
        <v>-7.2212410173275274E-2</v>
      </c>
      <c r="T508" s="31" t="str">
        <f>VLOOKUP(C508,V:W,2,0)</f>
        <v>ITA</v>
      </c>
      <c r="U508" t="str">
        <f t="shared" si="47"/>
        <v/>
      </c>
    </row>
    <row r="509" spans="1:21" x14ac:dyDescent="0.25">
      <c r="A509" s="31" t="s">
        <v>1062</v>
      </c>
      <c r="B509" s="31" t="s">
        <v>1810</v>
      </c>
      <c r="C509" s="31" t="s">
        <v>1230</v>
      </c>
      <c r="D509" s="31">
        <f>IFERROR(ROUND(VLOOKUP(A509,institutions!A:E,4,0),2),"")</f>
        <v>1.49</v>
      </c>
      <c r="E509" s="31">
        <f>IFERROR(ROUND(VLOOKUP(A509,institutions!A:X,7,0),2),"")</f>
        <v>1.1299999999999999</v>
      </c>
      <c r="F509" s="31">
        <f>IFERROR(ROUND(VLOOKUP(A509,institutions!A:X,10,0),2),"")</f>
        <v>1.23</v>
      </c>
      <c r="G509" s="31">
        <f>IFERROR(ROUND(VLOOKUP(A509,institutions!A:X,13,0),2),"")</f>
        <v>1.61</v>
      </c>
      <c r="H509" s="31">
        <f>IFERROR(ROUND(VLOOKUP(A509,institutions!A:X,16,0),2),"")</f>
        <v>3.81</v>
      </c>
      <c r="I509" s="31">
        <f t="shared" si="42"/>
        <v>0.21199999999999999</v>
      </c>
      <c r="J509" s="31">
        <f t="shared" si="43"/>
        <v>7.6999999999999999E-2</v>
      </c>
      <c r="K509" s="31">
        <f t="shared" si="44"/>
        <v>0.26800000000000002</v>
      </c>
      <c r="L509" s="31">
        <f t="shared" si="45"/>
        <v>0.247</v>
      </c>
      <c r="M509" s="31">
        <f t="shared" si="46"/>
        <v>0.85</v>
      </c>
      <c r="N509" t="e">
        <f>VLOOKUP(A509,#REF!,11,0)</f>
        <v>#REF!</v>
      </c>
      <c r="O509" t="e">
        <f>VLOOKUP(A509,#REF!,12,0)</f>
        <v>#REF!</v>
      </c>
      <c r="P509" t="e">
        <f>VLOOKUP(A509,#REF!,13,0)</f>
        <v>#REF!</v>
      </c>
      <c r="Q509" t="e">
        <f>VLOOKUP(A509,#REF!,14,0)</f>
        <v>#REF!</v>
      </c>
      <c r="R509">
        <v>-0.90781705060042417</v>
      </c>
      <c r="S509">
        <v>-1.38218696124406</v>
      </c>
      <c r="T509" s="31" t="str">
        <f>VLOOKUP(C509,V:W,2,0)</f>
        <v>CHN</v>
      </c>
      <c r="U509" t="str">
        <f t="shared" si="47"/>
        <v/>
      </c>
    </row>
    <row r="510" spans="1:21" x14ac:dyDescent="0.25">
      <c r="A510" s="31" t="s">
        <v>1101</v>
      </c>
      <c r="B510" s="31" t="s">
        <v>1656</v>
      </c>
      <c r="C510" s="31" t="s">
        <v>1258</v>
      </c>
      <c r="D510" s="31">
        <f>IFERROR(ROUND(VLOOKUP(A510,institutions!A:E,4,0),2),"")</f>
        <v>1.44</v>
      </c>
      <c r="E510" s="31">
        <f>IFERROR(ROUND(VLOOKUP(A510,institutions!A:X,7,0),2),"")</f>
        <v>1.27</v>
      </c>
      <c r="F510" s="31">
        <f>IFERROR(ROUND(VLOOKUP(A510,institutions!A:X,10,0),2),"")</f>
        <v>1.1000000000000001</v>
      </c>
      <c r="G510" s="31">
        <f>IFERROR(ROUND(VLOOKUP(A510,institutions!A:X,13,0),2),"")</f>
        <v>1.71</v>
      </c>
      <c r="H510" s="31">
        <f>IFERROR(ROUND(VLOOKUP(A510,institutions!A:X,16,0),2),"")</f>
        <v>1.69</v>
      </c>
      <c r="I510" s="31">
        <f t="shared" si="42"/>
        <v>0.17199999999999999</v>
      </c>
      <c r="J510" s="31">
        <f t="shared" si="43"/>
        <v>0.24199999999999999</v>
      </c>
      <c r="K510" s="31">
        <f t="shared" si="44"/>
        <v>0.127</v>
      </c>
      <c r="L510" s="31">
        <f t="shared" si="45"/>
        <v>0.30499999999999999</v>
      </c>
      <c r="M510" s="31">
        <f t="shared" si="46"/>
        <v>0.17299999999999999</v>
      </c>
      <c r="N510" t="e">
        <f>VLOOKUP(A510,#REF!,11,0)</f>
        <v>#REF!</v>
      </c>
      <c r="O510" t="e">
        <f>VLOOKUP(A510,#REF!,12,0)</f>
        <v>#REF!</v>
      </c>
      <c r="P510" t="e">
        <f>VLOOKUP(A510,#REF!,13,0)</f>
        <v>#REF!</v>
      </c>
      <c r="Q510" t="e">
        <f>VLOOKUP(A510,#REF!,14,0)</f>
        <v>#REF!</v>
      </c>
      <c r="R510">
        <v>-2.0037688888815688</v>
      </c>
      <c r="S510">
        <v>-0.25787121084732989</v>
      </c>
      <c r="T510" s="31" t="str">
        <f>VLOOKUP(C510,V:W,2,0)</f>
        <v>ZAF</v>
      </c>
      <c r="U510" t="str">
        <f t="shared" si="47"/>
        <v/>
      </c>
    </row>
    <row r="511" spans="1:21" x14ac:dyDescent="0.25">
      <c r="A511" s="31" t="s">
        <v>1140</v>
      </c>
      <c r="B511" s="31" t="s">
        <v>1664</v>
      </c>
      <c r="C511" s="31" t="s">
        <v>1222</v>
      </c>
      <c r="D511" s="31">
        <f>IFERROR(ROUND(VLOOKUP(A511,institutions!A:E,4,0),2),"")</f>
        <v>1.42</v>
      </c>
      <c r="E511" s="31">
        <f>IFERROR(ROUND(VLOOKUP(A511,institutions!A:X,7,0),2),"")</f>
        <v>1.29</v>
      </c>
      <c r="F511" s="31">
        <f>IFERROR(ROUND(VLOOKUP(A511,institutions!A:X,10,0),2),"")</f>
        <v>1.31</v>
      </c>
      <c r="G511" s="31">
        <f>IFERROR(ROUND(VLOOKUP(A511,institutions!A:X,13,0),2),"")</f>
        <v>1.57</v>
      </c>
      <c r="H511" s="31">
        <f>IFERROR(ROUND(VLOOKUP(A511,institutions!A:X,16,0),2),"")</f>
        <v>2.27</v>
      </c>
      <c r="I511" s="31">
        <f t="shared" si="42"/>
        <v>0.14699999999999999</v>
      </c>
      <c r="J511" s="31">
        <f t="shared" si="43"/>
        <v>0.26800000000000002</v>
      </c>
      <c r="K511" s="31">
        <f t="shared" si="44"/>
        <v>0.35699999999999998</v>
      </c>
      <c r="L511" s="31">
        <f t="shared" si="45"/>
        <v>0.23</v>
      </c>
      <c r="M511" s="31">
        <f t="shared" si="46"/>
        <v>0.45800000000000002</v>
      </c>
      <c r="N511" t="e">
        <f>VLOOKUP(A511,#REF!,11,0)</f>
        <v>#REF!</v>
      </c>
      <c r="O511" t="e">
        <f>VLOOKUP(A511,#REF!,12,0)</f>
        <v>#REF!</v>
      </c>
      <c r="P511" t="e">
        <f>VLOOKUP(A511,#REF!,13,0)</f>
        <v>#REF!</v>
      </c>
      <c r="Q511" t="e">
        <f>VLOOKUP(A511,#REF!,14,0)</f>
        <v>#REF!</v>
      </c>
      <c r="R511">
        <v>-1.1884168971859741</v>
      </c>
      <c r="S511">
        <v>-0.19475520654753581</v>
      </c>
      <c r="T511" s="31" t="str">
        <f>VLOOKUP(C511,V:W,2,0)</f>
        <v>ITA</v>
      </c>
      <c r="U511" t="str">
        <f t="shared" si="47"/>
        <v/>
      </c>
    </row>
    <row r="512" spans="1:21" x14ac:dyDescent="0.25">
      <c r="A512" s="31" t="s">
        <v>1142</v>
      </c>
      <c r="B512" s="31" t="s">
        <v>1660</v>
      </c>
      <c r="C512" s="31" t="s">
        <v>1222</v>
      </c>
      <c r="D512" s="31">
        <f>IFERROR(ROUND(VLOOKUP(A512,institutions!A:E,4,0),2),"")</f>
        <v>1.43</v>
      </c>
      <c r="E512" s="31">
        <f>IFERROR(ROUND(VLOOKUP(A512,institutions!A:X,7,0),2),"")</f>
        <v>1.33</v>
      </c>
      <c r="F512" s="31" t="str">
        <f>IFERROR(ROUND(VLOOKUP(A512,institutions!A:X,10,0),2),"")</f>
        <v/>
      </c>
      <c r="G512" s="31">
        <f>IFERROR(ROUND(VLOOKUP(A512,institutions!A:X,13,0),2),"")</f>
        <v>1.85</v>
      </c>
      <c r="H512" s="31">
        <f>IFERROR(ROUND(VLOOKUP(A512,institutions!A:X,16,0),2),"")</f>
        <v>2.0499999999999998</v>
      </c>
      <c r="I512" s="31">
        <f t="shared" si="42"/>
        <v>0.16300000000000001</v>
      </c>
      <c r="J512" s="31">
        <f t="shared" si="43"/>
        <v>0.33</v>
      </c>
      <c r="K512" s="31">
        <f t="shared" si="44"/>
        <v>0</v>
      </c>
      <c r="L512" s="31">
        <f t="shared" si="45"/>
        <v>0.39200000000000002</v>
      </c>
      <c r="M512" s="31">
        <f t="shared" si="46"/>
        <v>0.34799999999999998</v>
      </c>
      <c r="N512" t="e">
        <f>VLOOKUP(A512,#REF!,11,0)</f>
        <v>#REF!</v>
      </c>
      <c r="O512" t="e">
        <f>VLOOKUP(A512,#REF!,12,0)</f>
        <v>#REF!</v>
      </c>
      <c r="P512" t="e">
        <f>VLOOKUP(A512,#REF!,13,0)</f>
        <v>#REF!</v>
      </c>
      <c r="Q512" t="e">
        <f>VLOOKUP(A512,#REF!,14,0)</f>
        <v>#REF!</v>
      </c>
      <c r="R512">
        <v>-1.608636948454373</v>
      </c>
      <c r="S512">
        <v>-0.67727688511075534</v>
      </c>
      <c r="T512" s="31" t="str">
        <f>VLOOKUP(C512,V:W,2,0)</f>
        <v>ITA</v>
      </c>
      <c r="U512" t="str">
        <f t="shared" si="47"/>
        <v/>
      </c>
    </row>
    <row r="513" spans="1:21" x14ac:dyDescent="0.25">
      <c r="A513" s="31" t="s">
        <v>1105</v>
      </c>
      <c r="B513" s="31" t="s">
        <v>1661</v>
      </c>
      <c r="C513" s="31" t="s">
        <v>1237</v>
      </c>
      <c r="D513" s="31">
        <f>IFERROR(ROUND(VLOOKUP(A513,institutions!A:E,4,0),2),"")</f>
        <v>1.46</v>
      </c>
      <c r="E513" s="31">
        <f>IFERROR(ROUND(VLOOKUP(A513,institutions!A:X,7,0),2),"")</f>
        <v>1.21</v>
      </c>
      <c r="F513" s="31">
        <f>IFERROR(ROUND(VLOOKUP(A513,institutions!A:X,10,0),2),"")</f>
        <v>1.59</v>
      </c>
      <c r="G513" s="31">
        <f>IFERROR(ROUND(VLOOKUP(A513,institutions!A:X,13,0),2),"")</f>
        <v>1.48</v>
      </c>
      <c r="H513" s="31">
        <f>IFERROR(ROUND(VLOOKUP(A513,institutions!A:X,16,0),2),"")</f>
        <v>1.72</v>
      </c>
      <c r="I513" s="31">
        <f t="shared" si="42"/>
        <v>0.188</v>
      </c>
      <c r="J513" s="31">
        <f t="shared" si="43"/>
        <v>0.16500000000000001</v>
      </c>
      <c r="K513" s="31">
        <f t="shared" si="44"/>
        <v>0.59199999999999997</v>
      </c>
      <c r="L513" s="31">
        <f t="shared" si="45"/>
        <v>0.192</v>
      </c>
      <c r="M513" s="31">
        <f t="shared" si="46"/>
        <v>0.19700000000000001</v>
      </c>
      <c r="N513" t="e">
        <f>VLOOKUP(A513,#REF!,11,0)</f>
        <v>#REF!</v>
      </c>
      <c r="O513" t="e">
        <f>VLOOKUP(A513,#REF!,12,0)</f>
        <v>#REF!</v>
      </c>
      <c r="P513" t="e">
        <f>VLOOKUP(A513,#REF!,13,0)</f>
        <v>#REF!</v>
      </c>
      <c r="Q513" t="e">
        <f>VLOOKUP(A513,#REF!,14,0)</f>
        <v>#REF!</v>
      </c>
      <c r="R513">
        <v>-1.4908844926642919</v>
      </c>
      <c r="S513">
        <v>0.40453696300225322</v>
      </c>
      <c r="T513" s="31" t="str">
        <f>VLOOKUP(C513,V:W,2,0)</f>
        <v>AUS</v>
      </c>
      <c r="U513" t="str">
        <f t="shared" si="47"/>
        <v/>
      </c>
    </row>
    <row r="514" spans="1:21" x14ac:dyDescent="0.25">
      <c r="A514" s="31" t="s">
        <v>1079</v>
      </c>
      <c r="B514" s="31" t="s">
        <v>2052</v>
      </c>
      <c r="C514" s="31" t="s">
        <v>1220</v>
      </c>
      <c r="D514" s="31">
        <f>IFERROR(ROUND(VLOOKUP(A514,institutions!A:E,4,0),2),"")</f>
        <v>1.43</v>
      </c>
      <c r="E514" s="31">
        <f>IFERROR(ROUND(VLOOKUP(A514,institutions!A:X,7,0),2),"")</f>
        <v>1.18</v>
      </c>
      <c r="F514" s="31">
        <f>IFERROR(ROUND(VLOOKUP(A514,institutions!A:X,10,0),2),"")</f>
        <v>1.65</v>
      </c>
      <c r="G514" s="31">
        <f>IFERROR(ROUND(VLOOKUP(A514,institutions!A:X,13,0),2),"")</f>
        <v>1.73</v>
      </c>
      <c r="H514" s="31">
        <f>IFERROR(ROUND(VLOOKUP(A514,institutions!A:X,16,0),2),"")</f>
        <v>1.38</v>
      </c>
      <c r="I514" s="31">
        <f t="shared" si="42"/>
        <v>0.16300000000000001</v>
      </c>
      <c r="J514" s="31">
        <f t="shared" si="43"/>
        <v>0.125</v>
      </c>
      <c r="K514" s="31">
        <f t="shared" si="44"/>
        <v>0.61799999999999999</v>
      </c>
      <c r="L514" s="31">
        <f t="shared" si="45"/>
        <v>0.315</v>
      </c>
      <c r="M514" s="31">
        <f t="shared" si="46"/>
        <v>8.2000000000000003E-2</v>
      </c>
      <c r="N514" t="e">
        <f>VLOOKUP(A514,#REF!,11,0)</f>
        <v>#REF!</v>
      </c>
      <c r="O514" t="e">
        <f>VLOOKUP(A514,#REF!,12,0)</f>
        <v>#REF!</v>
      </c>
      <c r="P514" t="e">
        <f>VLOOKUP(A514,#REF!,13,0)</f>
        <v>#REF!</v>
      </c>
      <c r="Q514" t="e">
        <f>VLOOKUP(A514,#REF!,14,0)</f>
        <v>#REF!</v>
      </c>
      <c r="R514">
        <v>-1.4986042700449731</v>
      </c>
      <c r="S514">
        <v>0.33442503239489041</v>
      </c>
      <c r="T514" s="31" t="str">
        <f>VLOOKUP(C514,V:W,2,0)</f>
        <v>SPAIN</v>
      </c>
      <c r="U514" t="str">
        <f t="shared" si="47"/>
        <v>Auton Madrid</v>
      </c>
    </row>
    <row r="515" spans="1:21" x14ac:dyDescent="0.25">
      <c r="A515" s="31" t="s">
        <v>1109</v>
      </c>
      <c r="B515" s="31" t="s">
        <v>1991</v>
      </c>
      <c r="C515" s="31" t="s">
        <v>1271</v>
      </c>
      <c r="D515" s="31">
        <f>IFERROR(ROUND(VLOOKUP(A515,institutions!A:E,4,0),2),"")</f>
        <v>1.44</v>
      </c>
      <c r="E515" s="31">
        <f>IFERROR(ROUND(VLOOKUP(A515,institutions!A:X,7,0),2),"")</f>
        <v>1.3</v>
      </c>
      <c r="F515" s="31">
        <f>IFERROR(ROUND(VLOOKUP(A515,institutions!A:X,10,0),2),"")</f>
        <v>1.28</v>
      </c>
      <c r="G515" s="31">
        <f>IFERROR(ROUND(VLOOKUP(A515,institutions!A:X,13,0),2),"")</f>
        <v>2.12</v>
      </c>
      <c r="H515" s="31">
        <f>IFERROR(ROUND(VLOOKUP(A515,institutions!A:X,16,0),2),"")</f>
        <v>2.46</v>
      </c>
      <c r="I515" s="31">
        <f t="shared" si="42"/>
        <v>0.17199999999999999</v>
      </c>
      <c r="J515" s="31">
        <f t="shared" si="43"/>
        <v>0.28299999999999997</v>
      </c>
      <c r="K515" s="31">
        <f t="shared" si="44"/>
        <v>0.32800000000000001</v>
      </c>
      <c r="L515" s="31">
        <f t="shared" si="45"/>
        <v>0.52500000000000002</v>
      </c>
      <c r="M515" s="31">
        <f t="shared" si="46"/>
        <v>0.53</v>
      </c>
      <c r="N515" t="e">
        <f>VLOOKUP(A515,#REF!,11,0)</f>
        <v>#REF!</v>
      </c>
      <c r="O515" t="e">
        <f>VLOOKUP(A515,#REF!,12,0)</f>
        <v>#REF!</v>
      </c>
      <c r="P515" t="e">
        <f>VLOOKUP(A515,#REF!,13,0)</f>
        <v>#REF!</v>
      </c>
      <c r="Q515" t="e">
        <f>VLOOKUP(A515,#REF!,14,0)</f>
        <v>#REF!</v>
      </c>
      <c r="R515">
        <v>-0.55741431898190019</v>
      </c>
      <c r="S515">
        <v>-0.81062405484540512</v>
      </c>
      <c r="T515" s="31" t="str">
        <f>VLOOKUP(C515,V:W,2,0)</f>
        <v>DEU</v>
      </c>
      <c r="U515" t="str">
        <f t="shared" si="47"/>
        <v>Hannover</v>
      </c>
    </row>
    <row r="516" spans="1:21" x14ac:dyDescent="0.25">
      <c r="A516" s="31" t="s">
        <v>1113</v>
      </c>
      <c r="B516" s="31" t="s">
        <v>1972</v>
      </c>
      <c r="C516" s="31" t="s">
        <v>1254</v>
      </c>
      <c r="D516" s="31">
        <f>IFERROR(ROUND(VLOOKUP(A516,institutions!A:E,4,0),2),"")</f>
        <v>1.43</v>
      </c>
      <c r="E516" s="31">
        <f>IFERROR(ROUND(VLOOKUP(A516,institutions!A:X,7,0),2),"")</f>
        <v>1.27</v>
      </c>
      <c r="F516" s="31">
        <f>IFERROR(ROUND(VLOOKUP(A516,institutions!A:X,10,0),2),"")</f>
        <v>1.47</v>
      </c>
      <c r="G516" s="31">
        <f>IFERROR(ROUND(VLOOKUP(A516,institutions!A:X,13,0),2),"")</f>
        <v>1.35</v>
      </c>
      <c r="H516" s="31">
        <f>IFERROR(ROUND(VLOOKUP(A516,institutions!A:X,16,0),2),"")</f>
        <v>2.0699999999999998</v>
      </c>
      <c r="I516" s="31">
        <f t="shared" ref="I516:I579" si="48">ROUND(IFERROR((601-_xlfn.RANK.EQ(D516,D:D))/600,0),3)</f>
        <v>0.16300000000000001</v>
      </c>
      <c r="J516" s="31">
        <f t="shared" ref="J516:J579" si="49">ROUND(IFERROR((601-IFERROR(_xlfn.RANK.EQ(E516,E:E),""))/600,0),3)</f>
        <v>0.24199999999999999</v>
      </c>
      <c r="K516" s="31">
        <f t="shared" ref="K516:K579" si="50">ROUND(IFERROR((601-IFERROR(_xlfn.RANK.EQ(F516,F:F),""))/600,0),3)</f>
        <v>0.498</v>
      </c>
      <c r="L516" s="31">
        <f t="shared" ref="L516:L579" si="51">ROUND(IFERROR((601-IFERROR(_xlfn.RANK.EQ(G516,G:G),""))/600,0),3)</f>
        <v>0.13500000000000001</v>
      </c>
      <c r="M516" s="31">
        <f t="shared" ref="M516:M579" si="52">ROUND(IFERROR((601-IFERROR(_xlfn.RANK.EQ(H516,H:H),""))/600,0),3)</f>
        <v>0.35799999999999998</v>
      </c>
      <c r="N516" t="e">
        <f>VLOOKUP(A516,#REF!,11,0)</f>
        <v>#REF!</v>
      </c>
      <c r="O516" t="e">
        <f>VLOOKUP(A516,#REF!,12,0)</f>
        <v>#REF!</v>
      </c>
      <c r="P516" t="e">
        <f>VLOOKUP(A516,#REF!,13,0)</f>
        <v>#REF!</v>
      </c>
      <c r="Q516" t="e">
        <f>VLOOKUP(A516,#REF!,14,0)</f>
        <v>#REF!</v>
      </c>
      <c r="R516">
        <v>-1.339271411230702</v>
      </c>
      <c r="S516">
        <v>0.27178603972312909</v>
      </c>
      <c r="T516" s="31" t="str">
        <f>VLOOKUP(C516,V:W,2,0)</f>
        <v>KOREA</v>
      </c>
      <c r="U516" t="str">
        <f t="shared" ref="U516:U579" si="53">IF(T516=T$1,B516,IF(T516=T$2,B516,IF(T516=U$1,B516,"")))</f>
        <v/>
      </c>
    </row>
    <row r="517" spans="1:21" x14ac:dyDescent="0.25">
      <c r="A517" s="31" t="s">
        <v>1175</v>
      </c>
      <c r="B517" s="31" t="s">
        <v>1958</v>
      </c>
      <c r="C517" s="31" t="s">
        <v>1218</v>
      </c>
      <c r="D517" s="31">
        <f>IFERROR(ROUND(VLOOKUP(A517,institutions!A:E,4,0),2),"")</f>
        <v>1.44</v>
      </c>
      <c r="E517" s="31">
        <f>IFERROR(ROUND(VLOOKUP(A517,institutions!A:X,7,0),2),"")</f>
        <v>1.43</v>
      </c>
      <c r="F517" s="31">
        <f>IFERROR(ROUND(VLOOKUP(A517,institutions!A:X,10,0),2),"")</f>
        <v>1.38</v>
      </c>
      <c r="G517" s="31">
        <f>IFERROR(ROUND(VLOOKUP(A517,institutions!A:X,13,0),2),"")</f>
        <v>1.49</v>
      </c>
      <c r="H517" s="31">
        <f>IFERROR(ROUND(VLOOKUP(A517,institutions!A:X,16,0),2),"")</f>
        <v>2.08</v>
      </c>
      <c r="I517" s="31">
        <f t="shared" si="48"/>
        <v>0.17199999999999999</v>
      </c>
      <c r="J517" s="31">
        <f t="shared" si="49"/>
        <v>0.442</v>
      </c>
      <c r="K517" s="31">
        <f t="shared" si="50"/>
        <v>0.42699999999999999</v>
      </c>
      <c r="L517" s="31">
        <f t="shared" si="51"/>
        <v>0.19800000000000001</v>
      </c>
      <c r="M517" s="31">
        <f t="shared" si="52"/>
        <v>0.36299999999999999</v>
      </c>
      <c r="N517" t="e">
        <f>VLOOKUP(A517,#REF!,11,0)</f>
        <v>#REF!</v>
      </c>
      <c r="O517" t="e">
        <f>VLOOKUP(A517,#REF!,12,0)</f>
        <v>#REF!</v>
      </c>
      <c r="P517" t="e">
        <f>VLOOKUP(A517,#REF!,13,0)</f>
        <v>#REF!</v>
      </c>
      <c r="Q517" t="e">
        <f>VLOOKUP(A517,#REF!,14,0)</f>
        <v>#REF!</v>
      </c>
      <c r="R517">
        <v>-1.019105186297582</v>
      </c>
      <c r="S517">
        <v>0.48264966747140492</v>
      </c>
      <c r="T517" s="31" t="str">
        <f>VLOOKUP(C517,V:W,2,0)</f>
        <v>FRA</v>
      </c>
      <c r="U517" t="str">
        <f t="shared" si="53"/>
        <v>Paris Saclay</v>
      </c>
    </row>
    <row r="518" spans="1:21" x14ac:dyDescent="0.25">
      <c r="A518" s="31" t="s">
        <v>1177</v>
      </c>
      <c r="B518" s="31" t="s">
        <v>1668</v>
      </c>
      <c r="C518" s="31" t="s">
        <v>1224</v>
      </c>
      <c r="D518" s="31">
        <f>IFERROR(ROUND(VLOOKUP(A518,institutions!A:E,4,0),2),"")</f>
        <v>1.42</v>
      </c>
      <c r="E518" s="31">
        <f>IFERROR(ROUND(VLOOKUP(A518,institutions!A:X,7,0),2),"")</f>
        <v>1.39</v>
      </c>
      <c r="F518" s="31">
        <f>IFERROR(ROUND(VLOOKUP(A518,institutions!A:X,10,0),2),"")</f>
        <v>1.24</v>
      </c>
      <c r="G518" s="31">
        <f>IFERROR(ROUND(VLOOKUP(A518,institutions!A:X,13,0),2),"")</f>
        <v>1.53</v>
      </c>
      <c r="H518" s="31">
        <f>IFERROR(ROUND(VLOOKUP(A518,institutions!A:X,16,0),2),"")</f>
        <v>1.87</v>
      </c>
      <c r="I518" s="31">
        <f t="shared" si="48"/>
        <v>0.14699999999999999</v>
      </c>
      <c r="J518" s="31">
        <f t="shared" si="49"/>
        <v>0.39200000000000002</v>
      </c>
      <c r="K518" s="31">
        <f t="shared" si="50"/>
        <v>0.27800000000000002</v>
      </c>
      <c r="L518" s="31">
        <f t="shared" si="51"/>
        <v>0.20499999999999999</v>
      </c>
      <c r="M518" s="31">
        <f t="shared" si="52"/>
        <v>0.27200000000000002</v>
      </c>
      <c r="N518" t="e">
        <f>VLOOKUP(A518,#REF!,11,0)</f>
        <v>#REF!</v>
      </c>
      <c r="O518" t="e">
        <f>VLOOKUP(A518,#REF!,12,0)</f>
        <v>#REF!</v>
      </c>
      <c r="P518" t="e">
        <f>VLOOKUP(A518,#REF!,13,0)</f>
        <v>#REF!</v>
      </c>
      <c r="Q518" t="e">
        <f>VLOOKUP(A518,#REF!,14,0)</f>
        <v>#REF!</v>
      </c>
      <c r="R518">
        <v>-1.5055017793725549</v>
      </c>
      <c r="S518">
        <v>0.29174199700328157</v>
      </c>
      <c r="T518" s="31" t="str">
        <f>VLOOKUP(C518,V:W,2,0)</f>
        <v>CAN</v>
      </c>
      <c r="U518" t="str">
        <f t="shared" si="53"/>
        <v/>
      </c>
    </row>
    <row r="519" spans="1:21" x14ac:dyDescent="0.25">
      <c r="A519" s="31" t="s">
        <v>1114</v>
      </c>
      <c r="B519" s="31" t="s">
        <v>1639</v>
      </c>
      <c r="C519" s="31" t="s">
        <v>1259</v>
      </c>
      <c r="D519" s="31">
        <f>IFERROR(ROUND(VLOOKUP(A519,institutions!A:E,4,0),2),"")</f>
        <v>1.37</v>
      </c>
      <c r="E519" s="31">
        <f>IFERROR(ROUND(VLOOKUP(A519,institutions!A:X,7,0),2),"")</f>
        <v>1.1499999999999999</v>
      </c>
      <c r="F519" s="31">
        <f>IFERROR(ROUND(VLOOKUP(A519,institutions!A:X,10,0),2),"")</f>
        <v>1.17</v>
      </c>
      <c r="G519" s="31">
        <f>IFERROR(ROUND(VLOOKUP(A519,institutions!A:X,13,0),2),"")</f>
        <v>1.85</v>
      </c>
      <c r="H519" s="31">
        <f>IFERROR(ROUND(VLOOKUP(A519,institutions!A:X,16,0),2),"")</f>
        <v>2.09</v>
      </c>
      <c r="I519" s="31">
        <f t="shared" si="48"/>
        <v>0.113</v>
      </c>
      <c r="J519" s="31">
        <f t="shared" si="49"/>
        <v>0.1</v>
      </c>
      <c r="K519" s="31">
        <f t="shared" si="50"/>
        <v>0.193</v>
      </c>
      <c r="L519" s="31">
        <f t="shared" si="51"/>
        <v>0.39200000000000002</v>
      </c>
      <c r="M519" s="31">
        <f t="shared" si="52"/>
        <v>0.372</v>
      </c>
      <c r="N519" t="e">
        <f>VLOOKUP(A519,#REF!,11,0)</f>
        <v>#REF!</v>
      </c>
      <c r="O519" t="e">
        <f>VLOOKUP(A519,#REF!,12,0)</f>
        <v>#REF!</v>
      </c>
      <c r="P519" t="e">
        <f>VLOOKUP(A519,#REF!,13,0)</f>
        <v>#REF!</v>
      </c>
      <c r="Q519" t="e">
        <f>VLOOKUP(A519,#REF!,14,0)</f>
        <v>#REF!</v>
      </c>
      <c r="R519">
        <v>-1.6035571704246081</v>
      </c>
      <c r="S519">
        <v>-0.92563932764599999</v>
      </c>
      <c r="T519" s="31" t="str">
        <f>VLOOKUP(C519,V:W,2,0)</f>
        <v>CHN</v>
      </c>
      <c r="U519" t="str">
        <f t="shared" si="53"/>
        <v/>
      </c>
    </row>
    <row r="520" spans="1:21" x14ac:dyDescent="0.25">
      <c r="A520" s="31" t="s">
        <v>1168</v>
      </c>
      <c r="B520" s="31" t="s">
        <v>1666</v>
      </c>
      <c r="C520" s="31" t="s">
        <v>1222</v>
      </c>
      <c r="D520" s="31">
        <f>IFERROR(ROUND(VLOOKUP(A520,institutions!A:E,4,0),2),"")</f>
        <v>1.42</v>
      </c>
      <c r="E520" s="31">
        <f>IFERROR(ROUND(VLOOKUP(A520,institutions!A:X,7,0),2),"")</f>
        <v>1.28</v>
      </c>
      <c r="F520" s="31">
        <f>IFERROR(ROUND(VLOOKUP(A520,institutions!A:X,10,0),2),"")</f>
        <v>1.34</v>
      </c>
      <c r="G520" s="31" t="str">
        <f>IFERROR(ROUND(VLOOKUP(A520,institutions!A:X,13,0),2),"")</f>
        <v/>
      </c>
      <c r="H520" s="31">
        <f>IFERROR(ROUND(VLOOKUP(A520,institutions!A:X,16,0),2),"")</f>
        <v>2.39</v>
      </c>
      <c r="I520" s="31">
        <f t="shared" si="48"/>
        <v>0.14699999999999999</v>
      </c>
      <c r="J520" s="31">
        <f t="shared" si="49"/>
        <v>0.253</v>
      </c>
      <c r="K520" s="31">
        <f t="shared" si="50"/>
        <v>0.39</v>
      </c>
      <c r="L520" s="31">
        <f t="shared" si="51"/>
        <v>0</v>
      </c>
      <c r="M520" s="31">
        <f t="shared" si="52"/>
        <v>0.502</v>
      </c>
      <c r="N520" t="e">
        <f>VLOOKUP(A520,#REF!,11,0)</f>
        <v>#REF!</v>
      </c>
      <c r="O520" t="e">
        <f>VLOOKUP(A520,#REF!,12,0)</f>
        <v>#REF!</v>
      </c>
      <c r="P520" t="e">
        <f>VLOOKUP(A520,#REF!,13,0)</f>
        <v>#REF!</v>
      </c>
      <c r="Q520" t="e">
        <f>VLOOKUP(A520,#REF!,14,0)</f>
        <v>#REF!</v>
      </c>
      <c r="R520">
        <v>-1.48709057464667</v>
      </c>
      <c r="S520">
        <v>0.1346499550606427</v>
      </c>
      <c r="T520" s="31" t="str">
        <f>VLOOKUP(C520,V:W,2,0)</f>
        <v>ITA</v>
      </c>
      <c r="U520" t="str">
        <f t="shared" si="53"/>
        <v/>
      </c>
    </row>
    <row r="521" spans="1:21" x14ac:dyDescent="0.25">
      <c r="A521" s="31" t="s">
        <v>1134</v>
      </c>
      <c r="B521" s="31" t="s">
        <v>1960</v>
      </c>
      <c r="C521" s="31" t="s">
        <v>1254</v>
      </c>
      <c r="D521" s="31">
        <f>IFERROR(ROUND(VLOOKUP(A521,institutions!A:E,4,0),2),"")</f>
        <v>1.42</v>
      </c>
      <c r="E521" s="31">
        <f>IFERROR(ROUND(VLOOKUP(A521,institutions!A:X,7,0),2),"")</f>
        <v>1.34</v>
      </c>
      <c r="F521" s="31">
        <f>IFERROR(ROUND(VLOOKUP(A521,institutions!A:X,10,0),2),"")</f>
        <v>1.73</v>
      </c>
      <c r="G521" s="31">
        <f>IFERROR(ROUND(VLOOKUP(A521,institutions!A:X,13,0),2),"")</f>
        <v>1.25</v>
      </c>
      <c r="H521" s="31">
        <f>IFERROR(ROUND(VLOOKUP(A521,institutions!A:X,16,0),2),"")</f>
        <v>1.36</v>
      </c>
      <c r="I521" s="31">
        <f t="shared" si="48"/>
        <v>0.14699999999999999</v>
      </c>
      <c r="J521" s="31">
        <f t="shared" si="49"/>
        <v>0.34200000000000003</v>
      </c>
      <c r="K521" s="31">
        <f t="shared" si="50"/>
        <v>0.65500000000000003</v>
      </c>
      <c r="L521" s="31">
        <f t="shared" si="51"/>
        <v>0.10299999999999999</v>
      </c>
      <c r="M521" s="31">
        <f t="shared" si="52"/>
        <v>0.08</v>
      </c>
      <c r="N521" t="e">
        <f>VLOOKUP(A521,#REF!,11,0)</f>
        <v>#REF!</v>
      </c>
      <c r="O521" t="e">
        <f>VLOOKUP(A521,#REF!,12,0)</f>
        <v>#REF!</v>
      </c>
      <c r="P521" t="e">
        <f>VLOOKUP(A521,#REF!,13,0)</f>
        <v>#REF!</v>
      </c>
      <c r="Q521" t="e">
        <f>VLOOKUP(A521,#REF!,14,0)</f>
        <v>#REF!</v>
      </c>
      <c r="R521">
        <v>-1.4701965773071719</v>
      </c>
      <c r="S521">
        <v>1.2080244426249851</v>
      </c>
      <c r="T521" s="31" t="str">
        <f>VLOOKUP(C521,V:W,2,0)</f>
        <v>KOREA</v>
      </c>
      <c r="U521" t="str">
        <f t="shared" si="53"/>
        <v/>
      </c>
    </row>
    <row r="522" spans="1:21" x14ac:dyDescent="0.25">
      <c r="A522" s="31" t="s">
        <v>984</v>
      </c>
      <c r="B522" s="31" t="s">
        <v>2049</v>
      </c>
      <c r="C522" s="31" t="s">
        <v>1220</v>
      </c>
      <c r="D522" s="31">
        <f>IFERROR(ROUND(VLOOKUP(A522,institutions!A:E,4,0),2),"")</f>
        <v>1.47</v>
      </c>
      <c r="E522" s="31">
        <f>IFERROR(ROUND(VLOOKUP(A522,institutions!A:X,7,0),2),"")</f>
        <v>1.34</v>
      </c>
      <c r="F522" s="31">
        <f>IFERROR(ROUND(VLOOKUP(A522,institutions!A:X,10,0),2),"")</f>
        <v>1.05</v>
      </c>
      <c r="G522" s="31">
        <f>IFERROR(ROUND(VLOOKUP(A522,institutions!A:X,13,0),2),"")</f>
        <v>1.54</v>
      </c>
      <c r="H522" s="31">
        <f>IFERROR(ROUND(VLOOKUP(A522,institutions!A:X,16,0),2),"")</f>
        <v>2.0299999999999998</v>
      </c>
      <c r="I522" s="31">
        <f t="shared" si="48"/>
        <v>0.19500000000000001</v>
      </c>
      <c r="J522" s="31">
        <f t="shared" si="49"/>
        <v>0.34200000000000003</v>
      </c>
      <c r="K522" s="31">
        <f t="shared" si="50"/>
        <v>0.08</v>
      </c>
      <c r="L522" s="31">
        <f t="shared" si="51"/>
        <v>0.21</v>
      </c>
      <c r="M522" s="31">
        <f t="shared" si="52"/>
        <v>0.33500000000000002</v>
      </c>
      <c r="N522" t="e">
        <f>VLOOKUP(A522,#REF!,11,0)</f>
        <v>#REF!</v>
      </c>
      <c r="O522" t="e">
        <f>VLOOKUP(A522,#REF!,12,0)</f>
        <v>#REF!</v>
      </c>
      <c r="P522" t="e">
        <f>VLOOKUP(A522,#REF!,13,0)</f>
        <v>#REF!</v>
      </c>
      <c r="Q522" t="e">
        <f>VLOOKUP(A522,#REF!,14,0)</f>
        <v>#REF!</v>
      </c>
      <c r="R522">
        <v>-1.8010775984466909</v>
      </c>
      <c r="S522">
        <v>-0.2113925839277121</v>
      </c>
      <c r="T522" s="31" t="str">
        <f>VLOOKUP(C522,V:W,2,0)</f>
        <v>SPAIN</v>
      </c>
      <c r="U522" t="str">
        <f t="shared" si="53"/>
        <v>Compostela</v>
      </c>
    </row>
    <row r="523" spans="1:21" x14ac:dyDescent="0.25">
      <c r="A523" s="31" t="s">
        <v>1189</v>
      </c>
      <c r="B523" s="31" t="s">
        <v>1671</v>
      </c>
      <c r="C523" s="31" t="s">
        <v>1271</v>
      </c>
      <c r="D523" s="31">
        <f>IFERROR(ROUND(VLOOKUP(A523,institutions!A:E,4,0),2),"")</f>
        <v>1.42</v>
      </c>
      <c r="E523" s="31">
        <f>IFERROR(ROUND(VLOOKUP(A523,institutions!A:X,7,0),2),"")</f>
        <v>1.46</v>
      </c>
      <c r="F523" s="31" t="str">
        <f>IFERROR(ROUND(VLOOKUP(A523,institutions!A:X,10,0),2),"")</f>
        <v/>
      </c>
      <c r="G523" s="31">
        <f>IFERROR(ROUND(VLOOKUP(A523,institutions!A:X,13,0),2),"")</f>
        <v>1.33</v>
      </c>
      <c r="H523" s="31">
        <f>IFERROR(ROUND(VLOOKUP(A523,institutions!A:X,16,0),2),"")</f>
        <v>1.39</v>
      </c>
      <c r="I523" s="31">
        <f t="shared" si="48"/>
        <v>0.14699999999999999</v>
      </c>
      <c r="J523" s="31">
        <f t="shared" si="49"/>
        <v>0.46800000000000003</v>
      </c>
      <c r="K523" s="31">
        <f t="shared" si="50"/>
        <v>0</v>
      </c>
      <c r="L523" s="31">
        <f t="shared" si="51"/>
        <v>0.13200000000000001</v>
      </c>
      <c r="M523" s="31">
        <f t="shared" si="52"/>
        <v>8.6999999999999994E-2</v>
      </c>
      <c r="N523" t="e">
        <f>VLOOKUP(A523,#REF!,11,0)</f>
        <v>#REF!</v>
      </c>
      <c r="O523" t="e">
        <f>VLOOKUP(A523,#REF!,12,0)</f>
        <v>#REF!</v>
      </c>
      <c r="P523" t="e">
        <f>VLOOKUP(A523,#REF!,13,0)</f>
        <v>#REF!</v>
      </c>
      <c r="Q523" t="e">
        <f>VLOOKUP(A523,#REF!,14,0)</f>
        <v>#REF!</v>
      </c>
      <c r="R523">
        <v>-2.3232310998507648</v>
      </c>
      <c r="S523">
        <v>0.46456190836493311</v>
      </c>
      <c r="T523" s="31" t="str">
        <f>VLOOKUP(C523,V:W,2,0)</f>
        <v>DEU</v>
      </c>
      <c r="U523" t="str">
        <f t="shared" si="53"/>
        <v>Bielefeld</v>
      </c>
    </row>
    <row r="524" spans="1:21" x14ac:dyDescent="0.25">
      <c r="A524" s="31" t="s">
        <v>1036</v>
      </c>
      <c r="B524" s="31" t="s">
        <v>1949</v>
      </c>
      <c r="C524" s="31" t="s">
        <v>1230</v>
      </c>
      <c r="D524" s="31">
        <f>IFERROR(ROUND(VLOOKUP(A524,institutions!A:E,4,0),2),"")</f>
        <v>1.44</v>
      </c>
      <c r="E524" s="31">
        <f>IFERROR(ROUND(VLOOKUP(A524,institutions!A:X,7,0),2),"")</f>
        <v>1.0900000000000001</v>
      </c>
      <c r="F524" s="31">
        <f>IFERROR(ROUND(VLOOKUP(A524,institutions!A:X,10,0),2),"")</f>
        <v>1.0900000000000001</v>
      </c>
      <c r="G524" s="31">
        <f>IFERROR(ROUND(VLOOKUP(A524,institutions!A:X,13,0),2),"")</f>
        <v>1.75</v>
      </c>
      <c r="H524" s="31">
        <f>IFERROR(ROUND(VLOOKUP(A524,institutions!A:X,16,0),2),"")</f>
        <v>2.11</v>
      </c>
      <c r="I524" s="31">
        <f t="shared" si="48"/>
        <v>0.17199999999999999</v>
      </c>
      <c r="J524" s="31">
        <f t="shared" si="49"/>
        <v>4.4999999999999998E-2</v>
      </c>
      <c r="K524" s="31">
        <f t="shared" si="50"/>
        <v>0.11799999999999999</v>
      </c>
      <c r="L524" s="31">
        <f t="shared" si="51"/>
        <v>0.33700000000000002</v>
      </c>
      <c r="M524" s="31">
        <f t="shared" si="52"/>
        <v>0.377</v>
      </c>
      <c r="N524" t="e">
        <f>VLOOKUP(A524,#REF!,11,0)</f>
        <v>#REF!</v>
      </c>
      <c r="O524" t="e">
        <f>VLOOKUP(A524,#REF!,12,0)</f>
        <v>#REF!</v>
      </c>
      <c r="P524" t="e">
        <f>VLOOKUP(A524,#REF!,13,0)</f>
        <v>#REF!</v>
      </c>
      <c r="Q524" t="e">
        <f>VLOOKUP(A524,#REF!,14,0)</f>
        <v>#REF!</v>
      </c>
      <c r="R524">
        <v>-1.908824632563229</v>
      </c>
      <c r="S524">
        <v>-1.068511935336548</v>
      </c>
      <c r="T524" s="31" t="str">
        <f>VLOOKUP(C524,V:W,2,0)</f>
        <v>CHN</v>
      </c>
      <c r="U524" t="str">
        <f t="shared" si="53"/>
        <v/>
      </c>
    </row>
    <row r="525" spans="1:21" x14ac:dyDescent="0.25">
      <c r="A525" s="31" t="s">
        <v>1094</v>
      </c>
      <c r="B525" s="31" t="s">
        <v>2002</v>
      </c>
      <c r="C525" s="31" t="s">
        <v>1245</v>
      </c>
      <c r="D525" s="31">
        <f>IFERROR(ROUND(VLOOKUP(A525,institutions!A:E,4,0),2),"")</f>
        <v>1.4</v>
      </c>
      <c r="E525" s="31">
        <f>IFERROR(ROUND(VLOOKUP(A525,institutions!A:X,7,0),2),"")</f>
        <v>1.22</v>
      </c>
      <c r="F525" s="31">
        <f>IFERROR(ROUND(VLOOKUP(A525,institutions!A:X,10,0),2),"")</f>
        <v>1.97</v>
      </c>
      <c r="G525" s="31">
        <f>IFERROR(ROUND(VLOOKUP(A525,institutions!A:X,13,0),2),"")</f>
        <v>1.55</v>
      </c>
      <c r="H525" s="31">
        <f>IFERROR(ROUND(VLOOKUP(A525,institutions!A:X,16,0),2),"")</f>
        <v>1.35</v>
      </c>
      <c r="I525" s="31">
        <f t="shared" si="48"/>
        <v>0.13200000000000001</v>
      </c>
      <c r="J525" s="31">
        <f t="shared" si="49"/>
        <v>0.18</v>
      </c>
      <c r="K525" s="31">
        <f t="shared" si="50"/>
        <v>0.74</v>
      </c>
      <c r="L525" s="31">
        <f t="shared" si="51"/>
        <v>0.22</v>
      </c>
      <c r="M525" s="31">
        <f t="shared" si="52"/>
        <v>7.6999999999999999E-2</v>
      </c>
      <c r="N525" t="e">
        <f>VLOOKUP(A525,#REF!,11,0)</f>
        <v>#REF!</v>
      </c>
      <c r="O525" t="e">
        <f>VLOOKUP(A525,#REF!,12,0)</f>
        <v>#REF!</v>
      </c>
      <c r="P525" t="e">
        <f>VLOOKUP(A525,#REF!,13,0)</f>
        <v>#REF!</v>
      </c>
      <c r="Q525" t="e">
        <f>VLOOKUP(A525,#REF!,14,0)</f>
        <v>#REF!</v>
      </c>
      <c r="R525">
        <v>-1.3807646852045721</v>
      </c>
      <c r="S525">
        <v>0.79560422518830098</v>
      </c>
      <c r="T525" s="31" t="str">
        <f>VLOOKUP(C525,V:W,2,0)</f>
        <v>RUS</v>
      </c>
      <c r="U525" t="str">
        <f t="shared" si="53"/>
        <v/>
      </c>
    </row>
    <row r="526" spans="1:21" x14ac:dyDescent="0.25">
      <c r="A526" s="31" t="s">
        <v>1103</v>
      </c>
      <c r="B526" s="31" t="s">
        <v>1662</v>
      </c>
      <c r="C526" s="31" t="s">
        <v>1258</v>
      </c>
      <c r="D526" s="31">
        <f>IFERROR(ROUND(VLOOKUP(A526,institutions!A:E,4,0),2),"")</f>
        <v>1.4</v>
      </c>
      <c r="E526" s="31">
        <f>IFERROR(ROUND(VLOOKUP(A526,institutions!A:X,7,0),2),"")</f>
        <v>1.26</v>
      </c>
      <c r="F526" s="31">
        <f>IFERROR(ROUND(VLOOKUP(A526,institutions!A:X,10,0),2),"")</f>
        <v>1.29</v>
      </c>
      <c r="G526" s="31">
        <f>IFERROR(ROUND(VLOOKUP(A526,institutions!A:X,13,0),2),"")</f>
        <v>1.55</v>
      </c>
      <c r="H526" s="31">
        <f>IFERROR(ROUND(VLOOKUP(A526,institutions!A:X,16,0),2),"")</f>
        <v>1.53</v>
      </c>
      <c r="I526" s="31">
        <f t="shared" si="48"/>
        <v>0.13200000000000001</v>
      </c>
      <c r="J526" s="31">
        <f t="shared" si="49"/>
        <v>0.22800000000000001</v>
      </c>
      <c r="K526" s="31">
        <f t="shared" si="50"/>
        <v>0.33800000000000002</v>
      </c>
      <c r="L526" s="31">
        <f t="shared" si="51"/>
        <v>0.22</v>
      </c>
      <c r="M526" s="31">
        <f t="shared" si="52"/>
        <v>0.125</v>
      </c>
      <c r="N526" t="e">
        <f>VLOOKUP(A526,#REF!,11,0)</f>
        <v>#REF!</v>
      </c>
      <c r="O526" t="e">
        <f>VLOOKUP(A526,#REF!,12,0)</f>
        <v>#REF!</v>
      </c>
      <c r="P526" t="e">
        <f>VLOOKUP(A526,#REF!,13,0)</f>
        <v>#REF!</v>
      </c>
      <c r="Q526" t="e">
        <f>VLOOKUP(A526,#REF!,14,0)</f>
        <v>#REF!</v>
      </c>
      <c r="R526">
        <v>-1.9040791929670999</v>
      </c>
      <c r="S526">
        <v>0.2370141064731503</v>
      </c>
      <c r="T526" s="31" t="str">
        <f>VLOOKUP(C526,V:W,2,0)</f>
        <v>ZAF</v>
      </c>
      <c r="U526" t="str">
        <f t="shared" si="53"/>
        <v/>
      </c>
    </row>
    <row r="527" spans="1:21" x14ac:dyDescent="0.25">
      <c r="A527" s="31" t="s">
        <v>1191</v>
      </c>
      <c r="B527" s="31" t="s">
        <v>1658</v>
      </c>
      <c r="C527" s="31" t="s">
        <v>1224</v>
      </c>
      <c r="D527" s="31">
        <f>IFERROR(ROUND(VLOOKUP(A527,institutions!A:E,4,0),2),"")</f>
        <v>1.38</v>
      </c>
      <c r="E527" s="31">
        <f>IFERROR(ROUND(VLOOKUP(A527,institutions!A:X,7,0),2),"")</f>
        <v>1.64</v>
      </c>
      <c r="F527" s="31">
        <f>IFERROR(ROUND(VLOOKUP(A527,institutions!A:X,10,0),2),"")</f>
        <v>1.06</v>
      </c>
      <c r="G527" s="31">
        <f>IFERROR(ROUND(VLOOKUP(A527,institutions!A:X,13,0),2),"")</f>
        <v>1.1299999999999999</v>
      </c>
      <c r="H527" s="31">
        <f>IFERROR(ROUND(VLOOKUP(A527,institutions!A:X,16,0),2),"")</f>
        <v>1.51</v>
      </c>
      <c r="I527" s="31">
        <f t="shared" si="48"/>
        <v>0.12</v>
      </c>
      <c r="J527" s="31">
        <f t="shared" si="49"/>
        <v>0.59199999999999997</v>
      </c>
      <c r="K527" s="31">
        <f t="shared" si="50"/>
        <v>0.09</v>
      </c>
      <c r="L527" s="31">
        <f t="shared" si="51"/>
        <v>7.0000000000000007E-2</v>
      </c>
      <c r="M527" s="31">
        <f t="shared" si="52"/>
        <v>0.11799999999999999</v>
      </c>
      <c r="N527" t="e">
        <f>VLOOKUP(A527,#REF!,11,0)</f>
        <v>#REF!</v>
      </c>
      <c r="O527" t="e">
        <f>VLOOKUP(A527,#REF!,12,0)</f>
        <v>#REF!</v>
      </c>
      <c r="P527" t="e">
        <f>VLOOKUP(A527,#REF!,13,0)</f>
        <v>#REF!</v>
      </c>
      <c r="Q527" t="e">
        <f>VLOOKUP(A527,#REF!,14,0)</f>
        <v>#REF!</v>
      </c>
      <c r="R527">
        <v>-2.025753670936473</v>
      </c>
      <c r="S527">
        <v>0.91443630912481699</v>
      </c>
      <c r="T527" s="31" t="str">
        <f>VLOOKUP(C527,V:W,2,0)</f>
        <v>CAN</v>
      </c>
      <c r="U527" t="str">
        <f t="shared" si="53"/>
        <v/>
      </c>
    </row>
    <row r="528" spans="1:21" x14ac:dyDescent="0.25">
      <c r="A528" s="31" t="s">
        <v>1179</v>
      </c>
      <c r="B528" s="31" t="s">
        <v>1804</v>
      </c>
      <c r="C528" s="31" t="s">
        <v>1246</v>
      </c>
      <c r="D528" s="31">
        <f>IFERROR(ROUND(VLOOKUP(A528,institutions!A:E,4,0),2),"")</f>
        <v>1.4</v>
      </c>
      <c r="E528" s="31">
        <f>IFERROR(ROUND(VLOOKUP(A528,institutions!A:X,7,0),2),"")</f>
        <v>1.34</v>
      </c>
      <c r="F528" s="31">
        <f>IFERROR(ROUND(VLOOKUP(A528,institutions!A:X,10,0),2),"")</f>
        <v>1.1200000000000001</v>
      </c>
      <c r="G528" s="31">
        <f>IFERROR(ROUND(VLOOKUP(A528,institutions!A:X,13,0),2),"")</f>
        <v>1.99</v>
      </c>
      <c r="H528" s="31">
        <f>IFERROR(ROUND(VLOOKUP(A528,institutions!A:X,16,0),2),"")</f>
        <v>1.78</v>
      </c>
      <c r="I528" s="31">
        <f t="shared" si="48"/>
        <v>0.13200000000000001</v>
      </c>
      <c r="J528" s="31">
        <f t="shared" si="49"/>
        <v>0.34200000000000003</v>
      </c>
      <c r="K528" s="31">
        <f t="shared" si="50"/>
        <v>0.13500000000000001</v>
      </c>
      <c r="L528" s="31">
        <f t="shared" si="51"/>
        <v>0.46700000000000003</v>
      </c>
      <c r="M528" s="31">
        <f t="shared" si="52"/>
        <v>0.22500000000000001</v>
      </c>
      <c r="N528" t="e">
        <f>VLOOKUP(A528,#REF!,11,0)</f>
        <v>#REF!</v>
      </c>
      <c r="O528" t="e">
        <f>VLOOKUP(A528,#REF!,12,0)</f>
        <v>#REF!</v>
      </c>
      <c r="P528" t="e">
        <f>VLOOKUP(A528,#REF!,13,0)</f>
        <v>#REF!</v>
      </c>
      <c r="Q528" t="e">
        <f>VLOOKUP(A528,#REF!,14,0)</f>
        <v>#REF!</v>
      </c>
      <c r="R528">
        <v>-1.4470573202769339</v>
      </c>
      <c r="S528">
        <v>-0.38508098633154741</v>
      </c>
      <c r="T528" s="31" t="str">
        <f>VLOOKUP(C528,V:W,2,0)</f>
        <v>JAP</v>
      </c>
      <c r="U528" t="str">
        <f t="shared" si="53"/>
        <v/>
      </c>
    </row>
    <row r="529" spans="1:21" x14ac:dyDescent="0.25">
      <c r="A529" s="31" t="s">
        <v>1081</v>
      </c>
      <c r="B529" s="31" t="s">
        <v>1828</v>
      </c>
      <c r="C529" s="31" t="s">
        <v>1230</v>
      </c>
      <c r="D529" s="31">
        <f>IFERROR(ROUND(VLOOKUP(A529,institutions!A:E,4,0),2),"")</f>
        <v>1.4</v>
      </c>
      <c r="E529" s="31">
        <f>IFERROR(ROUND(VLOOKUP(A529,institutions!A:X,7,0),2),"")</f>
        <v>1.1299999999999999</v>
      </c>
      <c r="F529" s="31">
        <f>IFERROR(ROUND(VLOOKUP(A529,institutions!A:X,10,0),2),"")</f>
        <v>1.52</v>
      </c>
      <c r="G529" s="31">
        <f>IFERROR(ROUND(VLOOKUP(A529,institutions!A:X,13,0),2),"")</f>
        <v>1.17</v>
      </c>
      <c r="H529" s="31">
        <f>IFERROR(ROUND(VLOOKUP(A529,institutions!A:X,16,0),2),"")</f>
        <v>1.79</v>
      </c>
      <c r="I529" s="31">
        <f t="shared" si="48"/>
        <v>0.13200000000000001</v>
      </c>
      <c r="J529" s="31">
        <f t="shared" si="49"/>
        <v>7.6999999999999999E-2</v>
      </c>
      <c r="K529" s="31">
        <f t="shared" si="50"/>
        <v>0.54300000000000004</v>
      </c>
      <c r="L529" s="31">
        <f t="shared" si="51"/>
        <v>7.6999999999999999E-2</v>
      </c>
      <c r="M529" s="31">
        <f t="shared" si="52"/>
        <v>0.23</v>
      </c>
      <c r="N529" t="e">
        <f>VLOOKUP(A529,#REF!,11,0)</f>
        <v>#REF!</v>
      </c>
      <c r="O529" t="e">
        <f>VLOOKUP(A529,#REF!,12,0)</f>
        <v>#REF!</v>
      </c>
      <c r="P529" t="e">
        <f>VLOOKUP(A529,#REF!,13,0)</f>
        <v>#REF!</v>
      </c>
      <c r="Q529" t="e">
        <f>VLOOKUP(A529,#REF!,14,0)</f>
        <v>#REF!</v>
      </c>
      <c r="R529">
        <v>-1.8610565915644</v>
      </c>
      <c r="S529">
        <v>0.28458626427785222</v>
      </c>
      <c r="T529" s="31" t="str">
        <f>VLOOKUP(C529,V:W,2,0)</f>
        <v>CHN</v>
      </c>
      <c r="U529" t="str">
        <f t="shared" si="53"/>
        <v/>
      </c>
    </row>
    <row r="530" spans="1:21" x14ac:dyDescent="0.25">
      <c r="A530" s="31" t="s">
        <v>1057</v>
      </c>
      <c r="B530" s="31" t="s">
        <v>1985</v>
      </c>
      <c r="C530" s="31" t="s">
        <v>1230</v>
      </c>
      <c r="D530" s="31">
        <f>IFERROR(ROUND(VLOOKUP(A530,institutions!A:E,4,0),2),"")</f>
        <v>1.39</v>
      </c>
      <c r="E530" s="31">
        <f>IFERROR(ROUND(VLOOKUP(A530,institutions!A:X,7,0),2),"")</f>
        <v>1.26</v>
      </c>
      <c r="F530" s="31">
        <f>IFERROR(ROUND(VLOOKUP(A530,institutions!A:X,10,0),2),"")</f>
        <v>1.1399999999999999</v>
      </c>
      <c r="G530" s="31">
        <f>IFERROR(ROUND(VLOOKUP(A530,institutions!A:X,13,0),2),"")</f>
        <v>1.37</v>
      </c>
      <c r="H530" s="31">
        <f>IFERROR(ROUND(VLOOKUP(A530,institutions!A:X,16,0),2),"")</f>
        <v>1.71</v>
      </c>
      <c r="I530" s="31">
        <f t="shared" si="48"/>
        <v>0.123</v>
      </c>
      <c r="J530" s="31">
        <f t="shared" si="49"/>
        <v>0.22800000000000001</v>
      </c>
      <c r="K530" s="31">
        <f t="shared" si="50"/>
        <v>0.157</v>
      </c>
      <c r="L530" s="31">
        <f t="shared" si="51"/>
        <v>0.14799999999999999</v>
      </c>
      <c r="M530" s="31">
        <f t="shared" si="52"/>
        <v>0.19</v>
      </c>
      <c r="N530" t="e">
        <f>VLOOKUP(A530,#REF!,11,0)</f>
        <v>#REF!</v>
      </c>
      <c r="O530" t="e">
        <f>VLOOKUP(A530,#REF!,12,0)</f>
        <v>#REF!</v>
      </c>
      <c r="P530" t="e">
        <f>VLOOKUP(A530,#REF!,13,0)</f>
        <v>#REF!</v>
      </c>
      <c r="Q530" t="e">
        <f>VLOOKUP(A530,#REF!,14,0)</f>
        <v>#REF!</v>
      </c>
      <c r="R530">
        <v>-2.224433758616867</v>
      </c>
      <c r="S530">
        <v>-9.4974082627740947E-3</v>
      </c>
      <c r="T530" s="31" t="str">
        <f>VLOOKUP(C530,V:W,2,0)</f>
        <v>CHN</v>
      </c>
      <c r="U530" t="str">
        <f t="shared" si="53"/>
        <v/>
      </c>
    </row>
    <row r="531" spans="1:21" x14ac:dyDescent="0.25">
      <c r="A531" s="31" t="s">
        <v>1058</v>
      </c>
      <c r="B531" s="31" t="s">
        <v>1653</v>
      </c>
      <c r="C531" s="31" t="s">
        <v>1223</v>
      </c>
      <c r="D531" s="31">
        <f>IFERROR(ROUND(VLOOKUP(A531,institutions!A:E,4,0),2),"")</f>
        <v>1.43</v>
      </c>
      <c r="E531" s="31">
        <f>IFERROR(ROUND(VLOOKUP(A531,institutions!A:X,7,0),2),"")</f>
        <v>1.2</v>
      </c>
      <c r="F531" s="31">
        <f>IFERROR(ROUND(VLOOKUP(A531,institutions!A:X,10,0),2),"")</f>
        <v>1.28</v>
      </c>
      <c r="G531" s="31">
        <f>IFERROR(ROUND(VLOOKUP(A531,institutions!A:X,13,0),2),"")</f>
        <v>1.66</v>
      </c>
      <c r="H531" s="31">
        <f>IFERROR(ROUND(VLOOKUP(A531,institutions!A:X,16,0),2),"")</f>
        <v>1.97</v>
      </c>
      <c r="I531" s="31">
        <f t="shared" si="48"/>
        <v>0.16300000000000001</v>
      </c>
      <c r="J531" s="31">
        <f t="shared" si="49"/>
        <v>0.14499999999999999</v>
      </c>
      <c r="K531" s="31">
        <f t="shared" si="50"/>
        <v>0.32800000000000001</v>
      </c>
      <c r="L531" s="31">
        <f t="shared" si="51"/>
        <v>0.27200000000000002</v>
      </c>
      <c r="M531" s="31">
        <f t="shared" si="52"/>
        <v>0.317</v>
      </c>
      <c r="N531" t="e">
        <f>VLOOKUP(A531,#REF!,11,0)</f>
        <v>#REF!</v>
      </c>
      <c r="O531" t="e">
        <f>VLOOKUP(A531,#REF!,12,0)</f>
        <v>#REF!</v>
      </c>
      <c r="P531" t="e">
        <f>VLOOKUP(A531,#REF!,13,0)</f>
        <v>#REF!</v>
      </c>
      <c r="Q531" t="e">
        <f>VLOOKUP(A531,#REF!,14,0)</f>
        <v>#REF!</v>
      </c>
      <c r="R531">
        <v>-1.614421771007575</v>
      </c>
      <c r="S531">
        <v>-0.34593979336475122</v>
      </c>
      <c r="T531" s="31" t="str">
        <f>VLOOKUP(C531,V:W,2,0)</f>
        <v>HKG</v>
      </c>
      <c r="U531" t="str">
        <f t="shared" si="53"/>
        <v/>
      </c>
    </row>
    <row r="532" spans="1:21" x14ac:dyDescent="0.25">
      <c r="A532" s="31" t="s">
        <v>1116</v>
      </c>
      <c r="B532" s="31" t="s">
        <v>1652</v>
      </c>
      <c r="C532" s="31" t="s">
        <v>1220</v>
      </c>
      <c r="D532" s="31">
        <f>IFERROR(ROUND(VLOOKUP(A532,institutions!A:E,4,0),2),"")</f>
        <v>1.43</v>
      </c>
      <c r="E532" s="31">
        <f>IFERROR(ROUND(VLOOKUP(A532,institutions!A:X,7,0),2),"")</f>
        <v>1.21</v>
      </c>
      <c r="F532" s="31">
        <f>IFERROR(ROUND(VLOOKUP(A532,institutions!A:X,10,0),2),"")</f>
        <v>1.1499999999999999</v>
      </c>
      <c r="G532" s="31">
        <f>IFERROR(ROUND(VLOOKUP(A532,institutions!A:X,13,0),2),"")</f>
        <v>1.63</v>
      </c>
      <c r="H532" s="31">
        <f>IFERROR(ROUND(VLOOKUP(A532,institutions!A:X,16,0),2),"")</f>
        <v>1.97</v>
      </c>
      <c r="I532" s="31">
        <f t="shared" si="48"/>
        <v>0.16300000000000001</v>
      </c>
      <c r="J532" s="31">
        <f t="shared" si="49"/>
        <v>0.16500000000000001</v>
      </c>
      <c r="K532" s="31">
        <f t="shared" si="50"/>
        <v>0.17</v>
      </c>
      <c r="L532" s="31">
        <f t="shared" si="51"/>
        <v>0.26200000000000001</v>
      </c>
      <c r="M532" s="31">
        <f t="shared" si="52"/>
        <v>0.317</v>
      </c>
      <c r="N532" t="e">
        <f>VLOOKUP(A532,#REF!,11,0)</f>
        <v>#REF!</v>
      </c>
      <c r="O532" t="e">
        <f>VLOOKUP(A532,#REF!,12,0)</f>
        <v>#REF!</v>
      </c>
      <c r="P532" t="e">
        <f>VLOOKUP(A532,#REF!,13,0)</f>
        <v>#REF!</v>
      </c>
      <c r="Q532" t="e">
        <f>VLOOKUP(A532,#REF!,14,0)</f>
        <v>#REF!</v>
      </c>
      <c r="R532">
        <v>-1.870205008610625</v>
      </c>
      <c r="S532">
        <v>-0.51647912273649821</v>
      </c>
      <c r="T532" s="31" t="str">
        <f>VLOOKUP(C532,V:W,2,0)</f>
        <v>SPAIN</v>
      </c>
      <c r="U532" t="str">
        <f t="shared" si="53"/>
        <v>Sevilla</v>
      </c>
    </row>
    <row r="533" spans="1:21" x14ac:dyDescent="0.25">
      <c r="A533" s="31" t="s">
        <v>1197</v>
      </c>
      <c r="B533" s="31" t="s">
        <v>2008</v>
      </c>
      <c r="C533" s="31" t="s">
        <v>1243</v>
      </c>
      <c r="D533" s="31">
        <f>IFERROR(ROUND(VLOOKUP(A533,institutions!A:E,4,0),2),"")</f>
        <v>1.37</v>
      </c>
      <c r="E533" s="31">
        <f>IFERROR(ROUND(VLOOKUP(A533,institutions!A:X,7,0),2),"")</f>
        <v>1.42</v>
      </c>
      <c r="F533" s="31">
        <f>IFERROR(ROUND(VLOOKUP(A533,institutions!A:X,10,0),2),"")</f>
        <v>1.1399999999999999</v>
      </c>
      <c r="G533" s="31" t="str">
        <f>IFERROR(ROUND(VLOOKUP(A533,institutions!A:X,13,0),2),"")</f>
        <v/>
      </c>
      <c r="H533" s="31" t="str">
        <f>IFERROR(ROUND(VLOOKUP(A533,institutions!A:X,16,0),2),"")</f>
        <v/>
      </c>
      <c r="I533" s="31">
        <f t="shared" si="48"/>
        <v>0.113</v>
      </c>
      <c r="J533" s="31">
        <f t="shared" si="49"/>
        <v>0.432</v>
      </c>
      <c r="K533" s="31">
        <f t="shared" si="50"/>
        <v>0.157</v>
      </c>
      <c r="L533" s="31">
        <f t="shared" si="51"/>
        <v>0</v>
      </c>
      <c r="M533" s="31">
        <f t="shared" si="52"/>
        <v>0</v>
      </c>
      <c r="N533" t="e">
        <f>VLOOKUP(A533,#REF!,11,0)</f>
        <v>#REF!</v>
      </c>
      <c r="O533" t="e">
        <f>VLOOKUP(A533,#REF!,12,0)</f>
        <v>#REF!</v>
      </c>
      <c r="P533" t="e">
        <f>VLOOKUP(A533,#REF!,13,0)</f>
        <v>#REF!</v>
      </c>
      <c r="Q533" t="e">
        <f>VLOOKUP(A533,#REF!,14,0)</f>
        <v>#REF!</v>
      </c>
      <c r="R533">
        <v>-2.505312553555874</v>
      </c>
      <c r="S533">
        <v>0.97405813773227301</v>
      </c>
      <c r="T533" s="31" t="str">
        <f>VLOOKUP(C533,V:W,2,0)</f>
        <v>TWN</v>
      </c>
      <c r="U533" t="str">
        <f t="shared" si="53"/>
        <v/>
      </c>
    </row>
    <row r="534" spans="1:21" x14ac:dyDescent="0.25">
      <c r="A534" s="31" t="s">
        <v>1138</v>
      </c>
      <c r="B534" s="31" t="s">
        <v>2003</v>
      </c>
      <c r="C534" s="31" t="s">
        <v>1231</v>
      </c>
      <c r="D534" s="31">
        <f>IFERROR(ROUND(VLOOKUP(A534,institutions!A:E,4,0),2),"")</f>
        <v>1.34</v>
      </c>
      <c r="E534" s="31">
        <f>IFERROR(ROUND(VLOOKUP(A534,institutions!A:X,7,0),2),"")</f>
        <v>1.18</v>
      </c>
      <c r="F534" s="31">
        <f>IFERROR(ROUND(VLOOKUP(A534,institutions!A:X,10,0),2),"")</f>
        <v>1.1599999999999999</v>
      </c>
      <c r="G534" s="31">
        <f>IFERROR(ROUND(VLOOKUP(A534,institutions!A:X,13,0),2),"")</f>
        <v>1.86</v>
      </c>
      <c r="H534" s="31">
        <f>IFERROR(ROUND(VLOOKUP(A534,institutions!A:X,16,0),2),"")</f>
        <v>1.39</v>
      </c>
      <c r="I534" s="31">
        <f t="shared" si="48"/>
        <v>0.1</v>
      </c>
      <c r="J534" s="31">
        <f t="shared" si="49"/>
        <v>0.125</v>
      </c>
      <c r="K534" s="31">
        <f t="shared" si="50"/>
        <v>0.187</v>
      </c>
      <c r="L534" s="31">
        <f t="shared" si="51"/>
        <v>0.39700000000000002</v>
      </c>
      <c r="M534" s="31">
        <f t="shared" si="52"/>
        <v>8.6999999999999994E-2</v>
      </c>
      <c r="N534" t="e">
        <f>VLOOKUP(A534,#REF!,11,0)</f>
        <v>#REF!</v>
      </c>
      <c r="O534" t="e">
        <f>VLOOKUP(A534,#REF!,12,0)</f>
        <v>#REF!</v>
      </c>
      <c r="P534" t="e">
        <f>VLOOKUP(A534,#REF!,13,0)</f>
        <v>#REF!</v>
      </c>
      <c r="Q534" t="e">
        <f>VLOOKUP(A534,#REF!,14,0)</f>
        <v>#REF!</v>
      </c>
      <c r="R534">
        <v>-2.0795580032722749</v>
      </c>
      <c r="S534">
        <v>-0.43727941079040572</v>
      </c>
      <c r="T534" s="31" t="str">
        <f>VLOOKUP(C534,V:W,2,0)</f>
        <v>PRT</v>
      </c>
      <c r="U534" t="str">
        <f t="shared" si="53"/>
        <v/>
      </c>
    </row>
    <row r="535" spans="1:21" x14ac:dyDescent="0.25">
      <c r="A535" s="31" t="s">
        <v>1133</v>
      </c>
      <c r="B535" s="31" t="s">
        <v>1996</v>
      </c>
      <c r="C535" s="31" t="s">
        <v>1233</v>
      </c>
      <c r="D535" s="31">
        <f>IFERROR(ROUND(VLOOKUP(A535,institutions!A:E,4,0),2),"")</f>
        <v>1.35</v>
      </c>
      <c r="E535" s="31">
        <f>IFERROR(ROUND(VLOOKUP(A535,institutions!A:X,7,0),2),"")</f>
        <v>1.1100000000000001</v>
      </c>
      <c r="F535" s="31">
        <f>IFERROR(ROUND(VLOOKUP(A535,institutions!A:X,10,0),2),"")</f>
        <v>1.05</v>
      </c>
      <c r="G535" s="31">
        <f>IFERROR(ROUND(VLOOKUP(A535,institutions!A:X,13,0),2),"")</f>
        <v>1.73</v>
      </c>
      <c r="H535" s="31">
        <f>IFERROR(ROUND(VLOOKUP(A535,institutions!A:X,16,0),2),"")</f>
        <v>1.84</v>
      </c>
      <c r="I535" s="31">
        <f t="shared" si="48"/>
        <v>0.10299999999999999</v>
      </c>
      <c r="J535" s="31">
        <f t="shared" si="49"/>
        <v>0.06</v>
      </c>
      <c r="K535" s="31">
        <f t="shared" si="50"/>
        <v>0.08</v>
      </c>
      <c r="L535" s="31">
        <f t="shared" si="51"/>
        <v>0.315</v>
      </c>
      <c r="M535" s="31">
        <f t="shared" si="52"/>
        <v>0.255</v>
      </c>
      <c r="N535" t="e">
        <f>VLOOKUP(A535,#REF!,11,0)</f>
        <v>#REF!</v>
      </c>
      <c r="O535" t="e">
        <f>VLOOKUP(A535,#REF!,12,0)</f>
        <v>#REF!</v>
      </c>
      <c r="P535" t="e">
        <f>VLOOKUP(A535,#REF!,13,0)</f>
        <v>#REF!</v>
      </c>
      <c r="Q535" t="e">
        <f>VLOOKUP(A535,#REF!,14,0)</f>
        <v>#REF!</v>
      </c>
      <c r="R535">
        <v>-2.2093286936718139</v>
      </c>
      <c r="S535">
        <v>-0.86161776121974798</v>
      </c>
      <c r="T535" s="31" t="str">
        <f>VLOOKUP(C535,V:W,2,0)</f>
        <v>NED</v>
      </c>
      <c r="U535" t="str">
        <f t="shared" si="53"/>
        <v/>
      </c>
    </row>
    <row r="536" spans="1:21" x14ac:dyDescent="0.25">
      <c r="A536" s="31" t="s">
        <v>1110</v>
      </c>
      <c r="B536" s="31" t="s">
        <v>2095</v>
      </c>
      <c r="C536" s="31" t="s">
        <v>1243</v>
      </c>
      <c r="D536" s="31">
        <f>IFERROR(ROUND(VLOOKUP(A536,institutions!A:E,4,0),2),"")</f>
        <v>1.37</v>
      </c>
      <c r="E536" s="31">
        <f>IFERROR(ROUND(VLOOKUP(A536,institutions!A:X,7,0),2),"")</f>
        <v>1.22</v>
      </c>
      <c r="F536" s="31">
        <f>IFERROR(ROUND(VLOOKUP(A536,institutions!A:X,10,0),2),"")</f>
        <v>1.1499999999999999</v>
      </c>
      <c r="G536" s="31">
        <f>IFERROR(ROUND(VLOOKUP(A536,institutions!A:X,13,0),2),"")</f>
        <v>1.83</v>
      </c>
      <c r="H536" s="31">
        <f>IFERROR(ROUND(VLOOKUP(A536,institutions!A:X,16,0),2),"")</f>
        <v>1.65</v>
      </c>
      <c r="I536" s="31">
        <f t="shared" si="48"/>
        <v>0.113</v>
      </c>
      <c r="J536" s="31">
        <f t="shared" si="49"/>
        <v>0.18</v>
      </c>
      <c r="K536" s="31">
        <f t="shared" si="50"/>
        <v>0.17</v>
      </c>
      <c r="L536" s="31">
        <f t="shared" si="51"/>
        <v>0.378</v>
      </c>
      <c r="M536" s="31">
        <f t="shared" si="52"/>
        <v>0.16200000000000001</v>
      </c>
      <c r="N536" t="e">
        <f>VLOOKUP(A536,#REF!,11,0)</f>
        <v>#REF!</v>
      </c>
      <c r="O536" t="e">
        <f>VLOOKUP(A536,#REF!,12,0)</f>
        <v>#REF!</v>
      </c>
      <c r="P536" t="e">
        <f>VLOOKUP(A536,#REF!,13,0)</f>
        <v>#REF!</v>
      </c>
      <c r="Q536" t="e">
        <f>VLOOKUP(A536,#REF!,14,0)</f>
        <v>#REF!</v>
      </c>
      <c r="R536">
        <v>-1.9190752016943711</v>
      </c>
      <c r="S536">
        <v>-0.43187261046221259</v>
      </c>
      <c r="T536" s="31" t="str">
        <f>VLOOKUP(C536,V:W,2,0)</f>
        <v>TWN</v>
      </c>
      <c r="U536" t="str">
        <f t="shared" si="53"/>
        <v/>
      </c>
    </row>
    <row r="537" spans="1:21" x14ac:dyDescent="0.25">
      <c r="A537" s="31" t="s">
        <v>1075</v>
      </c>
      <c r="B537" s="31" t="s">
        <v>1827</v>
      </c>
      <c r="C537" s="31" t="s">
        <v>1230</v>
      </c>
      <c r="D537" s="31">
        <f>IFERROR(ROUND(VLOOKUP(A537,institutions!A:E,4,0),2),"")</f>
        <v>1.38</v>
      </c>
      <c r="E537" s="31">
        <f>IFERROR(ROUND(VLOOKUP(A537,institutions!A:X,7,0),2),"")</f>
        <v>1.1100000000000001</v>
      </c>
      <c r="F537" s="31">
        <f>IFERROR(ROUND(VLOOKUP(A537,institutions!A:X,10,0),2),"")</f>
        <v>1.28</v>
      </c>
      <c r="G537" s="31">
        <f>IFERROR(ROUND(VLOOKUP(A537,institutions!A:X,13,0),2),"")</f>
        <v>1.55</v>
      </c>
      <c r="H537" s="31">
        <f>IFERROR(ROUND(VLOOKUP(A537,institutions!A:X,16,0),2),"")</f>
        <v>1.82</v>
      </c>
      <c r="I537" s="31">
        <f t="shared" si="48"/>
        <v>0.12</v>
      </c>
      <c r="J537" s="31">
        <f t="shared" si="49"/>
        <v>0.06</v>
      </c>
      <c r="K537" s="31">
        <f t="shared" si="50"/>
        <v>0.32800000000000001</v>
      </c>
      <c r="L537" s="31">
        <f t="shared" si="51"/>
        <v>0.22</v>
      </c>
      <c r="M537" s="31">
        <f t="shared" si="52"/>
        <v>0.247</v>
      </c>
      <c r="N537" t="e">
        <f>VLOOKUP(A537,#REF!,11,0)</f>
        <v>#REF!</v>
      </c>
      <c r="O537" t="e">
        <f>VLOOKUP(A537,#REF!,12,0)</f>
        <v>#REF!</v>
      </c>
      <c r="P537" t="e">
        <f>VLOOKUP(A537,#REF!,13,0)</f>
        <v>#REF!</v>
      </c>
      <c r="Q537" t="e">
        <f>VLOOKUP(A537,#REF!,14,0)</f>
        <v>#REF!</v>
      </c>
      <c r="R537">
        <v>-1.9696406007101199</v>
      </c>
      <c r="S537">
        <v>-0.32978100891184098</v>
      </c>
      <c r="T537" s="31" t="str">
        <f>VLOOKUP(C537,V:W,2,0)</f>
        <v>CHN</v>
      </c>
      <c r="U537" t="str">
        <f t="shared" si="53"/>
        <v/>
      </c>
    </row>
    <row r="538" spans="1:21" x14ac:dyDescent="0.25">
      <c r="A538" s="31" t="s">
        <v>1087</v>
      </c>
      <c r="B538" s="31" t="s">
        <v>2050</v>
      </c>
      <c r="C538" s="31" t="s">
        <v>1220</v>
      </c>
      <c r="D538" s="31">
        <f>IFERROR(ROUND(VLOOKUP(A538,institutions!A:E,4,0),2),"")</f>
        <v>1.41</v>
      </c>
      <c r="E538" s="31">
        <f>IFERROR(ROUND(VLOOKUP(A538,institutions!A:X,7,0),2),"")</f>
        <v>1.08</v>
      </c>
      <c r="F538" s="31" t="str">
        <f>IFERROR(ROUND(VLOOKUP(A538,institutions!A:X,10,0),2),"")</f>
        <v/>
      </c>
      <c r="G538" s="31">
        <f>IFERROR(ROUND(VLOOKUP(A538,institutions!A:X,13,0),2),"")</f>
        <v>1.67</v>
      </c>
      <c r="H538" s="31">
        <f>IFERROR(ROUND(VLOOKUP(A538,institutions!A:X,16,0),2),"")</f>
        <v>1.88</v>
      </c>
      <c r="I538" s="31">
        <f t="shared" si="48"/>
        <v>0.13300000000000001</v>
      </c>
      <c r="J538" s="31">
        <f t="shared" si="49"/>
        <v>0.04</v>
      </c>
      <c r="K538" s="31">
        <f t="shared" si="50"/>
        <v>0</v>
      </c>
      <c r="L538" s="31">
        <f t="shared" si="51"/>
        <v>0.28199999999999997</v>
      </c>
      <c r="M538" s="31">
        <f t="shared" si="52"/>
        <v>0.27800000000000002</v>
      </c>
      <c r="N538" t="e">
        <f>VLOOKUP(A538,#REF!,11,0)</f>
        <v>#REF!</v>
      </c>
      <c r="O538" t="e">
        <f>VLOOKUP(A538,#REF!,12,0)</f>
        <v>#REF!</v>
      </c>
      <c r="P538" t="e">
        <f>VLOOKUP(A538,#REF!,13,0)</f>
        <v>#REF!</v>
      </c>
      <c r="Q538" t="e">
        <f>VLOOKUP(A538,#REF!,14,0)</f>
        <v>#REF!</v>
      </c>
      <c r="R538">
        <v>-2.3953677983198371</v>
      </c>
      <c r="S538">
        <v>-1.002232458795989</v>
      </c>
      <c r="T538" s="31" t="str">
        <f>VLOOKUP(C538,V:W,2,0)</f>
        <v>SPAIN</v>
      </c>
      <c r="U538" t="str">
        <f t="shared" si="53"/>
        <v>Polit Valencia</v>
      </c>
    </row>
    <row r="539" spans="1:21" x14ac:dyDescent="0.25">
      <c r="A539" s="31" t="s">
        <v>1176</v>
      </c>
      <c r="B539" s="31" t="s">
        <v>1994</v>
      </c>
      <c r="C539" s="31" t="s">
        <v>1218</v>
      </c>
      <c r="D539" s="31">
        <f>IFERROR(ROUND(VLOOKUP(A539,institutions!A:E,4,0),2),"")</f>
        <v>1.37</v>
      </c>
      <c r="E539" s="31">
        <f>IFERROR(ROUND(VLOOKUP(A539,institutions!A:X,7,0),2),"")</f>
        <v>1.3</v>
      </c>
      <c r="F539" s="31">
        <f>IFERROR(ROUND(VLOOKUP(A539,institutions!A:X,10,0),2),"")</f>
        <v>1.23</v>
      </c>
      <c r="G539" s="31">
        <f>IFERROR(ROUND(VLOOKUP(A539,institutions!A:X,13,0),2),"")</f>
        <v>1.9</v>
      </c>
      <c r="H539" s="31">
        <f>IFERROR(ROUND(VLOOKUP(A539,institutions!A:X,16,0),2),"")</f>
        <v>1.71</v>
      </c>
      <c r="I539" s="31">
        <f t="shared" si="48"/>
        <v>0.113</v>
      </c>
      <c r="J539" s="31">
        <f t="shared" si="49"/>
        <v>0.28299999999999997</v>
      </c>
      <c r="K539" s="31">
        <f t="shared" si="50"/>
        <v>0.26800000000000002</v>
      </c>
      <c r="L539" s="31">
        <f t="shared" si="51"/>
        <v>0.41699999999999998</v>
      </c>
      <c r="M539" s="31">
        <f t="shared" si="52"/>
        <v>0.19</v>
      </c>
      <c r="N539" t="e">
        <f>VLOOKUP(A539,#REF!,11,0)</f>
        <v>#REF!</v>
      </c>
      <c r="O539" t="e">
        <f>VLOOKUP(A539,#REF!,12,0)</f>
        <v>#REF!</v>
      </c>
      <c r="P539" t="e">
        <f>VLOOKUP(A539,#REF!,13,0)</f>
        <v>#REF!</v>
      </c>
      <c r="Q539" t="e">
        <f>VLOOKUP(A539,#REF!,14,0)</f>
        <v>#REF!</v>
      </c>
      <c r="R539">
        <v>-1.466679006272037</v>
      </c>
      <c r="S539">
        <v>-0.17871858735640031</v>
      </c>
      <c r="T539" s="31" t="str">
        <f>VLOOKUP(C539,V:W,2,0)</f>
        <v>FRA</v>
      </c>
      <c r="U539" t="str">
        <f t="shared" si="53"/>
        <v>Lorraine</v>
      </c>
    </row>
    <row r="540" spans="1:21" x14ac:dyDescent="0.25">
      <c r="A540" s="31" t="s">
        <v>1060</v>
      </c>
      <c r="B540" s="31" t="s">
        <v>1998</v>
      </c>
      <c r="C540" s="31" t="s">
        <v>1230</v>
      </c>
      <c r="D540" s="31">
        <f>IFERROR(ROUND(VLOOKUP(A540,institutions!A:E,4,0),2),"")</f>
        <v>1.37</v>
      </c>
      <c r="E540" s="31">
        <f>IFERROR(ROUND(VLOOKUP(A540,institutions!A:X,7,0),2),"")</f>
        <v>1.22</v>
      </c>
      <c r="F540" s="31">
        <f>IFERROR(ROUND(VLOOKUP(A540,institutions!A:X,10,0),2),"")</f>
        <v>1.37</v>
      </c>
      <c r="G540" s="31">
        <f>IFERROR(ROUND(VLOOKUP(A540,institutions!A:X,13,0),2),"")</f>
        <v>1.07</v>
      </c>
      <c r="H540" s="31">
        <f>IFERROR(ROUND(VLOOKUP(A540,institutions!A:X,16,0),2),"")</f>
        <v>1.48</v>
      </c>
      <c r="I540" s="31">
        <f t="shared" si="48"/>
        <v>0.113</v>
      </c>
      <c r="J540" s="31">
        <f t="shared" si="49"/>
        <v>0.18</v>
      </c>
      <c r="K540" s="31">
        <f t="shared" si="50"/>
        <v>0.42199999999999999</v>
      </c>
      <c r="L540" s="31">
        <f t="shared" si="51"/>
        <v>6.3E-2</v>
      </c>
      <c r="M540" s="31">
        <f t="shared" si="52"/>
        <v>0.11</v>
      </c>
      <c r="N540" t="e">
        <f>VLOOKUP(A540,#REF!,11,0)</f>
        <v>#REF!</v>
      </c>
      <c r="O540" t="e">
        <f>VLOOKUP(A540,#REF!,12,0)</f>
        <v>#REF!</v>
      </c>
      <c r="P540" t="e">
        <f>VLOOKUP(A540,#REF!,13,0)</f>
        <v>#REF!</v>
      </c>
      <c r="Q540" t="e">
        <f>VLOOKUP(A540,#REF!,14,0)</f>
        <v>#REF!</v>
      </c>
      <c r="R540">
        <v>-2.144674617809085</v>
      </c>
      <c r="S540">
        <v>0.54211675469943044</v>
      </c>
      <c r="T540" s="31" t="str">
        <f>VLOOKUP(C540,V:W,2,0)</f>
        <v>CHN</v>
      </c>
      <c r="U540" t="str">
        <f t="shared" si="53"/>
        <v/>
      </c>
    </row>
    <row r="541" spans="1:21" x14ac:dyDescent="0.25">
      <c r="A541" s="31" t="s">
        <v>1084</v>
      </c>
      <c r="B541" s="31" t="s">
        <v>1965</v>
      </c>
      <c r="C541" s="31" t="s">
        <v>1251</v>
      </c>
      <c r="D541" s="31">
        <f>IFERROR(ROUND(VLOOKUP(A541,institutions!A:E,4,0),2),"")</f>
        <v>1.35</v>
      </c>
      <c r="E541" s="31">
        <f>IFERROR(ROUND(VLOOKUP(A541,institutions!A:X,7,0),2),"")</f>
        <v>1.19</v>
      </c>
      <c r="F541" s="31">
        <f>IFERROR(ROUND(VLOOKUP(A541,institutions!A:X,10,0),2),"")</f>
        <v>1.49</v>
      </c>
      <c r="G541" s="31">
        <f>IFERROR(ROUND(VLOOKUP(A541,institutions!A:X,13,0),2),"")</f>
        <v>1.24</v>
      </c>
      <c r="H541" s="31">
        <f>IFERROR(ROUND(VLOOKUP(A541,institutions!A:X,16,0),2),"")</f>
        <v>1.24</v>
      </c>
      <c r="I541" s="31">
        <f t="shared" si="48"/>
        <v>0.10299999999999999</v>
      </c>
      <c r="J541" s="31">
        <f t="shared" si="49"/>
        <v>0.13500000000000001</v>
      </c>
      <c r="K541" s="31">
        <f t="shared" si="50"/>
        <v>0.51800000000000002</v>
      </c>
      <c r="L541" s="31">
        <f t="shared" si="51"/>
        <v>0.10199999999999999</v>
      </c>
      <c r="M541" s="31">
        <f t="shared" si="52"/>
        <v>5.7000000000000002E-2</v>
      </c>
      <c r="N541" t="e">
        <f>VLOOKUP(A541,#REF!,11,0)</f>
        <v>#REF!</v>
      </c>
      <c r="O541" t="e">
        <f>VLOOKUP(A541,#REF!,12,0)</f>
        <v>#REF!</v>
      </c>
      <c r="P541" t="e">
        <f>VLOOKUP(A541,#REF!,13,0)</f>
        <v>#REF!</v>
      </c>
      <c r="Q541" t="e">
        <f>VLOOKUP(A541,#REF!,14,0)</f>
        <v>#REF!</v>
      </c>
      <c r="R541">
        <v>-2.078764958999852</v>
      </c>
      <c r="S541">
        <v>0.60480107710714692</v>
      </c>
      <c r="T541" s="31" t="str">
        <f>VLOOKUP(C541,V:W,2,0)</f>
        <v>POL</v>
      </c>
      <c r="U541" t="str">
        <f t="shared" si="53"/>
        <v/>
      </c>
    </row>
    <row r="542" spans="1:21" x14ac:dyDescent="0.25">
      <c r="A542" s="31" t="s">
        <v>1139</v>
      </c>
      <c r="B542" s="31" t="s">
        <v>2005</v>
      </c>
      <c r="C542" s="31" t="s">
        <v>1262</v>
      </c>
      <c r="D542" s="31">
        <f>IFERROR(ROUND(VLOOKUP(A542,institutions!A:E,4,0),2),"")</f>
        <v>1.37</v>
      </c>
      <c r="E542" s="31">
        <f>IFERROR(ROUND(VLOOKUP(A542,institutions!A:X,7,0),2),"")</f>
        <v>1.1599999999999999</v>
      </c>
      <c r="F542" s="31">
        <f>IFERROR(ROUND(VLOOKUP(A542,institutions!A:X,10,0),2),"")</f>
        <v>1.1499999999999999</v>
      </c>
      <c r="G542" s="31">
        <f>IFERROR(ROUND(VLOOKUP(A542,institutions!A:X,13,0),2),"")</f>
        <v>1.48</v>
      </c>
      <c r="H542" s="31">
        <f>IFERROR(ROUND(VLOOKUP(A542,institutions!A:X,16,0),2),"")</f>
        <v>1.9</v>
      </c>
      <c r="I542" s="31">
        <f t="shared" si="48"/>
        <v>0.113</v>
      </c>
      <c r="J542" s="31">
        <f t="shared" si="49"/>
        <v>0.108</v>
      </c>
      <c r="K542" s="31">
        <f t="shared" si="50"/>
        <v>0.17</v>
      </c>
      <c r="L542" s="31">
        <f t="shared" si="51"/>
        <v>0.192</v>
      </c>
      <c r="M542" s="31">
        <f t="shared" si="52"/>
        <v>0.28999999999999998</v>
      </c>
      <c r="N542" t="e">
        <f>VLOOKUP(A542,#REF!,11,0)</f>
        <v>#REF!</v>
      </c>
      <c r="O542" t="e">
        <f>VLOOKUP(A542,#REF!,12,0)</f>
        <v>#REF!</v>
      </c>
      <c r="P542" t="e">
        <f>VLOOKUP(A542,#REF!,13,0)</f>
        <v>#REF!</v>
      </c>
      <c r="Q542" t="e">
        <f>VLOOKUP(A542,#REF!,14,0)</f>
        <v>#REF!</v>
      </c>
      <c r="R542">
        <v>-2.135099461337878</v>
      </c>
      <c r="S542">
        <v>-0.47874240867791262</v>
      </c>
      <c r="T542" s="31" t="str">
        <f>VLOOKUP(C542,V:W,2,0)</f>
        <v>MLY</v>
      </c>
      <c r="U542" t="str">
        <f t="shared" si="53"/>
        <v/>
      </c>
    </row>
    <row r="543" spans="1:21" x14ac:dyDescent="0.25">
      <c r="A543" s="31" t="s">
        <v>1200</v>
      </c>
      <c r="B543" s="31" t="s">
        <v>1659</v>
      </c>
      <c r="C543" s="31" t="s">
        <v>1246</v>
      </c>
      <c r="D543" s="31">
        <f>IFERROR(ROUND(VLOOKUP(A543,institutions!A:E,4,0),2),"")</f>
        <v>1.29</v>
      </c>
      <c r="E543" s="31">
        <f>IFERROR(ROUND(VLOOKUP(A543,institutions!A:X,7,0),2),"")</f>
        <v>1.33</v>
      </c>
      <c r="F543" s="31">
        <f>IFERROR(ROUND(VLOOKUP(A543,institutions!A:X,10,0),2),"")</f>
        <v>1.21</v>
      </c>
      <c r="G543" s="31">
        <f>IFERROR(ROUND(VLOOKUP(A543,institutions!A:X,13,0),2),"")</f>
        <v>1.19</v>
      </c>
      <c r="H543" s="31">
        <f>IFERROR(ROUND(VLOOKUP(A543,institutions!A:X,16,0),2),"")</f>
        <v>1.45</v>
      </c>
      <c r="I543" s="31">
        <f t="shared" si="48"/>
        <v>7.2999999999999995E-2</v>
      </c>
      <c r="J543" s="31">
        <f t="shared" si="49"/>
        <v>0.33</v>
      </c>
      <c r="K543" s="31">
        <f t="shared" si="50"/>
        <v>0.245</v>
      </c>
      <c r="L543" s="31">
        <f t="shared" si="51"/>
        <v>8.6999999999999994E-2</v>
      </c>
      <c r="M543" s="31">
        <f t="shared" si="52"/>
        <v>9.5000000000000001E-2</v>
      </c>
      <c r="N543" t="e">
        <f>VLOOKUP(A543,#REF!,11,0)</f>
        <v>#REF!</v>
      </c>
      <c r="O543" t="e">
        <f>VLOOKUP(A543,#REF!,12,0)</f>
        <v>#REF!</v>
      </c>
      <c r="P543" t="e">
        <f>VLOOKUP(A543,#REF!,13,0)</f>
        <v>#REF!</v>
      </c>
      <c r="Q543" t="e">
        <f>VLOOKUP(A543,#REF!,14,0)</f>
        <v>#REF!</v>
      </c>
      <c r="R543">
        <v>-2.1913272910167141</v>
      </c>
      <c r="S543">
        <v>0.58867075461529694</v>
      </c>
      <c r="T543" s="31" t="str">
        <f>VLOOKUP(C543,V:W,2,0)</f>
        <v>JAP</v>
      </c>
      <c r="U543" t="str">
        <f t="shared" si="53"/>
        <v/>
      </c>
    </row>
    <row r="544" spans="1:21" x14ac:dyDescent="0.25">
      <c r="A544" s="31" t="s">
        <v>1107</v>
      </c>
      <c r="B544" s="31" t="s">
        <v>1995</v>
      </c>
      <c r="C544" s="31" t="s">
        <v>1244</v>
      </c>
      <c r="D544" s="31">
        <f>IFERROR(ROUND(VLOOKUP(A544,institutions!A:E,4,0),2),"")</f>
        <v>1.39</v>
      </c>
      <c r="E544" s="31">
        <f>IFERROR(ROUND(VLOOKUP(A544,institutions!A:X,7,0),2),"")</f>
        <v>1.23</v>
      </c>
      <c r="F544" s="31">
        <f>IFERROR(ROUND(VLOOKUP(A544,institutions!A:X,10,0),2),"")</f>
        <v>1.1200000000000001</v>
      </c>
      <c r="G544" s="31">
        <f>IFERROR(ROUND(VLOOKUP(A544,institutions!A:X,13,0),2),"")</f>
        <v>1.47</v>
      </c>
      <c r="H544" s="31">
        <f>IFERROR(ROUND(VLOOKUP(A544,institutions!A:X,16,0),2),"")</f>
        <v>1.97</v>
      </c>
      <c r="I544" s="31">
        <f t="shared" si="48"/>
        <v>0.123</v>
      </c>
      <c r="J544" s="31">
        <f t="shared" si="49"/>
        <v>0.188</v>
      </c>
      <c r="K544" s="31">
        <f t="shared" si="50"/>
        <v>0.13500000000000001</v>
      </c>
      <c r="L544" s="31">
        <f t="shared" si="51"/>
        <v>0.183</v>
      </c>
      <c r="M544" s="31">
        <f t="shared" si="52"/>
        <v>0.317</v>
      </c>
      <c r="N544" t="e">
        <f>VLOOKUP(A544,#REF!,11,0)</f>
        <v>#REF!</v>
      </c>
      <c r="O544" t="e">
        <f>VLOOKUP(A544,#REF!,12,0)</f>
        <v>#REF!</v>
      </c>
      <c r="P544" t="e">
        <f>VLOOKUP(A544,#REF!,13,0)</f>
        <v>#REF!</v>
      </c>
      <c r="Q544" t="e">
        <f>VLOOKUP(A544,#REF!,14,0)</f>
        <v>#REF!</v>
      </c>
      <c r="R544">
        <v>-2.0342031572413291</v>
      </c>
      <c r="S544">
        <v>-0.3866721470113586</v>
      </c>
      <c r="T544" s="31" t="str">
        <f>VLOOKUP(C544,V:W,2,0)</f>
        <v>PAK</v>
      </c>
      <c r="U544" t="str">
        <f t="shared" si="53"/>
        <v/>
      </c>
    </row>
    <row r="545" spans="1:21" x14ac:dyDescent="0.25">
      <c r="A545" s="31" t="s">
        <v>1159</v>
      </c>
      <c r="B545" s="31" t="s">
        <v>1826</v>
      </c>
      <c r="C545" s="31" t="s">
        <v>1246</v>
      </c>
      <c r="D545" s="31">
        <f>IFERROR(ROUND(VLOOKUP(A545,institutions!A:E,4,0),2),"")</f>
        <v>1.29</v>
      </c>
      <c r="E545" s="31">
        <f>IFERROR(ROUND(VLOOKUP(A545,institutions!A:X,7,0),2),"")</f>
        <v>1.28</v>
      </c>
      <c r="F545" s="31">
        <f>IFERROR(ROUND(VLOOKUP(A545,institutions!A:X,10,0),2),"")</f>
        <v>1.02</v>
      </c>
      <c r="G545" s="31">
        <f>IFERROR(ROUND(VLOOKUP(A545,institutions!A:X,13,0),2),"")</f>
        <v>1.1599999999999999</v>
      </c>
      <c r="H545" s="31">
        <f>IFERROR(ROUND(VLOOKUP(A545,institutions!A:X,16,0),2),"")</f>
        <v>1.75</v>
      </c>
      <c r="I545" s="31">
        <f t="shared" si="48"/>
        <v>7.2999999999999995E-2</v>
      </c>
      <c r="J545" s="31">
        <f t="shared" si="49"/>
        <v>0.253</v>
      </c>
      <c r="K545" s="31">
        <f t="shared" si="50"/>
        <v>6.3E-2</v>
      </c>
      <c r="L545" s="31">
        <f t="shared" si="51"/>
        <v>7.2999999999999995E-2</v>
      </c>
      <c r="M545" s="31">
        <f t="shared" si="52"/>
        <v>0.21199999999999999</v>
      </c>
      <c r="N545" t="e">
        <f>VLOOKUP(A545,#REF!,11,0)</f>
        <v>#REF!</v>
      </c>
      <c r="O545" t="e">
        <f>VLOOKUP(A545,#REF!,12,0)</f>
        <v>#REF!</v>
      </c>
      <c r="P545" t="e">
        <f>VLOOKUP(A545,#REF!,13,0)</f>
        <v>#REF!</v>
      </c>
      <c r="Q545" t="e">
        <f>VLOOKUP(A545,#REF!,14,0)</f>
        <v>#REF!</v>
      </c>
      <c r="R545">
        <v>-2.4391616763396211</v>
      </c>
      <c r="S545">
        <v>-2.8298199831287311E-3</v>
      </c>
      <c r="T545" s="31" t="str">
        <f>VLOOKUP(C545,V:W,2,0)</f>
        <v>JAP</v>
      </c>
      <c r="U545" t="str">
        <f t="shared" si="53"/>
        <v/>
      </c>
    </row>
    <row r="546" spans="1:21" x14ac:dyDescent="0.25">
      <c r="A546" s="31" t="s">
        <v>1096</v>
      </c>
      <c r="B546" s="31" t="s">
        <v>2094</v>
      </c>
      <c r="C546" s="31" t="s">
        <v>1243</v>
      </c>
      <c r="D546" s="31">
        <f>IFERROR(ROUND(VLOOKUP(A546,institutions!A:E,4,0),2),"")</f>
        <v>1.38</v>
      </c>
      <c r="E546" s="31">
        <f>IFERROR(ROUND(VLOOKUP(A546,institutions!A:X,7,0),2),"")</f>
        <v>1.1100000000000001</v>
      </c>
      <c r="F546" s="31">
        <f>IFERROR(ROUND(VLOOKUP(A546,institutions!A:X,10,0),2),"")</f>
        <v>1.21</v>
      </c>
      <c r="G546" s="31">
        <f>IFERROR(ROUND(VLOOKUP(A546,institutions!A:X,13,0),2),"")</f>
        <v>1.75</v>
      </c>
      <c r="H546" s="31">
        <f>IFERROR(ROUND(VLOOKUP(A546,institutions!A:X,16,0),2),"")</f>
        <v>1.89</v>
      </c>
      <c r="I546" s="31">
        <f t="shared" si="48"/>
        <v>0.12</v>
      </c>
      <c r="J546" s="31">
        <f t="shared" si="49"/>
        <v>0.06</v>
      </c>
      <c r="K546" s="31">
        <f t="shared" si="50"/>
        <v>0.245</v>
      </c>
      <c r="L546" s="31">
        <f t="shared" si="51"/>
        <v>0.33700000000000002</v>
      </c>
      <c r="M546" s="31">
        <f t="shared" si="52"/>
        <v>0.28699999999999998</v>
      </c>
      <c r="N546" t="e">
        <f>VLOOKUP(A546,#REF!,11,0)</f>
        <v>#REF!</v>
      </c>
      <c r="O546" t="e">
        <f>VLOOKUP(A546,#REF!,12,0)</f>
        <v>#REF!</v>
      </c>
      <c r="P546" t="e">
        <f>VLOOKUP(A546,#REF!,13,0)</f>
        <v>#REF!</v>
      </c>
      <c r="Q546" t="e">
        <f>VLOOKUP(A546,#REF!,14,0)</f>
        <v>#REF!</v>
      </c>
      <c r="R546">
        <v>-1.830381289374122</v>
      </c>
      <c r="S546">
        <v>-0.70893381923483345</v>
      </c>
      <c r="T546" s="31" t="str">
        <f>VLOOKUP(C546,V:W,2,0)</f>
        <v>TWN</v>
      </c>
      <c r="U546" t="str">
        <f t="shared" si="53"/>
        <v/>
      </c>
    </row>
    <row r="547" spans="1:21" x14ac:dyDescent="0.25">
      <c r="A547" s="31" t="s">
        <v>1121</v>
      </c>
      <c r="B547" s="31" t="s">
        <v>1966</v>
      </c>
      <c r="C547" s="31" t="s">
        <v>1260</v>
      </c>
      <c r="D547" s="31">
        <f>IFERROR(ROUND(VLOOKUP(A547,institutions!A:E,4,0),2),"")</f>
        <v>1.38</v>
      </c>
      <c r="E547" s="31">
        <f>IFERROR(ROUND(VLOOKUP(A547,institutions!A:X,7,0),2),"")</f>
        <v>1.2</v>
      </c>
      <c r="F547" s="31">
        <f>IFERROR(ROUND(VLOOKUP(A547,institutions!A:X,10,0),2),"")</f>
        <v>1.26</v>
      </c>
      <c r="G547" s="31">
        <f>IFERROR(ROUND(VLOOKUP(A547,institutions!A:X,13,0),2),"")</f>
        <v>1.45</v>
      </c>
      <c r="H547" s="31">
        <f>IFERROR(ROUND(VLOOKUP(A547,institutions!A:X,16,0),2),"")</f>
        <v>1.99</v>
      </c>
      <c r="I547" s="31">
        <f t="shared" si="48"/>
        <v>0.12</v>
      </c>
      <c r="J547" s="31">
        <f t="shared" si="49"/>
        <v>0.14499999999999999</v>
      </c>
      <c r="K547" s="31">
        <f t="shared" si="50"/>
        <v>0.312</v>
      </c>
      <c r="L547" s="31">
        <f t="shared" si="51"/>
        <v>0.17699999999999999</v>
      </c>
      <c r="M547" s="31">
        <f t="shared" si="52"/>
        <v>0.32</v>
      </c>
      <c r="N547" t="e">
        <f>VLOOKUP(A547,#REF!,11,0)</f>
        <v>#REF!</v>
      </c>
      <c r="O547" t="e">
        <f>VLOOKUP(A547,#REF!,12,0)</f>
        <v>#REF!</v>
      </c>
      <c r="P547" t="e">
        <f>VLOOKUP(A547,#REF!,13,0)</f>
        <v>#REF!</v>
      </c>
      <c r="Q547" t="e">
        <f>VLOOKUP(A547,#REF!,14,0)</f>
        <v>#REF!</v>
      </c>
      <c r="R547">
        <v>-1.8058982573580411</v>
      </c>
      <c r="S547">
        <v>-0.21569950874407781</v>
      </c>
      <c r="T547" s="31" t="str">
        <f>VLOOKUP(C547,V:W,2,0)</f>
        <v>GRE</v>
      </c>
      <c r="U547" t="str">
        <f t="shared" si="53"/>
        <v/>
      </c>
    </row>
    <row r="548" spans="1:21" x14ac:dyDescent="0.25">
      <c r="A548" s="31" t="s">
        <v>1157</v>
      </c>
      <c r="B548" s="31" t="s">
        <v>2054</v>
      </c>
      <c r="C548" s="31" t="s">
        <v>1220</v>
      </c>
      <c r="D548" s="31">
        <f>IFERROR(ROUND(VLOOKUP(A548,institutions!A:E,4,0),2),"")</f>
        <v>1.32</v>
      </c>
      <c r="E548" s="31">
        <f>IFERROR(ROUND(VLOOKUP(A548,institutions!A:X,7,0),2),"")</f>
        <v>1.27</v>
      </c>
      <c r="F548" s="31">
        <f>IFERROR(ROUND(VLOOKUP(A548,institutions!A:X,10,0),2),"")</f>
        <v>1.06</v>
      </c>
      <c r="G548" s="31">
        <f>IFERROR(ROUND(VLOOKUP(A548,institutions!A:X,13,0),2),"")</f>
        <v>1.55</v>
      </c>
      <c r="H548" s="31">
        <f>IFERROR(ROUND(VLOOKUP(A548,institutions!A:X,16,0),2),"")</f>
        <v>1.81</v>
      </c>
      <c r="I548" s="31">
        <f t="shared" si="48"/>
        <v>9.1999999999999998E-2</v>
      </c>
      <c r="J548" s="31">
        <f t="shared" si="49"/>
        <v>0.24199999999999999</v>
      </c>
      <c r="K548" s="31">
        <f t="shared" si="50"/>
        <v>0.09</v>
      </c>
      <c r="L548" s="31">
        <f t="shared" si="51"/>
        <v>0.22</v>
      </c>
      <c r="M548" s="31">
        <f t="shared" si="52"/>
        <v>0.24199999999999999</v>
      </c>
      <c r="N548" t="e">
        <f>VLOOKUP(A548,#REF!,11,0)</f>
        <v>#REF!</v>
      </c>
      <c r="O548" t="e">
        <f>VLOOKUP(A548,#REF!,12,0)</f>
        <v>#REF!</v>
      </c>
      <c r="P548" t="e">
        <f>VLOOKUP(A548,#REF!,13,0)</f>
        <v>#REF!</v>
      </c>
      <c r="Q548" t="e">
        <f>VLOOKUP(A548,#REF!,14,0)</f>
        <v>#REF!</v>
      </c>
      <c r="R548">
        <v>-2.0940868721488202</v>
      </c>
      <c r="S548">
        <v>-0.27953164252652879</v>
      </c>
      <c r="T548" s="31" t="str">
        <f>VLOOKUP(C548,V:W,2,0)</f>
        <v>SPAIN</v>
      </c>
      <c r="U548" t="str">
        <f t="shared" si="53"/>
        <v>Complutense</v>
      </c>
    </row>
    <row r="549" spans="1:21" x14ac:dyDescent="0.25">
      <c r="A549" s="31" t="s">
        <v>1135</v>
      </c>
      <c r="B549" s="31" t="s">
        <v>1823</v>
      </c>
      <c r="C549" s="31" t="s">
        <v>1254</v>
      </c>
      <c r="D549" s="31">
        <f>IFERROR(ROUND(VLOOKUP(A549,institutions!A:E,4,0),2),"")</f>
        <v>1.32</v>
      </c>
      <c r="E549" s="31">
        <f>IFERROR(ROUND(VLOOKUP(A549,institutions!A:X,7,0),2),"")</f>
        <v>1.1399999999999999</v>
      </c>
      <c r="F549" s="31">
        <f>IFERROR(ROUND(VLOOKUP(A549,institutions!A:X,10,0),2),"")</f>
        <v>1.36</v>
      </c>
      <c r="G549" s="31">
        <f>IFERROR(ROUND(VLOOKUP(A549,institutions!A:X,13,0),2),"")</f>
        <v>1.49</v>
      </c>
      <c r="H549" s="31">
        <f>IFERROR(ROUND(VLOOKUP(A549,institutions!A:X,16,0),2),"")</f>
        <v>1.57</v>
      </c>
      <c r="I549" s="31">
        <f t="shared" si="48"/>
        <v>9.1999999999999998E-2</v>
      </c>
      <c r="J549" s="31">
        <f t="shared" si="49"/>
        <v>8.7999999999999995E-2</v>
      </c>
      <c r="K549" s="31">
        <f t="shared" si="50"/>
        <v>0.41199999999999998</v>
      </c>
      <c r="L549" s="31">
        <f t="shared" si="51"/>
        <v>0.19800000000000001</v>
      </c>
      <c r="M549" s="31">
        <f t="shared" si="52"/>
        <v>0.14699999999999999</v>
      </c>
      <c r="N549" t="e">
        <f>VLOOKUP(A549,#REF!,11,0)</f>
        <v>#REF!</v>
      </c>
      <c r="O549" t="e">
        <f>VLOOKUP(A549,#REF!,12,0)</f>
        <v>#REF!</v>
      </c>
      <c r="P549" t="e">
        <f>VLOOKUP(A549,#REF!,13,0)</f>
        <v>#REF!</v>
      </c>
      <c r="Q549" t="e">
        <f>VLOOKUP(A549,#REF!,14,0)</f>
        <v>#REF!</v>
      </c>
      <c r="R549">
        <v>-2.0011858695572138</v>
      </c>
      <c r="S549">
        <v>4.7502337723716342E-2</v>
      </c>
      <c r="T549" s="31" t="str">
        <f>VLOOKUP(C549,V:W,2,0)</f>
        <v>KOREA</v>
      </c>
      <c r="U549" t="str">
        <f t="shared" si="53"/>
        <v/>
      </c>
    </row>
    <row r="550" spans="1:21" x14ac:dyDescent="0.25">
      <c r="A550" s="31" t="s">
        <v>1170</v>
      </c>
      <c r="B550" s="31" t="s">
        <v>1825</v>
      </c>
      <c r="C550" s="31" t="s">
        <v>1254</v>
      </c>
      <c r="D550" s="31">
        <f>IFERROR(ROUND(VLOOKUP(A550,institutions!A:E,4,0),2),"")</f>
        <v>1.31</v>
      </c>
      <c r="E550" s="31">
        <f>IFERROR(ROUND(VLOOKUP(A550,institutions!A:X,7,0),2),"")</f>
        <v>1.18</v>
      </c>
      <c r="F550" s="31">
        <f>IFERROR(ROUND(VLOOKUP(A550,institutions!A:X,10,0),2),"")</f>
        <v>1.25</v>
      </c>
      <c r="G550" s="31">
        <f>IFERROR(ROUND(VLOOKUP(A550,institutions!A:X,13,0),2),"")</f>
        <v>1.67</v>
      </c>
      <c r="H550" s="31">
        <f>IFERROR(ROUND(VLOOKUP(A550,institutions!A:X,16,0),2),"")</f>
        <v>1.67</v>
      </c>
      <c r="I550" s="31">
        <f t="shared" si="48"/>
        <v>8.5000000000000006E-2</v>
      </c>
      <c r="J550" s="31">
        <f t="shared" si="49"/>
        <v>0.125</v>
      </c>
      <c r="K550" s="31">
        <f t="shared" si="50"/>
        <v>0.29699999999999999</v>
      </c>
      <c r="L550" s="31">
        <f t="shared" si="51"/>
        <v>0.28199999999999997</v>
      </c>
      <c r="M550" s="31">
        <f t="shared" si="52"/>
        <v>0.16800000000000001</v>
      </c>
      <c r="N550" t="e">
        <f>VLOOKUP(A550,#REF!,11,0)</f>
        <v>#REF!</v>
      </c>
      <c r="O550" t="e">
        <f>VLOOKUP(A550,#REF!,12,0)</f>
        <v>#REF!</v>
      </c>
      <c r="P550" t="e">
        <f>VLOOKUP(A550,#REF!,13,0)</f>
        <v>#REF!</v>
      </c>
      <c r="Q550" t="e">
        <f>VLOOKUP(A550,#REF!,14,0)</f>
        <v>#REF!</v>
      </c>
      <c r="R550">
        <v>-1.95060923892809</v>
      </c>
      <c r="S550">
        <v>-0.21408833435232141</v>
      </c>
      <c r="T550" s="31" t="str">
        <f>VLOOKUP(C550,V:W,2,0)</f>
        <v>KOREA</v>
      </c>
      <c r="U550" t="str">
        <f t="shared" si="53"/>
        <v/>
      </c>
    </row>
    <row r="551" spans="1:21" x14ac:dyDescent="0.25">
      <c r="A551" s="31" t="s">
        <v>1171</v>
      </c>
      <c r="B551" s="31" t="s">
        <v>2097</v>
      </c>
      <c r="C551" s="31" t="s">
        <v>1243</v>
      </c>
      <c r="D551" s="31">
        <f>IFERROR(ROUND(VLOOKUP(A551,institutions!A:E,4,0),2),"")</f>
        <v>1.3</v>
      </c>
      <c r="E551" s="31">
        <f>IFERROR(ROUND(VLOOKUP(A551,institutions!A:X,7,0),2),"")</f>
        <v>1.25</v>
      </c>
      <c r="F551" s="31">
        <f>IFERROR(ROUND(VLOOKUP(A551,institutions!A:X,10,0),2),"")</f>
        <v>1.22</v>
      </c>
      <c r="G551" s="31">
        <f>IFERROR(ROUND(VLOOKUP(A551,institutions!A:X,13,0),2),"")</f>
        <v>1.28</v>
      </c>
      <c r="H551" s="31">
        <f>IFERROR(ROUND(VLOOKUP(A551,institutions!A:X,16,0),2),"")</f>
        <v>1.33</v>
      </c>
      <c r="I551" s="31">
        <f t="shared" si="48"/>
        <v>7.8E-2</v>
      </c>
      <c r="J551" s="31">
        <f t="shared" si="49"/>
        <v>0.21</v>
      </c>
      <c r="K551" s="31">
        <f t="shared" si="50"/>
        <v>0.253</v>
      </c>
      <c r="L551" s="31">
        <f t="shared" si="51"/>
        <v>0.112</v>
      </c>
      <c r="M551" s="31">
        <f t="shared" si="52"/>
        <v>7.4999999999999997E-2</v>
      </c>
      <c r="N551" t="e">
        <f>VLOOKUP(A551,#REF!,11,0)</f>
        <v>#REF!</v>
      </c>
      <c r="O551" t="e">
        <f>VLOOKUP(A551,#REF!,12,0)</f>
        <v>#REF!</v>
      </c>
      <c r="P551" t="e">
        <f>VLOOKUP(A551,#REF!,13,0)</f>
        <v>#REF!</v>
      </c>
      <c r="Q551" t="e">
        <f>VLOOKUP(A551,#REF!,14,0)</f>
        <v>#REF!</v>
      </c>
      <c r="R551">
        <v>-2.3611515711910509</v>
      </c>
      <c r="S551">
        <v>0.33413769721549841</v>
      </c>
      <c r="T551" s="31" t="str">
        <f>VLOOKUP(C551,V:W,2,0)</f>
        <v>TWN</v>
      </c>
      <c r="U551" t="str">
        <f t="shared" si="53"/>
        <v/>
      </c>
    </row>
    <row r="552" spans="1:21" x14ac:dyDescent="0.25">
      <c r="A552" s="31" t="s">
        <v>1154</v>
      </c>
      <c r="B552" s="31" t="s">
        <v>1649</v>
      </c>
      <c r="C552" s="31" t="s">
        <v>1251</v>
      </c>
      <c r="D552" s="31">
        <f>IFERROR(ROUND(VLOOKUP(A552,institutions!A:E,4,0),2),"")</f>
        <v>1.34</v>
      </c>
      <c r="E552" s="31">
        <f>IFERROR(ROUND(VLOOKUP(A552,institutions!A:X,7,0),2),"")</f>
        <v>1.17</v>
      </c>
      <c r="F552" s="31">
        <f>IFERROR(ROUND(VLOOKUP(A552,institutions!A:X,10,0),2),"")</f>
        <v>1.19</v>
      </c>
      <c r="G552" s="31">
        <f>IFERROR(ROUND(VLOOKUP(A552,institutions!A:X,13,0),2),"")</f>
        <v>1.93</v>
      </c>
      <c r="H552" s="31">
        <f>IFERROR(ROUND(VLOOKUP(A552,institutions!A:X,16,0),2),"")</f>
        <v>1.39</v>
      </c>
      <c r="I552" s="31">
        <f t="shared" si="48"/>
        <v>0.1</v>
      </c>
      <c r="J552" s="31">
        <f t="shared" si="49"/>
        <v>0.11700000000000001</v>
      </c>
      <c r="K552" s="31">
        <f t="shared" si="50"/>
        <v>0.22</v>
      </c>
      <c r="L552" s="31">
        <f t="shared" si="51"/>
        <v>0.433</v>
      </c>
      <c r="M552" s="31">
        <f t="shared" si="52"/>
        <v>8.6999999999999994E-2</v>
      </c>
      <c r="N552" t="e">
        <f>VLOOKUP(A552,#REF!,11,0)</f>
        <v>#REF!</v>
      </c>
      <c r="O552" t="e">
        <f>VLOOKUP(A552,#REF!,12,0)</f>
        <v>#REF!</v>
      </c>
      <c r="P552" t="e">
        <f>VLOOKUP(A552,#REF!,13,0)</f>
        <v>#REF!</v>
      </c>
      <c r="Q552" t="e">
        <f>VLOOKUP(A552,#REF!,14,0)</f>
        <v>#REF!</v>
      </c>
      <c r="R552">
        <v>-1.9717251007154311</v>
      </c>
      <c r="S552">
        <v>-0.466323531966157</v>
      </c>
      <c r="T552" s="31" t="str">
        <f>VLOOKUP(C552,V:W,2,0)</f>
        <v>POL</v>
      </c>
      <c r="U552" t="str">
        <f t="shared" si="53"/>
        <v/>
      </c>
    </row>
    <row r="553" spans="1:21" x14ac:dyDescent="0.25">
      <c r="A553" s="31" t="s">
        <v>1196</v>
      </c>
      <c r="B553" s="31" t="s">
        <v>1815</v>
      </c>
      <c r="C553" s="31" t="s">
        <v>1242</v>
      </c>
      <c r="D553" s="31">
        <f>IFERROR(ROUND(VLOOKUP(A553,institutions!A:E,4,0),2),"")</f>
        <v>1.34</v>
      </c>
      <c r="E553" s="31">
        <f>IFERROR(ROUND(VLOOKUP(A553,institutions!A:X,7,0),2),"")</f>
        <v>1.44</v>
      </c>
      <c r="F553" s="31">
        <f>IFERROR(ROUND(VLOOKUP(A553,institutions!A:X,10,0),2),"")</f>
        <v>1.06</v>
      </c>
      <c r="G553" s="31">
        <f>IFERROR(ROUND(VLOOKUP(A553,institutions!A:X,13,0),2),"")</f>
        <v>1.43</v>
      </c>
      <c r="H553" s="31">
        <f>IFERROR(ROUND(VLOOKUP(A553,institutions!A:X,16,0),2),"")</f>
        <v>1.46</v>
      </c>
      <c r="I553" s="31">
        <f t="shared" si="48"/>
        <v>0.1</v>
      </c>
      <c r="J553" s="31">
        <f t="shared" si="49"/>
        <v>0.44800000000000001</v>
      </c>
      <c r="K553" s="31">
        <f t="shared" si="50"/>
        <v>0.09</v>
      </c>
      <c r="L553" s="31">
        <f t="shared" si="51"/>
        <v>0.17</v>
      </c>
      <c r="M553" s="31">
        <f t="shared" si="52"/>
        <v>9.7000000000000003E-2</v>
      </c>
      <c r="N553" t="e">
        <f>VLOOKUP(A553,#REF!,11,0)</f>
        <v>#REF!</v>
      </c>
      <c r="O553" t="e">
        <f>VLOOKUP(A553,#REF!,12,0)</f>
        <v>#REF!</v>
      </c>
      <c r="P553" t="e">
        <f>VLOOKUP(A553,#REF!,13,0)</f>
        <v>#REF!</v>
      </c>
      <c r="Q553" t="e">
        <f>VLOOKUP(A553,#REF!,14,0)</f>
        <v>#REF!</v>
      </c>
      <c r="R553">
        <v>-2.115588043546031</v>
      </c>
      <c r="S553">
        <v>0.47364165587695273</v>
      </c>
      <c r="T553" s="31" t="str">
        <f>VLOOKUP(C553,V:W,2,0)</f>
        <v>ISR</v>
      </c>
      <c r="U553" t="str">
        <f t="shared" si="53"/>
        <v/>
      </c>
    </row>
    <row r="554" spans="1:21" x14ac:dyDescent="0.25">
      <c r="A554" s="31" t="s">
        <v>1122</v>
      </c>
      <c r="B554" s="31" t="s">
        <v>1663</v>
      </c>
      <c r="C554" s="31" t="s">
        <v>1230</v>
      </c>
      <c r="D554" s="31">
        <f>IFERROR(ROUND(VLOOKUP(A554,institutions!A:E,4,0),2),"")</f>
        <v>1.33</v>
      </c>
      <c r="E554" s="31">
        <f>IFERROR(ROUND(VLOOKUP(A554,institutions!A:X,7,0),2),"")</f>
        <v>1.2</v>
      </c>
      <c r="F554" s="31">
        <f>IFERROR(ROUND(VLOOKUP(A554,institutions!A:X,10,0),2),"")</f>
        <v>1.1499999999999999</v>
      </c>
      <c r="G554" s="31">
        <f>IFERROR(ROUND(VLOOKUP(A554,institutions!A:X,13,0),2),"")</f>
        <v>1.61</v>
      </c>
      <c r="H554" s="31">
        <f>IFERROR(ROUND(VLOOKUP(A554,institutions!A:X,16,0),2),"")</f>
        <v>1.48</v>
      </c>
      <c r="I554" s="31">
        <f t="shared" si="48"/>
        <v>9.5000000000000001E-2</v>
      </c>
      <c r="J554" s="31">
        <f t="shared" si="49"/>
        <v>0.14499999999999999</v>
      </c>
      <c r="K554" s="31">
        <f t="shared" si="50"/>
        <v>0.17</v>
      </c>
      <c r="L554" s="31">
        <f t="shared" si="51"/>
        <v>0.247</v>
      </c>
      <c r="M554" s="31">
        <f t="shared" si="52"/>
        <v>0.11</v>
      </c>
      <c r="N554" t="e">
        <f>VLOOKUP(A554,#REF!,11,0)</f>
        <v>#REF!</v>
      </c>
      <c r="O554" t="e">
        <f>VLOOKUP(A554,#REF!,12,0)</f>
        <v>#REF!</v>
      </c>
      <c r="P554" t="e">
        <f>VLOOKUP(A554,#REF!,13,0)</f>
        <v>#REF!</v>
      </c>
      <c r="Q554" t="e">
        <f>VLOOKUP(A554,#REF!,14,0)</f>
        <v>#REF!</v>
      </c>
      <c r="R554">
        <v>-2.3027920446214778</v>
      </c>
      <c r="S554">
        <v>-0.2058729602544789</v>
      </c>
      <c r="T554" s="31" t="str">
        <f>VLOOKUP(C554,V:W,2,0)</f>
        <v>CHN</v>
      </c>
      <c r="U554" t="str">
        <f t="shared" si="53"/>
        <v/>
      </c>
    </row>
    <row r="555" spans="1:21" x14ac:dyDescent="0.25">
      <c r="A555" s="31" t="s">
        <v>1112</v>
      </c>
      <c r="B555" s="31" t="s">
        <v>1832</v>
      </c>
      <c r="C555" s="31" t="s">
        <v>1230</v>
      </c>
      <c r="D555" s="31">
        <f>IFERROR(ROUND(VLOOKUP(A555,institutions!A:E,4,0),2),"")</f>
        <v>1.31</v>
      </c>
      <c r="E555" s="31">
        <f>IFERROR(ROUND(VLOOKUP(A555,institutions!A:X,7,0),2),"")</f>
        <v>1.25</v>
      </c>
      <c r="F555" s="31">
        <f>IFERROR(ROUND(VLOOKUP(A555,institutions!A:X,10,0),2),"")</f>
        <v>1.23</v>
      </c>
      <c r="G555" s="31">
        <f>IFERROR(ROUND(VLOOKUP(A555,institutions!A:X,13,0),2),"")</f>
        <v>1.39</v>
      </c>
      <c r="H555" s="31">
        <f>IFERROR(ROUND(VLOOKUP(A555,institutions!A:X,16,0),2),"")</f>
        <v>1.48</v>
      </c>
      <c r="I555" s="31">
        <f t="shared" si="48"/>
        <v>8.5000000000000006E-2</v>
      </c>
      <c r="J555" s="31">
        <f t="shared" si="49"/>
        <v>0.21</v>
      </c>
      <c r="K555" s="31">
        <f t="shared" si="50"/>
        <v>0.26800000000000002</v>
      </c>
      <c r="L555" s="31">
        <f t="shared" si="51"/>
        <v>0.152</v>
      </c>
      <c r="M555" s="31">
        <f t="shared" si="52"/>
        <v>0.11</v>
      </c>
      <c r="N555" t="e">
        <f>VLOOKUP(A555,#REF!,11,0)</f>
        <v>#REF!</v>
      </c>
      <c r="O555" t="e">
        <f>VLOOKUP(A555,#REF!,12,0)</f>
        <v>#REF!</v>
      </c>
      <c r="P555" t="e">
        <f>VLOOKUP(A555,#REF!,13,0)</f>
        <v>#REF!</v>
      </c>
      <c r="Q555" t="e">
        <f>VLOOKUP(A555,#REF!,14,0)</f>
        <v>#REF!</v>
      </c>
      <c r="R555">
        <v>-2.2009261549749199</v>
      </c>
      <c r="S555">
        <v>0.23380667586978171</v>
      </c>
      <c r="T555" s="31" t="str">
        <f>VLOOKUP(C555,V:W,2,0)</f>
        <v>CHN</v>
      </c>
      <c r="U555" t="str">
        <f t="shared" si="53"/>
        <v/>
      </c>
    </row>
    <row r="556" spans="1:21" x14ac:dyDescent="0.25">
      <c r="A556" s="31" t="s">
        <v>1155</v>
      </c>
      <c r="B556" s="31" t="s">
        <v>1667</v>
      </c>
      <c r="C556" s="31" t="s">
        <v>1258</v>
      </c>
      <c r="D556" s="31">
        <f>IFERROR(ROUND(VLOOKUP(A556,institutions!A:E,4,0),2),"")</f>
        <v>1.3</v>
      </c>
      <c r="E556" s="31">
        <f>IFERROR(ROUND(VLOOKUP(A556,institutions!A:X,7,0),2),"")</f>
        <v>1.23</v>
      </c>
      <c r="F556" s="31">
        <f>IFERROR(ROUND(VLOOKUP(A556,institutions!A:X,10,0),2),"")</f>
        <v>1.19</v>
      </c>
      <c r="G556" s="31">
        <f>IFERROR(ROUND(VLOOKUP(A556,institutions!A:X,13,0),2),"")</f>
        <v>1.6</v>
      </c>
      <c r="H556" s="31">
        <f>IFERROR(ROUND(VLOOKUP(A556,institutions!A:X,16,0),2),"")</f>
        <v>1.54</v>
      </c>
      <c r="I556" s="31">
        <f t="shared" si="48"/>
        <v>7.8E-2</v>
      </c>
      <c r="J556" s="31">
        <f t="shared" si="49"/>
        <v>0.188</v>
      </c>
      <c r="K556" s="31">
        <f t="shared" si="50"/>
        <v>0.22</v>
      </c>
      <c r="L556" s="31">
        <f t="shared" si="51"/>
        <v>0.23799999999999999</v>
      </c>
      <c r="M556" s="31">
        <f t="shared" si="52"/>
        <v>0.13200000000000001</v>
      </c>
      <c r="N556" t="e">
        <f>VLOOKUP(A556,#REF!,11,0)</f>
        <v>#REF!</v>
      </c>
      <c r="O556" t="e">
        <f>VLOOKUP(A556,#REF!,12,0)</f>
        <v>#REF!</v>
      </c>
      <c r="P556" t="e">
        <f>VLOOKUP(A556,#REF!,13,0)</f>
        <v>#REF!</v>
      </c>
      <c r="Q556" t="e">
        <f>VLOOKUP(A556,#REF!,14,0)</f>
        <v>#REF!</v>
      </c>
      <c r="R556">
        <v>-2.1249058919205659</v>
      </c>
      <c r="S556">
        <v>-6.1196048204087562E-2</v>
      </c>
      <c r="T556" s="31" t="str">
        <f>VLOOKUP(C556,V:W,2,0)</f>
        <v>ZAF</v>
      </c>
      <c r="U556" t="str">
        <f t="shared" si="53"/>
        <v/>
      </c>
    </row>
    <row r="557" spans="1:21" x14ac:dyDescent="0.25">
      <c r="A557" s="31" t="s">
        <v>1148</v>
      </c>
      <c r="B557" s="31" t="s">
        <v>2011</v>
      </c>
      <c r="C557" s="31" t="s">
        <v>1230</v>
      </c>
      <c r="D557" s="31">
        <f>IFERROR(ROUND(VLOOKUP(A557,institutions!A:E,4,0),2),"")</f>
        <v>1.31</v>
      </c>
      <c r="E557" s="31">
        <f>IFERROR(ROUND(VLOOKUP(A557,institutions!A:X,7,0),2),"")</f>
        <v>1.3</v>
      </c>
      <c r="F557" s="31">
        <f>IFERROR(ROUND(VLOOKUP(A557,institutions!A:X,10,0),2),"")</f>
        <v>1.07</v>
      </c>
      <c r="G557" s="31">
        <f>IFERROR(ROUND(VLOOKUP(A557,institutions!A:X,13,0),2),"")</f>
        <v>1.18</v>
      </c>
      <c r="H557" s="31">
        <f>IFERROR(ROUND(VLOOKUP(A557,institutions!A:X,16,0),2),"")</f>
        <v>1.7</v>
      </c>
      <c r="I557" s="31">
        <f t="shared" si="48"/>
        <v>8.5000000000000006E-2</v>
      </c>
      <c r="J557" s="31">
        <f t="shared" si="49"/>
        <v>0.28299999999999997</v>
      </c>
      <c r="K557" s="31">
        <f t="shared" si="50"/>
        <v>0.1</v>
      </c>
      <c r="L557" s="31">
        <f t="shared" si="51"/>
        <v>8.3000000000000004E-2</v>
      </c>
      <c r="M557" s="31">
        <f t="shared" si="52"/>
        <v>0.182</v>
      </c>
      <c r="N557" t="e">
        <f>VLOOKUP(A557,#REF!,11,0)</f>
        <v>#REF!</v>
      </c>
      <c r="O557" t="e">
        <f>VLOOKUP(A557,#REF!,12,0)</f>
        <v>#REF!</v>
      </c>
      <c r="P557" t="e">
        <f>VLOOKUP(A557,#REF!,13,0)</f>
        <v>#REF!</v>
      </c>
      <c r="Q557" t="e">
        <f>VLOOKUP(A557,#REF!,14,0)</f>
        <v>#REF!</v>
      </c>
      <c r="R557">
        <v>-2.364278281175193</v>
      </c>
      <c r="S557">
        <v>0.14599185314010771</v>
      </c>
      <c r="T557" s="31" t="str">
        <f>VLOOKUP(C557,V:W,2,0)</f>
        <v>CHN</v>
      </c>
      <c r="U557" t="str">
        <f t="shared" si="53"/>
        <v/>
      </c>
    </row>
    <row r="558" spans="1:21" x14ac:dyDescent="0.25">
      <c r="A558" s="31" t="s">
        <v>1184</v>
      </c>
      <c r="B558" s="31" t="s">
        <v>2035</v>
      </c>
      <c r="C558" s="31" t="s">
        <v>1231</v>
      </c>
      <c r="D558" s="31">
        <f>IFERROR(ROUND(VLOOKUP(A558,institutions!A:E,4,0),2),"")</f>
        <v>1.31</v>
      </c>
      <c r="E558" s="31">
        <f>IFERROR(ROUND(VLOOKUP(A558,institutions!A:X,7,0),2),"")</f>
        <v>1.21</v>
      </c>
      <c r="F558" s="31">
        <f>IFERROR(ROUND(VLOOKUP(A558,institutions!A:X,10,0),2),"")</f>
        <v>1.1399999999999999</v>
      </c>
      <c r="G558" s="31">
        <f>IFERROR(ROUND(VLOOKUP(A558,institutions!A:X,13,0),2),"")</f>
        <v>1.24</v>
      </c>
      <c r="H558" s="31">
        <f>IFERROR(ROUND(VLOOKUP(A558,institutions!A:X,16,0),2),"")</f>
        <v>1.86</v>
      </c>
      <c r="I558" s="31">
        <f t="shared" si="48"/>
        <v>8.5000000000000006E-2</v>
      </c>
      <c r="J558" s="31">
        <f t="shared" si="49"/>
        <v>0.16500000000000001</v>
      </c>
      <c r="K558" s="31">
        <f t="shared" si="50"/>
        <v>0.157</v>
      </c>
      <c r="L558" s="31">
        <f t="shared" si="51"/>
        <v>0.10199999999999999</v>
      </c>
      <c r="M558" s="31">
        <f t="shared" si="52"/>
        <v>0.26700000000000002</v>
      </c>
      <c r="N558" t="e">
        <f>VLOOKUP(A558,#REF!,11,0)</f>
        <v>#REF!</v>
      </c>
      <c r="O558" t="e">
        <f>VLOOKUP(A558,#REF!,12,0)</f>
        <v>#REF!</v>
      </c>
      <c r="P558" t="e">
        <f>VLOOKUP(A558,#REF!,13,0)</f>
        <v>#REF!</v>
      </c>
      <c r="Q558" t="e">
        <f>VLOOKUP(A558,#REF!,14,0)</f>
        <v>#REF!</v>
      </c>
      <c r="R558">
        <v>-2.2682813958506478</v>
      </c>
      <c r="S558">
        <v>-0.18951337185641981</v>
      </c>
      <c r="T558" s="31" t="str">
        <f>VLOOKUP(C558,V:W,2,0)</f>
        <v>PRT</v>
      </c>
      <c r="U558" t="str">
        <f t="shared" si="53"/>
        <v/>
      </c>
    </row>
    <row r="559" spans="1:21" x14ac:dyDescent="0.25">
      <c r="A559" s="31" t="s">
        <v>1187</v>
      </c>
      <c r="B559" s="31" t="s">
        <v>2009</v>
      </c>
      <c r="C559" s="31" t="s">
        <v>1231</v>
      </c>
      <c r="D559" s="31">
        <f>IFERROR(ROUND(VLOOKUP(A559,institutions!A:E,4,0),2),"")</f>
        <v>1.26</v>
      </c>
      <c r="E559" s="31">
        <f>IFERROR(ROUND(VLOOKUP(A559,institutions!A:X,7,0),2),"")</f>
        <v>1.24</v>
      </c>
      <c r="F559" s="31">
        <f>IFERROR(ROUND(VLOOKUP(A559,institutions!A:X,10,0),2),"")</f>
        <v>1.03</v>
      </c>
      <c r="G559" s="31">
        <f>IFERROR(ROUND(VLOOKUP(A559,institutions!A:X,13,0),2),"")</f>
        <v>1.44</v>
      </c>
      <c r="H559" s="31">
        <f>IFERROR(ROUND(VLOOKUP(A559,institutions!A:X,16,0),2),"")</f>
        <v>1.55</v>
      </c>
      <c r="I559" s="31">
        <f t="shared" si="48"/>
        <v>5.7000000000000002E-2</v>
      </c>
      <c r="J559" s="31">
        <f t="shared" si="49"/>
        <v>0.2</v>
      </c>
      <c r="K559" s="31">
        <f t="shared" si="50"/>
        <v>6.8000000000000005E-2</v>
      </c>
      <c r="L559" s="31">
        <f t="shared" si="51"/>
        <v>0.17199999999999999</v>
      </c>
      <c r="M559" s="31">
        <f t="shared" si="52"/>
        <v>0.13800000000000001</v>
      </c>
      <c r="N559" t="e">
        <f>VLOOKUP(A559,#REF!,11,0)</f>
        <v>#REF!</v>
      </c>
      <c r="O559" t="e">
        <f>VLOOKUP(A559,#REF!,12,0)</f>
        <v>#REF!</v>
      </c>
      <c r="P559" t="e">
        <f>VLOOKUP(A559,#REF!,13,0)</f>
        <v>#REF!</v>
      </c>
      <c r="Q559" t="e">
        <f>VLOOKUP(A559,#REF!,14,0)</f>
        <v>#REF!</v>
      </c>
      <c r="R559">
        <v>-2.4723534864602201</v>
      </c>
      <c r="S559">
        <v>-0.15630205265086539</v>
      </c>
      <c r="T559" s="31" t="str">
        <f>VLOOKUP(C559,V:W,2,0)</f>
        <v>PRT</v>
      </c>
      <c r="U559" t="str">
        <f t="shared" si="53"/>
        <v/>
      </c>
    </row>
    <row r="560" spans="1:21" x14ac:dyDescent="0.25">
      <c r="A560" s="31" t="s">
        <v>1151</v>
      </c>
      <c r="B560" s="31" t="s">
        <v>2006</v>
      </c>
      <c r="C560" s="31" t="s">
        <v>1262</v>
      </c>
      <c r="D560" s="31">
        <f>IFERROR(ROUND(VLOOKUP(A560,institutions!A:E,4,0),2),"")</f>
        <v>1.32</v>
      </c>
      <c r="E560" s="31">
        <f>IFERROR(ROUND(VLOOKUP(A560,institutions!A:X,7,0),2),"")</f>
        <v>1.22</v>
      </c>
      <c r="F560" s="31">
        <f>IFERROR(ROUND(VLOOKUP(A560,institutions!A:X,10,0),2),"")</f>
        <v>1.0900000000000001</v>
      </c>
      <c r="G560" s="31">
        <f>IFERROR(ROUND(VLOOKUP(A560,institutions!A:X,13,0),2),"")</f>
        <v>1.48</v>
      </c>
      <c r="H560" s="31">
        <f>IFERROR(ROUND(VLOOKUP(A560,institutions!A:X,16,0),2),"")</f>
        <v>1.5</v>
      </c>
      <c r="I560" s="31">
        <f t="shared" si="48"/>
        <v>9.1999999999999998E-2</v>
      </c>
      <c r="J560" s="31">
        <f t="shared" si="49"/>
        <v>0.18</v>
      </c>
      <c r="K560" s="31">
        <f t="shared" si="50"/>
        <v>0.11799999999999999</v>
      </c>
      <c r="L560" s="31">
        <f t="shared" si="51"/>
        <v>0.192</v>
      </c>
      <c r="M560" s="31">
        <f t="shared" si="52"/>
        <v>0.115</v>
      </c>
      <c r="N560" t="e">
        <f>VLOOKUP(A560,#REF!,11,0)</f>
        <v>#REF!</v>
      </c>
      <c r="O560" t="e">
        <f>VLOOKUP(A560,#REF!,12,0)</f>
        <v>#REF!</v>
      </c>
      <c r="P560" t="e">
        <f>VLOOKUP(A560,#REF!,13,0)</f>
        <v>#REF!</v>
      </c>
      <c r="Q560" t="e">
        <f>VLOOKUP(A560,#REF!,14,0)</f>
        <v>#REF!</v>
      </c>
      <c r="R560">
        <v>-2.424768904175052</v>
      </c>
      <c r="S560">
        <v>-0.12309565789503631</v>
      </c>
      <c r="T560" s="31" t="str">
        <f>VLOOKUP(C560,V:W,2,0)</f>
        <v>MLY</v>
      </c>
      <c r="U560" t="str">
        <f t="shared" si="53"/>
        <v/>
      </c>
    </row>
    <row r="561" spans="1:21" x14ac:dyDescent="0.25">
      <c r="A561" s="31" t="s">
        <v>1163</v>
      </c>
      <c r="B561" s="31" t="s">
        <v>1974</v>
      </c>
      <c r="C561" s="31" t="s">
        <v>1220</v>
      </c>
      <c r="D561" s="31">
        <f>IFERROR(ROUND(VLOOKUP(A561,institutions!A:E,4,0),2),"")</f>
        <v>1.29</v>
      </c>
      <c r="E561" s="31">
        <f>IFERROR(ROUND(VLOOKUP(A561,institutions!A:X,7,0),2),"")</f>
        <v>1.22</v>
      </c>
      <c r="F561" s="31">
        <f>IFERROR(ROUND(VLOOKUP(A561,institutions!A:X,10,0),2),"")</f>
        <v>1.2</v>
      </c>
      <c r="G561" s="31">
        <f>IFERROR(ROUND(VLOOKUP(A561,institutions!A:X,13,0),2),"")</f>
        <v>1.43</v>
      </c>
      <c r="H561" s="31">
        <f>IFERROR(ROUND(VLOOKUP(A561,institutions!A:X,16,0),2),"")</f>
        <v>1.67</v>
      </c>
      <c r="I561" s="31">
        <f t="shared" si="48"/>
        <v>7.2999999999999995E-2</v>
      </c>
      <c r="J561" s="31">
        <f t="shared" si="49"/>
        <v>0.18</v>
      </c>
      <c r="K561" s="31">
        <f t="shared" si="50"/>
        <v>0.23</v>
      </c>
      <c r="L561" s="31">
        <f t="shared" si="51"/>
        <v>0.17</v>
      </c>
      <c r="M561" s="31">
        <f t="shared" si="52"/>
        <v>0.16800000000000001</v>
      </c>
      <c r="N561" t="e">
        <f>VLOOKUP(A561,#REF!,11,0)</f>
        <v>#REF!</v>
      </c>
      <c r="O561" t="e">
        <f>VLOOKUP(A561,#REF!,12,0)</f>
        <v>#REF!</v>
      </c>
      <c r="P561" t="e">
        <f>VLOOKUP(A561,#REF!,13,0)</f>
        <v>#REF!</v>
      </c>
      <c r="Q561" t="e">
        <f>VLOOKUP(A561,#REF!,14,0)</f>
        <v>#REF!</v>
      </c>
      <c r="R561">
        <v>-2.1769783128919151</v>
      </c>
      <c r="S561">
        <v>-7.5318271090298074E-3</v>
      </c>
      <c r="T561" s="31" t="str">
        <f>VLOOKUP(C561,V:W,2,0)</f>
        <v>SPAIN</v>
      </c>
      <c r="U561" t="str">
        <f t="shared" si="53"/>
        <v>Castilla-La Mancha</v>
      </c>
    </row>
    <row r="562" spans="1:21" x14ac:dyDescent="0.25">
      <c r="A562" s="31" t="s">
        <v>1183</v>
      </c>
      <c r="B562" s="31" t="s">
        <v>1975</v>
      </c>
      <c r="C562" s="31" t="s">
        <v>1220</v>
      </c>
      <c r="D562" s="31">
        <f>IFERROR(ROUND(VLOOKUP(A562,institutions!A:E,4,0),2),"")</f>
        <v>1.28</v>
      </c>
      <c r="E562" s="31">
        <f>IFERROR(ROUND(VLOOKUP(A562,institutions!A:X,7,0),2),"")</f>
        <v>1.1599999999999999</v>
      </c>
      <c r="F562" s="31" t="str">
        <f>IFERROR(ROUND(VLOOKUP(A562,institutions!A:X,10,0),2),"")</f>
        <v/>
      </c>
      <c r="G562" s="31">
        <f>IFERROR(ROUND(VLOOKUP(A562,institutions!A:X,13,0),2),"")</f>
        <v>1.29</v>
      </c>
      <c r="H562" s="31">
        <f>IFERROR(ROUND(VLOOKUP(A562,institutions!A:X,16,0),2),"")</f>
        <v>1.56</v>
      </c>
      <c r="I562" s="31">
        <f t="shared" si="48"/>
        <v>6.7000000000000004E-2</v>
      </c>
      <c r="J562" s="31">
        <f t="shared" si="49"/>
        <v>0.108</v>
      </c>
      <c r="K562" s="31">
        <f t="shared" si="50"/>
        <v>0</v>
      </c>
      <c r="L562" s="31">
        <f t="shared" si="51"/>
        <v>0.11799999999999999</v>
      </c>
      <c r="M562" s="31">
        <f t="shared" si="52"/>
        <v>0.14199999999999999</v>
      </c>
      <c r="N562">
        <v>1</v>
      </c>
      <c r="O562" t="e">
        <f>VLOOKUP(A562,#REF!,12,0)</f>
        <v>#REF!</v>
      </c>
      <c r="P562" t="e">
        <f>VLOOKUP(A562,#REF!,13,0)</f>
        <v>#REF!</v>
      </c>
      <c r="Q562" t="e">
        <f>VLOOKUP(A562,#REF!,14,0)</f>
        <v>#REF!</v>
      </c>
      <c r="R562">
        <v>-2.8248813997269182</v>
      </c>
      <c r="S562">
        <v>-0.36807719219188112</v>
      </c>
      <c r="T562" s="31" t="str">
        <f>VLOOKUP(C562,V:W,2,0)</f>
        <v>SPAIN</v>
      </c>
      <c r="U562" t="str">
        <f t="shared" si="53"/>
        <v>Malaga</v>
      </c>
    </row>
    <row r="563" spans="1:21" x14ac:dyDescent="0.25">
      <c r="A563" s="31" t="s">
        <v>1162</v>
      </c>
      <c r="B563" s="31" t="s">
        <v>2055</v>
      </c>
      <c r="C563" s="31" t="s">
        <v>1220</v>
      </c>
      <c r="D563" s="31">
        <f>IFERROR(ROUND(VLOOKUP(A563,institutions!A:E,4,0),2),"")</f>
        <v>1.33</v>
      </c>
      <c r="E563" s="31">
        <f>IFERROR(ROUND(VLOOKUP(A563,institutions!A:X,7,0),2),"")</f>
        <v>1.19</v>
      </c>
      <c r="F563" s="31">
        <f>IFERROR(ROUND(VLOOKUP(A563,institutions!A:X,10,0),2),"")</f>
        <v>1.19</v>
      </c>
      <c r="G563" s="31">
        <f>IFERROR(ROUND(VLOOKUP(A563,institutions!A:X,13,0),2),"")</f>
        <v>1.55</v>
      </c>
      <c r="H563" s="31">
        <f>IFERROR(ROUND(VLOOKUP(A563,institutions!A:X,16,0),2),"")</f>
        <v>1.88</v>
      </c>
      <c r="I563" s="31">
        <f t="shared" si="48"/>
        <v>9.5000000000000001E-2</v>
      </c>
      <c r="J563" s="31">
        <f t="shared" si="49"/>
        <v>0.13500000000000001</v>
      </c>
      <c r="K563" s="31">
        <f t="shared" si="50"/>
        <v>0.22</v>
      </c>
      <c r="L563" s="31">
        <f t="shared" si="51"/>
        <v>0.22</v>
      </c>
      <c r="M563" s="31">
        <f t="shared" si="52"/>
        <v>0.27800000000000002</v>
      </c>
      <c r="N563" t="e">
        <f>VLOOKUP(A563,#REF!,11,0)</f>
        <v>#REF!</v>
      </c>
      <c r="O563" t="e">
        <f>VLOOKUP(A563,#REF!,12,0)</f>
        <v>#REF!</v>
      </c>
      <c r="P563" t="e">
        <f>VLOOKUP(A563,#REF!,13,0)</f>
        <v>#REF!</v>
      </c>
      <c r="Q563" t="e">
        <f>VLOOKUP(A563,#REF!,14,0)</f>
        <v>#REF!</v>
      </c>
      <c r="R563">
        <v>-1.978173524475795</v>
      </c>
      <c r="S563">
        <v>-0.37595004119980269</v>
      </c>
      <c r="T563" s="31" t="str">
        <f>VLOOKUP(C563,V:W,2,0)</f>
        <v>SPAIN</v>
      </c>
      <c r="U563" t="str">
        <f t="shared" si="53"/>
        <v>P Navarra</v>
      </c>
    </row>
    <row r="564" spans="1:21" x14ac:dyDescent="0.25">
      <c r="A564" s="31" t="s">
        <v>1137</v>
      </c>
      <c r="B564" s="31" t="s">
        <v>2004</v>
      </c>
      <c r="C564" s="31" t="s">
        <v>1231</v>
      </c>
      <c r="D564" s="31">
        <f>IFERROR(ROUND(VLOOKUP(A564,institutions!A:E,4,0),2),"")</f>
        <v>1.29</v>
      </c>
      <c r="E564" s="31">
        <f>IFERROR(ROUND(VLOOKUP(A564,institutions!A:X,7,0),2),"")</f>
        <v>1.17</v>
      </c>
      <c r="F564" s="31" t="str">
        <f>IFERROR(ROUND(VLOOKUP(A564,institutions!A:X,10,0),2),"")</f>
        <v/>
      </c>
      <c r="G564" s="31">
        <f>IFERROR(ROUND(VLOOKUP(A564,institutions!A:X,13,0),2),"")</f>
        <v>1.36</v>
      </c>
      <c r="H564" s="31">
        <f>IFERROR(ROUND(VLOOKUP(A564,institutions!A:X,16,0),2),"")</f>
        <v>1.67</v>
      </c>
      <c r="I564" s="31">
        <f t="shared" si="48"/>
        <v>7.2999999999999995E-2</v>
      </c>
      <c r="J564" s="31">
        <f t="shared" si="49"/>
        <v>0.11700000000000001</v>
      </c>
      <c r="K564" s="31">
        <f t="shared" si="50"/>
        <v>0</v>
      </c>
      <c r="L564" s="31">
        <f t="shared" si="51"/>
        <v>0.13800000000000001</v>
      </c>
      <c r="M564" s="31">
        <f t="shared" si="52"/>
        <v>0.16800000000000001</v>
      </c>
      <c r="N564" t="e">
        <f>VLOOKUP(A564,#REF!,11,0)</f>
        <v>#REF!</v>
      </c>
      <c r="O564" t="e">
        <f>VLOOKUP(A564,#REF!,12,0)</f>
        <v>#REF!</v>
      </c>
      <c r="P564" t="e">
        <f>VLOOKUP(A564,#REF!,13,0)</f>
        <v>#REF!</v>
      </c>
      <c r="Q564" t="e">
        <f>VLOOKUP(A564,#REF!,14,0)</f>
        <v>#REF!</v>
      </c>
      <c r="R564">
        <v>-2.727832474393963</v>
      </c>
      <c r="S564">
        <v>-0.4234196135570692</v>
      </c>
      <c r="T564" s="31" t="str">
        <f>VLOOKUP(C564,V:W,2,0)</f>
        <v>PRT</v>
      </c>
      <c r="U564" t="str">
        <f t="shared" si="53"/>
        <v/>
      </c>
    </row>
    <row r="565" spans="1:21" x14ac:dyDescent="0.25">
      <c r="A565" s="31" t="s">
        <v>1199</v>
      </c>
      <c r="B565" s="31" t="s">
        <v>1657</v>
      </c>
      <c r="C565" s="31" t="s">
        <v>1242</v>
      </c>
      <c r="D565" s="31">
        <f>IFERROR(ROUND(VLOOKUP(A565,institutions!A:E,4,0),2),"")</f>
        <v>1.28</v>
      </c>
      <c r="E565" s="31">
        <f>IFERROR(ROUND(VLOOKUP(A565,institutions!A:X,7,0),2),"")</f>
        <v>1.25</v>
      </c>
      <c r="F565" s="31">
        <f>IFERROR(ROUND(VLOOKUP(A565,institutions!A:X,10,0),2),"")</f>
        <v>1.08</v>
      </c>
      <c r="G565" s="31">
        <f>IFERROR(ROUND(VLOOKUP(A565,institutions!A:X,13,0),2),"")</f>
        <v>1.17</v>
      </c>
      <c r="H565" s="31">
        <f>IFERROR(ROUND(VLOOKUP(A565,institutions!A:X,16,0),2),"")</f>
        <v>1.73</v>
      </c>
      <c r="I565" s="31">
        <f t="shared" si="48"/>
        <v>6.7000000000000004E-2</v>
      </c>
      <c r="J565" s="31">
        <f t="shared" si="49"/>
        <v>0.21</v>
      </c>
      <c r="K565" s="31">
        <f t="shared" si="50"/>
        <v>0.107</v>
      </c>
      <c r="L565" s="31">
        <f t="shared" si="51"/>
        <v>7.6999999999999999E-2</v>
      </c>
      <c r="M565" s="31">
        <f t="shared" si="52"/>
        <v>0.2</v>
      </c>
      <c r="N565" t="e">
        <f>VLOOKUP(A565,#REF!,11,0)</f>
        <v>#REF!</v>
      </c>
      <c r="O565" t="e">
        <f>VLOOKUP(A565,#REF!,12,0)</f>
        <v>#REF!</v>
      </c>
      <c r="P565" t="e">
        <f>VLOOKUP(A565,#REF!,13,0)</f>
        <v>#REF!</v>
      </c>
      <c r="Q565" t="e">
        <f>VLOOKUP(A565,#REF!,14,0)</f>
        <v>#REF!</v>
      </c>
      <c r="R565">
        <v>-2.4473195562656058</v>
      </c>
      <c r="S565">
        <v>-1.8256664283666822E-2</v>
      </c>
      <c r="T565" s="31" t="str">
        <f>VLOOKUP(C565,V:W,2,0)</f>
        <v>ISR</v>
      </c>
      <c r="U565" t="str">
        <f t="shared" si="53"/>
        <v/>
      </c>
    </row>
    <row r="566" spans="1:21" x14ac:dyDescent="0.25">
      <c r="A566" s="31" t="s">
        <v>1143</v>
      </c>
      <c r="B566" s="31" t="s">
        <v>1999</v>
      </c>
      <c r="C566" s="31" t="s">
        <v>1230</v>
      </c>
      <c r="D566" s="31">
        <f>IFERROR(ROUND(VLOOKUP(A566,institutions!A:E,4,0),2),"")</f>
        <v>1.32</v>
      </c>
      <c r="E566" s="31">
        <f>IFERROR(ROUND(VLOOKUP(A566,institutions!A:X,7,0),2),"")</f>
        <v>1.1499999999999999</v>
      </c>
      <c r="F566" s="31">
        <f>IFERROR(ROUND(VLOOKUP(A566,institutions!A:X,10,0),2),"")</f>
        <v>1.1599999999999999</v>
      </c>
      <c r="G566" s="31">
        <f>IFERROR(ROUND(VLOOKUP(A566,institutions!A:X,13,0),2),"")</f>
        <v>1.37</v>
      </c>
      <c r="H566" s="31">
        <f>IFERROR(ROUND(VLOOKUP(A566,institutions!A:X,16,0),2),"")</f>
        <v>1.91</v>
      </c>
      <c r="I566" s="31">
        <f t="shared" si="48"/>
        <v>9.1999999999999998E-2</v>
      </c>
      <c r="J566" s="31">
        <f t="shared" si="49"/>
        <v>0.1</v>
      </c>
      <c r="K566" s="31">
        <f t="shared" si="50"/>
        <v>0.187</v>
      </c>
      <c r="L566" s="31">
        <f t="shared" si="51"/>
        <v>0.14799999999999999</v>
      </c>
      <c r="M566" s="31">
        <f t="shared" si="52"/>
        <v>0.29499999999999998</v>
      </c>
      <c r="N566" t="e">
        <f>VLOOKUP(A566,#REF!,11,0)</f>
        <v>#REF!</v>
      </c>
      <c r="O566" t="e">
        <f>VLOOKUP(A566,#REF!,12,0)</f>
        <v>#REF!</v>
      </c>
      <c r="P566" t="e">
        <f>VLOOKUP(A566,#REF!,13,0)</f>
        <v>#REF!</v>
      </c>
      <c r="Q566" t="e">
        <f>VLOOKUP(A566,#REF!,14,0)</f>
        <v>#REF!</v>
      </c>
      <c r="R566">
        <v>-2.1883588288877491</v>
      </c>
      <c r="S566">
        <v>-0.40571007047072122</v>
      </c>
      <c r="T566" s="31" t="str">
        <f>VLOOKUP(C566,V:W,2,0)</f>
        <v>CHN</v>
      </c>
      <c r="U566" t="str">
        <f t="shared" si="53"/>
        <v/>
      </c>
    </row>
    <row r="567" spans="1:21" x14ac:dyDescent="0.25">
      <c r="A567" s="31" t="s">
        <v>1136</v>
      </c>
      <c r="B567" s="31" t="s">
        <v>2001</v>
      </c>
      <c r="C567" s="31" t="s">
        <v>1230</v>
      </c>
      <c r="D567" s="31">
        <f>IFERROR(ROUND(VLOOKUP(A567,institutions!A:E,4,0),2),"")</f>
        <v>1.3</v>
      </c>
      <c r="E567" s="31">
        <f>IFERROR(ROUND(VLOOKUP(A567,institutions!A:X,7,0),2),"")</f>
        <v>1.29</v>
      </c>
      <c r="F567" s="31">
        <f>IFERROR(ROUND(VLOOKUP(A567,institutions!A:X,10,0),2),"")</f>
        <v>1.19</v>
      </c>
      <c r="G567" s="31">
        <f>IFERROR(ROUND(VLOOKUP(A567,institutions!A:X,13,0),2),"")</f>
        <v>1.29</v>
      </c>
      <c r="H567" s="31">
        <f>IFERROR(ROUND(VLOOKUP(A567,institutions!A:X,16,0),2),"")</f>
        <v>1.57</v>
      </c>
      <c r="I567" s="31">
        <f t="shared" si="48"/>
        <v>7.8E-2</v>
      </c>
      <c r="J567" s="31">
        <f t="shared" si="49"/>
        <v>0.26800000000000002</v>
      </c>
      <c r="K567" s="31">
        <f t="shared" si="50"/>
        <v>0.22</v>
      </c>
      <c r="L567" s="31">
        <f t="shared" si="51"/>
        <v>0.11799999999999999</v>
      </c>
      <c r="M567" s="31">
        <f t="shared" si="52"/>
        <v>0.14699999999999999</v>
      </c>
      <c r="N567" t="e">
        <f>VLOOKUP(A567,#REF!,11,0)</f>
        <v>#REF!</v>
      </c>
      <c r="O567" t="e">
        <f>VLOOKUP(A567,#REF!,12,0)</f>
        <v>#REF!</v>
      </c>
      <c r="P567" t="e">
        <f>VLOOKUP(A567,#REF!,13,0)</f>
        <v>#REF!</v>
      </c>
      <c r="Q567" t="e">
        <f>VLOOKUP(A567,#REF!,14,0)</f>
        <v>#REF!</v>
      </c>
      <c r="R567">
        <v>-2.184000815242773</v>
      </c>
      <c r="S567">
        <v>0.28577435390866529</v>
      </c>
      <c r="T567" s="31" t="str">
        <f>VLOOKUP(C567,V:W,2,0)</f>
        <v>CHN</v>
      </c>
      <c r="U567" t="str">
        <f t="shared" si="53"/>
        <v/>
      </c>
    </row>
    <row r="568" spans="1:21" x14ac:dyDescent="0.25">
      <c r="A568" s="31" t="s">
        <v>1160</v>
      </c>
      <c r="B568" s="31" t="s">
        <v>2096</v>
      </c>
      <c r="C568" s="31" t="s">
        <v>1243</v>
      </c>
      <c r="D568" s="31">
        <f>IFERROR(ROUND(VLOOKUP(A568,institutions!A:E,4,0),2),"")</f>
        <v>1.28</v>
      </c>
      <c r="E568" s="31">
        <f>IFERROR(ROUND(VLOOKUP(A568,institutions!A:X,7,0),2),"")</f>
        <v>1.06</v>
      </c>
      <c r="F568" s="31">
        <f>IFERROR(ROUND(VLOOKUP(A568,institutions!A:X,10,0),2),"")</f>
        <v>1.05</v>
      </c>
      <c r="G568" s="31">
        <f>IFERROR(ROUND(VLOOKUP(A568,institutions!A:X,13,0),2),"")</f>
        <v>1.45</v>
      </c>
      <c r="H568" s="31">
        <f>IFERROR(ROUND(VLOOKUP(A568,institutions!A:X,16,0),2),"")</f>
        <v>1.74</v>
      </c>
      <c r="I568" s="31">
        <f t="shared" si="48"/>
        <v>6.7000000000000004E-2</v>
      </c>
      <c r="J568" s="31">
        <f t="shared" si="49"/>
        <v>0.03</v>
      </c>
      <c r="K568" s="31">
        <f t="shared" si="50"/>
        <v>0.08</v>
      </c>
      <c r="L568" s="31">
        <f t="shared" si="51"/>
        <v>0.17699999999999999</v>
      </c>
      <c r="M568" s="31">
        <f t="shared" si="52"/>
        <v>0.20300000000000001</v>
      </c>
      <c r="N568" t="e">
        <f>VLOOKUP(A568,#REF!,11,0)</f>
        <v>#REF!</v>
      </c>
      <c r="O568" t="e">
        <f>VLOOKUP(A568,#REF!,12,0)</f>
        <v>#REF!</v>
      </c>
      <c r="P568" t="e">
        <f>VLOOKUP(A568,#REF!,13,0)</f>
        <v>#REF!</v>
      </c>
      <c r="Q568" t="e">
        <f>VLOOKUP(A568,#REF!,14,0)</f>
        <v>#REF!</v>
      </c>
      <c r="R568">
        <v>-2.597539557883489</v>
      </c>
      <c r="S568">
        <v>-0.6132785510782468</v>
      </c>
      <c r="T568" s="31" t="str">
        <f>VLOOKUP(C568,V:W,2,0)</f>
        <v>TWN</v>
      </c>
      <c r="U568" t="str">
        <f t="shared" si="53"/>
        <v/>
      </c>
    </row>
    <row r="569" spans="1:21" x14ac:dyDescent="0.25">
      <c r="A569" s="31" t="s">
        <v>1201</v>
      </c>
      <c r="B569" s="31" t="s">
        <v>1842</v>
      </c>
      <c r="C569" s="31" t="s">
        <v>1246</v>
      </c>
      <c r="D569" s="31">
        <f>IFERROR(ROUND(VLOOKUP(A569,institutions!A:E,4,0),2),"")</f>
        <v>1.24</v>
      </c>
      <c r="E569" s="31">
        <f>IFERROR(ROUND(VLOOKUP(A569,institutions!A:X,7,0),2),"")</f>
        <v>1.28</v>
      </c>
      <c r="F569" s="31">
        <f>IFERROR(ROUND(VLOOKUP(A569,institutions!A:X,10,0),2),"")</f>
        <v>1.07</v>
      </c>
      <c r="G569" s="31">
        <f>IFERROR(ROUND(VLOOKUP(A569,institutions!A:X,13,0),2),"")</f>
        <v>1.02</v>
      </c>
      <c r="H569" s="31">
        <f>IFERROR(ROUND(VLOOKUP(A569,institutions!A:X,16,0),2),"")</f>
        <v>1.22</v>
      </c>
      <c r="I569" s="31">
        <f t="shared" si="48"/>
        <v>4.4999999999999998E-2</v>
      </c>
      <c r="J569" s="31">
        <f t="shared" si="49"/>
        <v>0.253</v>
      </c>
      <c r="K569" s="31">
        <f t="shared" si="50"/>
        <v>0.1</v>
      </c>
      <c r="L569" s="31">
        <f t="shared" si="51"/>
        <v>0.06</v>
      </c>
      <c r="M569" s="31">
        <f t="shared" si="52"/>
        <v>5.5E-2</v>
      </c>
      <c r="N569" t="e">
        <f>VLOOKUP(A569,#REF!,11,0)</f>
        <v>#REF!</v>
      </c>
      <c r="O569" t="e">
        <f>VLOOKUP(A569,#REF!,12,0)</f>
        <v>#REF!</v>
      </c>
      <c r="P569" t="e">
        <f>VLOOKUP(A569,#REF!,13,0)</f>
        <v>#REF!</v>
      </c>
      <c r="Q569" t="e">
        <f>VLOOKUP(A569,#REF!,14,0)</f>
        <v>#REF!</v>
      </c>
      <c r="R569">
        <v>-2.682673863534768</v>
      </c>
      <c r="S569">
        <v>0.32168567369177681</v>
      </c>
      <c r="T569" s="31" t="str">
        <f>VLOOKUP(C569,V:W,2,0)</f>
        <v>JAP</v>
      </c>
      <c r="U569" t="str">
        <f t="shared" si="53"/>
        <v/>
      </c>
    </row>
    <row r="570" spans="1:21" x14ac:dyDescent="0.25">
      <c r="A570" s="31" t="s">
        <v>1123</v>
      </c>
      <c r="B570" s="31" t="s">
        <v>1835</v>
      </c>
      <c r="C570" s="31" t="s">
        <v>1254</v>
      </c>
      <c r="D570" s="31">
        <f>IFERROR(ROUND(VLOOKUP(A570,institutions!A:E,4,0),2),"")</f>
        <v>1.27</v>
      </c>
      <c r="E570" s="31">
        <f>IFERROR(ROUND(VLOOKUP(A570,institutions!A:X,7,0),2),"")</f>
        <v>1.21</v>
      </c>
      <c r="F570" s="31">
        <f>IFERROR(ROUND(VLOOKUP(A570,institutions!A:X,10,0),2),"")</f>
        <v>1.3</v>
      </c>
      <c r="G570" s="31">
        <f>IFERROR(ROUND(VLOOKUP(A570,institutions!A:X,13,0),2),"")</f>
        <v>1.45</v>
      </c>
      <c r="H570" s="31">
        <f>IFERROR(ROUND(VLOOKUP(A570,institutions!A:X,16,0),2),"")</f>
        <v>1.31</v>
      </c>
      <c r="I570" s="31">
        <f t="shared" si="48"/>
        <v>6.2E-2</v>
      </c>
      <c r="J570" s="31">
        <f t="shared" si="49"/>
        <v>0.16500000000000001</v>
      </c>
      <c r="K570" s="31">
        <f t="shared" si="50"/>
        <v>0.34699999999999998</v>
      </c>
      <c r="L570" s="31">
        <f t="shared" si="51"/>
        <v>0.17699999999999999</v>
      </c>
      <c r="M570" s="31">
        <f t="shared" si="52"/>
        <v>7.0000000000000007E-2</v>
      </c>
      <c r="N570" t="e">
        <f>VLOOKUP(A570,#REF!,11,0)</f>
        <v>#REF!</v>
      </c>
      <c r="O570" t="e">
        <f>VLOOKUP(A570,#REF!,12,0)</f>
        <v>#REF!</v>
      </c>
      <c r="P570" t="e">
        <f>VLOOKUP(A570,#REF!,13,0)</f>
        <v>#REF!</v>
      </c>
      <c r="Q570" t="e">
        <f>VLOOKUP(A570,#REF!,14,0)</f>
        <v>#REF!</v>
      </c>
      <c r="R570">
        <v>-2.1655713556593219</v>
      </c>
      <c r="S570">
        <v>0.27446039137200362</v>
      </c>
      <c r="T570" s="31" t="str">
        <f>VLOOKUP(C570,V:W,2,0)</f>
        <v>KOREA</v>
      </c>
      <c r="U570" t="str">
        <f t="shared" si="53"/>
        <v/>
      </c>
    </row>
    <row r="571" spans="1:21" x14ac:dyDescent="0.25">
      <c r="A571" s="31" t="s">
        <v>1173</v>
      </c>
      <c r="B571" s="31" t="s">
        <v>1838</v>
      </c>
      <c r="C571" s="31" t="s">
        <v>1247</v>
      </c>
      <c r="D571" s="31">
        <f>IFERROR(ROUND(VLOOKUP(A571,institutions!A:E,4,0),2),"")</f>
        <v>1.26</v>
      </c>
      <c r="E571" s="31">
        <f>IFERROR(ROUND(VLOOKUP(A571,institutions!A:X,7,0),2),"")</f>
        <v>1.17</v>
      </c>
      <c r="F571" s="31">
        <f>IFERROR(ROUND(VLOOKUP(A571,institutions!A:X,10,0),2),"")</f>
        <v>1.17</v>
      </c>
      <c r="G571" s="31">
        <f>IFERROR(ROUND(VLOOKUP(A571,institutions!A:X,13,0),2),"")</f>
        <v>1.43</v>
      </c>
      <c r="H571" s="31">
        <f>IFERROR(ROUND(VLOOKUP(A571,institutions!A:X,16,0),2),"")</f>
        <v>1.47</v>
      </c>
      <c r="I571" s="31">
        <f t="shared" si="48"/>
        <v>5.7000000000000002E-2</v>
      </c>
      <c r="J571" s="31">
        <f t="shared" si="49"/>
        <v>0.11700000000000001</v>
      </c>
      <c r="K571" s="31">
        <f t="shared" si="50"/>
        <v>0.193</v>
      </c>
      <c r="L571" s="31">
        <f t="shared" si="51"/>
        <v>0.17</v>
      </c>
      <c r="M571" s="31">
        <f t="shared" si="52"/>
        <v>0.1</v>
      </c>
      <c r="N571" t="e">
        <f>VLOOKUP(A571,#REF!,11,0)</f>
        <v>#REF!</v>
      </c>
      <c r="O571" t="e">
        <f>VLOOKUP(A571,#REF!,12,0)</f>
        <v>#REF!</v>
      </c>
      <c r="P571" t="e">
        <f>VLOOKUP(A571,#REF!,13,0)</f>
        <v>#REF!</v>
      </c>
      <c r="Q571" t="e">
        <f>VLOOKUP(A571,#REF!,14,0)</f>
        <v>#REF!</v>
      </c>
      <c r="R571">
        <v>-2.4637874600153449</v>
      </c>
      <c r="S571">
        <v>-8.8044116489659985E-2</v>
      </c>
      <c r="T571" s="31" t="str">
        <f>VLOOKUP(C571,V:W,2,0)</f>
        <v>VTN</v>
      </c>
      <c r="U571" t="str">
        <f t="shared" si="53"/>
        <v/>
      </c>
    </row>
    <row r="572" spans="1:21" x14ac:dyDescent="0.25">
      <c r="A572" s="31" t="s">
        <v>1194</v>
      </c>
      <c r="B572" s="31" t="s">
        <v>2108</v>
      </c>
      <c r="C572" s="31" t="s">
        <v>1220</v>
      </c>
      <c r="D572" s="31">
        <f>IFERROR(ROUND(VLOOKUP(A572,institutions!A:E,4,0),2),"")</f>
        <v>1.26</v>
      </c>
      <c r="E572" s="31">
        <f>IFERROR(ROUND(VLOOKUP(A572,institutions!A:X,7,0),2),"")</f>
        <v>1.19</v>
      </c>
      <c r="F572" s="31">
        <f>IFERROR(ROUND(VLOOKUP(A572,institutions!A:X,10,0),2),"")</f>
        <v>1.26</v>
      </c>
      <c r="G572" s="31">
        <f>IFERROR(ROUND(VLOOKUP(A572,institutions!A:X,13,0),2),"")</f>
        <v>1.37</v>
      </c>
      <c r="H572" s="31">
        <f>IFERROR(ROUND(VLOOKUP(A572,institutions!A:X,16,0),2),"")</f>
        <v>1.48</v>
      </c>
      <c r="I572" s="31">
        <f t="shared" si="48"/>
        <v>5.7000000000000002E-2</v>
      </c>
      <c r="J572" s="31">
        <f t="shared" si="49"/>
        <v>0.13500000000000001</v>
      </c>
      <c r="K572" s="31">
        <f t="shared" si="50"/>
        <v>0.312</v>
      </c>
      <c r="L572" s="31">
        <f t="shared" si="51"/>
        <v>0.14799999999999999</v>
      </c>
      <c r="M572" s="31">
        <f t="shared" si="52"/>
        <v>0.11</v>
      </c>
      <c r="N572" t="e">
        <f>VLOOKUP(A572,#REF!,11,0)</f>
        <v>#REF!</v>
      </c>
      <c r="O572" t="e">
        <f>VLOOKUP(A572,#REF!,12,0)</f>
        <v>#REF!</v>
      </c>
      <c r="P572" t="e">
        <f>VLOOKUP(A572,#REF!,13,0)</f>
        <v>#REF!</v>
      </c>
      <c r="Q572" t="e">
        <f>VLOOKUP(A572,#REF!,14,0)</f>
        <v>#REF!</v>
      </c>
      <c r="R572">
        <v>-2.2528909499016829</v>
      </c>
      <c r="S572">
        <v>0.1443440593438341</v>
      </c>
      <c r="T572" s="31" t="str">
        <f>VLOOKUP(C572,V:W,2,0)</f>
        <v>SPAIN</v>
      </c>
      <c r="U572" t="str">
        <f t="shared" si="53"/>
        <v>Alacant</v>
      </c>
    </row>
    <row r="573" spans="1:21" x14ac:dyDescent="0.25">
      <c r="A573" s="31" t="s">
        <v>1145</v>
      </c>
      <c r="B573" s="31" t="s">
        <v>1670</v>
      </c>
      <c r="C573" s="31" t="s">
        <v>1230</v>
      </c>
      <c r="D573" s="31">
        <f>IFERROR(ROUND(VLOOKUP(A573,institutions!A:E,4,0),2),"")</f>
        <v>1.27</v>
      </c>
      <c r="E573" s="31">
        <f>IFERROR(ROUND(VLOOKUP(A573,institutions!A:X,7,0),2),"")</f>
        <v>1.1200000000000001</v>
      </c>
      <c r="F573" s="31">
        <f>IFERROR(ROUND(VLOOKUP(A573,institutions!A:X,10,0),2),"")</f>
        <v>1.18</v>
      </c>
      <c r="G573" s="31">
        <f>IFERROR(ROUND(VLOOKUP(A573,institutions!A:X,13,0),2),"")</f>
        <v>1.21</v>
      </c>
      <c r="H573" s="31">
        <f>IFERROR(ROUND(VLOOKUP(A573,institutions!A:X,16,0),2),"")</f>
        <v>1.58</v>
      </c>
      <c r="I573" s="31">
        <f t="shared" si="48"/>
        <v>6.2E-2</v>
      </c>
      <c r="J573" s="31">
        <f t="shared" si="49"/>
        <v>6.8000000000000005E-2</v>
      </c>
      <c r="K573" s="31">
        <f t="shared" si="50"/>
        <v>0.20200000000000001</v>
      </c>
      <c r="L573" s="31">
        <f t="shared" si="51"/>
        <v>9.1999999999999998E-2</v>
      </c>
      <c r="M573" s="31">
        <f t="shared" si="52"/>
        <v>0.14799999999999999</v>
      </c>
      <c r="N573" t="e">
        <f>VLOOKUP(A573,#REF!,11,0)</f>
        <v>#REF!</v>
      </c>
      <c r="O573" t="e">
        <f>VLOOKUP(A573,#REF!,12,0)</f>
        <v>#REF!</v>
      </c>
      <c r="P573" t="e">
        <f>VLOOKUP(A573,#REF!,13,0)</f>
        <v>#REF!</v>
      </c>
      <c r="Q573" t="e">
        <f>VLOOKUP(A573,#REF!,14,0)</f>
        <v>#REF!</v>
      </c>
      <c r="R573">
        <v>-2.5793445424496388</v>
      </c>
      <c r="S573">
        <v>-0.12575679578783169</v>
      </c>
      <c r="T573" s="31" t="str">
        <f>VLOOKUP(C573,V:W,2,0)</f>
        <v>CHN</v>
      </c>
      <c r="U573" t="str">
        <f t="shared" si="53"/>
        <v/>
      </c>
    </row>
    <row r="574" spans="1:21" x14ac:dyDescent="0.25">
      <c r="A574" s="31" t="s">
        <v>1174</v>
      </c>
      <c r="B574" s="31" t="s">
        <v>1976</v>
      </c>
      <c r="C574" s="31" t="s">
        <v>1220</v>
      </c>
      <c r="D574" s="31">
        <f>IFERROR(ROUND(VLOOKUP(A574,institutions!A:E,4,0),2),"")</f>
        <v>1.24</v>
      </c>
      <c r="E574" s="31">
        <f>IFERROR(ROUND(VLOOKUP(A574,institutions!A:X,7,0),2),"")</f>
        <v>1.1100000000000001</v>
      </c>
      <c r="F574" s="31">
        <f>IFERROR(ROUND(VLOOKUP(A574,institutions!A:X,10,0),2),"")</f>
        <v>1.03</v>
      </c>
      <c r="G574" s="31">
        <f>IFERROR(ROUND(VLOOKUP(A574,institutions!A:X,13,0),2),"")</f>
        <v>1.32</v>
      </c>
      <c r="H574" s="31">
        <f>IFERROR(ROUND(VLOOKUP(A574,institutions!A:X,16,0),2),"")</f>
        <v>1.49</v>
      </c>
      <c r="I574" s="31">
        <f t="shared" si="48"/>
        <v>4.4999999999999998E-2</v>
      </c>
      <c r="J574" s="31">
        <f t="shared" si="49"/>
        <v>0.06</v>
      </c>
      <c r="K574" s="31">
        <f t="shared" si="50"/>
        <v>6.8000000000000005E-2</v>
      </c>
      <c r="L574" s="31">
        <f t="shared" si="51"/>
        <v>0.13</v>
      </c>
      <c r="M574" s="31">
        <f t="shared" si="52"/>
        <v>0.113</v>
      </c>
      <c r="N574" t="e">
        <f>VLOOKUP(A574,#REF!,11,0)</f>
        <v>#REF!</v>
      </c>
      <c r="O574" t="e">
        <f>VLOOKUP(A574,#REF!,12,0)</f>
        <v>#REF!</v>
      </c>
      <c r="P574" t="e">
        <f>VLOOKUP(A574,#REF!,13,0)</f>
        <v>#REF!</v>
      </c>
      <c r="Q574" t="e">
        <f>VLOOKUP(A574,#REF!,14,0)</f>
        <v>#REF!</v>
      </c>
      <c r="R574">
        <v>-2.816457587996926</v>
      </c>
      <c r="S574">
        <v>-0.34562341168156341</v>
      </c>
      <c r="T574" s="31" t="str">
        <f>VLOOKUP(C574,V:W,2,0)</f>
        <v>SPAIN</v>
      </c>
      <c r="U574" t="str">
        <f t="shared" si="53"/>
        <v>Rey Juan Carlos</v>
      </c>
    </row>
    <row r="575" spans="1:21" x14ac:dyDescent="0.25">
      <c r="A575" s="31" t="s">
        <v>1146</v>
      </c>
      <c r="B575" s="31" t="s">
        <v>2000</v>
      </c>
      <c r="C575" s="31" t="s">
        <v>1230</v>
      </c>
      <c r="D575" s="31">
        <f>IFERROR(ROUND(VLOOKUP(A575,institutions!A:E,4,0),2),"")</f>
        <v>1.26</v>
      </c>
      <c r="E575" s="31">
        <f>IFERROR(ROUND(VLOOKUP(A575,institutions!A:X,7,0),2),"")</f>
        <v>1.1399999999999999</v>
      </c>
      <c r="F575" s="31">
        <f>IFERROR(ROUND(VLOOKUP(A575,institutions!A:X,10,0),2),"")</f>
        <v>1.27</v>
      </c>
      <c r="G575" s="31">
        <f>IFERROR(ROUND(VLOOKUP(A575,institutions!A:X,13,0),2),"")</f>
        <v>1.4</v>
      </c>
      <c r="H575" s="31">
        <f>IFERROR(ROUND(VLOOKUP(A575,institutions!A:X,16,0),2),"")</f>
        <v>1.49</v>
      </c>
      <c r="I575" s="31">
        <f t="shared" si="48"/>
        <v>5.7000000000000002E-2</v>
      </c>
      <c r="J575" s="31">
        <f t="shared" si="49"/>
        <v>8.7999999999999995E-2</v>
      </c>
      <c r="K575" s="31">
        <f t="shared" si="50"/>
        <v>0.318</v>
      </c>
      <c r="L575" s="31">
        <f t="shared" si="51"/>
        <v>0.158</v>
      </c>
      <c r="M575" s="31">
        <f t="shared" si="52"/>
        <v>0.113</v>
      </c>
      <c r="N575" t="e">
        <f>VLOOKUP(A575,#REF!,11,0)</f>
        <v>#REF!</v>
      </c>
      <c r="O575" t="e">
        <f>VLOOKUP(A575,#REF!,12,0)</f>
        <v>#REF!</v>
      </c>
      <c r="P575" t="e">
        <f>VLOOKUP(A575,#REF!,13,0)</f>
        <v>#REF!</v>
      </c>
      <c r="Q575" t="e">
        <f>VLOOKUP(A575,#REF!,14,0)</f>
        <v>#REF!</v>
      </c>
      <c r="R575">
        <v>-2.294572474845304</v>
      </c>
      <c r="S575">
        <v>3.1293460117200883E-2</v>
      </c>
      <c r="T575" s="31" t="str">
        <f>VLOOKUP(C575,V:W,2,0)</f>
        <v>CHN</v>
      </c>
      <c r="U575" t="str">
        <f t="shared" si="53"/>
        <v/>
      </c>
    </row>
    <row r="576" spans="1:21" x14ac:dyDescent="0.25">
      <c r="A576" s="31" t="s">
        <v>1158</v>
      </c>
      <c r="B576" s="31" t="s">
        <v>1836</v>
      </c>
      <c r="C576" s="31" t="s">
        <v>1230</v>
      </c>
      <c r="D576" s="31">
        <f>IFERROR(ROUND(VLOOKUP(A576,institutions!A:E,4,0),2),"")</f>
        <v>1.23</v>
      </c>
      <c r="E576" s="31">
        <f>IFERROR(ROUND(VLOOKUP(A576,institutions!A:X,7,0),2),"")</f>
        <v>1.1599999999999999</v>
      </c>
      <c r="F576" s="31">
        <f>IFERROR(ROUND(VLOOKUP(A576,institutions!A:X,10,0),2),"")</f>
        <v>1.1299999999999999</v>
      </c>
      <c r="G576" s="31">
        <f>IFERROR(ROUND(VLOOKUP(A576,institutions!A:X,13,0),2),"")</f>
        <v>1.37</v>
      </c>
      <c r="H576" s="31">
        <f>IFERROR(ROUND(VLOOKUP(A576,institutions!A:X,16,0),2),"")</f>
        <v>1.55</v>
      </c>
      <c r="I576" s="31">
        <f t="shared" si="48"/>
        <v>0.04</v>
      </c>
      <c r="J576" s="31">
        <f t="shared" si="49"/>
        <v>0.108</v>
      </c>
      <c r="K576" s="31">
        <f t="shared" si="50"/>
        <v>0.14299999999999999</v>
      </c>
      <c r="L576" s="31">
        <f t="shared" si="51"/>
        <v>0.14799999999999999</v>
      </c>
      <c r="M576" s="31">
        <f t="shared" si="52"/>
        <v>0.13800000000000001</v>
      </c>
      <c r="N576" t="e">
        <f>VLOOKUP(A576,#REF!,11,0)</f>
        <v>#REF!</v>
      </c>
      <c r="O576" t="e">
        <f>VLOOKUP(A576,#REF!,12,0)</f>
        <v>#REF!</v>
      </c>
      <c r="P576" t="e">
        <f>VLOOKUP(A576,#REF!,13,0)</f>
        <v>#REF!</v>
      </c>
      <c r="Q576" t="e">
        <f>VLOOKUP(A576,#REF!,14,0)</f>
        <v>#REF!</v>
      </c>
      <c r="R576">
        <v>-2.5342524740594849</v>
      </c>
      <c r="S576">
        <v>-0.20363514487593071</v>
      </c>
      <c r="T576" s="31" t="str">
        <f>VLOOKUP(C576,V:W,2,0)</f>
        <v>CHN</v>
      </c>
      <c r="U576" t="str">
        <f t="shared" si="53"/>
        <v/>
      </c>
    </row>
    <row r="577" spans="1:21" x14ac:dyDescent="0.25">
      <c r="A577" s="31" t="s">
        <v>1205</v>
      </c>
      <c r="B577" s="31" t="s">
        <v>1840</v>
      </c>
      <c r="C577" s="31" t="s">
        <v>1246</v>
      </c>
      <c r="D577" s="31">
        <f>IFERROR(ROUND(VLOOKUP(A577,institutions!A:E,4,0),2),"")</f>
        <v>1.24</v>
      </c>
      <c r="E577" s="31">
        <f>IFERROR(ROUND(VLOOKUP(A577,institutions!A:X,7,0),2),"")</f>
        <v>1.3</v>
      </c>
      <c r="F577" s="31">
        <f>IFERROR(ROUND(VLOOKUP(A577,institutions!A:X,10,0),2),"")</f>
        <v>1.05</v>
      </c>
      <c r="G577" s="31">
        <f>IFERROR(ROUND(VLOOKUP(A577,institutions!A:X,13,0),2),"")</f>
        <v>1.21</v>
      </c>
      <c r="H577" s="31">
        <f>IFERROR(ROUND(VLOOKUP(A577,institutions!A:X,16,0),2),"")</f>
        <v>1.26</v>
      </c>
      <c r="I577" s="31">
        <f t="shared" si="48"/>
        <v>4.4999999999999998E-2</v>
      </c>
      <c r="J577" s="31">
        <f t="shared" si="49"/>
        <v>0.28299999999999997</v>
      </c>
      <c r="K577" s="31">
        <f t="shared" si="50"/>
        <v>0.08</v>
      </c>
      <c r="L577" s="31">
        <f t="shared" si="51"/>
        <v>9.1999999999999998E-2</v>
      </c>
      <c r="M577" s="31">
        <f t="shared" si="52"/>
        <v>6.3E-2</v>
      </c>
      <c r="N577" t="e">
        <f>VLOOKUP(A577,#REF!,11,0)</f>
        <v>#REF!</v>
      </c>
      <c r="O577" t="e">
        <f>VLOOKUP(A577,#REF!,12,0)</f>
        <v>#REF!</v>
      </c>
      <c r="P577" t="e">
        <f>VLOOKUP(A577,#REF!,13,0)</f>
        <v>#REF!</v>
      </c>
      <c r="Q577" t="e">
        <f>VLOOKUP(A577,#REF!,14,0)</f>
        <v>#REF!</v>
      </c>
      <c r="R577">
        <v>-2.597282360288192</v>
      </c>
      <c r="S577">
        <v>0.29063997779464168</v>
      </c>
      <c r="T577" s="31" t="str">
        <f>VLOOKUP(C577,V:W,2,0)</f>
        <v>JAP</v>
      </c>
      <c r="U577" t="str">
        <f t="shared" si="53"/>
        <v/>
      </c>
    </row>
    <row r="578" spans="1:21" x14ac:dyDescent="0.25">
      <c r="A578" s="31" t="s">
        <v>1186</v>
      </c>
      <c r="B578" s="31" t="s">
        <v>2059</v>
      </c>
      <c r="C578" s="31" t="s">
        <v>1243</v>
      </c>
      <c r="D578" s="31">
        <f>IFERROR(ROUND(VLOOKUP(A578,institutions!A:E,4,0),2),"")</f>
        <v>1.22</v>
      </c>
      <c r="E578" s="31">
        <f>IFERROR(ROUND(VLOOKUP(A578,institutions!A:X,7,0),2),"")</f>
        <v>1.03</v>
      </c>
      <c r="F578" s="31">
        <f>IFERROR(ROUND(VLOOKUP(A578,institutions!A:X,10,0),2),"")</f>
        <v>1.21</v>
      </c>
      <c r="G578" s="31">
        <f>IFERROR(ROUND(VLOOKUP(A578,institutions!A:X,13,0),2),"")</f>
        <v>1.34</v>
      </c>
      <c r="H578" s="31">
        <f>IFERROR(ROUND(VLOOKUP(A578,institutions!A:X,16,0),2),"")</f>
        <v>1.48</v>
      </c>
      <c r="I578" s="31">
        <f t="shared" si="48"/>
        <v>3.3000000000000002E-2</v>
      </c>
      <c r="J578" s="31">
        <f t="shared" si="49"/>
        <v>0.02</v>
      </c>
      <c r="K578" s="31">
        <f t="shared" si="50"/>
        <v>0.245</v>
      </c>
      <c r="L578" s="31">
        <f t="shared" si="51"/>
        <v>0.13300000000000001</v>
      </c>
      <c r="M578" s="31">
        <f t="shared" si="52"/>
        <v>0.11</v>
      </c>
      <c r="N578" t="e">
        <f>VLOOKUP(A578,#REF!,11,0)</f>
        <v>#REF!</v>
      </c>
      <c r="O578" t="e">
        <f>VLOOKUP(A578,#REF!,12,0)</f>
        <v>#REF!</v>
      </c>
      <c r="P578" t="e">
        <f>VLOOKUP(A578,#REF!,13,0)</f>
        <v>#REF!</v>
      </c>
      <c r="Q578" t="e">
        <f>VLOOKUP(A578,#REF!,14,0)</f>
        <v>#REF!</v>
      </c>
      <c r="R578">
        <v>-2.578124552042528</v>
      </c>
      <c r="S578">
        <v>-0.17372310455334</v>
      </c>
      <c r="T578" s="31" t="str">
        <f>VLOOKUP(C578,V:W,2,0)</f>
        <v>TWN</v>
      </c>
      <c r="U578" t="str">
        <f t="shared" si="53"/>
        <v/>
      </c>
    </row>
    <row r="579" spans="1:21" x14ac:dyDescent="0.25">
      <c r="A579" s="31" t="s">
        <v>1182</v>
      </c>
      <c r="B579" s="31" t="s">
        <v>1967</v>
      </c>
      <c r="C579" s="31" t="s">
        <v>1249</v>
      </c>
      <c r="D579" s="31">
        <f>IFERROR(ROUND(VLOOKUP(A579,institutions!A:E,4,0),2),"")</f>
        <v>1.21</v>
      </c>
      <c r="E579" s="31">
        <f>IFERROR(ROUND(VLOOKUP(A579,institutions!A:X,7,0),2),"")</f>
        <v>1.1100000000000001</v>
      </c>
      <c r="F579" s="31">
        <f>IFERROR(ROUND(VLOOKUP(A579,institutions!A:X,10,0),2),"")</f>
        <v>1.29</v>
      </c>
      <c r="G579" s="31">
        <f>IFERROR(ROUND(VLOOKUP(A579,institutions!A:X,13,0),2),"")</f>
        <v>1.32</v>
      </c>
      <c r="H579" s="31">
        <f>IFERROR(ROUND(VLOOKUP(A579,institutions!A:X,16,0),2),"")</f>
        <v>1.25</v>
      </c>
      <c r="I579" s="31">
        <f t="shared" si="48"/>
        <v>0.03</v>
      </c>
      <c r="J579" s="31">
        <f t="shared" si="49"/>
        <v>0.06</v>
      </c>
      <c r="K579" s="31">
        <f t="shared" si="50"/>
        <v>0.33800000000000002</v>
      </c>
      <c r="L579" s="31">
        <f t="shared" si="51"/>
        <v>0.13</v>
      </c>
      <c r="M579" s="31">
        <f t="shared" si="52"/>
        <v>6.2E-2</v>
      </c>
      <c r="N579" t="e">
        <f>VLOOKUP(A579,#REF!,11,0)</f>
        <v>#REF!</v>
      </c>
      <c r="O579" t="e">
        <f>VLOOKUP(A579,#REF!,12,0)</f>
        <v>#REF!</v>
      </c>
      <c r="P579" t="e">
        <f>VLOOKUP(A579,#REF!,13,0)</f>
        <v>#REF!</v>
      </c>
      <c r="Q579" t="e">
        <f>VLOOKUP(A579,#REF!,14,0)</f>
        <v>#REF!</v>
      </c>
      <c r="R579">
        <v>-2.4472771987187958</v>
      </c>
      <c r="S579">
        <v>0.12814753448634619</v>
      </c>
      <c r="T579" s="31" t="str">
        <f>VLOOKUP(C579,V:W,2,0)</f>
        <v>CZE</v>
      </c>
      <c r="U579" t="str">
        <f t="shared" si="53"/>
        <v/>
      </c>
    </row>
    <row r="580" spans="1:21" x14ac:dyDescent="0.25">
      <c r="A580" s="31" t="s">
        <v>1185</v>
      </c>
      <c r="B580" s="31" t="s">
        <v>2057</v>
      </c>
      <c r="C580" s="31" t="s">
        <v>1262</v>
      </c>
      <c r="D580" s="31">
        <f>IFERROR(ROUND(VLOOKUP(A580,institutions!A:E,4,0),2),"")</f>
        <v>1.26</v>
      </c>
      <c r="E580" s="31">
        <f>IFERROR(ROUND(VLOOKUP(A580,institutions!A:X,7,0),2),"")</f>
        <v>1.1299999999999999</v>
      </c>
      <c r="F580" s="31">
        <f>IFERROR(ROUND(VLOOKUP(A580,institutions!A:X,10,0),2),"")</f>
        <v>1.07</v>
      </c>
      <c r="G580" s="31">
        <f>IFERROR(ROUND(VLOOKUP(A580,institutions!A:X,13,0),2),"")</f>
        <v>1.29</v>
      </c>
      <c r="H580" s="31">
        <f>IFERROR(ROUND(VLOOKUP(A580,institutions!A:X,16,0),2),"")</f>
        <v>1.68</v>
      </c>
      <c r="I580" s="31">
        <f t="shared" ref="I580:I603" si="54">ROUND(IFERROR((601-_xlfn.RANK.EQ(D580,D:D))/600,0),3)</f>
        <v>5.7000000000000002E-2</v>
      </c>
      <c r="J580" s="31">
        <f t="shared" ref="J580:J603" si="55">ROUND(IFERROR((601-IFERROR(_xlfn.RANK.EQ(E580,E:E),""))/600,0),3)</f>
        <v>7.6999999999999999E-2</v>
      </c>
      <c r="K580" s="31">
        <f t="shared" ref="K580:K603" si="56">ROUND(IFERROR((601-IFERROR(_xlfn.RANK.EQ(F580,F:F),""))/600,0),3)</f>
        <v>0.1</v>
      </c>
      <c r="L580" s="31">
        <f t="shared" ref="L580:L603" si="57">ROUND(IFERROR((601-IFERROR(_xlfn.RANK.EQ(G580,G:G),""))/600,0),3)</f>
        <v>0.11799999999999999</v>
      </c>
      <c r="M580" s="31">
        <f t="shared" ref="M580:M603" si="58">ROUND(IFERROR((601-IFERROR(_xlfn.RANK.EQ(H580,H:H),""))/600,0),3)</f>
        <v>0.17</v>
      </c>
      <c r="N580" t="e">
        <f>VLOOKUP(A580,#REF!,11,0)</f>
        <v>#REF!</v>
      </c>
      <c r="O580" t="e">
        <f>VLOOKUP(A580,#REF!,12,0)</f>
        <v>#REF!</v>
      </c>
      <c r="P580" t="e">
        <f>VLOOKUP(A580,#REF!,13,0)</f>
        <v>#REF!</v>
      </c>
      <c r="Q580" t="e">
        <f>VLOOKUP(A580,#REF!,14,0)</f>
        <v>#REF!</v>
      </c>
      <c r="R580">
        <v>-2.653071380810446</v>
      </c>
      <c r="S580">
        <v>-0.3331728568771643</v>
      </c>
      <c r="T580" s="31" t="str">
        <f>VLOOKUP(C580,V:W,2,0)</f>
        <v>MLY</v>
      </c>
      <c r="U580" t="str">
        <f t="shared" ref="U580:U603" si="59">IF(T580=T$1,B580,IF(T580=T$2,B580,IF(T580=U$1,B580,"")))</f>
        <v/>
      </c>
    </row>
    <row r="581" spans="1:21" x14ac:dyDescent="0.25">
      <c r="A581" s="31" t="s">
        <v>1156</v>
      </c>
      <c r="B581" s="31" t="s">
        <v>1830</v>
      </c>
      <c r="C581" s="31" t="s">
        <v>1230</v>
      </c>
      <c r="D581" s="31">
        <f>IFERROR(ROUND(VLOOKUP(A581,institutions!A:E,4,0),2),"")</f>
        <v>1.23</v>
      </c>
      <c r="E581" s="31">
        <f>IFERROR(ROUND(VLOOKUP(A581,institutions!A:X,7,0),2),"")</f>
        <v>1.1000000000000001</v>
      </c>
      <c r="F581" s="31">
        <f>IFERROR(ROUND(VLOOKUP(A581,institutions!A:X,10,0),2),"")</f>
        <v>1.19</v>
      </c>
      <c r="G581" s="31">
        <f>IFERROR(ROUND(VLOOKUP(A581,institutions!A:X,13,0),2),"")</f>
        <v>1.4</v>
      </c>
      <c r="H581" s="31">
        <f>IFERROR(ROUND(VLOOKUP(A581,institutions!A:X,16,0),2),"")</f>
        <v>1.54</v>
      </c>
      <c r="I581" s="31">
        <f t="shared" si="54"/>
        <v>0.04</v>
      </c>
      <c r="J581" s="31">
        <f t="shared" si="55"/>
        <v>4.8000000000000001E-2</v>
      </c>
      <c r="K581" s="31">
        <f t="shared" si="56"/>
        <v>0.22</v>
      </c>
      <c r="L581" s="31">
        <f t="shared" si="57"/>
        <v>0.158</v>
      </c>
      <c r="M581" s="31">
        <f t="shared" si="58"/>
        <v>0.13200000000000001</v>
      </c>
      <c r="N581" t="e">
        <f>VLOOKUP(A581,#REF!,11,0)</f>
        <v>#REF!</v>
      </c>
      <c r="O581" t="e">
        <f>VLOOKUP(A581,#REF!,12,0)</f>
        <v>#REF!</v>
      </c>
      <c r="P581" t="e">
        <f>VLOOKUP(A581,#REF!,13,0)</f>
        <v>#REF!</v>
      </c>
      <c r="Q581" t="e">
        <f>VLOOKUP(A581,#REF!,14,0)</f>
        <v>#REF!</v>
      </c>
      <c r="R581">
        <v>-2.4916868102168319</v>
      </c>
      <c r="S581">
        <v>-0.22685764703251909</v>
      </c>
      <c r="T581" s="31" t="str">
        <f>VLOOKUP(C581,V:W,2,0)</f>
        <v>CHN</v>
      </c>
      <c r="U581" t="str">
        <f t="shared" si="59"/>
        <v/>
      </c>
    </row>
    <row r="582" spans="1:21" x14ac:dyDescent="0.25">
      <c r="A582" s="31" t="s">
        <v>1172</v>
      </c>
      <c r="B582" s="31" t="s">
        <v>2056</v>
      </c>
      <c r="C582" s="31" t="s">
        <v>1243</v>
      </c>
      <c r="D582" s="31">
        <f>IFERROR(ROUND(VLOOKUP(A582,institutions!A:E,4,0),2),"")</f>
        <v>1.23</v>
      </c>
      <c r="E582" s="31">
        <f>IFERROR(ROUND(VLOOKUP(A582,institutions!A:X,7,0),2),"")</f>
        <v>1.1200000000000001</v>
      </c>
      <c r="F582" s="31">
        <f>IFERROR(ROUND(VLOOKUP(A582,institutions!A:X,10,0),2),"")</f>
        <v>1.18</v>
      </c>
      <c r="G582" s="31">
        <f>IFERROR(ROUND(VLOOKUP(A582,institutions!A:X,13,0),2),"")</f>
        <v>1.31</v>
      </c>
      <c r="H582" s="31">
        <f>IFERROR(ROUND(VLOOKUP(A582,institutions!A:X,16,0),2),"")</f>
        <v>1.45</v>
      </c>
      <c r="I582" s="31">
        <f t="shared" si="54"/>
        <v>0.04</v>
      </c>
      <c r="J582" s="31">
        <f t="shared" si="55"/>
        <v>6.8000000000000005E-2</v>
      </c>
      <c r="K582" s="31">
        <f t="shared" si="56"/>
        <v>0.20200000000000001</v>
      </c>
      <c r="L582" s="31">
        <f t="shared" si="57"/>
        <v>0.125</v>
      </c>
      <c r="M582" s="31">
        <f t="shared" si="58"/>
        <v>9.5000000000000001E-2</v>
      </c>
      <c r="N582" t="e">
        <f>VLOOKUP(A582,#REF!,11,0)</f>
        <v>#REF!</v>
      </c>
      <c r="O582" t="e">
        <f>VLOOKUP(A582,#REF!,12,0)</f>
        <v>#REF!</v>
      </c>
      <c r="P582" t="e">
        <f>VLOOKUP(A582,#REF!,13,0)</f>
        <v>#REF!</v>
      </c>
      <c r="Q582" t="e">
        <f>VLOOKUP(A582,#REF!,14,0)</f>
        <v>#REF!</v>
      </c>
      <c r="R582">
        <v>-2.6161562805512748</v>
      </c>
      <c r="S582">
        <v>-9.6675344183596135E-2</v>
      </c>
      <c r="T582" s="31" t="str">
        <f>VLOOKUP(C582,V:W,2,0)</f>
        <v>TWN</v>
      </c>
      <c r="U582" t="str">
        <f t="shared" si="59"/>
        <v/>
      </c>
    </row>
    <row r="583" spans="1:21" x14ac:dyDescent="0.25">
      <c r="A583" s="31" t="s">
        <v>1192</v>
      </c>
      <c r="B583" s="31" t="s">
        <v>2010</v>
      </c>
      <c r="C583" s="31" t="s">
        <v>1255</v>
      </c>
      <c r="D583" s="31">
        <f>IFERROR(ROUND(VLOOKUP(A583,institutions!A:E,4,0),2),"")</f>
        <v>1.22</v>
      </c>
      <c r="E583" s="31">
        <f>IFERROR(ROUND(VLOOKUP(A583,institutions!A:X,7,0),2),"")</f>
        <v>1.19</v>
      </c>
      <c r="F583" s="31">
        <f>IFERROR(ROUND(VLOOKUP(A583,institutions!A:X,10,0),2),"")</f>
        <v>1.06</v>
      </c>
      <c r="G583" s="31">
        <f>IFERROR(ROUND(VLOOKUP(A583,institutions!A:X,13,0),2),"")</f>
        <v>1.22</v>
      </c>
      <c r="H583" s="31">
        <f>IFERROR(ROUND(VLOOKUP(A583,institutions!A:X,16,0),2),"")</f>
        <v>1.7</v>
      </c>
      <c r="I583" s="31">
        <f t="shared" si="54"/>
        <v>3.3000000000000002E-2</v>
      </c>
      <c r="J583" s="31">
        <f t="shared" si="55"/>
        <v>0.13500000000000001</v>
      </c>
      <c r="K583" s="31">
        <f t="shared" si="56"/>
        <v>0.09</v>
      </c>
      <c r="L583" s="31">
        <f t="shared" si="57"/>
        <v>9.5000000000000001E-2</v>
      </c>
      <c r="M583" s="31">
        <f t="shared" si="58"/>
        <v>0.182</v>
      </c>
      <c r="N583" t="e">
        <f>VLOOKUP(A583,#REF!,11,0)</f>
        <v>#REF!</v>
      </c>
      <c r="O583" t="e">
        <f>VLOOKUP(A583,#REF!,12,0)</f>
        <v>#REF!</v>
      </c>
      <c r="P583" t="e">
        <f>VLOOKUP(A583,#REF!,13,0)</f>
        <v>#REF!</v>
      </c>
      <c r="Q583" t="e">
        <f>VLOOKUP(A583,#REF!,14,0)</f>
        <v>#REF!</v>
      </c>
      <c r="R583">
        <v>-2.5967388123081849</v>
      </c>
      <c r="S583">
        <v>-0.20458576180458149</v>
      </c>
      <c r="T583" s="31" t="str">
        <f>VLOOKUP(C583,V:W,2,0)</f>
        <v>BRA</v>
      </c>
      <c r="U583" t="str">
        <f t="shared" si="59"/>
        <v/>
      </c>
    </row>
    <row r="584" spans="1:21" x14ac:dyDescent="0.25">
      <c r="A584" s="31" t="s">
        <v>1203</v>
      </c>
      <c r="B584" s="31" t="s">
        <v>2013</v>
      </c>
      <c r="C584" s="31" t="s">
        <v>1220</v>
      </c>
      <c r="D584" s="31">
        <f>IFERROR(ROUND(VLOOKUP(A584,institutions!A:E,4,0),2),"")</f>
        <v>1.21</v>
      </c>
      <c r="E584" s="31">
        <f>IFERROR(ROUND(VLOOKUP(A584,institutions!A:X,7,0),2),"")</f>
        <v>1.1399999999999999</v>
      </c>
      <c r="F584" s="31" t="str">
        <f>IFERROR(ROUND(VLOOKUP(A584,institutions!A:X,10,0),2),"")</f>
        <v/>
      </c>
      <c r="G584" s="31">
        <f>IFERROR(ROUND(VLOOKUP(A584,institutions!A:X,13,0),2),"")</f>
        <v>1.1499999999999999</v>
      </c>
      <c r="H584" s="31">
        <f>IFERROR(ROUND(VLOOKUP(A584,institutions!A:X,16,0),2),"")</f>
        <v>1.72</v>
      </c>
      <c r="I584" s="31">
        <f t="shared" si="54"/>
        <v>0.03</v>
      </c>
      <c r="J584" s="31">
        <f t="shared" si="55"/>
        <v>8.7999999999999995E-2</v>
      </c>
      <c r="K584" s="31">
        <f t="shared" si="56"/>
        <v>0</v>
      </c>
      <c r="L584" s="31">
        <f t="shared" si="57"/>
        <v>7.1999999999999995E-2</v>
      </c>
      <c r="M584" s="31">
        <f t="shared" si="58"/>
        <v>0.19700000000000001</v>
      </c>
      <c r="N584" t="e">
        <f>VLOOKUP(A584,#REF!,11,0)</f>
        <v>#REF!</v>
      </c>
      <c r="O584" t="e">
        <f>VLOOKUP(A584,#REF!,12,0)</f>
        <v>#REF!</v>
      </c>
      <c r="P584" t="e">
        <f>VLOOKUP(A584,#REF!,13,0)</f>
        <v>#REF!</v>
      </c>
      <c r="Q584" t="e">
        <f>VLOOKUP(A584,#REF!,14,0)</f>
        <v>#REF!</v>
      </c>
      <c r="R584">
        <v>-2.8396599283548332</v>
      </c>
      <c r="S584">
        <v>-0.42137860571907959</v>
      </c>
      <c r="T584" s="31" t="str">
        <f>VLOOKUP(C584,V:W,2,0)</f>
        <v>SPAIN</v>
      </c>
      <c r="U584" t="str">
        <f t="shared" si="59"/>
        <v>Vigo</v>
      </c>
    </row>
    <row r="585" spans="1:21" x14ac:dyDescent="0.25">
      <c r="A585" s="31" t="s">
        <v>1178</v>
      </c>
      <c r="B585" s="31" t="s">
        <v>1669</v>
      </c>
      <c r="C585" s="31" t="s">
        <v>1264</v>
      </c>
      <c r="D585" s="31">
        <f>IFERROR(ROUND(VLOOKUP(A585,institutions!A:E,4,0),2),"")</f>
        <v>1.21</v>
      </c>
      <c r="E585" s="31">
        <f>IFERROR(ROUND(VLOOKUP(A585,institutions!A:X,7,0),2),"")</f>
        <v>1.08</v>
      </c>
      <c r="F585" s="31">
        <f>IFERROR(ROUND(VLOOKUP(A585,institutions!A:X,10,0),2),"")</f>
        <v>1.1200000000000001</v>
      </c>
      <c r="G585" s="31">
        <f>IFERROR(ROUND(VLOOKUP(A585,institutions!A:X,13,0),2),"")</f>
        <v>1.24</v>
      </c>
      <c r="H585" s="31">
        <f>IFERROR(ROUND(VLOOKUP(A585,institutions!A:X,16,0),2),"")</f>
        <v>1.61</v>
      </c>
      <c r="I585" s="31">
        <f t="shared" si="54"/>
        <v>0.03</v>
      </c>
      <c r="J585" s="31">
        <f t="shared" si="55"/>
        <v>0.04</v>
      </c>
      <c r="K585" s="31">
        <f t="shared" si="56"/>
        <v>0.13500000000000001</v>
      </c>
      <c r="L585" s="31">
        <f t="shared" si="57"/>
        <v>0.10199999999999999</v>
      </c>
      <c r="M585" s="31">
        <f t="shared" si="58"/>
        <v>0.157</v>
      </c>
      <c r="N585" t="e">
        <f>VLOOKUP(A585,#REF!,11,0)</f>
        <v>#REF!</v>
      </c>
      <c r="O585" t="e">
        <f>VLOOKUP(A585,#REF!,12,0)</f>
        <v>#REF!</v>
      </c>
      <c r="P585" t="e">
        <f>VLOOKUP(A585,#REF!,13,0)</f>
        <v>#REF!</v>
      </c>
      <c r="Q585" t="e">
        <f>VLOOKUP(A585,#REF!,14,0)</f>
        <v>#REF!</v>
      </c>
      <c r="R585">
        <v>-2.7045079980728222</v>
      </c>
      <c r="S585">
        <v>-0.31397527276174281</v>
      </c>
      <c r="T585" s="31" t="str">
        <f>VLOOKUP(C585,V:W,2,0)</f>
        <v>IRAN</v>
      </c>
      <c r="U585" t="str">
        <f t="shared" si="59"/>
        <v/>
      </c>
    </row>
    <row r="586" spans="1:21" x14ac:dyDescent="0.25">
      <c r="A586" s="31" t="s">
        <v>1180</v>
      </c>
      <c r="B586" s="31" t="s">
        <v>2058</v>
      </c>
      <c r="C586" s="31" t="s">
        <v>1238</v>
      </c>
      <c r="D586" s="31">
        <f>IFERROR(ROUND(VLOOKUP(A586,institutions!A:E,4,0),2),"")</f>
        <v>1.25</v>
      </c>
      <c r="E586" s="31">
        <f>IFERROR(ROUND(VLOOKUP(A586,institutions!A:X,7,0),2),"")</f>
        <v>1.1499999999999999</v>
      </c>
      <c r="F586" s="31">
        <f>IFERROR(ROUND(VLOOKUP(A586,institutions!A:X,10,0),2),"")</f>
        <v>1.1000000000000001</v>
      </c>
      <c r="G586" s="31">
        <f>IFERROR(ROUND(VLOOKUP(A586,institutions!A:X,13,0),2),"")</f>
        <v>1.56</v>
      </c>
      <c r="H586" s="31">
        <f>IFERROR(ROUND(VLOOKUP(A586,institutions!A:X,16,0),2),"")</f>
        <v>1.72</v>
      </c>
      <c r="I586" s="31">
        <f t="shared" si="54"/>
        <v>4.8000000000000001E-2</v>
      </c>
      <c r="J586" s="31">
        <f t="shared" si="55"/>
        <v>0.1</v>
      </c>
      <c r="K586" s="31">
        <f t="shared" si="56"/>
        <v>0.127</v>
      </c>
      <c r="L586" s="31">
        <f t="shared" si="57"/>
        <v>0.223</v>
      </c>
      <c r="M586" s="31">
        <f t="shared" si="58"/>
        <v>0.19700000000000001</v>
      </c>
      <c r="N586" t="e">
        <f>VLOOKUP(A586,#REF!,11,0)</f>
        <v>#REF!</v>
      </c>
      <c r="O586" t="e">
        <f>VLOOKUP(A586,#REF!,12,0)</f>
        <v>#REF!</v>
      </c>
      <c r="P586" t="e">
        <f>VLOOKUP(A586,#REF!,13,0)</f>
        <v>#REF!</v>
      </c>
      <c r="Q586" t="e">
        <f>VLOOKUP(A586,#REF!,14,0)</f>
        <v>#REF!</v>
      </c>
      <c r="R586">
        <v>-2.3339784785072082</v>
      </c>
      <c r="S586">
        <v>-0.46253759643757208</v>
      </c>
      <c r="T586" s="31" t="str">
        <f>VLOOKUP(C586,V:W,2,0)</f>
        <v>TUR</v>
      </c>
      <c r="U586" t="str">
        <f t="shared" si="59"/>
        <v/>
      </c>
    </row>
    <row r="587" spans="1:21" x14ac:dyDescent="0.25">
      <c r="A587" s="31" t="s">
        <v>1190</v>
      </c>
      <c r="B587" s="31" t="s">
        <v>1665</v>
      </c>
      <c r="C587" s="31" t="s">
        <v>1220</v>
      </c>
      <c r="D587" s="31">
        <f>IFERROR(ROUND(VLOOKUP(A587,institutions!A:E,4,0),2),"")</f>
        <v>1.23</v>
      </c>
      <c r="E587" s="31">
        <f>IFERROR(ROUND(VLOOKUP(A587,institutions!A:X,7,0),2),"")</f>
        <v>1.17</v>
      </c>
      <c r="F587" s="31" t="str">
        <f>IFERROR(ROUND(VLOOKUP(A587,institutions!A:X,10,0),2),"")</f>
        <v/>
      </c>
      <c r="G587" s="31">
        <f>IFERROR(ROUND(VLOOKUP(A587,institutions!A:X,13,0),2),"")</f>
        <v>1.22</v>
      </c>
      <c r="H587" s="31">
        <f>IFERROR(ROUND(VLOOKUP(A587,institutions!A:X,16,0),2),"")</f>
        <v>1.54</v>
      </c>
      <c r="I587" s="31">
        <f t="shared" si="54"/>
        <v>0.04</v>
      </c>
      <c r="J587" s="31">
        <f t="shared" si="55"/>
        <v>0.11700000000000001</v>
      </c>
      <c r="K587" s="31">
        <f t="shared" si="56"/>
        <v>0</v>
      </c>
      <c r="L587" s="31">
        <f t="shared" si="57"/>
        <v>9.5000000000000001E-2</v>
      </c>
      <c r="M587" s="31">
        <f t="shared" si="58"/>
        <v>0.13200000000000001</v>
      </c>
      <c r="N587" t="e">
        <f>VLOOKUP(A587,#REF!,11,0)</f>
        <v>#REF!</v>
      </c>
      <c r="O587" t="e">
        <f>VLOOKUP(A587,#REF!,12,0)</f>
        <v>#REF!</v>
      </c>
      <c r="P587" t="e">
        <f>VLOOKUP(A587,#REF!,13,0)</f>
        <v>#REF!</v>
      </c>
      <c r="Q587" t="e">
        <f>VLOOKUP(A587,#REF!,14,0)</f>
        <v>#REF!</v>
      </c>
      <c r="R587">
        <v>-2.8695915996148962</v>
      </c>
      <c r="S587">
        <v>-0.2946774984263662</v>
      </c>
      <c r="T587" s="31" t="str">
        <f>VLOOKUP(C587,V:W,2,0)</f>
        <v>SPAIN</v>
      </c>
      <c r="U587" t="str">
        <f t="shared" si="59"/>
        <v>Murcia</v>
      </c>
    </row>
    <row r="588" spans="1:21" x14ac:dyDescent="0.25">
      <c r="A588" s="31" t="s">
        <v>1198</v>
      </c>
      <c r="B588" s="31" t="s">
        <v>1839</v>
      </c>
      <c r="C588" s="31" t="s">
        <v>1254</v>
      </c>
      <c r="D588" s="31">
        <f>IFERROR(ROUND(VLOOKUP(A588,institutions!A:E,4,0),2),"")</f>
        <v>1.21</v>
      </c>
      <c r="E588" s="31">
        <f>IFERROR(ROUND(VLOOKUP(A588,institutions!A:X,7,0),2),"")</f>
        <v>1.03</v>
      </c>
      <c r="F588" s="31">
        <f>IFERROR(ROUND(VLOOKUP(A588,institutions!A:X,10,0),2),"")</f>
        <v>1.2</v>
      </c>
      <c r="G588" s="31">
        <f>IFERROR(ROUND(VLOOKUP(A588,institutions!A:X,13,0),2),"")</f>
        <v>2.11</v>
      </c>
      <c r="H588" s="31">
        <f>IFERROR(ROUND(VLOOKUP(A588,institutions!A:X,16,0),2),"")</f>
        <v>1.43</v>
      </c>
      <c r="I588" s="31">
        <f t="shared" si="54"/>
        <v>0.03</v>
      </c>
      <c r="J588" s="31">
        <f t="shared" si="55"/>
        <v>0.02</v>
      </c>
      <c r="K588" s="31">
        <f t="shared" si="56"/>
        <v>0.23</v>
      </c>
      <c r="L588" s="31">
        <f t="shared" si="57"/>
        <v>0.51500000000000001</v>
      </c>
      <c r="M588" s="31">
        <f t="shared" si="58"/>
        <v>0.09</v>
      </c>
      <c r="N588" t="e">
        <f>VLOOKUP(A588,#REF!,11,0)</f>
        <v>#REF!</v>
      </c>
      <c r="O588" t="e">
        <f>VLOOKUP(A588,#REF!,12,0)</f>
        <v>#REF!</v>
      </c>
      <c r="P588" t="e">
        <f>VLOOKUP(A588,#REF!,13,0)</f>
        <v>#REF!</v>
      </c>
      <c r="Q588" t="e">
        <f>VLOOKUP(A588,#REF!,14,0)</f>
        <v>#REF!</v>
      </c>
      <c r="R588">
        <v>-1.958062974456739</v>
      </c>
      <c r="S588">
        <v>-0.80028150273925847</v>
      </c>
      <c r="T588" s="31" t="str">
        <f>VLOOKUP(C588,V:W,2,0)</f>
        <v>KOREA</v>
      </c>
      <c r="U588" t="str">
        <f t="shared" si="59"/>
        <v/>
      </c>
    </row>
    <row r="589" spans="1:21" x14ac:dyDescent="0.25">
      <c r="A589" s="31" t="s">
        <v>1193</v>
      </c>
      <c r="B589" s="31" t="s">
        <v>1977</v>
      </c>
      <c r="C589" s="31" t="s">
        <v>1220</v>
      </c>
      <c r="D589" s="31">
        <f>IFERROR(ROUND(VLOOKUP(A589,institutions!A:E,4,0),2),"")</f>
        <v>1.2</v>
      </c>
      <c r="E589" s="31">
        <f>IFERROR(ROUND(VLOOKUP(A589,institutions!A:X,7,0),2),"")</f>
        <v>1.2</v>
      </c>
      <c r="F589" s="31">
        <f>IFERROR(ROUND(VLOOKUP(A589,institutions!A:X,10,0),2),"")</f>
        <v>1.04</v>
      </c>
      <c r="G589" s="31">
        <f>IFERROR(ROUND(VLOOKUP(A589,institutions!A:X,13,0),2),"")</f>
        <v>1.23</v>
      </c>
      <c r="H589" s="31">
        <f>IFERROR(ROUND(VLOOKUP(A589,institutions!A:X,16,0),2),"")</f>
        <v>1.55</v>
      </c>
      <c r="I589" s="31">
        <f t="shared" si="54"/>
        <v>2.1999999999999999E-2</v>
      </c>
      <c r="J589" s="31">
        <f t="shared" si="55"/>
        <v>0.14499999999999999</v>
      </c>
      <c r="K589" s="31">
        <f t="shared" si="56"/>
        <v>7.1999999999999995E-2</v>
      </c>
      <c r="L589" s="31">
        <f t="shared" si="57"/>
        <v>9.7000000000000003E-2</v>
      </c>
      <c r="M589" s="31">
        <f t="shared" si="58"/>
        <v>0.13800000000000001</v>
      </c>
      <c r="N589" t="e">
        <f>VLOOKUP(A589,#REF!,11,0)</f>
        <v>#REF!</v>
      </c>
      <c r="O589" t="e">
        <f>VLOOKUP(A589,#REF!,12,0)</f>
        <v>#REF!</v>
      </c>
      <c r="P589" t="e">
        <f>VLOOKUP(A589,#REF!,13,0)</f>
        <v>#REF!</v>
      </c>
      <c r="Q589" t="e">
        <f>VLOOKUP(A589,#REF!,14,0)</f>
        <v>#REF!</v>
      </c>
      <c r="R589">
        <v>-2.6873798762801719</v>
      </c>
      <c r="S589">
        <v>-0.14296820074404801</v>
      </c>
      <c r="T589" s="31" t="str">
        <f>VLOOKUP(C589,V:W,2,0)</f>
        <v>SPAIN</v>
      </c>
      <c r="U589" t="str">
        <f t="shared" si="59"/>
        <v>Jaume I</v>
      </c>
    </row>
    <row r="590" spans="1:21" x14ac:dyDescent="0.25">
      <c r="A590" s="31" t="s">
        <v>1204</v>
      </c>
      <c r="B590" s="31" t="s">
        <v>1917</v>
      </c>
      <c r="C590" s="31" t="s">
        <v>1251</v>
      </c>
      <c r="D590" s="31">
        <f>IFERROR(ROUND(VLOOKUP(A590,institutions!A:E,4,0),2),"")</f>
        <v>1.25</v>
      </c>
      <c r="E590" s="31">
        <f>IFERROR(ROUND(VLOOKUP(A590,institutions!A:X,7,0),2),"")</f>
        <v>1.23</v>
      </c>
      <c r="F590" s="31">
        <f>IFERROR(ROUND(VLOOKUP(A590,institutions!A:X,10,0),2),"")</f>
        <v>1.0900000000000001</v>
      </c>
      <c r="G590" s="31" t="str">
        <f>IFERROR(ROUND(VLOOKUP(A590,institutions!A:X,13,0),2),"")</f>
        <v/>
      </c>
      <c r="H590" s="31">
        <f>IFERROR(ROUND(VLOOKUP(A590,institutions!A:X,16,0),2),"")</f>
        <v>2.08</v>
      </c>
      <c r="I590" s="31">
        <f t="shared" si="54"/>
        <v>4.8000000000000001E-2</v>
      </c>
      <c r="J590" s="31">
        <f t="shared" si="55"/>
        <v>0.188</v>
      </c>
      <c r="K590" s="31">
        <f t="shared" si="56"/>
        <v>0.11799999999999999</v>
      </c>
      <c r="L590" s="31">
        <f t="shared" si="57"/>
        <v>0</v>
      </c>
      <c r="M590" s="31">
        <f t="shared" si="58"/>
        <v>0.36299999999999999</v>
      </c>
      <c r="N590" t="e">
        <f>VLOOKUP(A590,#REF!,11,0)</f>
        <v>#REF!</v>
      </c>
      <c r="O590" t="e">
        <f>VLOOKUP(A590,#REF!,12,0)</f>
        <v>#REF!</v>
      </c>
      <c r="P590" t="e">
        <f>VLOOKUP(A590,#REF!,13,0)</f>
        <v>#REF!</v>
      </c>
      <c r="Q590" t="e">
        <f>VLOOKUP(A590,#REF!,14,0)</f>
        <v>#REF!</v>
      </c>
      <c r="R590">
        <v>-2.306800799042934</v>
      </c>
      <c r="S590">
        <v>-0.1794714789062419</v>
      </c>
      <c r="T590" s="31" t="str">
        <f>VLOOKUP(C590,V:W,2,0)</f>
        <v>POL</v>
      </c>
      <c r="U590" t="str">
        <f t="shared" si="59"/>
        <v/>
      </c>
    </row>
    <row r="591" spans="1:21" x14ac:dyDescent="0.25">
      <c r="A591" s="31" t="s">
        <v>1181</v>
      </c>
      <c r="B591" s="31" t="s">
        <v>1834</v>
      </c>
      <c r="C591" s="31" t="s">
        <v>1243</v>
      </c>
      <c r="D591" s="31">
        <f>IFERROR(ROUND(VLOOKUP(A591,institutions!A:E,4,0),2),"")</f>
        <v>1.21</v>
      </c>
      <c r="E591" s="31">
        <f>IFERROR(ROUND(VLOOKUP(A591,institutions!A:X,7,0),2),"")</f>
        <v>1</v>
      </c>
      <c r="F591" s="31">
        <f>IFERROR(ROUND(VLOOKUP(A591,institutions!A:X,10,0),2),"")</f>
        <v>1.03</v>
      </c>
      <c r="G591" s="31">
        <f>IFERROR(ROUND(VLOOKUP(A591,institutions!A:X,13,0),2),"")</f>
        <v>1.42</v>
      </c>
      <c r="H591" s="31">
        <f>IFERROR(ROUND(VLOOKUP(A591,institutions!A:X,16,0),2),"")</f>
        <v>1.45</v>
      </c>
      <c r="I591" s="31">
        <f t="shared" si="54"/>
        <v>0.03</v>
      </c>
      <c r="J591" s="31">
        <f t="shared" si="55"/>
        <v>7.0000000000000001E-3</v>
      </c>
      <c r="K591" s="31">
        <f t="shared" si="56"/>
        <v>6.8000000000000005E-2</v>
      </c>
      <c r="L591" s="31">
        <f t="shared" si="57"/>
        <v>0.16500000000000001</v>
      </c>
      <c r="M591" s="31">
        <f t="shared" si="58"/>
        <v>9.5000000000000001E-2</v>
      </c>
      <c r="N591" t="e">
        <f>VLOOKUP(A591,#REF!,11,0)</f>
        <v>#REF!</v>
      </c>
      <c r="O591" t="e">
        <f>VLOOKUP(A591,#REF!,12,0)</f>
        <v>#REF!</v>
      </c>
      <c r="P591" t="e">
        <f>VLOOKUP(A591,#REF!,13,0)</f>
        <v>#REF!</v>
      </c>
      <c r="Q591" t="e">
        <f>VLOOKUP(A591,#REF!,14,0)</f>
        <v>#REF!</v>
      </c>
      <c r="R591">
        <v>-2.8712920438405138</v>
      </c>
      <c r="S591">
        <v>-0.48856156041446569</v>
      </c>
      <c r="T591" s="31" t="str">
        <f>VLOOKUP(C591,V:W,2,0)</f>
        <v>TWN</v>
      </c>
      <c r="U591" t="str">
        <f t="shared" si="59"/>
        <v/>
      </c>
    </row>
    <row r="592" spans="1:21" x14ac:dyDescent="0.25">
      <c r="A592" s="31" t="s">
        <v>1195</v>
      </c>
      <c r="B592" s="31" t="s">
        <v>2012</v>
      </c>
      <c r="C592" s="31" t="s">
        <v>1266</v>
      </c>
      <c r="D592" s="31">
        <f>IFERROR(ROUND(VLOOKUP(A592,institutions!A:E,4,0),2),"")</f>
        <v>1.1499999999999999</v>
      </c>
      <c r="E592" s="31">
        <f>IFERROR(ROUND(VLOOKUP(A592,institutions!A:X,7,0),2),"")</f>
        <v>1.1100000000000001</v>
      </c>
      <c r="F592" s="31">
        <f>IFERROR(ROUND(VLOOKUP(A592,institutions!A:X,10,0),2),"")</f>
        <v>1.25</v>
      </c>
      <c r="G592" s="31">
        <f>IFERROR(ROUND(VLOOKUP(A592,institutions!A:X,13,0),2),"")</f>
        <v>1.01</v>
      </c>
      <c r="H592" s="31">
        <f>IFERROR(ROUND(VLOOKUP(A592,institutions!A:X,16,0),2),"")</f>
        <v>1</v>
      </c>
      <c r="I592" s="31">
        <f t="shared" si="54"/>
        <v>1.7000000000000001E-2</v>
      </c>
      <c r="J592" s="31">
        <f t="shared" si="55"/>
        <v>0.06</v>
      </c>
      <c r="K592" s="31">
        <f t="shared" si="56"/>
        <v>0.29699999999999999</v>
      </c>
      <c r="L592" s="31">
        <f t="shared" si="57"/>
        <v>5.7000000000000002E-2</v>
      </c>
      <c r="M592" s="31">
        <f t="shared" si="58"/>
        <v>4.2000000000000003E-2</v>
      </c>
      <c r="N592" t="e">
        <f>VLOOKUP(A592,#REF!,11,0)</f>
        <v>#REF!</v>
      </c>
      <c r="O592" t="e">
        <f>VLOOKUP(A592,#REF!,12,0)</f>
        <v>#REF!</v>
      </c>
      <c r="P592" t="e">
        <f>VLOOKUP(A592,#REF!,13,0)</f>
        <v>#REF!</v>
      </c>
      <c r="Q592" t="e">
        <f>VLOOKUP(A592,#REF!,14,0)</f>
        <v>#REF!</v>
      </c>
      <c r="R592">
        <v>-2.683733525903135</v>
      </c>
      <c r="S592">
        <v>0.22183582615809261</v>
      </c>
      <c r="T592" s="31" t="str">
        <f>VLOOKUP(C592,V:W,2,0)</f>
        <v>SLK</v>
      </c>
      <c r="U592" t="str">
        <f t="shared" si="59"/>
        <v/>
      </c>
    </row>
    <row r="593" spans="1:21" x14ac:dyDescent="0.25">
      <c r="A593" s="31" t="s">
        <v>1202</v>
      </c>
      <c r="B593" s="31" t="s">
        <v>1841</v>
      </c>
      <c r="C593" s="31" t="s">
        <v>1243</v>
      </c>
      <c r="D593" s="31">
        <f>IFERROR(ROUND(VLOOKUP(A593,institutions!A:E,4,0),2),"")</f>
        <v>1.17</v>
      </c>
      <c r="E593" s="31">
        <f>IFERROR(ROUND(VLOOKUP(A593,institutions!A:X,7,0),2),"")</f>
        <v>1.1499999999999999</v>
      </c>
      <c r="F593" s="31">
        <f>IFERROR(ROUND(VLOOKUP(A593,institutions!A:X,10,0),2),"")</f>
        <v>1.05</v>
      </c>
      <c r="G593" s="31">
        <f>IFERROR(ROUND(VLOOKUP(A593,institutions!A:X,13,0),2),"")</f>
        <v>1.36</v>
      </c>
      <c r="H593" s="31">
        <f>IFERROR(ROUND(VLOOKUP(A593,institutions!A:X,16,0),2),"")</f>
        <v>1.3</v>
      </c>
      <c r="I593" s="31">
        <f t="shared" si="54"/>
        <v>1.7999999999999999E-2</v>
      </c>
      <c r="J593" s="31">
        <f t="shared" si="55"/>
        <v>0.1</v>
      </c>
      <c r="K593" s="31">
        <f t="shared" si="56"/>
        <v>0.08</v>
      </c>
      <c r="L593" s="31">
        <f t="shared" si="57"/>
        <v>0.13800000000000001</v>
      </c>
      <c r="M593" s="31">
        <f t="shared" si="58"/>
        <v>6.8000000000000005E-2</v>
      </c>
      <c r="N593" t="e">
        <f>VLOOKUP(A593,#REF!,11,0)</f>
        <v>#REF!</v>
      </c>
      <c r="O593" t="e">
        <f>VLOOKUP(A593,#REF!,12,0)</f>
        <v>#REF!</v>
      </c>
      <c r="P593" t="e">
        <f>VLOOKUP(A593,#REF!,13,0)</f>
        <v>#REF!</v>
      </c>
      <c r="Q593" t="e">
        <f>VLOOKUP(A593,#REF!,14,0)</f>
        <v>#REF!</v>
      </c>
      <c r="R593">
        <v>-2.798943421399978</v>
      </c>
      <c r="S593">
        <v>-0.18470228377834469</v>
      </c>
      <c r="T593" s="31" t="str">
        <f>VLOOKUP(C593,V:W,2,0)</f>
        <v>TWN</v>
      </c>
      <c r="U593" t="str">
        <f t="shared" si="59"/>
        <v/>
      </c>
    </row>
    <row r="594" spans="1:21" x14ac:dyDescent="0.25">
      <c r="A594" s="31" t="s">
        <v>1188</v>
      </c>
      <c r="B594" s="31" t="s">
        <v>2036</v>
      </c>
      <c r="C594" s="31" t="s">
        <v>1265</v>
      </c>
      <c r="D594" s="31">
        <f>IFERROR(ROUND(VLOOKUP(A594,institutions!A:E,4,0),2),"")</f>
        <v>1.18</v>
      </c>
      <c r="E594" s="31">
        <f>IFERROR(ROUND(VLOOKUP(A594,institutions!A:X,7,0),2),"")</f>
        <v>1.1399999999999999</v>
      </c>
      <c r="F594" s="31">
        <f>IFERROR(ROUND(VLOOKUP(A594,institutions!A:X,10,0),2),"")</f>
        <v>1.24</v>
      </c>
      <c r="G594" s="31">
        <f>IFERROR(ROUND(VLOOKUP(A594,institutions!A:X,13,0),2),"")</f>
        <v>1.18</v>
      </c>
      <c r="H594" s="31">
        <f>IFERROR(ROUND(VLOOKUP(A594,institutions!A:X,16,0),2),"")</f>
        <v>1.32</v>
      </c>
      <c r="I594" s="31">
        <f t="shared" si="54"/>
        <v>0.02</v>
      </c>
      <c r="J594" s="31">
        <f t="shared" si="55"/>
        <v>8.7999999999999995E-2</v>
      </c>
      <c r="K594" s="31">
        <f t="shared" si="56"/>
        <v>0.27800000000000002</v>
      </c>
      <c r="L594" s="31">
        <f t="shared" si="57"/>
        <v>8.3000000000000004E-2</v>
      </c>
      <c r="M594" s="31">
        <f t="shared" si="58"/>
        <v>7.1999999999999995E-2</v>
      </c>
      <c r="N594" t="e">
        <f>VLOOKUP(A594,#REF!,11,0)</f>
        <v>#REF!</v>
      </c>
      <c r="O594" t="e">
        <f>VLOOKUP(A594,#REF!,12,0)</f>
        <v>#REF!</v>
      </c>
      <c r="P594" t="e">
        <f>VLOOKUP(A594,#REF!,13,0)</f>
        <v>#REF!</v>
      </c>
      <c r="Q594" t="e">
        <f>VLOOKUP(A594,#REF!,14,0)</f>
        <v>#REF!</v>
      </c>
      <c r="R594">
        <v>-2.5708133191196061</v>
      </c>
      <c r="S594">
        <v>0.16307708136283439</v>
      </c>
      <c r="T594" s="31" t="str">
        <f>VLOOKUP(C594,V:W,2,0)</f>
        <v>TUN</v>
      </c>
      <c r="U594" t="str">
        <f t="shared" si="59"/>
        <v/>
      </c>
    </row>
    <row r="595" spans="1:21" x14ac:dyDescent="0.25">
      <c r="A595" s="31" t="s">
        <v>1208</v>
      </c>
      <c r="B595" s="31" t="s">
        <v>1837</v>
      </c>
      <c r="C595" s="31" t="s">
        <v>1267</v>
      </c>
      <c r="D595" s="31">
        <f>IFERROR(ROUND(VLOOKUP(A595,institutions!A:E,4,0),2),"")</f>
        <v>1.1499999999999999</v>
      </c>
      <c r="E595" s="31">
        <f>IFERROR(ROUND(VLOOKUP(A595,institutions!A:X,7,0),2),"")</f>
        <v>1.0900000000000001</v>
      </c>
      <c r="F595" s="31" t="str">
        <f>IFERROR(ROUND(VLOOKUP(A595,institutions!A:X,10,0),2),"")</f>
        <v/>
      </c>
      <c r="G595" s="31">
        <f>IFERROR(ROUND(VLOOKUP(A595,institutions!A:X,13,0),2),"")</f>
        <v>1.54</v>
      </c>
      <c r="H595" s="31">
        <f>IFERROR(ROUND(VLOOKUP(A595,institutions!A:X,16,0),2),"")</f>
        <v>1.51</v>
      </c>
      <c r="I595" s="31">
        <f t="shared" si="54"/>
        <v>1.7000000000000001E-2</v>
      </c>
      <c r="J595" s="31">
        <f t="shared" si="55"/>
        <v>4.4999999999999998E-2</v>
      </c>
      <c r="K595" s="31">
        <f t="shared" si="56"/>
        <v>0</v>
      </c>
      <c r="L595" s="31">
        <f t="shared" si="57"/>
        <v>0.21</v>
      </c>
      <c r="M595" s="31">
        <f t="shared" si="58"/>
        <v>0.11799999999999999</v>
      </c>
      <c r="N595" t="e">
        <f>VLOOKUP(A595,#REF!,11,0)</f>
        <v>#REF!</v>
      </c>
      <c r="O595" t="e">
        <f>VLOOKUP(A595,#REF!,12,0)</f>
        <v>#REF!</v>
      </c>
      <c r="P595" t="e">
        <f>VLOOKUP(A595,#REF!,13,0)</f>
        <v>#REF!</v>
      </c>
      <c r="Q595" t="e">
        <f>VLOOKUP(A595,#REF!,14,0)</f>
        <v>#REF!</v>
      </c>
      <c r="R595">
        <v>-2.804815283271572</v>
      </c>
      <c r="S595">
        <v>-0.61782057558601378</v>
      </c>
      <c r="T595" s="31" t="str">
        <f>VLOOKUP(C595,V:W,2,0)</f>
        <v>HUN</v>
      </c>
      <c r="U595" t="str">
        <f t="shared" si="59"/>
        <v/>
      </c>
    </row>
    <row r="596" spans="1:21" x14ac:dyDescent="0.25">
      <c r="A596" s="31" t="s">
        <v>1206</v>
      </c>
      <c r="B596" s="31" t="s">
        <v>2014</v>
      </c>
      <c r="C596" s="31" t="s">
        <v>1255</v>
      </c>
      <c r="D596" s="31">
        <f>IFERROR(ROUND(VLOOKUP(A596,institutions!A:E,4,0),2),"")</f>
        <v>1.1299999999999999</v>
      </c>
      <c r="E596" s="31">
        <f>IFERROR(ROUND(VLOOKUP(A596,institutions!A:X,7,0),2),"")</f>
        <v>1.03</v>
      </c>
      <c r="F596" s="31">
        <f>IFERROR(ROUND(VLOOKUP(A596,institutions!A:X,10,0),2),"")</f>
        <v>1.0900000000000001</v>
      </c>
      <c r="G596" s="31">
        <f>IFERROR(ROUND(VLOOKUP(A596,institutions!A:X,13,0),2),"")</f>
        <v>1.18</v>
      </c>
      <c r="H596" s="31">
        <f>IFERROR(ROUND(VLOOKUP(A596,institutions!A:X,16,0),2),"")</f>
        <v>1.53</v>
      </c>
      <c r="I596" s="31">
        <f t="shared" si="54"/>
        <v>1.2999999999999999E-2</v>
      </c>
      <c r="J596" s="31">
        <f t="shared" si="55"/>
        <v>0.02</v>
      </c>
      <c r="K596" s="31">
        <f t="shared" si="56"/>
        <v>0.11799999999999999</v>
      </c>
      <c r="L596" s="31">
        <f t="shared" si="57"/>
        <v>8.3000000000000004E-2</v>
      </c>
      <c r="M596" s="31">
        <f t="shared" si="58"/>
        <v>0.125</v>
      </c>
      <c r="N596" t="e">
        <f>VLOOKUP(A596,#REF!,11,0)</f>
        <v>#REF!</v>
      </c>
      <c r="O596" t="e">
        <f>VLOOKUP(A596,#REF!,12,0)</f>
        <v>#REF!</v>
      </c>
      <c r="P596" t="e">
        <f>VLOOKUP(A596,#REF!,13,0)</f>
        <v>#REF!</v>
      </c>
      <c r="Q596" t="e">
        <f>VLOOKUP(A596,#REF!,14,0)</f>
        <v>#REF!</v>
      </c>
      <c r="R596">
        <v>-2.8572504238058629</v>
      </c>
      <c r="S596">
        <v>-0.29900823688685929</v>
      </c>
      <c r="T596" s="31" t="str">
        <f>VLOOKUP(C596,V:W,2,0)</f>
        <v>BRA</v>
      </c>
      <c r="U596" t="str">
        <f t="shared" si="59"/>
        <v/>
      </c>
    </row>
    <row r="597" spans="1:21" x14ac:dyDescent="0.25">
      <c r="A597" s="31" t="s">
        <v>1207</v>
      </c>
      <c r="B597" s="31" t="s">
        <v>1672</v>
      </c>
      <c r="C597" s="31" t="s">
        <v>1260</v>
      </c>
      <c r="D597" s="31">
        <f>IFERROR(ROUND(VLOOKUP(A597,institutions!A:E,4,0),2),"")</f>
        <v>1.1100000000000001</v>
      </c>
      <c r="E597" s="31">
        <f>IFERROR(ROUND(VLOOKUP(A597,institutions!A:X,7,0),2),"")</f>
        <v>1.1200000000000001</v>
      </c>
      <c r="F597" s="31">
        <f>IFERROR(ROUND(VLOOKUP(A597,institutions!A:X,10,0),2),"")</f>
        <v>1.1000000000000001</v>
      </c>
      <c r="G597" s="31">
        <f>IFERROR(ROUND(VLOOKUP(A597,institutions!A:X,13,0),2),"")</f>
        <v>1.1000000000000001</v>
      </c>
      <c r="H597" s="31">
        <f>IFERROR(ROUND(VLOOKUP(A597,institutions!A:X,16,0),2),"")</f>
        <v>1.22</v>
      </c>
      <c r="I597" s="31">
        <f t="shared" si="54"/>
        <v>1.2E-2</v>
      </c>
      <c r="J597" s="31">
        <f t="shared" si="55"/>
        <v>6.8000000000000005E-2</v>
      </c>
      <c r="K597" s="31">
        <f t="shared" si="56"/>
        <v>0.127</v>
      </c>
      <c r="L597" s="31">
        <f t="shared" si="57"/>
        <v>6.8000000000000005E-2</v>
      </c>
      <c r="M597" s="31">
        <f t="shared" si="58"/>
        <v>5.5E-2</v>
      </c>
      <c r="N597" t="e">
        <f>VLOOKUP(A597,#REF!,11,0)</f>
        <v>#REF!</v>
      </c>
      <c r="O597" t="e">
        <f>VLOOKUP(A597,#REF!,12,0)</f>
        <v>#REF!</v>
      </c>
      <c r="P597" t="e">
        <f>VLOOKUP(A597,#REF!,13,0)</f>
        <v>#REF!</v>
      </c>
      <c r="Q597" t="e">
        <f>VLOOKUP(A597,#REF!,14,0)</f>
        <v>#REF!</v>
      </c>
      <c r="R597">
        <v>-2.9182598182683668</v>
      </c>
      <c r="S597">
        <v>-4.7396680254798602E-2</v>
      </c>
      <c r="T597" s="31" t="str">
        <f>VLOOKUP(C597,V:W,2,0)</f>
        <v>GRE</v>
      </c>
      <c r="U597" t="str">
        <f t="shared" si="59"/>
        <v/>
      </c>
    </row>
    <row r="598" spans="1:21" x14ac:dyDescent="0.25">
      <c r="A598" s="31" t="s">
        <v>1210</v>
      </c>
      <c r="B598" s="31" t="s">
        <v>1844</v>
      </c>
      <c r="C598" s="31" t="s">
        <v>1243</v>
      </c>
      <c r="D598" s="31">
        <f>IFERROR(ROUND(VLOOKUP(A598,institutions!A:E,4,0),2),"")</f>
        <v>1.1000000000000001</v>
      </c>
      <c r="E598" s="31">
        <f>IFERROR(ROUND(VLOOKUP(A598,institutions!A:X,7,0),2),"")</f>
        <v>1.1100000000000001</v>
      </c>
      <c r="F598" s="31">
        <f>IFERROR(ROUND(VLOOKUP(A598,institutions!A:X,10,0),2),"")</f>
        <v>1.07</v>
      </c>
      <c r="G598" s="31">
        <f>IFERROR(ROUND(VLOOKUP(A598,institutions!A:X,13,0),2),"")</f>
        <v>1.19</v>
      </c>
      <c r="H598" s="31">
        <f>IFERROR(ROUND(VLOOKUP(A598,institutions!A:X,16,0),2),"")</f>
        <v>1.25</v>
      </c>
      <c r="I598" s="31">
        <f t="shared" si="54"/>
        <v>0.01</v>
      </c>
      <c r="J598" s="31">
        <f t="shared" si="55"/>
        <v>0.06</v>
      </c>
      <c r="K598" s="31">
        <f t="shared" si="56"/>
        <v>0.1</v>
      </c>
      <c r="L598" s="31">
        <f t="shared" si="57"/>
        <v>8.6999999999999994E-2</v>
      </c>
      <c r="M598" s="31">
        <f t="shared" si="58"/>
        <v>6.2E-2</v>
      </c>
      <c r="N598" t="e">
        <f>VLOOKUP(A598,#REF!,11,0)</f>
        <v>#REF!</v>
      </c>
      <c r="O598" t="e">
        <f>VLOOKUP(A598,#REF!,12,0)</f>
        <v>#REF!</v>
      </c>
      <c r="P598" t="e">
        <f>VLOOKUP(A598,#REF!,13,0)</f>
        <v>#REF!</v>
      </c>
      <c r="Q598" t="e">
        <f>VLOOKUP(A598,#REF!,14,0)</f>
        <v>#REF!</v>
      </c>
      <c r="R598">
        <v>-2.9306345813578729</v>
      </c>
      <c r="S598">
        <v>-0.14652630180090001</v>
      </c>
      <c r="T598" s="31" t="str">
        <f>VLOOKUP(C598,V:W,2,0)</f>
        <v>TWN</v>
      </c>
      <c r="U598" t="str">
        <f t="shared" si="59"/>
        <v/>
      </c>
    </row>
    <row r="599" spans="1:21" x14ac:dyDescent="0.25">
      <c r="A599" s="31" t="s">
        <v>1209</v>
      </c>
      <c r="B599" s="31" t="s">
        <v>1843</v>
      </c>
      <c r="C599" s="31" t="s">
        <v>1264</v>
      </c>
      <c r="D599" s="31">
        <f>IFERROR(ROUND(VLOOKUP(A599,institutions!A:E,4,0),2),"")</f>
        <v>1.1000000000000001</v>
      </c>
      <c r="E599" s="31">
        <f>IFERROR(ROUND(VLOOKUP(A599,institutions!A:X,7,0),2),"")</f>
        <v>1.0900000000000001</v>
      </c>
      <c r="F599" s="31">
        <f>IFERROR(ROUND(VLOOKUP(A599,institutions!A:X,10,0),2),"")</f>
        <v>1.07</v>
      </c>
      <c r="G599" s="31">
        <f>IFERROR(ROUND(VLOOKUP(A599,institutions!A:X,13,0),2),"")</f>
        <v>1.21</v>
      </c>
      <c r="H599" s="31">
        <f>IFERROR(ROUND(VLOOKUP(A599,institutions!A:X,16,0),2),"")</f>
        <v>1.48</v>
      </c>
      <c r="I599" s="31">
        <f t="shared" si="54"/>
        <v>0.01</v>
      </c>
      <c r="J599" s="31">
        <f t="shared" si="55"/>
        <v>4.4999999999999998E-2</v>
      </c>
      <c r="K599" s="31">
        <f t="shared" si="56"/>
        <v>0.1</v>
      </c>
      <c r="L599" s="31">
        <f t="shared" si="57"/>
        <v>9.1999999999999998E-2</v>
      </c>
      <c r="M599" s="31">
        <f t="shared" si="58"/>
        <v>0.11</v>
      </c>
      <c r="N599" t="e">
        <f>VLOOKUP(A599,#REF!,11,0)</f>
        <v>#REF!</v>
      </c>
      <c r="O599" t="e">
        <f>VLOOKUP(A599,#REF!,12,0)</f>
        <v>#REF!</v>
      </c>
      <c r="P599" t="e">
        <f>VLOOKUP(A599,#REF!,13,0)</f>
        <v>#REF!</v>
      </c>
      <c r="Q599" t="e">
        <f>VLOOKUP(A599,#REF!,14,0)</f>
        <v>#REF!</v>
      </c>
      <c r="R599">
        <v>-2.8590279992604621</v>
      </c>
      <c r="S599">
        <v>-0.26301980968739952</v>
      </c>
      <c r="T599" s="31" t="str">
        <f>VLOOKUP(C599,V:W,2,0)</f>
        <v>IRAN</v>
      </c>
      <c r="U599" t="str">
        <f t="shared" si="59"/>
        <v/>
      </c>
    </row>
    <row r="600" spans="1:21" x14ac:dyDescent="0.25">
      <c r="A600" s="31" t="s">
        <v>1211</v>
      </c>
      <c r="B600" s="31" t="s">
        <v>2015</v>
      </c>
      <c r="C600" s="31" t="s">
        <v>1268</v>
      </c>
      <c r="D600" s="31">
        <f>IFERROR(ROUND(VLOOKUP(A600,institutions!A:E,4,0),2),"")</f>
        <v>1.05</v>
      </c>
      <c r="E600" s="31">
        <f>IFERROR(ROUND(VLOOKUP(A600,institutions!A:X,7,0),2),"")</f>
        <v>1.03</v>
      </c>
      <c r="F600" s="31">
        <f>IFERROR(ROUND(VLOOKUP(A600,institutions!A:X,10,0),2),"")</f>
        <v>1.51</v>
      </c>
      <c r="G600" s="31">
        <f>IFERROR(ROUND(VLOOKUP(A600,institutions!A:X,13,0),2),"")</f>
        <v>1</v>
      </c>
      <c r="H600" s="31">
        <f>IFERROR(ROUND(VLOOKUP(A600,institutions!A:X,16,0),2),"")</f>
        <v>1.07</v>
      </c>
      <c r="I600" s="31">
        <f t="shared" si="54"/>
        <v>7.0000000000000001E-3</v>
      </c>
      <c r="J600" s="31">
        <f t="shared" si="55"/>
        <v>0.02</v>
      </c>
      <c r="K600" s="31">
        <f t="shared" si="56"/>
        <v>0.53300000000000003</v>
      </c>
      <c r="L600" s="31">
        <f t="shared" si="57"/>
        <v>5.2999999999999999E-2</v>
      </c>
      <c r="M600" s="31">
        <f t="shared" si="58"/>
        <v>4.4999999999999998E-2</v>
      </c>
      <c r="N600" t="e">
        <f>VLOOKUP(A600,#REF!,11,0)</f>
        <v>#REF!</v>
      </c>
      <c r="O600" t="e">
        <f>VLOOKUP(A600,#REF!,12,0)</f>
        <v>#REF!</v>
      </c>
      <c r="P600" t="e">
        <f>VLOOKUP(A600,#REF!,13,0)</f>
        <v>#REF!</v>
      </c>
      <c r="Q600" t="e">
        <f>VLOOKUP(A600,#REF!,14,0)</f>
        <v>#REF!</v>
      </c>
      <c r="R600">
        <v>-2.3462608986911069</v>
      </c>
      <c r="S600">
        <v>0.48173389961058588</v>
      </c>
      <c r="T600" s="31" t="str">
        <f>VLOOKUP(C600,V:W,2,0)</f>
        <v>ROM</v>
      </c>
      <c r="U600" t="str">
        <f t="shared" si="59"/>
        <v/>
      </c>
    </row>
    <row r="601" spans="1:21" x14ac:dyDescent="0.25">
      <c r="A601" s="31" t="s">
        <v>1213</v>
      </c>
      <c r="B601" s="31" t="s">
        <v>1674</v>
      </c>
      <c r="C601" s="31" t="s">
        <v>1269</v>
      </c>
      <c r="D601" s="31">
        <f>IFERROR(ROUND(VLOOKUP(A601,institutions!A:E,4,0),2),"")</f>
        <v>1.04</v>
      </c>
      <c r="E601" s="31">
        <f>IFERROR(ROUND(VLOOKUP(A601,institutions!A:X,7,0),2),"")</f>
        <v>1.04</v>
      </c>
      <c r="F601" s="31">
        <f>IFERROR(ROUND(VLOOKUP(A601,institutions!A:X,10,0),2),"")</f>
        <v>1.06</v>
      </c>
      <c r="G601" s="31">
        <f>IFERROR(ROUND(VLOOKUP(A601,institutions!A:X,13,0),2),"")</f>
        <v>1.26</v>
      </c>
      <c r="H601" s="31">
        <f>IFERROR(ROUND(VLOOKUP(A601,institutions!A:X,16,0),2),"")</f>
        <v>1.05</v>
      </c>
      <c r="I601" s="31">
        <f t="shared" si="54"/>
        <v>5.0000000000000001E-3</v>
      </c>
      <c r="J601" s="31">
        <f t="shared" si="55"/>
        <v>2.3E-2</v>
      </c>
      <c r="K601" s="31">
        <f t="shared" si="56"/>
        <v>0.09</v>
      </c>
      <c r="L601" s="31">
        <f t="shared" si="57"/>
        <v>0.107</v>
      </c>
      <c r="M601" s="31">
        <f t="shared" si="58"/>
        <v>4.2999999999999997E-2</v>
      </c>
      <c r="N601" t="e">
        <f>VLOOKUP(A601,#REF!,11,0)</f>
        <v>#REF!</v>
      </c>
      <c r="O601" t="e">
        <f>VLOOKUP(A601,#REF!,12,0)</f>
        <v>#REF!</v>
      </c>
      <c r="P601" t="e">
        <f>VLOOKUP(A601,#REF!,13,0)</f>
        <v>#REF!</v>
      </c>
      <c r="Q601" t="e">
        <f>VLOOKUP(A601,#REF!,14,0)</f>
        <v>#REF!</v>
      </c>
      <c r="R601">
        <v>-3.0055324610144361</v>
      </c>
      <c r="S601">
        <v>-0.24327208436724901</v>
      </c>
      <c r="T601" s="31" t="str">
        <f>VLOOKUP(C601,V:W,2,0)</f>
        <v>SERBIA</v>
      </c>
      <c r="U601" t="str">
        <f t="shared" si="59"/>
        <v/>
      </c>
    </row>
    <row r="602" spans="1:21" x14ac:dyDescent="0.25">
      <c r="A602" s="31" t="s">
        <v>1212</v>
      </c>
      <c r="B602" s="31" t="s">
        <v>1673</v>
      </c>
      <c r="C602" s="31" t="s">
        <v>1269</v>
      </c>
      <c r="D602" s="31">
        <f>IFERROR(ROUND(VLOOKUP(A602,institutions!A:E,4,0),2),"")</f>
        <v>1.03</v>
      </c>
      <c r="E602" s="31">
        <f>IFERROR(ROUND(VLOOKUP(A602,institutions!A:X,7,0),2),"")</f>
        <v>1.03</v>
      </c>
      <c r="F602" s="31">
        <f>IFERROR(ROUND(VLOOKUP(A602,institutions!A:X,10,0),2),"")</f>
        <v>1.25</v>
      </c>
      <c r="G602" s="31">
        <f>IFERROR(ROUND(VLOOKUP(A602,institutions!A:X,13,0),2),"")</f>
        <v>1.02</v>
      </c>
      <c r="H602" s="31">
        <f>IFERROR(ROUND(VLOOKUP(A602,institutions!A:X,16,0),2),"")</f>
        <v>1.36</v>
      </c>
      <c r="I602" s="31">
        <f t="shared" si="54"/>
        <v>3.0000000000000001E-3</v>
      </c>
      <c r="J602" s="31">
        <f t="shared" si="55"/>
        <v>0.02</v>
      </c>
      <c r="K602" s="31">
        <f t="shared" si="56"/>
        <v>0.29699999999999999</v>
      </c>
      <c r="L602" s="31">
        <f t="shared" si="57"/>
        <v>0.06</v>
      </c>
      <c r="M602" s="31">
        <f t="shared" si="58"/>
        <v>0.08</v>
      </c>
      <c r="N602" t="e">
        <f>VLOOKUP(A602,#REF!,11,0)</f>
        <v>#REF!</v>
      </c>
      <c r="O602" t="e">
        <f>VLOOKUP(A602,#REF!,12,0)</f>
        <v>#REF!</v>
      </c>
      <c r="P602" t="e">
        <f>VLOOKUP(A602,#REF!,13,0)</f>
        <v>#REF!</v>
      </c>
      <c r="Q602" t="e">
        <f>VLOOKUP(A602,#REF!,14,0)</f>
        <v>#REF!</v>
      </c>
      <c r="R602">
        <v>-2.6737543188116311</v>
      </c>
      <c r="S602">
        <v>7.1151503436162084E-2</v>
      </c>
      <c r="T602" s="31" t="str">
        <f>VLOOKUP(C602,V:W,2,0)</f>
        <v>SERBIA</v>
      </c>
      <c r="U602" t="str">
        <f t="shared" si="59"/>
        <v/>
      </c>
    </row>
    <row r="603" spans="1:21" x14ac:dyDescent="0.25">
      <c r="A603" s="31" t="s">
        <v>1214</v>
      </c>
      <c r="B603" s="31" t="s">
        <v>2016</v>
      </c>
      <c r="C603" s="31" t="s">
        <v>1270</v>
      </c>
      <c r="D603" s="31">
        <f>IFERROR(ROUND(VLOOKUP(A603,institutions!A:E,4,0),2),"")</f>
        <v>1</v>
      </c>
      <c r="E603" s="31">
        <f>IFERROR(ROUND(VLOOKUP(A603,institutions!A:X,7,0),2),"")</f>
        <v>1.02</v>
      </c>
      <c r="F603" s="31" t="str">
        <f>IFERROR(ROUND(VLOOKUP(A603,institutions!A:X,10,0),2),"")</f>
        <v/>
      </c>
      <c r="G603" s="31">
        <f>IFERROR(ROUND(VLOOKUP(A603,institutions!A:X,13,0),2),"")</f>
        <v>1</v>
      </c>
      <c r="H603" s="31">
        <f>IFERROR(ROUND(VLOOKUP(A603,institutions!A:X,16,0),2),"")</f>
        <v>1.1000000000000001</v>
      </c>
      <c r="I603" s="31">
        <f t="shared" si="54"/>
        <v>2E-3</v>
      </c>
      <c r="J603" s="31">
        <f t="shared" si="55"/>
        <v>8.0000000000000002E-3</v>
      </c>
      <c r="K603" s="31">
        <f t="shared" si="56"/>
        <v>0</v>
      </c>
      <c r="L603" s="31">
        <f t="shared" si="57"/>
        <v>5.2999999999999999E-2</v>
      </c>
      <c r="M603" s="31">
        <f t="shared" si="58"/>
        <v>4.8000000000000001E-2</v>
      </c>
      <c r="N603" t="e">
        <f>VLOOKUP(A603,#REF!,11,0)</f>
        <v>#REF!</v>
      </c>
      <c r="O603" t="e">
        <f>VLOOKUP(A603,#REF!,12,0)</f>
        <v>#REF!</v>
      </c>
      <c r="P603" t="e">
        <f>VLOOKUP(A603,#REF!,13,0)</f>
        <v>#REF!</v>
      </c>
      <c r="Q603" t="e">
        <f>VLOOKUP(A603,#REF!,14,0)</f>
        <v>#REF!</v>
      </c>
      <c r="R603">
        <v>-3.2706433507812909</v>
      </c>
      <c r="S603">
        <v>-0.3242230962102961</v>
      </c>
      <c r="T603" s="31" t="str">
        <f>VLOOKUP(C603,V:W,2,0)</f>
        <v>LIT</v>
      </c>
      <c r="U603" t="str">
        <f t="shared" si="59"/>
        <v/>
      </c>
    </row>
  </sheetData>
  <sortState ref="A4:U603">
    <sortCondition descending="1" ref="D4:D603"/>
    <sortCondition ref="A4:A603"/>
  </sortState>
  <mergeCells count="3">
    <mergeCell ref="AG56:AH56"/>
    <mergeCell ref="AG58:AH58"/>
    <mergeCell ref="AG55:AH55"/>
  </mergeCells>
  <pageMargins left="0.75" right="0.75" top="1" bottom="1" header="0.5" footer="0.5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1"/>
  <sheetViews>
    <sheetView workbookViewId="0">
      <selection activeCell="D13" sqref="D13"/>
    </sheetView>
  </sheetViews>
  <sheetFormatPr baseColWidth="10" defaultRowHeight="15" x14ac:dyDescent="0.25"/>
  <cols>
    <col min="1" max="1" width="45.42578125" customWidth="1"/>
    <col min="2" max="2" width="11.85546875" bestFit="1" customWidth="1"/>
  </cols>
  <sheetData>
    <row r="1" spans="1:6" x14ac:dyDescent="0.25">
      <c r="A1" t="s">
        <v>1503</v>
      </c>
      <c r="B1" t="s">
        <v>1449</v>
      </c>
      <c r="C1" t="s">
        <v>1451</v>
      </c>
      <c r="D1" t="s">
        <v>1457</v>
      </c>
      <c r="E1" t="s">
        <v>1453</v>
      </c>
      <c r="F1" t="s">
        <v>1455</v>
      </c>
    </row>
    <row r="2" spans="1:6" x14ac:dyDescent="0.25">
      <c r="A2" t="str">
        <f>institutions_spss!A4</f>
        <v>Center for Economic &amp; Policy Research (CEPR)</v>
      </c>
      <c r="B2">
        <f>VLOOKUP(A2,institutions_spss!A:M,9,0)</f>
        <v>1</v>
      </c>
      <c r="C2">
        <f>VLOOKUP(A2,institutions_spss!A:M,10,0)</f>
        <v>0.995</v>
      </c>
      <c r="D2">
        <f>VLOOKUP(A2,institutions_spss!A:M,11,0)</f>
        <v>0.99199999999999999</v>
      </c>
      <c r="E2">
        <f>VLOOKUP(A2,institutions_spss!A:M,12,0)</f>
        <v>0</v>
      </c>
      <c r="F2">
        <f>VLOOKUP(A2,institutions_spss!A:M,13,0)</f>
        <v>0</v>
      </c>
    </row>
    <row r="3" spans="1:6" x14ac:dyDescent="0.25">
      <c r="A3" t="str">
        <f>institutions_spss!A5</f>
        <v>University of Chicago</v>
      </c>
      <c r="B3">
        <f>VLOOKUP(A3,institutions_spss!A:M,9,0)</f>
        <v>0.998</v>
      </c>
      <c r="C3">
        <f>VLOOKUP(A3,institutions_spss!A:M,10,0)</f>
        <v>0.998</v>
      </c>
      <c r="D3">
        <f>VLOOKUP(A3,institutions_spss!A:M,11,0)</f>
        <v>0.997</v>
      </c>
      <c r="E3">
        <f>VLOOKUP(A3,institutions_spss!A:M,12,0)</f>
        <v>0.81200000000000006</v>
      </c>
      <c r="F3">
        <f>VLOOKUP(A3,institutions_spss!A:M,13,0)</f>
        <v>0.3</v>
      </c>
    </row>
    <row r="4" spans="1:6" x14ac:dyDescent="0.25">
      <c r="A4" t="str">
        <f>institutions_spss!A6</f>
        <v>University of California Santa Barbara</v>
      </c>
      <c r="B4">
        <f>VLOOKUP(A4,institutions_spss!A:M,9,0)</f>
        <v>0.997</v>
      </c>
      <c r="C4">
        <f>VLOOKUP(A4,institutions_spss!A:M,10,0)</f>
        <v>1</v>
      </c>
      <c r="D4">
        <f>VLOOKUP(A4,institutions_spss!A:M,11,0)</f>
        <v>0.72</v>
      </c>
      <c r="E4">
        <f>VLOOKUP(A4,institutions_spss!A:M,12,0)</f>
        <v>0.48299999999999998</v>
      </c>
      <c r="F4">
        <f>VLOOKUP(A4,institutions_spss!A:M,13,0)</f>
        <v>0.95</v>
      </c>
    </row>
    <row r="5" spans="1:6" x14ac:dyDescent="0.25">
      <c r="A5" t="str">
        <f>institutions_spss!A7</f>
        <v>Princeton University</v>
      </c>
      <c r="B5">
        <f>VLOOKUP(A5,institutions_spss!A:M,9,0)</f>
        <v>0.99299999999999999</v>
      </c>
      <c r="C5">
        <f>VLOOKUP(A5,institutions_spss!A:M,10,0)</f>
        <v>0.99299999999999999</v>
      </c>
      <c r="D5">
        <f>VLOOKUP(A5,institutions_spss!A:M,11,0)</f>
        <v>0.94299999999999995</v>
      </c>
      <c r="E5">
        <f>VLOOKUP(A5,institutions_spss!A:M,12,0)</f>
        <v>0</v>
      </c>
      <c r="F5">
        <f>VLOOKUP(A5,institutions_spss!A:M,13,0)</f>
        <v>0</v>
      </c>
    </row>
    <row r="6" spans="1:6" x14ac:dyDescent="0.25">
      <c r="A6" t="str">
        <f>institutions_spss!A8</f>
        <v>London Business School</v>
      </c>
      <c r="B6">
        <f>VLOOKUP(A6,institutions_spss!A:M,9,0)</f>
        <v>0.995</v>
      </c>
      <c r="C6">
        <f>VLOOKUP(A6,institutions_spss!A:M,10,0)</f>
        <v>0.997</v>
      </c>
      <c r="D6">
        <f>VLOOKUP(A6,institutions_spss!A:M,11,0)</f>
        <v>0.98</v>
      </c>
      <c r="E6">
        <f>VLOOKUP(A6,institutions_spss!A:M,12,0)</f>
        <v>0.98299999999999998</v>
      </c>
      <c r="F6">
        <f>VLOOKUP(A6,institutions_spss!A:M,13,0)</f>
        <v>0.96799999999999997</v>
      </c>
    </row>
    <row r="7" spans="1:6" x14ac:dyDescent="0.25">
      <c r="A7" t="str">
        <f>institutions_spss!A9</f>
        <v>Yale University</v>
      </c>
      <c r="B7">
        <f>VLOOKUP(A7,institutions_spss!A:M,9,0)</f>
        <v>0.99199999999999999</v>
      </c>
      <c r="C7">
        <f>VLOOKUP(A7,institutions_spss!A:M,10,0)</f>
        <v>0.98699999999999999</v>
      </c>
      <c r="D7">
        <f>VLOOKUP(A7,institutions_spss!A:M,11,0)</f>
        <v>0.998</v>
      </c>
      <c r="E7">
        <f>VLOOKUP(A7,institutions_spss!A:M,12,0)</f>
        <v>0.98499999999999999</v>
      </c>
      <c r="F7">
        <f>VLOOKUP(A7,institutions_spss!A:M,13,0)</f>
        <v>0.95</v>
      </c>
    </row>
    <row r="8" spans="1:6" x14ac:dyDescent="0.25">
      <c r="A8" t="str">
        <f>institutions_spss!A10</f>
        <v>National Bureau of Economic Research</v>
      </c>
      <c r="B8">
        <f>VLOOKUP(A8,institutions_spss!A:M,9,0)</f>
        <v>0.98799999999999999</v>
      </c>
      <c r="C8">
        <f>VLOOKUP(A8,institutions_spss!A:M,10,0)</f>
        <v>0.98</v>
      </c>
      <c r="D8">
        <f>VLOOKUP(A8,institutions_spss!A:M,11,0)</f>
        <v>0</v>
      </c>
      <c r="E8">
        <f>VLOOKUP(A8,institutions_spss!A:M,12,0)</f>
        <v>0</v>
      </c>
      <c r="F8">
        <f>VLOOKUP(A8,institutions_spss!A:M,13,0)</f>
        <v>0</v>
      </c>
    </row>
    <row r="9" spans="1:6" x14ac:dyDescent="0.25">
      <c r="A9" t="str">
        <f>institutions_spss!A11</f>
        <v>Stanford University</v>
      </c>
      <c r="B9">
        <f>VLOOKUP(A9,institutions_spss!A:M,9,0)</f>
        <v>0.99</v>
      </c>
      <c r="C9">
        <f>VLOOKUP(A9,institutions_spss!A:M,10,0)</f>
        <v>0.98299999999999998</v>
      </c>
      <c r="D9">
        <f>VLOOKUP(A9,institutions_spss!A:M,11,0)</f>
        <v>0.995</v>
      </c>
      <c r="E9">
        <f>VLOOKUP(A9,institutions_spss!A:M,12,0)</f>
        <v>0.98299999999999998</v>
      </c>
      <c r="F9">
        <f>VLOOKUP(A9,institutions_spss!A:M,13,0)</f>
        <v>0.997</v>
      </c>
    </row>
    <row r="10" spans="1:6" x14ac:dyDescent="0.25">
      <c r="A10" t="str">
        <f>institutions_spss!A12</f>
        <v>Massachusetts Institute of Technology (MIT)</v>
      </c>
      <c r="B10">
        <f>VLOOKUP(A10,institutions_spss!A:M,9,0)</f>
        <v>0.98699999999999999</v>
      </c>
      <c r="C10">
        <f>VLOOKUP(A10,institutions_spss!A:M,10,0)</f>
        <v>0.99199999999999999</v>
      </c>
      <c r="D10">
        <f>VLOOKUP(A10,institutions_spss!A:M,11,0)</f>
        <v>0.90200000000000002</v>
      </c>
      <c r="E10">
        <f>VLOOKUP(A10,institutions_spss!A:M,12,0)</f>
        <v>0.82199999999999995</v>
      </c>
      <c r="F10">
        <f>VLOOKUP(A10,institutions_spss!A:M,13,0)</f>
        <v>0.94199999999999995</v>
      </c>
    </row>
    <row r="11" spans="1:6" x14ac:dyDescent="0.25">
      <c r="A11" t="str">
        <f>institutions_spss!A13</f>
        <v>University of California Berkeley</v>
      </c>
      <c r="B11">
        <f>VLOOKUP(A11,institutions_spss!A:M,9,0)</f>
        <v>0.98499999999999999</v>
      </c>
      <c r="C11">
        <f>VLOOKUP(A11,institutions_spss!A:M,10,0)</f>
        <v>0.98199999999999998</v>
      </c>
      <c r="D11">
        <f>VLOOKUP(A11,institutions_spss!A:M,11,0)</f>
        <v>0.95499999999999996</v>
      </c>
      <c r="E11">
        <f>VLOOKUP(A11,institutions_spss!A:M,12,0)</f>
        <v>0.93500000000000005</v>
      </c>
      <c r="F11">
        <f>VLOOKUP(A11,institutions_spss!A:M,13,0)</f>
        <v>0.90200000000000002</v>
      </c>
    </row>
    <row r="12" spans="1:6" x14ac:dyDescent="0.25">
      <c r="A12" t="str">
        <f>institutions_spss!A14</f>
        <v>Swiss Finance Institute (SFI)</v>
      </c>
      <c r="B12">
        <f>VLOOKUP(A12,institutions_spss!A:M,9,0)</f>
        <v>0.98199999999999998</v>
      </c>
      <c r="C12">
        <f>VLOOKUP(A12,institutions_spss!A:M,10,0)</f>
        <v>0.95799999999999996</v>
      </c>
      <c r="D12">
        <f>VLOOKUP(A12,institutions_spss!A:M,11,0)</f>
        <v>0.97299999999999998</v>
      </c>
      <c r="E12">
        <f>VLOOKUP(A12,institutions_spss!A:M,12,0)</f>
        <v>0</v>
      </c>
      <c r="F12">
        <f>VLOOKUP(A12,institutions_spss!A:M,13,0)</f>
        <v>0</v>
      </c>
    </row>
    <row r="13" spans="1:6" x14ac:dyDescent="0.25">
      <c r="A13" t="str">
        <f>institutions_spss!A15</f>
        <v>Harvard University</v>
      </c>
      <c r="B13">
        <f>VLOOKUP(A13,institutions_spss!A:M,9,0)</f>
        <v>0.98299999999999998</v>
      </c>
      <c r="C13">
        <f>VLOOKUP(A13,institutions_spss!A:M,10,0)</f>
        <v>0.98799999999999999</v>
      </c>
      <c r="D13">
        <f>VLOOKUP(A13,institutions_spss!A:M,11,0)</f>
        <v>0.95199999999999996</v>
      </c>
      <c r="E13">
        <f>VLOOKUP(A13,institutions_spss!A:M,12,0)</f>
        <v>0.875</v>
      </c>
      <c r="F13">
        <f>VLOOKUP(A13,institutions_spss!A:M,13,0)</f>
        <v>0.90800000000000003</v>
      </c>
    </row>
    <row r="14" spans="1:6" x14ac:dyDescent="0.25">
      <c r="A14" t="str">
        <f>institutions_spss!A16</f>
        <v>Columbia University</v>
      </c>
      <c r="B14">
        <f>VLOOKUP(A14,institutions_spss!A:M,9,0)</f>
        <v>0.97699999999999998</v>
      </c>
      <c r="C14">
        <f>VLOOKUP(A14,institutions_spss!A:M,10,0)</f>
        <v>0.97199999999999998</v>
      </c>
      <c r="D14">
        <f>VLOOKUP(A14,institutions_spss!A:M,11,0)</f>
        <v>0.97</v>
      </c>
      <c r="E14">
        <f>VLOOKUP(A14,institutions_spss!A:M,12,0)</f>
        <v>0.97799999999999998</v>
      </c>
      <c r="F14">
        <f>VLOOKUP(A14,institutions_spss!A:M,13,0)</f>
        <v>0.747</v>
      </c>
    </row>
    <row r="15" spans="1:6" x14ac:dyDescent="0.25">
      <c r="A15" t="str">
        <f>institutions_spss!A17</f>
        <v>Boston University</v>
      </c>
      <c r="B15">
        <f>VLOOKUP(A15,institutions_spss!A:M,9,0)</f>
        <v>0.98</v>
      </c>
      <c r="C15">
        <f>VLOOKUP(A15,institutions_spss!A:M,10,0)</f>
        <v>0.97299999999999998</v>
      </c>
      <c r="D15">
        <f>VLOOKUP(A15,institutions_spss!A:M,11,0)</f>
        <v>0.872</v>
      </c>
      <c r="E15">
        <f>VLOOKUP(A15,institutions_spss!A:M,12,0)</f>
        <v>0.998</v>
      </c>
      <c r="F15">
        <f>VLOOKUP(A15,institutions_spss!A:M,13,0)</f>
        <v>0.98799999999999999</v>
      </c>
    </row>
    <row r="16" spans="1:6" x14ac:dyDescent="0.25">
      <c r="A16" t="str">
        <f>institutions_spss!A18</f>
        <v>Pompeu Fabra University</v>
      </c>
      <c r="B16">
        <f>VLOOKUP(A16,institutions_spss!A:M,9,0)</f>
        <v>0.97799999999999998</v>
      </c>
      <c r="C16">
        <f>VLOOKUP(A16,institutions_spss!A:M,10,0)</f>
        <v>0.99</v>
      </c>
      <c r="D16">
        <f>VLOOKUP(A16,institutions_spss!A:M,11,0)</f>
        <v>0.71199999999999997</v>
      </c>
      <c r="E16">
        <f>VLOOKUP(A16,institutions_spss!A:M,12,0)</f>
        <v>6.5000000000000002E-2</v>
      </c>
      <c r="F16">
        <f>VLOOKUP(A16,institutions_spss!A:M,13,0)</f>
        <v>6.8000000000000005E-2</v>
      </c>
    </row>
    <row r="17" spans="1:6" x14ac:dyDescent="0.25">
      <c r="A17" t="str">
        <f>institutions_spss!A19</f>
        <v>Centre for Economic Policy Research - UK</v>
      </c>
      <c r="B17">
        <f>VLOOKUP(A17,institutions_spss!A:M,9,0)</f>
        <v>0.97299999999999998</v>
      </c>
      <c r="C17">
        <f>VLOOKUP(A17,institutions_spss!A:M,10,0)</f>
        <v>0.96699999999999997</v>
      </c>
      <c r="D17">
        <f>VLOOKUP(A17,institutions_spss!A:M,11,0)</f>
        <v>0.878</v>
      </c>
      <c r="E17">
        <f>VLOOKUP(A17,institutions_spss!A:M,12,0)</f>
        <v>0</v>
      </c>
      <c r="F17">
        <f>VLOOKUP(A17,institutions_spss!A:M,13,0)</f>
        <v>0</v>
      </c>
    </row>
    <row r="18" spans="1:6" x14ac:dyDescent="0.25">
      <c r="A18" t="str">
        <f>institutions_spss!A20</f>
        <v>University of California Los Angeles</v>
      </c>
      <c r="B18">
        <f>VLOOKUP(A18,institutions_spss!A:M,9,0)</f>
        <v>0.97199999999999998</v>
      </c>
      <c r="C18">
        <f>VLOOKUP(A18,institutions_spss!A:M,10,0)</f>
        <v>0.98499999999999999</v>
      </c>
      <c r="D18">
        <f>VLOOKUP(A18,institutions_spss!A:M,11,0)</f>
        <v>0.88700000000000001</v>
      </c>
      <c r="E18">
        <f>VLOOKUP(A18,institutions_spss!A:M,12,0)</f>
        <v>0.73499999999999999</v>
      </c>
      <c r="F18">
        <f>VLOOKUP(A18,institutions_spss!A:M,13,0)</f>
        <v>0.86299999999999999</v>
      </c>
    </row>
    <row r="19" spans="1:6" x14ac:dyDescent="0.25">
      <c r="A19" t="str">
        <f>institutions_spss!A21</f>
        <v>Northwestern University</v>
      </c>
      <c r="B19">
        <f>VLOOKUP(A19,institutions_spss!A:M,9,0)</f>
        <v>0.97699999999999998</v>
      </c>
      <c r="C19">
        <f>VLOOKUP(A19,institutions_spss!A:M,10,0)</f>
        <v>0.97799999999999998</v>
      </c>
      <c r="D19">
        <f>VLOOKUP(A19,institutions_spss!A:M,11,0)</f>
        <v>0.98799999999999999</v>
      </c>
      <c r="E19">
        <f>VLOOKUP(A19,institutions_spss!A:M,12,0)</f>
        <v>0.97699999999999998</v>
      </c>
      <c r="F19">
        <f>VLOOKUP(A19,institutions_spss!A:M,13,0)</f>
        <v>0.89800000000000002</v>
      </c>
    </row>
    <row r="20" spans="1:6" x14ac:dyDescent="0.25">
      <c r="A20" t="str">
        <f>institutions_spss!A22</f>
        <v>Institut Polytechnique de Paris</v>
      </c>
      <c r="B20">
        <f>VLOOKUP(A20,institutions_spss!A:M,9,0)</f>
        <v>0.97</v>
      </c>
      <c r="C20">
        <f>VLOOKUP(A20,institutions_spss!A:M,10,0)</f>
        <v>0.96799999999999997</v>
      </c>
      <c r="D20">
        <f>VLOOKUP(A20,institutions_spss!A:M,11,0)</f>
        <v>0.65500000000000003</v>
      </c>
      <c r="E20">
        <f>VLOOKUP(A20,institutions_spss!A:M,12,0)</f>
        <v>0</v>
      </c>
      <c r="F20">
        <f>VLOOKUP(A20,institutions_spss!A:M,13,0)</f>
        <v>0.51500000000000001</v>
      </c>
    </row>
    <row r="21" spans="1:6" x14ac:dyDescent="0.25">
      <c r="A21" t="str">
        <f>institutions_spss!A23</f>
        <v>University of California San Diego</v>
      </c>
      <c r="B21">
        <f>VLOOKUP(A21,institutions_spss!A:M,9,0)</f>
        <v>0.96499999999999997</v>
      </c>
      <c r="C21">
        <f>VLOOKUP(A21,institutions_spss!A:M,10,0)</f>
        <v>0.96299999999999997</v>
      </c>
      <c r="D21">
        <f>VLOOKUP(A21,institutions_spss!A:M,11,0)</f>
        <v>0.97499999999999998</v>
      </c>
      <c r="E21">
        <f>VLOOKUP(A21,institutions_spss!A:M,12,0)</f>
        <v>0.92200000000000004</v>
      </c>
      <c r="F21">
        <f>VLOOKUP(A21,institutions_spss!A:M,13,0)</f>
        <v>0.46200000000000002</v>
      </c>
    </row>
    <row r="22" spans="1:6" x14ac:dyDescent="0.25">
      <c r="A22" t="str">
        <f>institutions_spss!A24</f>
        <v>Boston College</v>
      </c>
      <c r="B22">
        <f>VLOOKUP(A22,institutions_spss!A:M,9,0)</f>
        <v>0.96799999999999997</v>
      </c>
      <c r="C22">
        <f>VLOOKUP(A22,institutions_spss!A:M,10,0)</f>
        <v>0.95499999999999996</v>
      </c>
      <c r="D22">
        <f>VLOOKUP(A22,institutions_spss!A:M,11,0)</f>
        <v>0.98699999999999999</v>
      </c>
      <c r="E22">
        <f>VLOOKUP(A22,institutions_spss!A:M,12,0)</f>
        <v>0.96699999999999997</v>
      </c>
      <c r="F22">
        <f>VLOOKUP(A22,institutions_spss!A:M,13,0)</f>
        <v>0.99</v>
      </c>
    </row>
    <row r="23" spans="1:6" x14ac:dyDescent="0.25">
      <c r="A23" t="str">
        <f>institutions_spss!A25</f>
        <v>University of Zurich</v>
      </c>
      <c r="B23">
        <f>VLOOKUP(A23,institutions_spss!A:M,9,0)</f>
        <v>0.96199999999999997</v>
      </c>
      <c r="C23">
        <f>VLOOKUP(A23,institutions_spss!A:M,10,0)</f>
        <v>0.97699999999999998</v>
      </c>
      <c r="D23">
        <f>VLOOKUP(A23,institutions_spss!A:M,11,0)</f>
        <v>0.78</v>
      </c>
      <c r="E23">
        <f>VLOOKUP(A23,institutions_spss!A:M,12,0)</f>
        <v>0.69499999999999995</v>
      </c>
      <c r="F23">
        <f>VLOOKUP(A23,institutions_spss!A:M,13,0)</f>
        <v>0.81699999999999995</v>
      </c>
    </row>
    <row r="24" spans="1:6" x14ac:dyDescent="0.25">
      <c r="A24" t="str">
        <f>institutions_spss!A26</f>
        <v>Washington University (WUSTL)</v>
      </c>
      <c r="B24">
        <f>VLOOKUP(A24,institutions_spss!A:M,9,0)</f>
        <v>0.96299999999999997</v>
      </c>
      <c r="C24">
        <f>VLOOKUP(A24,institutions_spss!A:M,10,0)</f>
        <v>0.94799999999999995</v>
      </c>
      <c r="D24">
        <f>VLOOKUP(A24,institutions_spss!A:M,11,0)</f>
        <v>0.97199999999999998</v>
      </c>
      <c r="E24">
        <f>VLOOKUP(A24,institutions_spss!A:M,12,0)</f>
        <v>0.98</v>
      </c>
      <c r="F24">
        <f>VLOOKUP(A24,institutions_spss!A:M,13,0)</f>
        <v>0.97799999999999998</v>
      </c>
    </row>
    <row r="25" spans="1:6" x14ac:dyDescent="0.25">
      <c r="A25" t="str">
        <f>institutions_spss!A27</f>
        <v>Bank of England</v>
      </c>
      <c r="B25">
        <f>VLOOKUP(A25,institutions_spss!A:M,9,0)</f>
        <v>0.95799999999999996</v>
      </c>
      <c r="C25">
        <f>VLOOKUP(A25,institutions_spss!A:M,10,0)</f>
        <v>0.96499999999999997</v>
      </c>
      <c r="D25">
        <f>VLOOKUP(A25,institutions_spss!A:M,11,0)</f>
        <v>0.69699999999999995</v>
      </c>
      <c r="E25">
        <f>VLOOKUP(A25,institutions_spss!A:M,12,0)</f>
        <v>0</v>
      </c>
      <c r="F25">
        <f>VLOOKUP(A25,institutions_spss!A:M,13,0)</f>
        <v>0</v>
      </c>
    </row>
    <row r="26" spans="1:6" x14ac:dyDescent="0.25">
      <c r="A26" t="str">
        <f>institutions_spss!A28</f>
        <v>Dartmouth College</v>
      </c>
      <c r="B26">
        <f>VLOOKUP(A26,institutions_spss!A:M,9,0)</f>
        <v>0.96</v>
      </c>
      <c r="C26">
        <f>VLOOKUP(A26,institutions_spss!A:M,10,0)</f>
        <v>0.97</v>
      </c>
      <c r="D26">
        <f>VLOOKUP(A26,institutions_spss!A:M,11,0)</f>
        <v>0.96</v>
      </c>
      <c r="E26">
        <f>VLOOKUP(A26,institutions_spss!A:M,12,0)</f>
        <v>0.90500000000000003</v>
      </c>
      <c r="F26">
        <f>VLOOKUP(A26,institutions_spss!A:M,13,0)</f>
        <v>0.97299999999999998</v>
      </c>
    </row>
    <row r="27" spans="1:6" x14ac:dyDescent="0.25">
      <c r="A27" t="str">
        <f>institutions_spss!A29</f>
        <v>INSEAD Business School</v>
      </c>
      <c r="B27">
        <f>VLOOKUP(A27,institutions_spss!A:M,9,0)</f>
        <v>0.96699999999999997</v>
      </c>
      <c r="C27">
        <f>VLOOKUP(A27,institutions_spss!A:M,10,0)</f>
        <v>0.88300000000000001</v>
      </c>
      <c r="D27">
        <f>VLOOKUP(A27,institutions_spss!A:M,11,0)</f>
        <v>0.95</v>
      </c>
      <c r="E27">
        <f>VLOOKUP(A27,institutions_spss!A:M,12,0)</f>
        <v>0.98799999999999999</v>
      </c>
      <c r="F27">
        <f>VLOOKUP(A27,institutions_spss!A:M,13,0)</f>
        <v>0.98699999999999999</v>
      </c>
    </row>
    <row r="28" spans="1:6" x14ac:dyDescent="0.25">
      <c r="A28" t="str">
        <f>institutions_spss!A30</f>
        <v>University of Pennsylvania</v>
      </c>
      <c r="B28">
        <f>VLOOKUP(A28,institutions_spss!A:M,9,0)</f>
        <v>0.95799999999999996</v>
      </c>
      <c r="C28">
        <f>VLOOKUP(A28,institutions_spss!A:M,10,0)</f>
        <v>0.96</v>
      </c>
      <c r="D28">
        <f>VLOOKUP(A28,institutions_spss!A:M,11,0)</f>
        <v>0.94499999999999995</v>
      </c>
      <c r="E28">
        <f>VLOOKUP(A28,institutions_spss!A:M,12,0)</f>
        <v>0.95299999999999996</v>
      </c>
      <c r="F28">
        <f>VLOOKUP(A28,institutions_spss!A:M,13,0)</f>
        <v>0.93300000000000005</v>
      </c>
    </row>
    <row r="29" spans="1:6" x14ac:dyDescent="0.25">
      <c r="A29" t="str">
        <f>institutions_spss!A31</f>
        <v>University of Texas Austin</v>
      </c>
      <c r="B29">
        <f>VLOOKUP(A29,institutions_spss!A:M,9,0)</f>
        <v>0.95499999999999996</v>
      </c>
      <c r="C29">
        <f>VLOOKUP(A29,institutions_spss!A:M,10,0)</f>
        <v>0.96199999999999997</v>
      </c>
      <c r="D29">
        <f>VLOOKUP(A29,institutions_spss!A:M,11,0)</f>
        <v>0.97799999999999998</v>
      </c>
      <c r="E29">
        <f>VLOOKUP(A29,institutions_spss!A:M,12,0)</f>
        <v>0.91</v>
      </c>
      <c r="F29">
        <f>VLOOKUP(A29,institutions_spss!A:M,13,0)</f>
        <v>0.95799999999999996</v>
      </c>
    </row>
    <row r="30" spans="1:6" x14ac:dyDescent="0.25">
      <c r="A30" t="str">
        <f>institutions_spss!A32</f>
        <v>Emory University</v>
      </c>
      <c r="B30">
        <f>VLOOKUP(A30,institutions_spss!A:M,9,0)</f>
        <v>0.95299999999999996</v>
      </c>
      <c r="C30">
        <f>VLOOKUP(A30,institutions_spss!A:M,10,0)</f>
        <v>0.83699999999999997</v>
      </c>
      <c r="D30">
        <f>VLOOKUP(A30,institutions_spss!A:M,11,0)</f>
        <v>0.95699999999999996</v>
      </c>
      <c r="E30">
        <f>VLOOKUP(A30,institutions_spss!A:M,12,0)</f>
        <v>1</v>
      </c>
      <c r="F30">
        <f>VLOOKUP(A30,institutions_spss!A:M,13,0)</f>
        <v>0.98199999999999998</v>
      </c>
    </row>
    <row r="31" spans="1:6" x14ac:dyDescent="0.25">
      <c r="A31" t="str">
        <f>institutions_spss!A33</f>
        <v>University of Michigan</v>
      </c>
      <c r="B31">
        <f>VLOOKUP(A31,institutions_spss!A:M,9,0)</f>
        <v>0.95199999999999996</v>
      </c>
      <c r="C31">
        <f>VLOOKUP(A31,institutions_spss!A:M,10,0)</f>
        <v>0.95699999999999996</v>
      </c>
      <c r="D31">
        <f>VLOOKUP(A31,institutions_spss!A:M,11,0)</f>
        <v>0.85</v>
      </c>
      <c r="E31">
        <f>VLOOKUP(A31,institutions_spss!A:M,12,0)</f>
        <v>0.89300000000000002</v>
      </c>
      <c r="F31">
        <f>VLOOKUP(A31,institutions_spss!A:M,13,0)</f>
        <v>0.96199999999999997</v>
      </c>
    </row>
    <row r="32" spans="1:6" x14ac:dyDescent="0.25">
      <c r="A32" t="str">
        <f>institutions_spss!A34</f>
        <v>University of Geneva</v>
      </c>
      <c r="B32">
        <f>VLOOKUP(A32,institutions_spss!A:M,9,0)</f>
        <v>0.93700000000000006</v>
      </c>
      <c r="C32">
        <f>VLOOKUP(A32,institutions_spss!A:M,10,0)</f>
        <v>0.9</v>
      </c>
      <c r="D32">
        <f>VLOOKUP(A32,institutions_spss!A:M,11,0)</f>
        <v>0.99</v>
      </c>
      <c r="E32">
        <f>VLOOKUP(A32,institutions_spss!A:M,12,0)</f>
        <v>0.61199999999999999</v>
      </c>
      <c r="F32">
        <f>VLOOKUP(A32,institutions_spss!A:M,13,0)</f>
        <v>0.8</v>
      </c>
    </row>
    <row r="33" spans="1:6" x14ac:dyDescent="0.25">
      <c r="A33" t="str">
        <f>institutions_spss!A35</f>
        <v>University of Maryland College Park</v>
      </c>
      <c r="B33">
        <f>VLOOKUP(A33,institutions_spss!A:M,9,0)</f>
        <v>0.95</v>
      </c>
      <c r="C33">
        <f>VLOOKUP(A33,institutions_spss!A:M,10,0)</f>
        <v>0.90500000000000003</v>
      </c>
      <c r="D33">
        <f>VLOOKUP(A33,institutions_spss!A:M,11,0)</f>
        <v>0.95799999999999996</v>
      </c>
      <c r="E33">
        <f>VLOOKUP(A33,institutions_spss!A:M,12,0)</f>
        <v>0.997</v>
      </c>
      <c r="F33">
        <f>VLOOKUP(A33,institutions_spss!A:M,13,0)</f>
        <v>0.90500000000000003</v>
      </c>
    </row>
    <row r="34" spans="1:6" x14ac:dyDescent="0.25">
      <c r="A34" t="str">
        <f>institutions_spss!A36</f>
        <v>Imperial College London</v>
      </c>
      <c r="B34">
        <f>VLOOKUP(A34,institutions_spss!A:M,9,0)</f>
        <v>0.95</v>
      </c>
      <c r="C34">
        <f>VLOOKUP(A34,institutions_spss!A:M,10,0)</f>
        <v>0.92</v>
      </c>
      <c r="D34">
        <f>VLOOKUP(A34,institutions_spss!A:M,11,0)</f>
        <v>0.86799999999999999</v>
      </c>
      <c r="E34">
        <f>VLOOKUP(A34,institutions_spss!A:M,12,0)</f>
        <v>0.97199999999999998</v>
      </c>
      <c r="F34">
        <f>VLOOKUP(A34,institutions_spss!A:M,13,0)</f>
        <v>0.95299999999999996</v>
      </c>
    </row>
    <row r="35" spans="1:6" x14ac:dyDescent="0.25">
      <c r="A35" t="str">
        <f>institutions_spss!A37</f>
        <v>Hautes Etudes Commerciales (HEC) Paris</v>
      </c>
      <c r="B35">
        <f>VLOOKUP(A35,institutions_spss!A:M,9,0)</f>
        <v>0.94699999999999995</v>
      </c>
      <c r="C35">
        <f>VLOOKUP(A35,institutions_spss!A:M,10,0)</f>
        <v>0.91</v>
      </c>
      <c r="D35">
        <f>VLOOKUP(A35,institutions_spss!A:M,11,0)</f>
        <v>0.93799999999999994</v>
      </c>
      <c r="E35">
        <f>VLOOKUP(A35,institutions_spss!A:M,12,0)</f>
        <v>0.93500000000000005</v>
      </c>
      <c r="F35">
        <f>VLOOKUP(A35,institutions_spss!A:M,13,0)</f>
        <v>0.99199999999999999</v>
      </c>
    </row>
    <row r="36" spans="1:6" x14ac:dyDescent="0.25">
      <c r="A36" t="str">
        <f>institutions_spss!A38</f>
        <v>New York University</v>
      </c>
      <c r="B36">
        <f>VLOOKUP(A36,institutions_spss!A:M,9,0)</f>
        <v>0.94</v>
      </c>
      <c r="C36">
        <f>VLOOKUP(A36,institutions_spss!A:M,10,0)</f>
        <v>0.95199999999999996</v>
      </c>
      <c r="D36">
        <f>VLOOKUP(A36,institutions_spss!A:M,11,0)</f>
        <v>0.84799999999999998</v>
      </c>
      <c r="E36">
        <f>VLOOKUP(A36,institutions_spss!A:M,12,0)</f>
        <v>0.94</v>
      </c>
      <c r="F36">
        <f>VLOOKUP(A36,institutions_spss!A:M,13,0)</f>
        <v>0.93300000000000005</v>
      </c>
    </row>
    <row r="37" spans="1:6" x14ac:dyDescent="0.25">
      <c r="A37" t="str">
        <f>institutions_spss!A39</f>
        <v>London School Economics &amp; Political Science</v>
      </c>
      <c r="B37">
        <f>VLOOKUP(A37,institutions_spss!A:M,9,0)</f>
        <v>0.93500000000000005</v>
      </c>
      <c r="C37">
        <f>VLOOKUP(A37,institutions_spss!A:M,10,0)</f>
        <v>0.95</v>
      </c>
      <c r="D37">
        <f>VLOOKUP(A37,institutions_spss!A:M,11,0)</f>
        <v>0.79</v>
      </c>
      <c r="E37">
        <f>VLOOKUP(A37,institutions_spss!A:M,12,0)</f>
        <v>0.85</v>
      </c>
      <c r="F37">
        <f>VLOOKUP(A37,institutions_spss!A:M,13,0)</f>
        <v>0.92500000000000004</v>
      </c>
    </row>
    <row r="38" spans="1:6" x14ac:dyDescent="0.25">
      <c r="A38" t="str">
        <f>institutions_spss!A40</f>
        <v>University of California Davis</v>
      </c>
      <c r="B38">
        <f>VLOOKUP(A38,institutions_spss!A:M,9,0)</f>
        <v>0.94499999999999995</v>
      </c>
      <c r="C38">
        <f>VLOOKUP(A38,institutions_spss!A:M,10,0)</f>
        <v>0.95299999999999996</v>
      </c>
      <c r="D38">
        <f>VLOOKUP(A38,institutions_spss!A:M,11,0)</f>
        <v>0.81</v>
      </c>
      <c r="E38">
        <f>VLOOKUP(A38,institutions_spss!A:M,12,0)</f>
        <v>0.96799999999999997</v>
      </c>
      <c r="F38">
        <f>VLOOKUP(A38,institutions_spss!A:M,13,0)</f>
        <v>0.99299999999999999</v>
      </c>
    </row>
    <row r="39" spans="1:6" x14ac:dyDescent="0.25">
      <c r="A39" t="str">
        <f>institutions_spss!A41</f>
        <v>Rice University</v>
      </c>
      <c r="B39">
        <f>VLOOKUP(A39,institutions_spss!A:M,9,0)</f>
        <v>0.94299999999999995</v>
      </c>
      <c r="C39">
        <f>VLOOKUP(A39,institutions_spss!A:M,10,0)</f>
        <v>0.93799999999999994</v>
      </c>
      <c r="D39">
        <f>VLOOKUP(A39,institutions_spss!A:M,11,0)</f>
        <v>0.91</v>
      </c>
      <c r="E39">
        <f>VLOOKUP(A39,institutions_spss!A:M,12,0)</f>
        <v>0.89500000000000002</v>
      </c>
      <c r="F39">
        <f>VLOOKUP(A39,institutions_spss!A:M,13,0)</f>
        <v>0.98299999999999998</v>
      </c>
    </row>
    <row r="40" spans="1:6" x14ac:dyDescent="0.25">
      <c r="A40" t="str">
        <f>institutions_spss!A42</f>
        <v>Federal Reserve System - USA</v>
      </c>
      <c r="B40">
        <f>VLOOKUP(A40,institutions_spss!A:M,9,0)</f>
        <v>0.92700000000000005</v>
      </c>
      <c r="C40">
        <f>VLOOKUP(A40,institutions_spss!A:M,10,0)</f>
        <v>0.94499999999999995</v>
      </c>
      <c r="D40">
        <f>VLOOKUP(A40,institutions_spss!A:M,11,0)</f>
        <v>0.83499999999999996</v>
      </c>
      <c r="E40">
        <f>VLOOKUP(A40,institutions_spss!A:M,12,0)</f>
        <v>0</v>
      </c>
      <c r="F40">
        <f>VLOOKUP(A40,institutions_spss!A:M,13,0)</f>
        <v>0</v>
      </c>
    </row>
    <row r="41" spans="1:6" x14ac:dyDescent="0.25">
      <c r="A41" t="str">
        <f>institutions_spss!A43</f>
        <v>University of Notre Dame</v>
      </c>
      <c r="B41">
        <f>VLOOKUP(A41,institutions_spss!A:M,9,0)</f>
        <v>0.93200000000000005</v>
      </c>
      <c r="C41">
        <f>VLOOKUP(A41,institutions_spss!A:M,10,0)</f>
        <v>0.92800000000000005</v>
      </c>
      <c r="D41">
        <f>VLOOKUP(A41,institutions_spss!A:M,11,0)</f>
        <v>0.94699999999999995</v>
      </c>
      <c r="E41">
        <f>VLOOKUP(A41,institutions_spss!A:M,12,0)</f>
        <v>0.89800000000000002</v>
      </c>
      <c r="F41">
        <f>VLOOKUP(A41,institutions_spss!A:M,13,0)</f>
        <v>0.79200000000000004</v>
      </c>
    </row>
    <row r="42" spans="1:6" x14ac:dyDescent="0.25">
      <c r="A42" t="str">
        <f>institutions_spss!A44</f>
        <v>University of Washington Seattle</v>
      </c>
      <c r="B42">
        <f>VLOOKUP(A42,institutions_spss!A:M,9,0)</f>
        <v>0.94199999999999995</v>
      </c>
      <c r="C42">
        <f>VLOOKUP(A42,institutions_spss!A:M,10,0)</f>
        <v>0.83699999999999997</v>
      </c>
      <c r="D42">
        <f>VLOOKUP(A42,institutions_spss!A:M,11,0)</f>
        <v>0.98499999999999999</v>
      </c>
      <c r="E42">
        <f>VLOOKUP(A42,institutions_spss!A:M,12,0)</f>
        <v>0.97499999999999998</v>
      </c>
      <c r="F42">
        <f>VLOOKUP(A42,institutions_spss!A:M,13,0)</f>
        <v>0.97499999999999998</v>
      </c>
    </row>
    <row r="43" spans="1:6" x14ac:dyDescent="0.25">
      <c r="A43" t="str">
        <f>institutions_spss!A45</f>
        <v>Duke University</v>
      </c>
      <c r="B43">
        <f>VLOOKUP(A43,institutions_spss!A:M,9,0)</f>
        <v>0.91800000000000004</v>
      </c>
      <c r="C43">
        <f>VLOOKUP(A43,institutions_spss!A:M,10,0)</f>
        <v>0.93700000000000006</v>
      </c>
      <c r="D43">
        <f>VLOOKUP(A43,institutions_spss!A:M,11,0)</f>
        <v>0.96799999999999997</v>
      </c>
      <c r="E43">
        <f>VLOOKUP(A43,institutions_spss!A:M,12,0)</f>
        <v>0.68500000000000005</v>
      </c>
      <c r="F43">
        <f>VLOOKUP(A43,institutions_spss!A:M,13,0)</f>
        <v>0.76</v>
      </c>
    </row>
    <row r="44" spans="1:6" x14ac:dyDescent="0.25">
      <c r="A44" t="str">
        <f>institutions_spss!A46</f>
        <v>University of British Columbia</v>
      </c>
      <c r="B44">
        <f>VLOOKUP(A44,institutions_spss!A:M,9,0)</f>
        <v>0.92800000000000005</v>
      </c>
      <c r="C44">
        <f>VLOOKUP(A44,institutions_spss!A:M,10,0)</f>
        <v>0.94799999999999995</v>
      </c>
      <c r="D44">
        <f>VLOOKUP(A44,institutions_spss!A:M,11,0)</f>
        <v>0.96299999999999997</v>
      </c>
      <c r="E44">
        <f>VLOOKUP(A44,institutions_spss!A:M,12,0)</f>
        <v>0.83699999999999997</v>
      </c>
      <c r="F44">
        <f>VLOOKUP(A44,institutions_spss!A:M,13,0)</f>
        <v>0.80200000000000005</v>
      </c>
    </row>
    <row r="45" spans="1:6" x14ac:dyDescent="0.25">
      <c r="A45" t="str">
        <f>institutions_spss!A47</f>
        <v>University of Bonn</v>
      </c>
      <c r="B45">
        <f>VLOOKUP(A45,institutions_spss!A:M,9,0)</f>
        <v>0.91800000000000004</v>
      </c>
      <c r="C45">
        <f>VLOOKUP(A45,institutions_spss!A:M,10,0)</f>
        <v>0.94</v>
      </c>
      <c r="D45">
        <f>VLOOKUP(A45,institutions_spss!A:M,11,0)</f>
        <v>0.84799999999999998</v>
      </c>
      <c r="E45">
        <f>VLOOKUP(A45,institutions_spss!A:M,12,0)</f>
        <v>0</v>
      </c>
      <c r="F45">
        <f>VLOOKUP(A45,institutions_spss!A:M,13,0)</f>
        <v>0</v>
      </c>
    </row>
    <row r="46" spans="1:6" x14ac:dyDescent="0.25">
      <c r="A46" t="str">
        <f>institutions_spss!A48</f>
        <v>University of Southern California</v>
      </c>
      <c r="B46">
        <f>VLOOKUP(A46,institutions_spss!A:M,9,0)</f>
        <v>0.92300000000000004</v>
      </c>
      <c r="C46">
        <f>VLOOKUP(A46,institutions_spss!A:M,10,0)</f>
        <v>0.92</v>
      </c>
      <c r="D46">
        <f>VLOOKUP(A46,institutions_spss!A:M,11,0)</f>
        <v>0.92200000000000004</v>
      </c>
      <c r="E46">
        <f>VLOOKUP(A46,institutions_spss!A:M,12,0)</f>
        <v>0.96</v>
      </c>
      <c r="F46">
        <f>VLOOKUP(A46,institutions_spss!A:M,13,0)</f>
        <v>0.92200000000000004</v>
      </c>
    </row>
    <row r="47" spans="1:6" x14ac:dyDescent="0.25">
      <c r="A47" t="str">
        <f>institutions_spss!A49</f>
        <v>Babson College</v>
      </c>
      <c r="B47">
        <f>VLOOKUP(A47,institutions_spss!A:M,9,0)</f>
        <v>0.93500000000000005</v>
      </c>
      <c r="C47">
        <f>VLOOKUP(A47,institutions_spss!A:M,10,0)</f>
        <v>0.83699999999999997</v>
      </c>
      <c r="D47">
        <f>VLOOKUP(A47,institutions_spss!A:M,11,0)</f>
        <v>0.93700000000000006</v>
      </c>
      <c r="E47">
        <f>VLOOKUP(A47,institutions_spss!A:M,12,0)</f>
        <v>0.95199999999999996</v>
      </c>
      <c r="F47">
        <f>VLOOKUP(A47,institutions_spss!A:M,13,0)</f>
        <v>0.88</v>
      </c>
    </row>
    <row r="48" spans="1:6" x14ac:dyDescent="0.25">
      <c r="A48" t="str">
        <f>institutions_spss!A50</f>
        <v>University of Cincinnati</v>
      </c>
      <c r="B48">
        <f>VLOOKUP(A48,institutions_spss!A:M,9,0)</f>
        <v>0.93799999999999994</v>
      </c>
      <c r="C48">
        <f>VLOOKUP(A48,institutions_spss!A:M,10,0)</f>
        <v>0.97499999999999998</v>
      </c>
      <c r="D48">
        <f>VLOOKUP(A48,institutions_spss!A:M,11,0)</f>
        <v>0.99299999999999999</v>
      </c>
      <c r="E48">
        <f>VLOOKUP(A48,institutions_spss!A:M,12,0)</f>
        <v>0.625</v>
      </c>
      <c r="F48">
        <f>VLOOKUP(A48,institutions_spss!A:M,13,0)</f>
        <v>0.79500000000000004</v>
      </c>
    </row>
    <row r="49" spans="1:6" x14ac:dyDescent="0.25">
      <c r="A49" t="str">
        <f>institutions_spss!A51</f>
        <v>Hong Kong University of Science &amp; Technology</v>
      </c>
      <c r="B49">
        <f>VLOOKUP(A49,institutions_spss!A:M,9,0)</f>
        <v>0.91500000000000004</v>
      </c>
      <c r="C49">
        <f>VLOOKUP(A49,institutions_spss!A:M,10,0)</f>
        <v>0.92500000000000004</v>
      </c>
      <c r="D49">
        <f>VLOOKUP(A49,institutions_spss!A:M,11,0)</f>
        <v>0.89500000000000002</v>
      </c>
      <c r="E49">
        <f>VLOOKUP(A49,institutions_spss!A:M,12,0)</f>
        <v>0.95699999999999996</v>
      </c>
      <c r="F49">
        <f>VLOOKUP(A49,institutions_spss!A:M,13,0)</f>
        <v>0.86</v>
      </c>
    </row>
    <row r="50" spans="1:6" x14ac:dyDescent="0.25">
      <c r="A50" t="str">
        <f>institutions_spss!A52</f>
        <v>University of California Irvine</v>
      </c>
      <c r="B50">
        <f>VLOOKUP(A50,institutions_spss!A:M,9,0)</f>
        <v>0.93</v>
      </c>
      <c r="C50">
        <f>VLOOKUP(A50,institutions_spss!A:M,10,0)</f>
        <v>0.84199999999999997</v>
      </c>
      <c r="D50">
        <f>VLOOKUP(A50,institutions_spss!A:M,11,0)</f>
        <v>0.98199999999999998</v>
      </c>
      <c r="E50">
        <f>VLOOKUP(A50,institutions_spss!A:M,12,0)</f>
        <v>0.99</v>
      </c>
      <c r="F50">
        <f>VLOOKUP(A50,institutions_spss!A:M,13,0)</f>
        <v>0.995</v>
      </c>
    </row>
    <row r="51" spans="1:6" x14ac:dyDescent="0.25">
      <c r="A51" t="str">
        <f>institutions_spss!A53</f>
        <v>University of North Carolina Chapel Hill</v>
      </c>
      <c r="B51">
        <f>VLOOKUP(A51,institutions_spss!A:M,9,0)</f>
        <v>0.92500000000000004</v>
      </c>
      <c r="C51">
        <f>VLOOKUP(A51,institutions_spss!A:M,10,0)</f>
        <v>0.86299999999999999</v>
      </c>
      <c r="D51">
        <f>VLOOKUP(A51,institutions_spss!A:M,11,0)</f>
        <v>0.93500000000000005</v>
      </c>
      <c r="E51">
        <f>VLOOKUP(A51,institutions_spss!A:M,12,0)</f>
        <v>0.995</v>
      </c>
      <c r="F51">
        <f>VLOOKUP(A51,institutions_spss!A:M,13,0)</f>
        <v>0.94499999999999995</v>
      </c>
    </row>
    <row r="52" spans="1:6" x14ac:dyDescent="0.25">
      <c r="A52" t="str">
        <f>institutions_spss!A54</f>
        <v>University of Utah</v>
      </c>
      <c r="B52">
        <f>VLOOKUP(A52,institutions_spss!A:M,9,0)</f>
        <v>0.92</v>
      </c>
      <c r="C52">
        <f>VLOOKUP(A52,institutions_spss!A:M,10,0)</f>
        <v>0.878</v>
      </c>
      <c r="D52">
        <f>VLOOKUP(A52,institutions_spss!A:M,11,0)</f>
        <v>0.93</v>
      </c>
      <c r="E52">
        <f>VLOOKUP(A52,institutions_spss!A:M,12,0)</f>
        <v>0.94499999999999995</v>
      </c>
      <c r="F52">
        <f>VLOOKUP(A52,institutions_spss!A:M,13,0)</f>
        <v>0.95699999999999996</v>
      </c>
    </row>
    <row r="53" spans="1:6" x14ac:dyDescent="0.25">
      <c r="A53" t="str">
        <f>institutions_spss!A55</f>
        <v>Bocconi University</v>
      </c>
      <c r="B53">
        <f>VLOOKUP(A53,institutions_spss!A:M,9,0)</f>
        <v>0.91300000000000003</v>
      </c>
      <c r="C53">
        <f>VLOOKUP(A53,institutions_spss!A:M,10,0)</f>
        <v>0.93700000000000006</v>
      </c>
      <c r="D53">
        <f>VLOOKUP(A53,institutions_spss!A:M,11,0)</f>
        <v>0.68700000000000006</v>
      </c>
      <c r="E53">
        <f>VLOOKUP(A53,institutions_spss!A:M,12,0)</f>
        <v>0.86199999999999999</v>
      </c>
      <c r="F53">
        <f>VLOOKUP(A53,institutions_spss!A:M,13,0)</f>
        <v>0.93</v>
      </c>
    </row>
    <row r="54" spans="1:6" x14ac:dyDescent="0.25">
      <c r="A54" t="str">
        <f>institutions_spss!A56</f>
        <v>University of Wisconsin Madison</v>
      </c>
      <c r="B54">
        <f>VLOOKUP(A54,institutions_spss!A:M,9,0)</f>
        <v>0.90800000000000003</v>
      </c>
      <c r="C54">
        <f>VLOOKUP(A54,institutions_spss!A:M,10,0)</f>
        <v>0.93</v>
      </c>
      <c r="D54">
        <f>VLOOKUP(A54,institutions_spss!A:M,11,0)</f>
        <v>0.90800000000000003</v>
      </c>
      <c r="E54">
        <f>VLOOKUP(A54,institutions_spss!A:M,12,0)</f>
        <v>0.96199999999999997</v>
      </c>
      <c r="F54">
        <f>VLOOKUP(A54,institutions_spss!A:M,13,0)</f>
        <v>0.79200000000000004</v>
      </c>
    </row>
    <row r="55" spans="1:6" x14ac:dyDescent="0.25">
      <c r="A55" t="str">
        <f>institutions_spss!A57</f>
        <v>University of Colorado Boulder</v>
      </c>
      <c r="B55">
        <f>VLOOKUP(A55,institutions_spss!A:M,9,0)</f>
        <v>0.90800000000000003</v>
      </c>
      <c r="C55">
        <f>VLOOKUP(A55,institutions_spss!A:M,10,0)</f>
        <v>0.92</v>
      </c>
      <c r="D55">
        <f>VLOOKUP(A55,institutions_spss!A:M,11,0)</f>
        <v>0.98299999999999998</v>
      </c>
      <c r="E55">
        <f>VLOOKUP(A55,institutions_spss!A:M,12,0)</f>
        <v>0.95199999999999996</v>
      </c>
      <c r="F55">
        <f>VLOOKUP(A55,institutions_spss!A:M,13,0)</f>
        <v>0.78700000000000003</v>
      </c>
    </row>
    <row r="56" spans="1:6" x14ac:dyDescent="0.25">
      <c r="A56" t="str">
        <f>institutions_spss!A58</f>
        <v>University of Virginia</v>
      </c>
      <c r="B56">
        <f>VLOOKUP(A56,institutions_spss!A:M,9,0)</f>
        <v>0.92300000000000004</v>
      </c>
      <c r="C56">
        <f>VLOOKUP(A56,institutions_spss!A:M,10,0)</f>
        <v>0.873</v>
      </c>
      <c r="D56">
        <f>VLOOKUP(A56,institutions_spss!A:M,11,0)</f>
        <v>0.91300000000000003</v>
      </c>
      <c r="E56">
        <f>VLOOKUP(A56,institutions_spss!A:M,12,0)</f>
        <v>0.99299999999999999</v>
      </c>
      <c r="F56">
        <f>VLOOKUP(A56,institutions_spss!A:M,13,0)</f>
        <v>0.98499999999999999</v>
      </c>
    </row>
    <row r="57" spans="1:6" x14ac:dyDescent="0.25">
      <c r="A57" t="str">
        <f>institutions_spss!A59</f>
        <v>University of Pittsburgh</v>
      </c>
      <c r="B57">
        <f>VLOOKUP(A57,institutions_spss!A:M,9,0)</f>
        <v>0.91200000000000003</v>
      </c>
      <c r="C57">
        <f>VLOOKUP(A57,institutions_spss!A:M,10,0)</f>
        <v>0.753</v>
      </c>
      <c r="D57">
        <f>VLOOKUP(A57,institutions_spss!A:M,11,0)</f>
        <v>0.92300000000000004</v>
      </c>
      <c r="E57">
        <f>VLOOKUP(A57,institutions_spss!A:M,12,0)</f>
        <v>0.98699999999999999</v>
      </c>
      <c r="F57">
        <f>VLOOKUP(A57,institutions_spss!A:M,13,0)</f>
        <v>0.96799999999999997</v>
      </c>
    </row>
    <row r="58" spans="1:6" x14ac:dyDescent="0.25">
      <c r="A58" t="str">
        <f>institutions_spss!A60</f>
        <v>University of Toronto</v>
      </c>
      <c r="B58">
        <f>VLOOKUP(A58,institutions_spss!A:M,9,0)</f>
        <v>0.90500000000000003</v>
      </c>
      <c r="C58">
        <f>VLOOKUP(A58,institutions_spss!A:M,10,0)</f>
        <v>0.91500000000000004</v>
      </c>
      <c r="D58">
        <f>VLOOKUP(A58,institutions_spss!A:M,11,0)</f>
        <v>0.90300000000000002</v>
      </c>
      <c r="E58">
        <f>VLOOKUP(A58,institutions_spss!A:M,12,0)</f>
        <v>0.747</v>
      </c>
      <c r="F58">
        <f>VLOOKUP(A58,institutions_spss!A:M,13,0)</f>
        <v>0.85299999999999998</v>
      </c>
    </row>
    <row r="59" spans="1:6" x14ac:dyDescent="0.25">
      <c r="A59" t="str">
        <f>institutions_spss!A61</f>
        <v>Carnegie Mellon University</v>
      </c>
      <c r="B59">
        <f>VLOOKUP(A59,institutions_spss!A:M,9,0)</f>
        <v>0.91</v>
      </c>
      <c r="C59">
        <f>VLOOKUP(A59,institutions_spss!A:M,10,0)</f>
        <v>0.90200000000000002</v>
      </c>
      <c r="D59">
        <f>VLOOKUP(A59,institutions_spss!A:M,11,0)</f>
        <v>0.84299999999999997</v>
      </c>
      <c r="E59">
        <f>VLOOKUP(A59,institutions_spss!A:M,12,0)</f>
        <v>0.80200000000000005</v>
      </c>
      <c r="F59">
        <f>VLOOKUP(A59,institutions_spss!A:M,13,0)</f>
        <v>0.95499999999999996</v>
      </c>
    </row>
    <row r="60" spans="1:6" x14ac:dyDescent="0.25">
      <c r="A60" t="str">
        <f>institutions_spss!A62</f>
        <v>University of Illinois Chicago</v>
      </c>
      <c r="B60">
        <f>VLOOKUP(A60,institutions_spss!A:M,9,0)</f>
        <v>0.90300000000000002</v>
      </c>
      <c r="C60">
        <f>VLOOKUP(A60,institutions_spss!A:M,10,0)</f>
        <v>0.91300000000000003</v>
      </c>
      <c r="D60">
        <f>VLOOKUP(A60,institutions_spss!A:M,11,0)</f>
        <v>0.94</v>
      </c>
      <c r="E60">
        <f>VLOOKUP(A60,institutions_spss!A:M,12,0)</f>
        <v>0.89300000000000002</v>
      </c>
      <c r="F60">
        <f>VLOOKUP(A60,institutions_spss!A:M,13,0)</f>
        <v>0.72799999999999998</v>
      </c>
    </row>
    <row r="61" spans="1:6" x14ac:dyDescent="0.25">
      <c r="A61" t="str">
        <f>institutions_spss!A63</f>
        <v>Georgia Institute of Technology</v>
      </c>
      <c r="B61">
        <f>VLOOKUP(A61,institutions_spss!A:M,9,0)</f>
        <v>0.9</v>
      </c>
      <c r="C61">
        <f>VLOOKUP(A61,institutions_spss!A:M,10,0)</f>
        <v>0.89700000000000002</v>
      </c>
      <c r="D61">
        <f>VLOOKUP(A61,institutions_spss!A:M,11,0)</f>
        <v>0.79300000000000004</v>
      </c>
      <c r="E61">
        <f>VLOOKUP(A61,institutions_spss!A:M,12,0)</f>
        <v>0.95799999999999996</v>
      </c>
      <c r="F61">
        <f>VLOOKUP(A61,institutions_spss!A:M,13,0)</f>
        <v>0.85799999999999998</v>
      </c>
    </row>
    <row r="62" spans="1:6" x14ac:dyDescent="0.25">
      <c r="A62" t="str">
        <f>institutions_spss!A64</f>
        <v>Texas Christian University</v>
      </c>
      <c r="B62">
        <f>VLOOKUP(A62,institutions_spss!A:M,9,0)</f>
        <v>0.90300000000000002</v>
      </c>
      <c r="C62">
        <f>VLOOKUP(A62,institutions_spss!A:M,10,0)</f>
        <v>0.29799999999999999</v>
      </c>
      <c r="D62">
        <f>VLOOKUP(A62,institutions_spss!A:M,11,0)</f>
        <v>0.82499999999999996</v>
      </c>
      <c r="E62">
        <f>VLOOKUP(A62,institutions_spss!A:M,12,0)</f>
        <v>0.96299999999999997</v>
      </c>
      <c r="F62">
        <f>VLOOKUP(A62,institutions_spss!A:M,13,0)</f>
        <v>0.74</v>
      </c>
    </row>
    <row r="63" spans="1:6" x14ac:dyDescent="0.25">
      <c r="A63" t="str">
        <f>institutions_spss!A65</f>
        <v>Johns Hopkins University</v>
      </c>
      <c r="B63">
        <f>VLOOKUP(A63,institutions_spss!A:M,9,0)</f>
        <v>0.89500000000000002</v>
      </c>
      <c r="C63">
        <f>VLOOKUP(A63,institutions_spss!A:M,10,0)</f>
        <v>0.90800000000000003</v>
      </c>
      <c r="D63">
        <f>VLOOKUP(A63,institutions_spss!A:M,11,0)</f>
        <v>0.80700000000000005</v>
      </c>
      <c r="E63">
        <f>VLOOKUP(A63,institutions_spss!A:M,12,0)</f>
        <v>0.76700000000000002</v>
      </c>
      <c r="F63">
        <f>VLOOKUP(A63,institutions_spss!A:M,13,0)</f>
        <v>0.88500000000000001</v>
      </c>
    </row>
    <row r="64" spans="1:6" x14ac:dyDescent="0.25">
      <c r="A64" t="str">
        <f>institutions_spss!A66</f>
        <v>Northeastern University</v>
      </c>
      <c r="B64">
        <f>VLOOKUP(A64,institutions_spss!A:M,9,0)</f>
        <v>0.89700000000000002</v>
      </c>
      <c r="C64">
        <f>VLOOKUP(A64,institutions_spss!A:M,10,0)</f>
        <v>0.82799999999999996</v>
      </c>
      <c r="D64">
        <f>VLOOKUP(A64,institutions_spss!A:M,11,0)</f>
        <v>0.93500000000000005</v>
      </c>
      <c r="E64">
        <f>VLOOKUP(A64,institutions_spss!A:M,12,0)</f>
        <v>0.91</v>
      </c>
      <c r="F64">
        <f>VLOOKUP(A64,institutions_spss!A:M,13,0)</f>
        <v>0.9</v>
      </c>
    </row>
    <row r="65" spans="1:6" x14ac:dyDescent="0.25">
      <c r="A65" t="str">
        <f>institutions_spss!A67</f>
        <v>University of Minnesota Twin Cities</v>
      </c>
      <c r="B65">
        <f>VLOOKUP(A65,institutions_spss!A:M,9,0)</f>
        <v>0.89500000000000002</v>
      </c>
      <c r="C65">
        <f>VLOOKUP(A65,institutions_spss!A:M,10,0)</f>
        <v>0.90500000000000003</v>
      </c>
      <c r="D65">
        <f>VLOOKUP(A65,institutions_spss!A:M,11,0)</f>
        <v>0.90500000000000003</v>
      </c>
      <c r="E65">
        <f>VLOOKUP(A65,institutions_spss!A:M,12,0)</f>
        <v>0.877</v>
      </c>
      <c r="F65">
        <f>VLOOKUP(A65,institutions_spss!A:M,13,0)</f>
        <v>0.92800000000000005</v>
      </c>
    </row>
    <row r="66" spans="1:6" x14ac:dyDescent="0.25">
      <c r="A66" t="str">
        <f>institutions_spss!A68</f>
        <v>EDHEC Business School</v>
      </c>
      <c r="B66">
        <f>VLOOKUP(A66,institutions_spss!A:M,9,0)</f>
        <v>0.89</v>
      </c>
      <c r="C66">
        <f>VLOOKUP(A66,institutions_spss!A:M,10,0)</f>
        <v>0.91200000000000003</v>
      </c>
      <c r="D66">
        <f>VLOOKUP(A66,institutions_spss!A:M,11,0)</f>
        <v>0.68</v>
      </c>
      <c r="E66">
        <f>VLOOKUP(A66,institutions_spss!A:M,12,0)</f>
        <v>0.92800000000000005</v>
      </c>
      <c r="F66">
        <f>VLOOKUP(A66,institutions_spss!A:M,13,0)</f>
        <v>0.76700000000000002</v>
      </c>
    </row>
    <row r="67" spans="1:6" x14ac:dyDescent="0.25">
      <c r="A67" t="str">
        <f>institutions_spss!A69</f>
        <v>BI Norwegian Business School</v>
      </c>
      <c r="B67">
        <f>VLOOKUP(A67,institutions_spss!A:M,9,0)</f>
        <v>0.9</v>
      </c>
      <c r="C67">
        <f>VLOOKUP(A67,institutions_spss!A:M,10,0)</f>
        <v>0.94199999999999995</v>
      </c>
      <c r="D67">
        <f>VLOOKUP(A67,institutions_spss!A:M,11,0)</f>
        <v>0.91500000000000004</v>
      </c>
      <c r="E67">
        <f>VLOOKUP(A67,institutions_spss!A:M,12,0)</f>
        <v>0.755</v>
      </c>
      <c r="F67">
        <f>VLOOKUP(A67,institutions_spss!A:M,13,0)</f>
        <v>0.73499999999999999</v>
      </c>
    </row>
    <row r="68" spans="1:6" x14ac:dyDescent="0.25">
      <c r="A68" t="str">
        <f>institutions_spss!A70</f>
        <v>University of Oregon</v>
      </c>
      <c r="B68">
        <f>VLOOKUP(A68,institutions_spss!A:M,9,0)</f>
        <v>0.89200000000000002</v>
      </c>
      <c r="C68">
        <f>VLOOKUP(A68,institutions_spss!A:M,10,0)</f>
        <v>0.86</v>
      </c>
      <c r="D68">
        <f>VLOOKUP(A68,institutions_spss!A:M,11,0)</f>
        <v>0.88800000000000001</v>
      </c>
      <c r="E68">
        <f>VLOOKUP(A68,institutions_spss!A:M,12,0)</f>
        <v>0.96699999999999997</v>
      </c>
      <c r="F68">
        <f>VLOOKUP(A68,institutions_spss!A:M,13,0)</f>
        <v>0.91700000000000004</v>
      </c>
    </row>
    <row r="69" spans="1:6" x14ac:dyDescent="0.25">
      <c r="A69" t="str">
        <f>institutions_spss!A71</f>
        <v>University of Miami</v>
      </c>
      <c r="B69">
        <f>VLOOKUP(A69,institutions_spss!A:M,9,0)</f>
        <v>0.88500000000000001</v>
      </c>
      <c r="C69">
        <f>VLOOKUP(A69,institutions_spss!A:M,10,0)</f>
        <v>0.81200000000000006</v>
      </c>
      <c r="D69">
        <f>VLOOKUP(A69,institutions_spss!A:M,11,0)</f>
        <v>0.91200000000000003</v>
      </c>
      <c r="E69">
        <f>VLOOKUP(A69,institutions_spss!A:M,12,0)</f>
        <v>0.92300000000000004</v>
      </c>
      <c r="F69">
        <f>VLOOKUP(A69,institutions_spss!A:M,13,0)</f>
        <v>0.91500000000000004</v>
      </c>
    </row>
    <row r="70" spans="1:6" x14ac:dyDescent="0.25">
      <c r="A70" t="str">
        <f>institutions_spss!A72</f>
        <v>University of Colorado Denver</v>
      </c>
      <c r="B70">
        <f>VLOOKUP(A70,institutions_spss!A:M,9,0)</f>
        <v>0.86699999999999999</v>
      </c>
      <c r="C70">
        <f>VLOOKUP(A70,institutions_spss!A:M,10,0)</f>
        <v>0.89500000000000002</v>
      </c>
      <c r="D70">
        <f>VLOOKUP(A70,institutions_spss!A:M,11,0)</f>
        <v>0.85699999999999998</v>
      </c>
      <c r="E70">
        <f>VLOOKUP(A70,institutions_spss!A:M,12,0)</f>
        <v>0.93799999999999994</v>
      </c>
      <c r="F70">
        <f>VLOOKUP(A70,institutions_spss!A:M,13,0)</f>
        <v>0.88200000000000001</v>
      </c>
    </row>
    <row r="71" spans="1:6" x14ac:dyDescent="0.25">
      <c r="A71" t="str">
        <f>institutions_spss!A73</f>
        <v>University of Delaware</v>
      </c>
      <c r="B71">
        <f>VLOOKUP(A71,institutions_spss!A:M,9,0)</f>
        <v>0.88800000000000001</v>
      </c>
      <c r="C71">
        <f>VLOOKUP(A71,institutions_spss!A:M,10,0)</f>
        <v>0.85499999999999998</v>
      </c>
      <c r="D71">
        <f>VLOOKUP(A71,institutions_spss!A:M,11,0)</f>
        <v>0.97699999999999998</v>
      </c>
      <c r="E71">
        <f>VLOOKUP(A71,institutions_spss!A:M,12,0)</f>
        <v>0.64800000000000002</v>
      </c>
      <c r="F71">
        <f>VLOOKUP(A71,institutions_spss!A:M,13,0)</f>
        <v>0.88800000000000001</v>
      </c>
    </row>
    <row r="72" spans="1:6" x14ac:dyDescent="0.25">
      <c r="A72" t="str">
        <f>institutions_spss!A74</f>
        <v>Cornell University</v>
      </c>
      <c r="B72">
        <f>VLOOKUP(A72,institutions_spss!A:M,9,0)</f>
        <v>0.88</v>
      </c>
      <c r="C72">
        <f>VLOOKUP(A72,institutions_spss!A:M,10,0)</f>
        <v>0.85</v>
      </c>
      <c r="D72">
        <f>VLOOKUP(A72,institutions_spss!A:M,11,0)</f>
        <v>0.89700000000000002</v>
      </c>
      <c r="E72">
        <f>VLOOKUP(A72,institutions_spss!A:M,12,0)</f>
        <v>0.94699999999999995</v>
      </c>
      <c r="F72">
        <f>VLOOKUP(A72,institutions_spss!A:M,13,0)</f>
        <v>0.94299999999999995</v>
      </c>
    </row>
    <row r="73" spans="1:6" x14ac:dyDescent="0.25">
      <c r="A73" t="str">
        <f>institutions_spss!A75</f>
        <v>IZA Institute Labor Economics</v>
      </c>
      <c r="B73">
        <f>VLOOKUP(A73,institutions_spss!A:M,9,0)</f>
        <v>0.85499999999999998</v>
      </c>
      <c r="C73">
        <f>VLOOKUP(A73,institutions_spss!A:M,10,0)</f>
        <v>0.88500000000000001</v>
      </c>
      <c r="D73">
        <f>VLOOKUP(A73,institutions_spss!A:M,11,0)</f>
        <v>0.82499999999999996</v>
      </c>
      <c r="E73">
        <f>VLOOKUP(A73,institutions_spss!A:M,12,0)</f>
        <v>0.39200000000000002</v>
      </c>
      <c r="F73">
        <f>VLOOKUP(A73,institutions_spss!A:M,13,0)</f>
        <v>0.68200000000000005</v>
      </c>
    </row>
    <row r="74" spans="1:6" x14ac:dyDescent="0.25">
      <c r="A74" t="str">
        <f>institutions_spss!A76</f>
        <v>University of Bergen</v>
      </c>
      <c r="B74">
        <f>VLOOKUP(A74,institutions_spss!A:M,9,0)</f>
        <v>0.85299999999999998</v>
      </c>
      <c r="C74">
        <f>VLOOKUP(A74,institutions_spss!A:M,10,0)</f>
        <v>0.94299999999999995</v>
      </c>
      <c r="D74">
        <f>VLOOKUP(A74,institutions_spss!A:M,11,0)</f>
        <v>0</v>
      </c>
      <c r="E74">
        <f>VLOOKUP(A74,institutions_spss!A:M,12,0)</f>
        <v>0</v>
      </c>
      <c r="F74">
        <f>VLOOKUP(A74,institutions_spss!A:M,13,0)</f>
        <v>0.17299999999999999</v>
      </c>
    </row>
    <row r="75" spans="1:6" x14ac:dyDescent="0.25">
      <c r="A75" t="str">
        <f>institutions_spss!A77</f>
        <v>University of Warwick</v>
      </c>
      <c r="B75">
        <f>VLOOKUP(A75,institutions_spss!A:M,9,0)</f>
        <v>0.88300000000000001</v>
      </c>
      <c r="C75">
        <f>VLOOKUP(A75,institutions_spss!A:M,10,0)</f>
        <v>0.92700000000000005</v>
      </c>
      <c r="D75">
        <f>VLOOKUP(A75,institutions_spss!A:M,11,0)</f>
        <v>0.78300000000000003</v>
      </c>
      <c r="E75">
        <f>VLOOKUP(A75,institutions_spss!A:M,12,0)</f>
        <v>0.78200000000000003</v>
      </c>
      <c r="F75">
        <f>VLOOKUP(A75,institutions_spss!A:M,13,0)</f>
        <v>0.85799999999999998</v>
      </c>
    </row>
    <row r="76" spans="1:6" x14ac:dyDescent="0.25">
      <c r="A76" t="str">
        <f>institutions_spss!A78</f>
        <v>Baylor University</v>
      </c>
      <c r="B76">
        <f>VLOOKUP(A76,institutions_spss!A:M,9,0)</f>
        <v>0.88700000000000001</v>
      </c>
      <c r="C76">
        <f>VLOOKUP(A76,institutions_spss!A:M,10,0)</f>
        <v>0.8</v>
      </c>
      <c r="D76">
        <f>VLOOKUP(A76,institutions_spss!A:M,11,0)</f>
        <v>0.82799999999999996</v>
      </c>
      <c r="E76">
        <f>VLOOKUP(A76,institutions_spss!A:M,12,0)</f>
        <v>0.91200000000000003</v>
      </c>
      <c r="F76">
        <f>VLOOKUP(A76,institutions_spss!A:M,13,0)</f>
        <v>0.89300000000000002</v>
      </c>
    </row>
    <row r="77" spans="1:6" x14ac:dyDescent="0.25">
      <c r="A77" t="str">
        <f>institutions_spss!A79</f>
        <v>Singapore Management University</v>
      </c>
      <c r="B77">
        <f>VLOOKUP(A77,institutions_spss!A:M,9,0)</f>
        <v>0.86699999999999999</v>
      </c>
      <c r="C77">
        <f>VLOOKUP(A77,institutions_spss!A:M,10,0)</f>
        <v>0.65300000000000002</v>
      </c>
      <c r="D77">
        <f>VLOOKUP(A77,institutions_spss!A:M,11,0)</f>
        <v>0.877</v>
      </c>
      <c r="E77">
        <f>VLOOKUP(A77,institutions_spss!A:M,12,0)</f>
        <v>0.97299999999999998</v>
      </c>
      <c r="F77">
        <f>VLOOKUP(A77,institutions_spss!A:M,13,0)</f>
        <v>0.93500000000000005</v>
      </c>
    </row>
    <row r="78" spans="1:6" x14ac:dyDescent="0.25">
      <c r="A78" t="str">
        <f>institutions_spss!A80</f>
        <v>Ohio State University</v>
      </c>
      <c r="B78">
        <f>VLOOKUP(A78,institutions_spss!A:M,9,0)</f>
        <v>0.86699999999999999</v>
      </c>
      <c r="C78">
        <f>VLOOKUP(A78,institutions_spss!A:M,10,0)</f>
        <v>0.84</v>
      </c>
      <c r="D78">
        <f>VLOOKUP(A78,institutions_spss!A:M,11,0)</f>
        <v>1</v>
      </c>
      <c r="E78">
        <f>VLOOKUP(A78,institutions_spss!A:M,12,0)</f>
        <v>0.91800000000000004</v>
      </c>
      <c r="F78">
        <f>VLOOKUP(A78,institutions_spss!A:M,13,0)</f>
        <v>0.74</v>
      </c>
    </row>
    <row r="79" spans="1:6" x14ac:dyDescent="0.25">
      <c r="A79" t="str">
        <f>institutions_spss!A81</f>
        <v>The Chinese University of Hong Kong, Shenzhen</v>
      </c>
      <c r="B79">
        <f>VLOOKUP(A79,institutions_spss!A:M,9,0)</f>
        <v>0.86199999999999999</v>
      </c>
      <c r="C79">
        <f>VLOOKUP(A79,institutions_spss!A:M,10,0)</f>
        <v>0.87</v>
      </c>
      <c r="D79">
        <f>VLOOKUP(A79,institutions_spss!A:M,11,0)</f>
        <v>0.84</v>
      </c>
      <c r="E79">
        <f>VLOOKUP(A79,institutions_spss!A:M,12,0)</f>
        <v>0.77200000000000002</v>
      </c>
      <c r="F79">
        <f>VLOOKUP(A79,institutions_spss!A:M,13,0)</f>
        <v>0.46700000000000003</v>
      </c>
    </row>
    <row r="80" spans="1:6" x14ac:dyDescent="0.25">
      <c r="A80" t="str">
        <f>institutions_spss!A82</f>
        <v>Georgetown University</v>
      </c>
      <c r="B80">
        <f>VLOOKUP(A80,institutions_spss!A:M,9,0)</f>
        <v>0.877</v>
      </c>
      <c r="C80">
        <f>VLOOKUP(A80,institutions_spss!A:M,10,0)</f>
        <v>0.90800000000000003</v>
      </c>
      <c r="D80">
        <f>VLOOKUP(A80,institutions_spss!A:M,11,0)</f>
        <v>0.92200000000000004</v>
      </c>
      <c r="E80">
        <f>VLOOKUP(A80,institutions_spss!A:M,12,0)</f>
        <v>0.68500000000000005</v>
      </c>
      <c r="F80">
        <f>VLOOKUP(A80,institutions_spss!A:M,13,0)</f>
        <v>0.83</v>
      </c>
    </row>
    <row r="81" spans="1:6" x14ac:dyDescent="0.25">
      <c r="A81" t="str">
        <f>institutions_spss!A83</f>
        <v>Universite Catholique Louvain</v>
      </c>
      <c r="B81">
        <f>VLOOKUP(A81,institutions_spss!A:M,9,0)</f>
        <v>0.872</v>
      </c>
      <c r="C81">
        <f>VLOOKUP(A81,institutions_spss!A:M,10,0)</f>
        <v>0.72199999999999998</v>
      </c>
      <c r="D81">
        <f>VLOOKUP(A81,institutions_spss!A:M,11,0)</f>
        <v>0.92200000000000004</v>
      </c>
      <c r="E81">
        <f>VLOOKUP(A81,institutions_spss!A:M,12,0)</f>
        <v>0.92700000000000005</v>
      </c>
      <c r="F81">
        <f>VLOOKUP(A81,institutions_spss!A:M,13,0)</f>
        <v>0.83299999999999996</v>
      </c>
    </row>
    <row r="82" spans="1:6" x14ac:dyDescent="0.25">
      <c r="A82" t="str">
        <f>institutions_spss!A84</f>
        <v>University College London</v>
      </c>
      <c r="B82">
        <f>VLOOKUP(A82,institutions_spss!A:M,9,0)</f>
        <v>0.86199999999999999</v>
      </c>
      <c r="C82">
        <f>VLOOKUP(A82,institutions_spss!A:M,10,0)</f>
        <v>0.89300000000000002</v>
      </c>
      <c r="D82">
        <f>VLOOKUP(A82,institutions_spss!A:M,11,0)</f>
        <v>0.61799999999999999</v>
      </c>
      <c r="E82">
        <f>VLOOKUP(A82,institutions_spss!A:M,12,0)</f>
        <v>0.88300000000000001</v>
      </c>
      <c r="F82">
        <f>VLOOKUP(A82,institutions_spss!A:M,13,0)</f>
        <v>0.91200000000000003</v>
      </c>
    </row>
    <row r="83" spans="1:6" x14ac:dyDescent="0.25">
      <c r="A83" t="str">
        <f>institutions_spss!A85</f>
        <v>University of Texas Dallas</v>
      </c>
      <c r="B83">
        <f>VLOOKUP(A83,institutions_spss!A:M,9,0)</f>
        <v>0.872</v>
      </c>
      <c r="C83">
        <f>VLOOKUP(A83,institutions_spss!A:M,10,0)</f>
        <v>0.72199999999999998</v>
      </c>
      <c r="D83">
        <f>VLOOKUP(A83,institutions_spss!A:M,11,0)</f>
        <v>0.92200000000000004</v>
      </c>
      <c r="E83">
        <f>VLOOKUP(A83,institutions_spss!A:M,12,0)</f>
        <v>0.92700000000000005</v>
      </c>
      <c r="F83">
        <f>VLOOKUP(A83,institutions_spss!A:M,13,0)</f>
        <v>0.83299999999999996</v>
      </c>
    </row>
    <row r="84" spans="1:6" x14ac:dyDescent="0.25">
      <c r="A84" t="str">
        <f>institutions_spss!A86</f>
        <v>Vanderbilt University</v>
      </c>
      <c r="B84">
        <f>VLOOKUP(A84,institutions_spss!A:M,9,0)</f>
        <v>0.86199999999999999</v>
      </c>
      <c r="C84">
        <f>VLOOKUP(A84,institutions_spss!A:M,10,0)</f>
        <v>0.93200000000000005</v>
      </c>
      <c r="D84">
        <f>VLOOKUP(A84,institutions_spss!A:M,11,0)</f>
        <v>0.64500000000000002</v>
      </c>
      <c r="E84">
        <f>VLOOKUP(A84,institutions_spss!A:M,12,0)</f>
        <v>0.83299999999999996</v>
      </c>
      <c r="F84">
        <f>VLOOKUP(A84,institutions_spss!A:M,13,0)</f>
        <v>0.65</v>
      </c>
    </row>
    <row r="85" spans="1:6" x14ac:dyDescent="0.25">
      <c r="A85" t="str">
        <f>institutions_spss!A87</f>
        <v>Queen Mary University London</v>
      </c>
      <c r="B85">
        <f>VLOOKUP(A85,institutions_spss!A:M,9,0)</f>
        <v>0.88</v>
      </c>
      <c r="C85">
        <f>VLOOKUP(A85,institutions_spss!A:M,10,0)</f>
        <v>0.93300000000000005</v>
      </c>
      <c r="D85">
        <f>VLOOKUP(A85,institutions_spss!A:M,11,0)</f>
        <v>0.40200000000000002</v>
      </c>
      <c r="E85">
        <f>VLOOKUP(A85,institutions_spss!A:M,12,0)</f>
        <v>0.52500000000000002</v>
      </c>
      <c r="F85">
        <f>VLOOKUP(A85,institutions_spss!A:M,13,0)</f>
        <v>0.67300000000000004</v>
      </c>
    </row>
    <row r="86" spans="1:6" x14ac:dyDescent="0.25">
      <c r="A86" t="str">
        <f>institutions_spss!A88</f>
        <v>Norwegian School of Economics (NHH)</v>
      </c>
      <c r="B86">
        <f>VLOOKUP(A86,institutions_spss!A:M,9,0)</f>
        <v>0.84799999999999998</v>
      </c>
      <c r="C86">
        <f>VLOOKUP(A86,institutions_spss!A:M,10,0)</f>
        <v>0.9</v>
      </c>
      <c r="D86">
        <f>VLOOKUP(A86,institutions_spss!A:M,11,0)</f>
        <v>0.89300000000000002</v>
      </c>
      <c r="E86">
        <f>VLOOKUP(A86,institutions_spss!A:M,12,0)</f>
        <v>0.71</v>
      </c>
      <c r="F86">
        <f>VLOOKUP(A86,institutions_spss!A:M,13,0)</f>
        <v>0.61699999999999999</v>
      </c>
    </row>
    <row r="87" spans="1:6" x14ac:dyDescent="0.25">
      <c r="A87" t="str">
        <f>institutions_spss!A89</f>
        <v>Indiana University Bloomington</v>
      </c>
      <c r="B87">
        <f>VLOOKUP(A87,institutions_spss!A:M,9,0)</f>
        <v>0.875</v>
      </c>
      <c r="C87">
        <f>VLOOKUP(A87,institutions_spss!A:M,10,0)</f>
        <v>0.76300000000000001</v>
      </c>
      <c r="D87">
        <f>VLOOKUP(A87,institutions_spss!A:M,11,0)</f>
        <v>0.92700000000000005</v>
      </c>
      <c r="E87">
        <f>VLOOKUP(A87,institutions_spss!A:M,12,0)</f>
        <v>0.85299999999999998</v>
      </c>
      <c r="F87">
        <f>VLOOKUP(A87,institutions_spss!A:M,13,0)</f>
        <v>0.84199999999999997</v>
      </c>
    </row>
    <row r="88" spans="1:6" x14ac:dyDescent="0.25">
      <c r="A88" t="str">
        <f>institutions_spss!A90</f>
        <v>Texas A&amp;M University College Station</v>
      </c>
      <c r="B88">
        <f>VLOOKUP(A88,institutions_spss!A:M,9,0)</f>
        <v>0.85699999999999998</v>
      </c>
      <c r="C88">
        <f>VLOOKUP(A88,institutions_spss!A:M,10,0)</f>
        <v>0.86699999999999999</v>
      </c>
      <c r="D88">
        <f>VLOOKUP(A88,institutions_spss!A:M,11,0)</f>
        <v>0.88700000000000001</v>
      </c>
      <c r="E88">
        <f>VLOOKUP(A88,institutions_spss!A:M,12,0)</f>
        <v>0.93799999999999994</v>
      </c>
      <c r="F88">
        <f>VLOOKUP(A88,institutions_spss!A:M,13,0)</f>
        <v>0.69799999999999995</v>
      </c>
    </row>
    <row r="89" spans="1:6" x14ac:dyDescent="0.25">
      <c r="A89" t="str">
        <f>institutions_spss!A91</f>
        <v>York University - Canada</v>
      </c>
      <c r="B89">
        <f>VLOOKUP(A89,institutions_spss!A:M,9,0)</f>
        <v>0.872</v>
      </c>
      <c r="C89">
        <f>VLOOKUP(A89,institutions_spss!A:M,10,0)</f>
        <v>0.72199999999999998</v>
      </c>
      <c r="D89">
        <f>VLOOKUP(A89,institutions_spss!A:M,11,0)</f>
        <v>0.70499999999999996</v>
      </c>
      <c r="E89">
        <f>VLOOKUP(A89,institutions_spss!A:M,12,0)</f>
        <v>0.95499999999999996</v>
      </c>
      <c r="F89">
        <f>VLOOKUP(A89,institutions_spss!A:M,13,0)</f>
        <v>0.84699999999999998</v>
      </c>
    </row>
    <row r="90" spans="1:6" x14ac:dyDescent="0.25">
      <c r="A90" t="str">
        <f>institutions_spss!A92</f>
        <v>Universite Toulouse 1 Capitole</v>
      </c>
      <c r="B90">
        <f>VLOOKUP(A90,institutions_spss!A:M,9,0)</f>
        <v>0.85199999999999998</v>
      </c>
      <c r="C90">
        <f>VLOOKUP(A90,institutions_spss!A:M,10,0)</f>
        <v>0.88</v>
      </c>
      <c r="D90">
        <f>VLOOKUP(A90,institutions_spss!A:M,11,0)</f>
        <v>0.82499999999999996</v>
      </c>
      <c r="E90">
        <f>VLOOKUP(A90,institutions_spss!A:M,12,0)</f>
        <v>0.78</v>
      </c>
      <c r="F90">
        <f>VLOOKUP(A90,institutions_spss!A:M,13,0)</f>
        <v>0.55000000000000004</v>
      </c>
    </row>
    <row r="91" spans="1:6" x14ac:dyDescent="0.25">
      <c r="A91" t="str">
        <f>institutions_spss!A93</f>
        <v>McGill University</v>
      </c>
      <c r="B91">
        <f>VLOOKUP(A91,institutions_spss!A:M,9,0)</f>
        <v>0.873</v>
      </c>
      <c r="C91">
        <f>VLOOKUP(A91,institutions_spss!A:M,10,0)</f>
        <v>0.81499999999999995</v>
      </c>
      <c r="D91">
        <f>VLOOKUP(A91,institutions_spss!A:M,11,0)</f>
        <v>0.84199999999999997</v>
      </c>
      <c r="E91">
        <f>VLOOKUP(A91,institutions_spss!A:M,12,0)</f>
        <v>0.872</v>
      </c>
      <c r="F91">
        <f>VLOOKUP(A91,institutions_spss!A:M,13,0)</f>
        <v>0.95</v>
      </c>
    </row>
    <row r="92" spans="1:6" x14ac:dyDescent="0.25">
      <c r="A92" t="str">
        <f>institutions_spss!A94</f>
        <v>Rutgers University Newark</v>
      </c>
      <c r="B92">
        <f>VLOOKUP(A92,institutions_spss!A:M,9,0)</f>
        <v>0.88300000000000001</v>
      </c>
      <c r="C92">
        <f>VLOOKUP(A92,institutions_spss!A:M,10,0)</f>
        <v>0.76300000000000001</v>
      </c>
      <c r="D92">
        <f>VLOOKUP(A92,institutions_spss!A:M,11,0)</f>
        <v>0.82</v>
      </c>
      <c r="E92">
        <f>VLOOKUP(A92,institutions_spss!A:M,12,0)</f>
        <v>0.93500000000000005</v>
      </c>
      <c r="F92">
        <f>VLOOKUP(A92,institutions_spss!A:M,13,0)</f>
        <v>0.87</v>
      </c>
    </row>
    <row r="93" spans="1:6" x14ac:dyDescent="0.25">
      <c r="A93" t="str">
        <f>institutions_spss!A95</f>
        <v>University of Lausanne</v>
      </c>
      <c r="B93">
        <f>VLOOKUP(A93,institutions_spss!A:M,9,0)</f>
        <v>0.83799999999999997</v>
      </c>
      <c r="C93">
        <f>VLOOKUP(A93,institutions_spss!A:M,10,0)</f>
        <v>0.89300000000000002</v>
      </c>
      <c r="D93">
        <f>VLOOKUP(A93,institutions_spss!A:M,11,0)</f>
        <v>0.96199999999999997</v>
      </c>
      <c r="E93">
        <f>VLOOKUP(A93,institutions_spss!A:M,12,0)</f>
        <v>0.63700000000000001</v>
      </c>
      <c r="F93">
        <f>VLOOKUP(A93,institutions_spss!A:M,13,0)</f>
        <v>0.748</v>
      </c>
    </row>
    <row r="94" spans="1:6" x14ac:dyDescent="0.25">
      <c r="A94" t="str">
        <f>institutions_spss!A96</f>
        <v>Arizona State University-Tempe</v>
      </c>
      <c r="B94">
        <f>VLOOKUP(A94,institutions_spss!A:M,9,0)</f>
        <v>0.85</v>
      </c>
      <c r="C94">
        <f>VLOOKUP(A94,institutions_spss!A:M,10,0)</f>
        <v>0.84699999999999998</v>
      </c>
      <c r="D94">
        <f>VLOOKUP(A94,institutions_spss!A:M,11,0)</f>
        <v>0.89</v>
      </c>
      <c r="E94">
        <f>VLOOKUP(A94,institutions_spss!A:M,12,0)</f>
        <v>0.88800000000000001</v>
      </c>
      <c r="F94">
        <f>VLOOKUP(A94,institutions_spss!A:M,13,0)</f>
        <v>0.91800000000000004</v>
      </c>
    </row>
    <row r="95" spans="1:6" x14ac:dyDescent="0.25">
      <c r="A95" t="str">
        <f>institutions_spss!A97</f>
        <v>Paris School of Economics</v>
      </c>
      <c r="B95">
        <f>VLOOKUP(A95,institutions_spss!A:M,9,0)</f>
        <v>0.82799999999999996</v>
      </c>
      <c r="C95">
        <f>VLOOKUP(A95,institutions_spss!A:M,10,0)</f>
        <v>0.877</v>
      </c>
      <c r="D95">
        <f>VLOOKUP(A95,institutions_spss!A:M,11,0)</f>
        <v>0.42199999999999999</v>
      </c>
      <c r="E95">
        <f>VLOOKUP(A95,institutions_spss!A:M,12,0)</f>
        <v>0</v>
      </c>
      <c r="F95">
        <f>VLOOKUP(A95,institutions_spss!A:M,13,0)</f>
        <v>0</v>
      </c>
    </row>
    <row r="96" spans="1:6" x14ac:dyDescent="0.25">
      <c r="A96" t="str">
        <f>institutions_spss!A98</f>
        <v>Brigham Young University</v>
      </c>
      <c r="B96">
        <f>VLOOKUP(A96,institutions_spss!A:M,9,0)</f>
        <v>0.83799999999999997</v>
      </c>
      <c r="C96">
        <f>VLOOKUP(A96,institutions_spss!A:M,10,0)</f>
        <v>0.877</v>
      </c>
      <c r="D96">
        <f>VLOOKUP(A96,institutions_spss!A:M,11,0)</f>
        <v>0.875</v>
      </c>
      <c r="E96">
        <f>VLOOKUP(A96,institutions_spss!A:M,12,0)</f>
        <v>0.72499999999999998</v>
      </c>
      <c r="F96">
        <f>VLOOKUP(A96,institutions_spss!A:M,13,0)</f>
        <v>0.70299999999999996</v>
      </c>
    </row>
    <row r="97" spans="1:6" x14ac:dyDescent="0.25">
      <c r="A97" t="str">
        <f>institutions_spss!A99</f>
        <v>University of Illinois Urbana-Champaign</v>
      </c>
      <c r="B97">
        <f>VLOOKUP(A97,institutions_spss!A:M,9,0)</f>
        <v>0.84299999999999997</v>
      </c>
      <c r="C97">
        <f>VLOOKUP(A97,institutions_spss!A:M,10,0)</f>
        <v>0.85</v>
      </c>
      <c r="D97">
        <f>VLOOKUP(A97,institutions_spss!A:M,11,0)</f>
        <v>0.94299999999999995</v>
      </c>
      <c r="E97">
        <f>VLOOKUP(A97,institutions_spss!A:M,12,0)</f>
        <v>0.63700000000000001</v>
      </c>
      <c r="F97">
        <f>VLOOKUP(A97,institutions_spss!A:M,13,0)</f>
        <v>0.59799999999999998</v>
      </c>
    </row>
    <row r="98" spans="1:6" x14ac:dyDescent="0.25">
      <c r="A98" t="str">
        <f>institutions_spss!A100</f>
        <v>Bank of Canada</v>
      </c>
      <c r="B98">
        <f>VLOOKUP(A98,institutions_spss!A:M,9,0)</f>
        <v>0.84</v>
      </c>
      <c r="C98">
        <f>VLOOKUP(A98,institutions_spss!A:M,10,0)</f>
        <v>0.88700000000000001</v>
      </c>
      <c r="D98">
        <f>VLOOKUP(A98,institutions_spss!A:M,11,0)</f>
        <v>0.6</v>
      </c>
      <c r="E98">
        <f>VLOOKUP(A98,institutions_spss!A:M,12,0)</f>
        <v>0</v>
      </c>
      <c r="F98">
        <f>VLOOKUP(A98,institutions_spss!A:M,13,0)</f>
        <v>0</v>
      </c>
    </row>
    <row r="99" spans="1:6" x14ac:dyDescent="0.25">
      <c r="A99" t="str">
        <f>institutions_spss!A101</f>
        <v>KU Leuven</v>
      </c>
      <c r="B99">
        <f>VLOOKUP(A99,institutions_spss!A:M,9,0)</f>
        <v>0.84299999999999997</v>
      </c>
      <c r="C99">
        <f>VLOOKUP(A99,institutions_spss!A:M,10,0)</f>
        <v>0.92200000000000004</v>
      </c>
      <c r="D99">
        <f>VLOOKUP(A99,institutions_spss!A:M,11,0)</f>
        <v>0.74</v>
      </c>
      <c r="E99">
        <f>VLOOKUP(A99,institutions_spss!A:M,12,0)</f>
        <v>0.53200000000000003</v>
      </c>
      <c r="F99">
        <f>VLOOKUP(A99,institutions_spss!A:M,13,0)</f>
        <v>0.40300000000000002</v>
      </c>
    </row>
    <row r="100" spans="1:6" x14ac:dyDescent="0.25">
      <c r="A100" t="str">
        <f>institutions_spss!A102</f>
        <v>Drexel University</v>
      </c>
      <c r="B100">
        <f>VLOOKUP(A100,institutions_spss!A:M,9,0)</f>
        <v>0.84499999999999997</v>
      </c>
      <c r="C100">
        <f>VLOOKUP(A100,institutions_spss!A:M,10,0)</f>
        <v>0.82499999999999996</v>
      </c>
      <c r="D100">
        <f>VLOOKUP(A100,institutions_spss!A:M,11,0)</f>
        <v>0.84499999999999997</v>
      </c>
      <c r="E100">
        <f>VLOOKUP(A100,institutions_spss!A:M,12,0)</f>
        <v>0.85799999999999998</v>
      </c>
      <c r="F100">
        <f>VLOOKUP(A100,institutions_spss!A:M,13,0)</f>
        <v>0.91500000000000004</v>
      </c>
    </row>
    <row r="101" spans="1:6" x14ac:dyDescent="0.25">
      <c r="A101" t="str">
        <f>institutions_spss!A103</f>
        <v>University of Copenhagen</v>
      </c>
      <c r="B101">
        <f>VLOOKUP(A101,institutions_spss!A:M,9,0)</f>
        <v>0.82799999999999996</v>
      </c>
      <c r="C101">
        <f>VLOOKUP(A101,institutions_spss!A:M,10,0)</f>
        <v>0.88300000000000001</v>
      </c>
      <c r="D101">
        <f>VLOOKUP(A101,institutions_spss!A:M,11,0)</f>
        <v>0.80300000000000005</v>
      </c>
      <c r="E101">
        <f>VLOOKUP(A101,institutions_spss!A:M,12,0)</f>
        <v>0.61799999999999999</v>
      </c>
      <c r="F101">
        <f>VLOOKUP(A101,institutions_spss!A:M,13,0)</f>
        <v>0.56499999999999995</v>
      </c>
    </row>
    <row r="102" spans="1:6" x14ac:dyDescent="0.25">
      <c r="A102" t="str">
        <f>institutions_spss!A104</f>
        <v>University of Iowa</v>
      </c>
      <c r="B102">
        <f>VLOOKUP(A102,institutions_spss!A:M,9,0)</f>
        <v>0.83799999999999997</v>
      </c>
      <c r="C102">
        <f>VLOOKUP(A102,institutions_spss!A:M,10,0)</f>
        <v>0.63200000000000001</v>
      </c>
      <c r="D102">
        <f>VLOOKUP(A102,institutions_spss!A:M,11,0)</f>
        <v>0.90700000000000003</v>
      </c>
      <c r="E102">
        <f>VLOOKUP(A102,institutions_spss!A:M,12,0)</f>
        <v>0.84699999999999998</v>
      </c>
      <c r="F102">
        <f>VLOOKUP(A102,institutions_spss!A:M,13,0)</f>
        <v>0.877</v>
      </c>
    </row>
    <row r="103" spans="1:6" x14ac:dyDescent="0.25">
      <c r="A103" t="str">
        <f>institutions_spss!A105</f>
        <v>University of South Carolina Columbia</v>
      </c>
      <c r="B103">
        <f>VLOOKUP(A103,institutions_spss!A:M,9,0)</f>
        <v>0.83199999999999996</v>
      </c>
      <c r="C103">
        <f>VLOOKUP(A103,institutions_spss!A:M,10,0)</f>
        <v>0.68500000000000005</v>
      </c>
      <c r="D103">
        <f>VLOOKUP(A103,institutions_spss!A:M,11,0)</f>
        <v>0.873</v>
      </c>
      <c r="E103">
        <f>VLOOKUP(A103,institutions_spss!A:M,12,0)</f>
        <v>0.89700000000000002</v>
      </c>
      <c r="F103">
        <f>VLOOKUP(A103,institutions_spss!A:M,13,0)</f>
        <v>0.59799999999999998</v>
      </c>
    </row>
    <row r="104" spans="1:6" x14ac:dyDescent="0.25">
      <c r="A104" t="str">
        <f>institutions_spss!A106</f>
        <v>Lund University</v>
      </c>
      <c r="B104">
        <f>VLOOKUP(A104,institutions_spss!A:M,9,0)</f>
        <v>0.83</v>
      </c>
      <c r="C104">
        <f>VLOOKUP(A104,institutions_spss!A:M,10,0)</f>
        <v>0.89</v>
      </c>
      <c r="D104">
        <f>VLOOKUP(A104,institutions_spss!A:M,11,0)</f>
        <v>0.745</v>
      </c>
      <c r="E104">
        <f>VLOOKUP(A104,institutions_spss!A:M,12,0)</f>
        <v>0.76200000000000001</v>
      </c>
      <c r="F104">
        <f>VLOOKUP(A104,institutions_spss!A:M,13,0)</f>
        <v>0.74299999999999999</v>
      </c>
    </row>
    <row r="105" spans="1:6" x14ac:dyDescent="0.25">
      <c r="A105" t="str">
        <f>institutions_spss!A107</f>
        <v>Western University (University of Western Ontario)</v>
      </c>
      <c r="B105">
        <f>VLOOKUP(A105,institutions_spss!A:M,9,0)</f>
        <v>0.83799999999999997</v>
      </c>
      <c r="C105">
        <f>VLOOKUP(A105,institutions_spss!A:M,10,0)</f>
        <v>0.85799999999999998</v>
      </c>
      <c r="D105">
        <f>VLOOKUP(A105,institutions_spss!A:M,11,0)</f>
        <v>0.625</v>
      </c>
      <c r="E105">
        <f>VLOOKUP(A105,institutions_spss!A:M,12,0)</f>
        <v>0.83299999999999996</v>
      </c>
      <c r="F105">
        <f>VLOOKUP(A105,institutions_spss!A:M,13,0)</f>
        <v>0.85799999999999998</v>
      </c>
    </row>
    <row r="106" spans="1:6" x14ac:dyDescent="0.25">
      <c r="A106" t="str">
        <f>institutions_spss!A108</f>
        <v>Chinese University of Hong Kong</v>
      </c>
      <c r="B106">
        <f>VLOOKUP(A106,institutions_spss!A:M,9,0)</f>
        <v>0.81699999999999995</v>
      </c>
      <c r="C106">
        <f>VLOOKUP(A106,institutions_spss!A:M,10,0)</f>
        <v>0.81200000000000006</v>
      </c>
      <c r="D106">
        <f>VLOOKUP(A106,institutions_spss!A:M,11,0)</f>
        <v>0.86299999999999999</v>
      </c>
      <c r="E106">
        <f>VLOOKUP(A106,institutions_spss!A:M,12,0)</f>
        <v>0.753</v>
      </c>
      <c r="F106">
        <f>VLOOKUP(A106,institutions_spss!A:M,13,0)</f>
        <v>0.53800000000000003</v>
      </c>
    </row>
    <row r="107" spans="1:6" x14ac:dyDescent="0.25">
      <c r="A107" t="str">
        <f>institutions_spss!A109</f>
        <v>Stockholm University</v>
      </c>
      <c r="B107">
        <f>VLOOKUP(A107,institutions_spss!A:M,9,0)</f>
        <v>0.81699999999999995</v>
      </c>
      <c r="C107">
        <f>VLOOKUP(A107,institutions_spss!A:M,10,0)</f>
        <v>0.92300000000000004</v>
      </c>
      <c r="D107">
        <f>VLOOKUP(A107,institutions_spss!A:M,11,0)</f>
        <v>0.56299999999999994</v>
      </c>
      <c r="E107">
        <f>VLOOKUP(A107,institutions_spss!A:M,12,0)</f>
        <v>0.53200000000000003</v>
      </c>
      <c r="F107">
        <f>VLOOKUP(A107,institutions_spss!A:M,13,0)</f>
        <v>0.46700000000000003</v>
      </c>
    </row>
    <row r="108" spans="1:6" x14ac:dyDescent="0.25">
      <c r="A108" t="str">
        <f>institutions_spss!A110</f>
        <v>University of Arizona</v>
      </c>
      <c r="B108">
        <f>VLOOKUP(A108,institutions_spss!A:M,9,0)</f>
        <v>0.81699999999999995</v>
      </c>
      <c r="C108">
        <f>VLOOKUP(A108,institutions_spss!A:M,10,0)</f>
        <v>0.753</v>
      </c>
      <c r="D108">
        <f>VLOOKUP(A108,institutions_spss!A:M,11,0)</f>
        <v>0.89200000000000002</v>
      </c>
      <c r="E108">
        <f>VLOOKUP(A108,institutions_spss!A:M,12,0)</f>
        <v>0.90700000000000003</v>
      </c>
      <c r="F108">
        <f>VLOOKUP(A108,institutions_spss!A:M,13,0)</f>
        <v>0.80500000000000005</v>
      </c>
    </row>
    <row r="109" spans="1:6" x14ac:dyDescent="0.25">
      <c r="A109" t="str">
        <f>institutions_spss!A111</f>
        <v>Free University of Bozen-Bolzano</v>
      </c>
      <c r="B109">
        <f>VLOOKUP(A109,institutions_spss!A:M,9,0)</f>
        <v>0.81</v>
      </c>
      <c r="C109">
        <f>VLOOKUP(A109,institutions_spss!A:M,10,0)</f>
        <v>0.39200000000000002</v>
      </c>
      <c r="D109">
        <f>VLOOKUP(A109,institutions_spss!A:M,11,0)</f>
        <v>0.64500000000000002</v>
      </c>
      <c r="E109">
        <f>VLOOKUP(A109,institutions_spss!A:M,12,0)</f>
        <v>0.84199999999999997</v>
      </c>
      <c r="F109">
        <f>VLOOKUP(A109,institutions_spss!A:M,13,0)</f>
        <v>0.81299999999999994</v>
      </c>
    </row>
    <row r="110" spans="1:6" x14ac:dyDescent="0.25">
      <c r="A110" t="str">
        <f>institutions_spss!A112</f>
        <v>University of Oxford</v>
      </c>
      <c r="B110">
        <f>VLOOKUP(A110,institutions_spss!A:M,9,0)</f>
        <v>0.81</v>
      </c>
      <c r="C110">
        <f>VLOOKUP(A110,institutions_spss!A:M,10,0)</f>
        <v>0.85299999999999998</v>
      </c>
      <c r="D110">
        <f>VLOOKUP(A110,institutions_spss!A:M,11,0)</f>
        <v>0.78</v>
      </c>
      <c r="E110">
        <f>VLOOKUP(A110,institutions_spss!A:M,12,0)</f>
        <v>0.66800000000000004</v>
      </c>
      <c r="F110">
        <f>VLOOKUP(A110,institutions_spss!A:M,13,0)</f>
        <v>0.878</v>
      </c>
    </row>
    <row r="111" spans="1:6" x14ac:dyDescent="0.25">
      <c r="A111" t="str">
        <f>institutions_spss!A113</f>
        <v>Leuphana University Luneburg</v>
      </c>
      <c r="B111">
        <f>VLOOKUP(A111,institutions_spss!A:M,9,0)</f>
        <v>0.84799999999999998</v>
      </c>
      <c r="C111">
        <f>VLOOKUP(A111,institutions_spss!A:M,10,0)</f>
        <v>0.34200000000000003</v>
      </c>
      <c r="D111">
        <f>VLOOKUP(A111,institutions_spss!A:M,11,0)</f>
        <v>0.44</v>
      </c>
      <c r="E111">
        <f>VLOOKUP(A111,institutions_spss!A:M,12,0)</f>
        <v>0.90300000000000002</v>
      </c>
      <c r="F111">
        <f>VLOOKUP(A111,institutions_spss!A:M,13,0)</f>
        <v>0.87</v>
      </c>
    </row>
    <row r="112" spans="1:6" x14ac:dyDescent="0.25">
      <c r="A112" t="str">
        <f>institutions_spss!A114</f>
        <v>Pontificia Universidad Catolica de Chile</v>
      </c>
      <c r="B112">
        <f>VLOOKUP(A112,institutions_spss!A:M,9,0)</f>
        <v>0.78500000000000003</v>
      </c>
      <c r="C112">
        <f>VLOOKUP(A112,institutions_spss!A:M,10,0)</f>
        <v>0.85299999999999998</v>
      </c>
      <c r="D112">
        <f>VLOOKUP(A112,institutions_spss!A:M,11,0)</f>
        <v>0.245</v>
      </c>
      <c r="E112">
        <f>VLOOKUP(A112,institutions_spss!A:M,12,0)</f>
        <v>0.83799999999999997</v>
      </c>
      <c r="F112">
        <f>VLOOKUP(A112,institutions_spss!A:M,13,0)</f>
        <v>0.70299999999999996</v>
      </c>
    </row>
    <row r="113" spans="1:6" x14ac:dyDescent="0.25">
      <c r="A113" t="str">
        <f>institutions_spss!A115</f>
        <v>Southern Methodist University</v>
      </c>
      <c r="B113">
        <f>VLOOKUP(A113,institutions_spss!A:M,9,0)</f>
        <v>0.81799999999999995</v>
      </c>
      <c r="C113">
        <f>VLOOKUP(A113,institutions_spss!A:M,10,0)</f>
        <v>0.78800000000000003</v>
      </c>
      <c r="D113">
        <f>VLOOKUP(A113,institutions_spss!A:M,11,0)</f>
        <v>0.96499999999999997</v>
      </c>
      <c r="E113">
        <f>VLOOKUP(A113,institutions_spss!A:M,12,0)</f>
        <v>0.59299999999999997</v>
      </c>
      <c r="F113">
        <f>VLOOKUP(A113,institutions_spss!A:M,13,0)</f>
        <v>0.91200000000000003</v>
      </c>
    </row>
    <row r="114" spans="1:6" x14ac:dyDescent="0.25">
      <c r="A114" t="str">
        <f>institutions_spss!A116</f>
        <v>Copenhagen Business School</v>
      </c>
      <c r="B114">
        <f>VLOOKUP(A114,institutions_spss!A:M,9,0)</f>
        <v>0.82799999999999996</v>
      </c>
      <c r="C114">
        <f>VLOOKUP(A114,institutions_spss!A:M,10,0)</f>
        <v>0.82199999999999995</v>
      </c>
      <c r="D114">
        <f>VLOOKUP(A114,institutions_spss!A:M,11,0)</f>
        <v>0.71199999999999997</v>
      </c>
      <c r="E114">
        <f>VLOOKUP(A114,institutions_spss!A:M,12,0)</f>
        <v>0.83299999999999996</v>
      </c>
      <c r="F114">
        <f>VLOOKUP(A114,institutions_spss!A:M,13,0)</f>
        <v>0.83</v>
      </c>
    </row>
    <row r="115" spans="1:6" x14ac:dyDescent="0.25">
      <c r="A115" t="str">
        <f>institutions_spss!A117</f>
        <v>Stockholm School of Economics</v>
      </c>
      <c r="B115">
        <f>VLOOKUP(A115,institutions_spss!A:M,9,0)</f>
        <v>0.80200000000000005</v>
      </c>
      <c r="C115">
        <f>VLOOKUP(A115,institutions_spss!A:M,10,0)</f>
        <v>0.87</v>
      </c>
      <c r="D115">
        <f>VLOOKUP(A115,institutions_spss!A:M,11,0)</f>
        <v>0.81699999999999995</v>
      </c>
      <c r="E115">
        <f>VLOOKUP(A115,institutions_spss!A:M,12,0)</f>
        <v>0.66800000000000004</v>
      </c>
      <c r="F115">
        <f>VLOOKUP(A115,institutions_spss!A:M,13,0)</f>
        <v>0.63300000000000001</v>
      </c>
    </row>
    <row r="116" spans="1:6" x14ac:dyDescent="0.25">
      <c r="A116" t="str">
        <f>institutions_spss!A118</f>
        <v>Michigan State University</v>
      </c>
      <c r="B116">
        <f>VLOOKUP(A116,institutions_spss!A:M,9,0)</f>
        <v>0.79300000000000004</v>
      </c>
      <c r="C116">
        <f>VLOOKUP(A116,institutions_spss!A:M,10,0)</f>
        <v>0.84699999999999998</v>
      </c>
      <c r="D116">
        <f>VLOOKUP(A116,institutions_spss!A:M,11,0)</f>
        <v>0.94799999999999995</v>
      </c>
      <c r="E116">
        <f>VLOOKUP(A116,institutions_spss!A:M,12,0)</f>
        <v>0.57499999999999996</v>
      </c>
      <c r="F116">
        <f>VLOOKUP(A116,institutions_spss!A:M,13,0)</f>
        <v>0.66500000000000004</v>
      </c>
    </row>
    <row r="117" spans="1:6" x14ac:dyDescent="0.25">
      <c r="A117" t="str">
        <f>institutions_spss!A119</f>
        <v>University of Nebraska Lincoln</v>
      </c>
      <c r="B117">
        <f>VLOOKUP(A117,institutions_spss!A:M,9,0)</f>
        <v>0.80500000000000005</v>
      </c>
      <c r="C117">
        <f>VLOOKUP(A117,institutions_spss!A:M,10,0)</f>
        <v>0.73499999999999999</v>
      </c>
      <c r="D117">
        <f>VLOOKUP(A117,institutions_spss!A:M,11,0)</f>
        <v>0.755</v>
      </c>
      <c r="E117">
        <f>VLOOKUP(A117,institutions_spss!A:M,12,0)</f>
        <v>0.93</v>
      </c>
      <c r="F117">
        <f>VLOOKUP(A117,institutions_spss!A:M,13,0)</f>
        <v>0.93799999999999994</v>
      </c>
    </row>
    <row r="118" spans="1:6" x14ac:dyDescent="0.25">
      <c r="A118" t="str">
        <f>institutions_spss!A120</f>
        <v>Nanyang Technological University</v>
      </c>
      <c r="B118">
        <f>VLOOKUP(A118,institutions_spss!A:M,9,0)</f>
        <v>0.81200000000000006</v>
      </c>
      <c r="C118">
        <f>VLOOKUP(A118,institutions_spss!A:M,10,0)</f>
        <v>0.52</v>
      </c>
      <c r="D118">
        <f>VLOOKUP(A118,institutions_spss!A:M,11,0)</f>
        <v>0.88</v>
      </c>
      <c r="E118">
        <f>VLOOKUP(A118,institutions_spss!A:M,12,0)</f>
        <v>0.86299999999999999</v>
      </c>
      <c r="F118">
        <f>VLOOKUP(A118,institutions_spss!A:M,13,0)</f>
        <v>0.77</v>
      </c>
    </row>
    <row r="119" spans="1:6" x14ac:dyDescent="0.25">
      <c r="A119" t="str">
        <f>institutions_spss!A121</f>
        <v>University of Munich</v>
      </c>
      <c r="B119">
        <f>VLOOKUP(A119,institutions_spss!A:M,9,0)</f>
        <v>0.79300000000000004</v>
      </c>
      <c r="C119">
        <f>VLOOKUP(A119,institutions_spss!A:M,10,0)</f>
        <v>0.80500000000000005</v>
      </c>
      <c r="D119">
        <f>VLOOKUP(A119,institutions_spss!A:M,11,0)</f>
        <v>0.435</v>
      </c>
      <c r="E119">
        <f>VLOOKUP(A119,institutions_spss!A:M,12,0)</f>
        <v>0.94199999999999995</v>
      </c>
      <c r="F119">
        <f>VLOOKUP(A119,institutions_spss!A:M,13,0)</f>
        <v>0.96799999999999997</v>
      </c>
    </row>
    <row r="120" spans="1:6" x14ac:dyDescent="0.25">
      <c r="A120" t="str">
        <f>institutions_spss!A122</f>
        <v>University of St Gallen</v>
      </c>
      <c r="B120">
        <f>VLOOKUP(A120,institutions_spss!A:M,9,0)</f>
        <v>0.80200000000000005</v>
      </c>
      <c r="C120">
        <f>VLOOKUP(A120,institutions_spss!A:M,10,0)</f>
        <v>0.74</v>
      </c>
      <c r="D120">
        <f>VLOOKUP(A120,institutions_spss!A:M,11,0)</f>
        <v>0.57799999999999996</v>
      </c>
      <c r="E120">
        <f>VLOOKUP(A120,institutions_spss!A:M,12,0)</f>
        <v>0.81699999999999995</v>
      </c>
      <c r="F120">
        <f>VLOOKUP(A120,institutions_spss!A:M,13,0)</f>
        <v>0.8</v>
      </c>
    </row>
    <row r="121" spans="1:6" x14ac:dyDescent="0.25">
      <c r="A121" t="str">
        <f>institutions_spss!A123</f>
        <v>Clemson University</v>
      </c>
      <c r="B121">
        <f>VLOOKUP(A121,institutions_spss!A:M,9,0)</f>
        <v>0.78500000000000003</v>
      </c>
      <c r="C121">
        <f>VLOOKUP(A121,institutions_spss!A:M,10,0)</f>
        <v>0.86199999999999999</v>
      </c>
      <c r="D121">
        <f>VLOOKUP(A121,institutions_spss!A:M,11,0)</f>
        <v>0.74199999999999999</v>
      </c>
      <c r="E121">
        <f>VLOOKUP(A121,institutions_spss!A:M,12,0)</f>
        <v>0.71499999999999997</v>
      </c>
      <c r="F121">
        <f>VLOOKUP(A121,institutions_spss!A:M,13,0)</f>
        <v>0.66</v>
      </c>
    </row>
    <row r="122" spans="1:6" x14ac:dyDescent="0.25">
      <c r="A122" t="str">
        <f>institutions_spss!A124</f>
        <v>Lappeenranta-Lahti University of Technology LUT</v>
      </c>
      <c r="B122">
        <f>VLOOKUP(A122,institutions_spss!A:M,9,0)</f>
        <v>0.82299999999999995</v>
      </c>
      <c r="C122">
        <f>VLOOKUP(A122,institutions_spss!A:M,10,0)</f>
        <v>8.7999999999999995E-2</v>
      </c>
      <c r="D122">
        <f>VLOOKUP(A122,institutions_spss!A:M,11,0)</f>
        <v>0</v>
      </c>
      <c r="E122">
        <f>VLOOKUP(A122,institutions_spss!A:M,12,0)</f>
        <v>0.79</v>
      </c>
      <c r="F122">
        <f>VLOOKUP(A122,institutions_spss!A:M,13,0)</f>
        <v>0.872</v>
      </c>
    </row>
    <row r="123" spans="1:6" x14ac:dyDescent="0.25">
      <c r="A123" t="str">
        <f>institutions_spss!A125</f>
        <v>Tilburg University</v>
      </c>
      <c r="B123">
        <f>VLOOKUP(A123,institutions_spss!A:M,9,0)</f>
        <v>0.78</v>
      </c>
      <c r="C123">
        <f>VLOOKUP(A123,institutions_spss!A:M,10,0)</f>
        <v>0.73499999999999999</v>
      </c>
      <c r="D123">
        <f>VLOOKUP(A123,institutions_spss!A:M,11,0)</f>
        <v>0.79800000000000004</v>
      </c>
      <c r="E123">
        <f>VLOOKUP(A123,institutions_spss!A:M,12,0)</f>
        <v>0.82699999999999996</v>
      </c>
      <c r="F123">
        <f>VLOOKUP(A123,institutions_spss!A:M,13,0)</f>
        <v>0.78700000000000003</v>
      </c>
    </row>
    <row r="124" spans="1:6" x14ac:dyDescent="0.25">
      <c r="A124" t="str">
        <f>institutions_spss!A126</f>
        <v>Tulane University</v>
      </c>
      <c r="B124">
        <f>VLOOKUP(A124,institutions_spss!A:M,9,0)</f>
        <v>0.80200000000000005</v>
      </c>
      <c r="C124">
        <f>VLOOKUP(A124,institutions_spss!A:M,10,0)</f>
        <v>0.747</v>
      </c>
      <c r="D124">
        <f>VLOOKUP(A124,institutions_spss!A:M,11,0)</f>
        <v>0.78500000000000003</v>
      </c>
      <c r="E124">
        <f>VLOOKUP(A124,institutions_spss!A:M,12,0)</f>
        <v>0.872</v>
      </c>
      <c r="F124">
        <f>VLOOKUP(A124,institutions_spss!A:M,13,0)</f>
        <v>0.998</v>
      </c>
    </row>
    <row r="125" spans="1:6" x14ac:dyDescent="0.25">
      <c r="A125" t="str">
        <f>institutions_spss!A127</f>
        <v>Claremont Colleges</v>
      </c>
      <c r="B125">
        <f>VLOOKUP(A125,institutions_spss!A:M,9,0)</f>
        <v>0.75800000000000001</v>
      </c>
      <c r="C125">
        <f>VLOOKUP(A125,institutions_spss!A:M,10,0)</f>
        <v>0.72199999999999998</v>
      </c>
      <c r="D125">
        <f>VLOOKUP(A125,institutions_spss!A:M,11,0)</f>
        <v>0.33800000000000002</v>
      </c>
      <c r="E125">
        <f>VLOOKUP(A125,institutions_spss!A:M,12,0)</f>
        <v>0.99199999999999999</v>
      </c>
      <c r="F125">
        <f>VLOOKUP(A125,institutions_spss!A:M,13,0)</f>
        <v>0.58299999999999996</v>
      </c>
    </row>
    <row r="126" spans="1:6" x14ac:dyDescent="0.25">
      <c r="A126" t="str">
        <f>institutions_spss!A128</f>
        <v>George Washington University</v>
      </c>
      <c r="B126">
        <f>VLOOKUP(A126,institutions_spss!A:M,9,0)</f>
        <v>0.80200000000000005</v>
      </c>
      <c r="C126">
        <f>VLOOKUP(A126,institutions_spss!A:M,10,0)</f>
        <v>0.55700000000000005</v>
      </c>
      <c r="D126">
        <f>VLOOKUP(A126,institutions_spss!A:M,11,0)</f>
        <v>0.78</v>
      </c>
      <c r="E126">
        <f>VLOOKUP(A126,institutions_spss!A:M,12,0)</f>
        <v>0.89</v>
      </c>
      <c r="F126">
        <f>VLOOKUP(A126,institutions_spss!A:M,13,0)</f>
        <v>0.81699999999999995</v>
      </c>
    </row>
    <row r="127" spans="1:6" x14ac:dyDescent="0.25">
      <c r="A127" t="str">
        <f>institutions_spss!A129</f>
        <v>University of Cambridge</v>
      </c>
      <c r="B127">
        <f>VLOOKUP(A127,institutions_spss!A:M,9,0)</f>
        <v>0.78700000000000003</v>
      </c>
      <c r="C127">
        <f>VLOOKUP(A127,institutions_spss!A:M,10,0)</f>
        <v>0.753</v>
      </c>
      <c r="D127">
        <f>VLOOKUP(A127,institutions_spss!A:M,11,0)</f>
        <v>0.57799999999999996</v>
      </c>
      <c r="E127">
        <f>VLOOKUP(A127,institutions_spss!A:M,12,0)</f>
        <v>0.97</v>
      </c>
      <c r="F127">
        <f>VLOOKUP(A127,institutions_spss!A:M,13,0)</f>
        <v>1</v>
      </c>
    </row>
    <row r="128" spans="1:6" x14ac:dyDescent="0.25">
      <c r="A128" t="str">
        <f>institutions_spss!A130</f>
        <v>Queens University - Canada</v>
      </c>
      <c r="B128">
        <f>VLOOKUP(A128,institutions_spss!A:M,9,0)</f>
        <v>0.80500000000000005</v>
      </c>
      <c r="C128">
        <f>VLOOKUP(A128,institutions_spss!A:M,10,0)</f>
        <v>0.63200000000000001</v>
      </c>
      <c r="D128">
        <f>VLOOKUP(A128,institutions_spss!A:M,11,0)</f>
        <v>0.76500000000000001</v>
      </c>
      <c r="E128">
        <f>VLOOKUP(A128,institutions_spss!A:M,12,0)</f>
        <v>0.91500000000000004</v>
      </c>
      <c r="F128">
        <f>VLOOKUP(A128,institutions_spss!A:M,13,0)</f>
        <v>0.86199999999999999</v>
      </c>
    </row>
    <row r="129" spans="1:6" x14ac:dyDescent="0.25">
      <c r="A129" t="str">
        <f>institutions_spss!A131</f>
        <v>University of Tennessee Knoxville</v>
      </c>
      <c r="B129">
        <f>VLOOKUP(A129,institutions_spss!A:M,9,0)</f>
        <v>0.82</v>
      </c>
      <c r="C129">
        <f>VLOOKUP(A129,institutions_spss!A:M,10,0)</f>
        <v>0.54300000000000004</v>
      </c>
      <c r="D129">
        <f>VLOOKUP(A129,institutions_spss!A:M,11,0)</f>
        <v>0.95299999999999996</v>
      </c>
      <c r="E129">
        <f>VLOOKUP(A129,institutions_spss!A:M,12,0)</f>
        <v>0.84</v>
      </c>
      <c r="F129">
        <f>VLOOKUP(A129,institutions_spss!A:M,13,0)</f>
        <v>0.86499999999999999</v>
      </c>
    </row>
    <row r="130" spans="1:6" x14ac:dyDescent="0.25">
      <c r="A130" t="str">
        <f>institutions_spss!A132</f>
        <v>University of Connecticut</v>
      </c>
      <c r="B130">
        <f>VLOOKUP(A130,institutions_spss!A:M,9,0)</f>
        <v>0.76300000000000001</v>
      </c>
      <c r="C130">
        <f>VLOOKUP(A130,institutions_spss!A:M,10,0)</f>
        <v>0.76800000000000002</v>
      </c>
      <c r="D130">
        <f>VLOOKUP(A130,institutions_spss!A:M,11,0)</f>
        <v>0.83</v>
      </c>
      <c r="E130">
        <f>VLOOKUP(A130,institutions_spss!A:M,12,0)</f>
        <v>0.85799999999999998</v>
      </c>
      <c r="F130">
        <f>VLOOKUP(A130,institutions_spss!A:M,13,0)</f>
        <v>0.84199999999999997</v>
      </c>
    </row>
    <row r="131" spans="1:6" x14ac:dyDescent="0.25">
      <c r="A131" t="str">
        <f>institutions_spss!A133</f>
        <v>University of Mannheim</v>
      </c>
      <c r="B131">
        <f>VLOOKUP(A131,institutions_spss!A:M,9,0)</f>
        <v>0.76800000000000002</v>
      </c>
      <c r="C131">
        <f>VLOOKUP(A131,institutions_spss!A:M,10,0)</f>
        <v>0.77800000000000002</v>
      </c>
      <c r="D131">
        <f>VLOOKUP(A131,institutions_spss!A:M,11,0)</f>
        <v>0.83799999999999997</v>
      </c>
      <c r="E131">
        <f>VLOOKUP(A131,institutions_spss!A:M,12,0)</f>
        <v>0.81299999999999994</v>
      </c>
      <c r="F131">
        <f>VLOOKUP(A131,institutions_spss!A:M,13,0)</f>
        <v>0.68799999999999994</v>
      </c>
    </row>
    <row r="132" spans="1:6" x14ac:dyDescent="0.25">
      <c r="A132" t="str">
        <f>institutions_spss!A134</f>
        <v>University of Navarra</v>
      </c>
      <c r="B132">
        <f>VLOOKUP(A132,institutions_spss!A:M,9,0)</f>
        <v>0.81</v>
      </c>
      <c r="C132">
        <f>VLOOKUP(A132,institutions_spss!A:M,10,0)</f>
        <v>0.80300000000000005</v>
      </c>
      <c r="D132">
        <f>VLOOKUP(A132,institutions_spss!A:M,11,0)</f>
        <v>0.73</v>
      </c>
      <c r="E132">
        <f>VLOOKUP(A132,institutions_spss!A:M,12,0)</f>
        <v>0.79</v>
      </c>
      <c r="F132">
        <f>VLOOKUP(A132,institutions_spss!A:M,13,0)</f>
        <v>0.92300000000000004</v>
      </c>
    </row>
    <row r="133" spans="1:6" x14ac:dyDescent="0.25">
      <c r="A133" t="str">
        <f>institutions_spss!A135</f>
        <v>Rutgers University New Brunswick</v>
      </c>
      <c r="B133">
        <f>VLOOKUP(A133,institutions_spss!A:M,9,0)</f>
        <v>0.79300000000000004</v>
      </c>
      <c r="C133">
        <f>VLOOKUP(A133,institutions_spss!A:M,10,0)</f>
        <v>0.67300000000000004</v>
      </c>
      <c r="D133">
        <f>VLOOKUP(A133,institutions_spss!A:M,11,0)</f>
        <v>0.79200000000000004</v>
      </c>
      <c r="E133">
        <f>VLOOKUP(A133,institutions_spss!A:M,12,0)</f>
        <v>0.88500000000000001</v>
      </c>
      <c r="F133">
        <f>VLOOKUP(A133,institutions_spss!A:M,13,0)</f>
        <v>0.85</v>
      </c>
    </row>
    <row r="134" spans="1:6" x14ac:dyDescent="0.25">
      <c r="A134" t="str">
        <f>institutions_spss!A136</f>
        <v>University of Florida</v>
      </c>
      <c r="B134">
        <f>VLOOKUP(A134,institutions_spss!A:M,9,0)</f>
        <v>0.77200000000000002</v>
      </c>
      <c r="C134">
        <f>VLOOKUP(A134,institutions_spss!A:M,10,0)</f>
        <v>0.63200000000000001</v>
      </c>
      <c r="D134">
        <f>VLOOKUP(A134,institutions_spss!A:M,11,0)</f>
        <v>0.92800000000000005</v>
      </c>
      <c r="E134">
        <f>VLOOKUP(A134,institutions_spss!A:M,12,0)</f>
        <v>0.875</v>
      </c>
      <c r="F134">
        <f>VLOOKUP(A134,institutions_spss!A:M,13,0)</f>
        <v>0.83799999999999997</v>
      </c>
    </row>
    <row r="135" spans="1:6" x14ac:dyDescent="0.25">
      <c r="A135" t="str">
        <f>institutions_spss!A137</f>
        <v>University of Georgia</v>
      </c>
      <c r="B135">
        <f>VLOOKUP(A135,institutions_spss!A:M,9,0)</f>
        <v>0.78200000000000003</v>
      </c>
      <c r="C135">
        <f>VLOOKUP(A135,institutions_spss!A:M,10,0)</f>
        <v>0.65700000000000003</v>
      </c>
      <c r="D135">
        <f>VLOOKUP(A135,institutions_spss!A:M,11,0)</f>
        <v>0.88700000000000001</v>
      </c>
      <c r="E135">
        <f>VLOOKUP(A135,institutions_spss!A:M,12,0)</f>
        <v>0.70699999999999996</v>
      </c>
      <c r="F135">
        <f>VLOOKUP(A135,institutions_spss!A:M,13,0)</f>
        <v>0.97199999999999998</v>
      </c>
    </row>
    <row r="136" spans="1:6" x14ac:dyDescent="0.25">
      <c r="A136" t="str">
        <f>institutions_spss!A138</f>
        <v>University of Oslo</v>
      </c>
      <c r="B136">
        <f>VLOOKUP(A136,institutions_spss!A:M,9,0)</f>
        <v>0.75800000000000001</v>
      </c>
      <c r="C136">
        <f>VLOOKUP(A136,institutions_spss!A:M,10,0)</f>
        <v>0.86499999999999999</v>
      </c>
      <c r="D136">
        <f>VLOOKUP(A136,institutions_spss!A:M,11,0)</f>
        <v>0.40200000000000002</v>
      </c>
      <c r="E136">
        <f>VLOOKUP(A136,institutions_spss!A:M,12,0)</f>
        <v>0.28199999999999997</v>
      </c>
      <c r="F136">
        <f>VLOOKUP(A136,institutions_spss!A:M,13,0)</f>
        <v>0.19</v>
      </c>
    </row>
    <row r="137" spans="1:6" x14ac:dyDescent="0.25">
      <c r="A137" t="str">
        <f>institutions_spss!A139</f>
        <v>University of Victoria</v>
      </c>
      <c r="B137">
        <f>VLOOKUP(A137,institutions_spss!A:M,9,0)</f>
        <v>0.79300000000000004</v>
      </c>
      <c r="C137">
        <f>VLOOKUP(A137,institutions_spss!A:M,10,0)</f>
        <v>0.70699999999999996</v>
      </c>
      <c r="D137">
        <f>VLOOKUP(A137,institutions_spss!A:M,11,0)</f>
        <v>0</v>
      </c>
      <c r="E137">
        <f>VLOOKUP(A137,institutions_spss!A:M,12,0)</f>
        <v>0.85299999999999998</v>
      </c>
      <c r="F137">
        <f>VLOOKUP(A137,institutions_spss!A:M,13,0)</f>
        <v>0.83</v>
      </c>
    </row>
    <row r="138" spans="1:6" x14ac:dyDescent="0.25">
      <c r="A138" t="str">
        <f>institutions_spss!A140</f>
        <v>International Monetary Fund</v>
      </c>
      <c r="B138">
        <f>VLOOKUP(A138,institutions_spss!A:M,9,0)</f>
        <v>0.74</v>
      </c>
      <c r="C138">
        <f>VLOOKUP(A138,institutions_spss!A:M,10,0)</f>
        <v>0.82799999999999996</v>
      </c>
      <c r="D138">
        <f>VLOOKUP(A138,institutions_spss!A:M,11,0)</f>
        <v>0.66300000000000003</v>
      </c>
      <c r="E138">
        <f>VLOOKUP(A138,institutions_spss!A:M,12,0)</f>
        <v>0</v>
      </c>
      <c r="F138">
        <f>VLOOKUP(A138,institutions_spss!A:M,13,0)</f>
        <v>0</v>
      </c>
    </row>
    <row r="139" spans="1:6" x14ac:dyDescent="0.25">
      <c r="A139" t="str">
        <f>institutions_spss!A141</f>
        <v>Pennsylvania State University</v>
      </c>
      <c r="B139">
        <f>VLOOKUP(A139,institutions_spss!A:M,9,0)</f>
        <v>0.78</v>
      </c>
      <c r="C139">
        <f>VLOOKUP(A139,institutions_spss!A:M,10,0)</f>
        <v>0.755</v>
      </c>
      <c r="D139">
        <f>VLOOKUP(A139,institutions_spss!A:M,11,0)</f>
        <v>0.67200000000000004</v>
      </c>
      <c r="E139">
        <f>VLOOKUP(A139,institutions_spss!A:M,12,0)</f>
        <v>0.81699999999999995</v>
      </c>
      <c r="F139">
        <f>VLOOKUP(A139,institutions_spss!A:M,13,0)</f>
        <v>0.84699999999999998</v>
      </c>
    </row>
    <row r="140" spans="1:6" x14ac:dyDescent="0.25">
      <c r="A140" t="str">
        <f>institutions_spss!A142</f>
        <v>University of Massachusetts Amherst</v>
      </c>
      <c r="B140">
        <f>VLOOKUP(A140,institutions_spss!A:M,9,0)</f>
        <v>0.76200000000000001</v>
      </c>
      <c r="C140">
        <f>VLOOKUP(A140,institutions_spss!A:M,10,0)</f>
        <v>0.80700000000000005</v>
      </c>
      <c r="D140">
        <f>VLOOKUP(A140,institutions_spss!A:M,11,0)</f>
        <v>0.89800000000000002</v>
      </c>
      <c r="E140">
        <f>VLOOKUP(A140,institutions_spss!A:M,12,0)</f>
        <v>0.56999999999999995</v>
      </c>
      <c r="F140">
        <f>VLOOKUP(A140,institutions_spss!A:M,13,0)</f>
        <v>0.65300000000000002</v>
      </c>
    </row>
    <row r="141" spans="1:6" x14ac:dyDescent="0.25">
      <c r="A141" t="str">
        <f>institutions_spss!A143</f>
        <v>Lehigh University</v>
      </c>
      <c r="B141">
        <f>VLOOKUP(A141,institutions_spss!A:M,9,0)</f>
        <v>0.77500000000000002</v>
      </c>
      <c r="C141">
        <f>VLOOKUP(A141,institutions_spss!A:M,10,0)</f>
        <v>0.45300000000000001</v>
      </c>
      <c r="D141">
        <f>VLOOKUP(A141,institutions_spss!A:M,11,0)</f>
        <v>0.70199999999999996</v>
      </c>
      <c r="E141">
        <f>VLOOKUP(A141,institutions_spss!A:M,12,0)</f>
        <v>0.94799999999999995</v>
      </c>
      <c r="F141">
        <f>VLOOKUP(A141,institutions_spss!A:M,13,0)</f>
        <v>0.95199999999999996</v>
      </c>
    </row>
    <row r="142" spans="1:6" x14ac:dyDescent="0.25">
      <c r="A142" t="str">
        <f>institutions_spss!A144</f>
        <v>University of Hong Kong</v>
      </c>
      <c r="B142">
        <f>VLOOKUP(A142,institutions_spss!A:M,9,0)</f>
        <v>0.75800000000000001</v>
      </c>
      <c r="C142">
        <f>VLOOKUP(A142,institutions_spss!A:M,10,0)</f>
        <v>0.65300000000000002</v>
      </c>
      <c r="D142">
        <f>VLOOKUP(A142,institutions_spss!A:M,11,0)</f>
        <v>0.81699999999999995</v>
      </c>
      <c r="E142">
        <f>VLOOKUP(A142,institutions_spss!A:M,12,0)</f>
        <v>0.73499999999999999</v>
      </c>
      <c r="F142">
        <f>VLOOKUP(A142,institutions_spss!A:M,13,0)</f>
        <v>0.48799999999999999</v>
      </c>
    </row>
    <row r="143" spans="1:6" x14ac:dyDescent="0.25">
      <c r="A143" t="str">
        <f>institutions_spss!A145</f>
        <v>University of Kentucky</v>
      </c>
      <c r="B143">
        <f>VLOOKUP(A143,institutions_spss!A:M,9,0)</f>
        <v>0.74299999999999999</v>
      </c>
      <c r="C143">
        <f>VLOOKUP(A143,institutions_spss!A:M,10,0)</f>
        <v>0.79300000000000004</v>
      </c>
      <c r="D143">
        <f>VLOOKUP(A143,institutions_spss!A:M,11,0)</f>
        <v>0.9</v>
      </c>
      <c r="E143">
        <f>VLOOKUP(A143,institutions_spss!A:M,12,0)</f>
        <v>8.3000000000000004E-2</v>
      </c>
      <c r="F143">
        <f>VLOOKUP(A143,institutions_spss!A:M,13,0)</f>
        <v>0.71799999999999997</v>
      </c>
    </row>
    <row r="144" spans="1:6" x14ac:dyDescent="0.25">
      <c r="A144" t="str">
        <f>institutions_spss!A146</f>
        <v>Tel Aviv University</v>
      </c>
      <c r="B144">
        <f>VLOOKUP(A144,institutions_spss!A:M,9,0)</f>
        <v>0.76800000000000002</v>
      </c>
      <c r="C144">
        <f>VLOOKUP(A144,institutions_spss!A:M,10,0)</f>
        <v>0.83699999999999997</v>
      </c>
      <c r="D144">
        <f>VLOOKUP(A144,institutions_spss!A:M,11,0)</f>
        <v>0.755</v>
      </c>
      <c r="E144">
        <f>VLOOKUP(A144,institutions_spss!A:M,12,0)</f>
        <v>0.83299999999999996</v>
      </c>
      <c r="F144">
        <f>VLOOKUP(A144,institutions_spss!A:M,13,0)</f>
        <v>0.747</v>
      </c>
    </row>
    <row r="145" spans="1:6" x14ac:dyDescent="0.25">
      <c r="A145" t="str">
        <f>institutions_spss!A147</f>
        <v>Universidade Catolica Portuguesa</v>
      </c>
      <c r="B145">
        <f>VLOOKUP(A145,institutions_spss!A:M,9,0)</f>
        <v>0.77500000000000002</v>
      </c>
      <c r="C145">
        <f>VLOOKUP(A145,institutions_spss!A:M,10,0)</f>
        <v>0.66300000000000003</v>
      </c>
      <c r="D145">
        <f>VLOOKUP(A145,institutions_spss!A:M,11,0)</f>
        <v>0.70699999999999996</v>
      </c>
      <c r="E145">
        <f>VLOOKUP(A145,institutions_spss!A:M,12,0)</f>
        <v>0.80300000000000005</v>
      </c>
      <c r="F145">
        <f>VLOOKUP(A145,institutions_spss!A:M,13,0)</f>
        <v>0.86699999999999999</v>
      </c>
    </row>
    <row r="146" spans="1:6" x14ac:dyDescent="0.25">
      <c r="A146" t="str">
        <f>institutions_spss!A148</f>
        <v>Aalto University</v>
      </c>
      <c r="B146">
        <f>VLOOKUP(A146,institutions_spss!A:M,9,0)</f>
        <v>0.80200000000000005</v>
      </c>
      <c r="C146">
        <f>VLOOKUP(A146,institutions_spss!A:M,10,0)</f>
        <v>0.72199999999999998</v>
      </c>
      <c r="D146">
        <f>VLOOKUP(A146,institutions_spss!A:M,11,0)</f>
        <v>0.83199999999999996</v>
      </c>
      <c r="E146">
        <f>VLOOKUP(A146,institutions_spss!A:M,12,0)</f>
        <v>0.70299999999999996</v>
      </c>
      <c r="F146">
        <f>VLOOKUP(A146,institutions_spss!A:M,13,0)</f>
        <v>0.82199999999999995</v>
      </c>
    </row>
    <row r="147" spans="1:6" x14ac:dyDescent="0.25">
      <c r="A147" t="str">
        <f>institutions_spss!A149</f>
        <v>Chapman University</v>
      </c>
      <c r="B147">
        <f>VLOOKUP(A147,institutions_spss!A:M,9,0)</f>
        <v>0.71499999999999997</v>
      </c>
      <c r="C147">
        <f>VLOOKUP(A147,institutions_spss!A:M,10,0)</f>
        <v>0.76300000000000001</v>
      </c>
      <c r="D147">
        <f>VLOOKUP(A147,institutions_spss!A:M,11,0)</f>
        <v>0.55200000000000005</v>
      </c>
      <c r="E147">
        <f>VLOOKUP(A147,institutions_spss!A:M,12,0)</f>
        <v>0.78300000000000003</v>
      </c>
      <c r="F147">
        <f>VLOOKUP(A147,institutions_spss!A:M,13,0)</f>
        <v>0.57799999999999996</v>
      </c>
    </row>
    <row r="148" spans="1:6" x14ac:dyDescent="0.25">
      <c r="A148" t="str">
        <f>institutions_spss!A150</f>
        <v>Ifo Institut</v>
      </c>
      <c r="B148">
        <f>VLOOKUP(A148,institutions_spss!A:M,9,0)</f>
        <v>0.7</v>
      </c>
      <c r="C148">
        <f>VLOOKUP(A148,institutions_spss!A:M,10,0)</f>
        <v>0.79300000000000004</v>
      </c>
      <c r="D148">
        <f>VLOOKUP(A148,institutions_spss!A:M,11,0)</f>
        <v>0.42199999999999999</v>
      </c>
      <c r="E148">
        <f>VLOOKUP(A148,institutions_spss!A:M,12,0)</f>
        <v>0.55500000000000005</v>
      </c>
      <c r="F148">
        <f>VLOOKUP(A148,institutions_spss!A:M,13,0)</f>
        <v>0.45</v>
      </c>
    </row>
    <row r="149" spans="1:6" x14ac:dyDescent="0.25">
      <c r="A149" t="str">
        <f>institutions_spss!A151</f>
        <v>National University of Singapore</v>
      </c>
      <c r="B149">
        <f>VLOOKUP(A149,institutions_spss!A:M,9,0)</f>
        <v>0.73</v>
      </c>
      <c r="C149">
        <f>VLOOKUP(A149,institutions_spss!A:M,10,0)</f>
        <v>0.70299999999999996</v>
      </c>
      <c r="D149">
        <f>VLOOKUP(A149,institutions_spss!A:M,11,0)</f>
        <v>0.76800000000000002</v>
      </c>
      <c r="E149">
        <f>VLOOKUP(A149,institutions_spss!A:M,12,0)</f>
        <v>0.82199999999999995</v>
      </c>
      <c r="F149">
        <f>VLOOKUP(A149,institutions_spss!A:M,13,0)</f>
        <v>0.80500000000000005</v>
      </c>
    </row>
    <row r="150" spans="1:6" x14ac:dyDescent="0.25">
      <c r="A150" t="str">
        <f>institutions_spss!A152</f>
        <v>University of Melbourne</v>
      </c>
      <c r="B150">
        <f>VLOOKUP(A150,institutions_spss!A:M,9,0)</f>
        <v>0.74299999999999999</v>
      </c>
      <c r="C150">
        <f>VLOOKUP(A150,institutions_spss!A:M,10,0)</f>
        <v>0.56799999999999995</v>
      </c>
      <c r="D150">
        <f>VLOOKUP(A150,institutions_spss!A:M,11,0)</f>
        <v>0.77200000000000002</v>
      </c>
      <c r="E150">
        <f>VLOOKUP(A150,institutions_spss!A:M,12,0)</f>
        <v>0.94299999999999995</v>
      </c>
      <c r="F150">
        <f>VLOOKUP(A150,institutions_spss!A:M,13,0)</f>
        <v>0.88700000000000001</v>
      </c>
    </row>
    <row r="151" spans="1:6" x14ac:dyDescent="0.25">
      <c r="A151" t="str">
        <f>institutions_spss!A153</f>
        <v>Macquarie University</v>
      </c>
      <c r="B151">
        <f>VLOOKUP(A151,institutions_spss!A:M,9,0)</f>
        <v>0.73499999999999999</v>
      </c>
      <c r="C151">
        <f>VLOOKUP(A151,institutions_spss!A:M,10,0)</f>
        <v>0.53300000000000003</v>
      </c>
      <c r="D151">
        <f>VLOOKUP(A151,institutions_spss!A:M,11,0)</f>
        <v>0.45300000000000001</v>
      </c>
      <c r="E151">
        <f>VLOOKUP(A151,institutions_spss!A:M,12,0)</f>
        <v>0.60499999999999998</v>
      </c>
      <c r="F151">
        <f>VLOOKUP(A151,institutions_spss!A:M,13,0)</f>
        <v>0.497</v>
      </c>
    </row>
    <row r="152" spans="1:6" x14ac:dyDescent="0.25">
      <c r="A152" t="str">
        <f>institutions_spss!A154</f>
        <v>University of Arkansas Fayetteville</v>
      </c>
      <c r="B152">
        <f>VLOOKUP(A152,institutions_spss!A:M,9,0)</f>
        <v>0.752</v>
      </c>
      <c r="C152">
        <f>VLOOKUP(A152,institutions_spss!A:M,10,0)</f>
        <v>0.78500000000000003</v>
      </c>
      <c r="D152">
        <f>VLOOKUP(A152,institutions_spss!A:M,11,0)</f>
        <v>0.73</v>
      </c>
      <c r="E152">
        <f>VLOOKUP(A152,institutions_spss!A:M,12,0)</f>
        <v>0.68799999999999994</v>
      </c>
      <c r="F152">
        <f>VLOOKUP(A152,institutions_spss!A:M,13,0)</f>
        <v>0.81</v>
      </c>
    </row>
    <row r="153" spans="1:6" x14ac:dyDescent="0.25">
      <c r="A153" t="str">
        <f>institutions_spss!A155</f>
        <v>University of Innsbruck</v>
      </c>
      <c r="B153">
        <f>VLOOKUP(A153,institutions_spss!A:M,9,0)</f>
        <v>0.73699999999999999</v>
      </c>
      <c r="C153">
        <f>VLOOKUP(A153,institutions_spss!A:M,10,0)</f>
        <v>0.84699999999999998</v>
      </c>
      <c r="D153">
        <f>VLOOKUP(A153,institutions_spss!A:M,11,0)</f>
        <v>0.67800000000000005</v>
      </c>
      <c r="E153">
        <f>VLOOKUP(A153,institutions_spss!A:M,12,0)</f>
        <v>0.63700000000000001</v>
      </c>
      <c r="F153">
        <f>VLOOKUP(A153,institutions_spss!A:M,13,0)</f>
        <v>0.33500000000000002</v>
      </c>
    </row>
    <row r="154" spans="1:6" x14ac:dyDescent="0.25">
      <c r="A154" t="str">
        <f>institutions_spss!A156</f>
        <v>heSam Universite</v>
      </c>
      <c r="B154">
        <f>VLOOKUP(A154,institutions_spss!A:M,9,0)</f>
        <v>0.76800000000000002</v>
      </c>
      <c r="C154">
        <f>VLOOKUP(A154,institutions_spss!A:M,10,0)</f>
        <v>0.747</v>
      </c>
      <c r="D154">
        <f>VLOOKUP(A154,institutions_spss!A:M,11,0)</f>
        <v>0.45300000000000001</v>
      </c>
      <c r="E154">
        <f>VLOOKUP(A154,institutions_spss!A:M,12,0)</f>
        <v>0.76700000000000002</v>
      </c>
      <c r="F154">
        <f>VLOOKUP(A154,institutions_spss!A:M,13,0)</f>
        <v>0.64700000000000002</v>
      </c>
    </row>
    <row r="155" spans="1:6" x14ac:dyDescent="0.25">
      <c r="A155" t="str">
        <f>institutions_spss!A157</f>
        <v>University of Calgary</v>
      </c>
      <c r="B155">
        <f>VLOOKUP(A155,institutions_spss!A:M,9,0)</f>
        <v>0.76200000000000001</v>
      </c>
      <c r="C155">
        <f>VLOOKUP(A155,institutions_spss!A:M,10,0)</f>
        <v>0.63200000000000001</v>
      </c>
      <c r="D155">
        <f>VLOOKUP(A155,institutions_spss!A:M,11,0)</f>
        <v>0.59199999999999997</v>
      </c>
      <c r="E155">
        <f>VLOOKUP(A155,institutions_spss!A:M,12,0)</f>
        <v>0.90200000000000002</v>
      </c>
      <c r="F155">
        <f>VLOOKUP(A155,institutions_spss!A:M,13,0)</f>
        <v>0.90300000000000002</v>
      </c>
    </row>
    <row r="156" spans="1:6" x14ac:dyDescent="0.25">
      <c r="A156" t="str">
        <f>institutions_spss!A158</f>
        <v>McMaster University</v>
      </c>
      <c r="B156">
        <f>VLOOKUP(A156,institutions_spss!A:M,9,0)</f>
        <v>0.77200000000000002</v>
      </c>
      <c r="C156">
        <f>VLOOKUP(A156,institutions_spss!A:M,10,0)</f>
        <v>0.52500000000000002</v>
      </c>
      <c r="D156">
        <f>VLOOKUP(A156,institutions_spss!A:M,11,0)</f>
        <v>0.48499999999999999</v>
      </c>
      <c r="E156">
        <f>VLOOKUP(A156,institutions_spss!A:M,12,0)</f>
        <v>0.91700000000000004</v>
      </c>
      <c r="F156">
        <f>VLOOKUP(A156,institutions_spss!A:M,13,0)</f>
        <v>0.94</v>
      </c>
    </row>
    <row r="157" spans="1:6" x14ac:dyDescent="0.25">
      <c r="A157" t="str">
        <f>institutions_spss!A159</f>
        <v>Oregon State University</v>
      </c>
      <c r="B157">
        <f>VLOOKUP(A157,institutions_spss!A:M,9,0)</f>
        <v>0.72299999999999998</v>
      </c>
      <c r="C157">
        <f>VLOOKUP(A157,institutions_spss!A:M,10,0)</f>
        <v>0.69199999999999995</v>
      </c>
      <c r="D157">
        <f>VLOOKUP(A157,institutions_spss!A:M,11,0)</f>
        <v>0.86</v>
      </c>
      <c r="E157">
        <f>VLOOKUP(A157,institutions_spss!A:M,12,0)</f>
        <v>0.79700000000000004</v>
      </c>
      <c r="F157">
        <f>VLOOKUP(A157,institutions_spss!A:M,13,0)</f>
        <v>0.66800000000000004</v>
      </c>
    </row>
    <row r="158" spans="1:6" x14ac:dyDescent="0.25">
      <c r="A158" t="str">
        <f>institutions_spss!A160</f>
        <v>Tampere University</v>
      </c>
      <c r="B158">
        <f>VLOOKUP(A158,institutions_spss!A:M,9,0)</f>
        <v>0.72299999999999998</v>
      </c>
      <c r="C158">
        <f>VLOOKUP(A158,institutions_spss!A:M,10,0)</f>
        <v>0.69199999999999995</v>
      </c>
      <c r="D158">
        <f>VLOOKUP(A158,institutions_spss!A:M,11,0)</f>
        <v>0.86</v>
      </c>
      <c r="E158">
        <f>VLOOKUP(A158,institutions_spss!A:M,12,0)</f>
        <v>0.79700000000000004</v>
      </c>
      <c r="F158">
        <f>VLOOKUP(A158,institutions_spss!A:M,13,0)</f>
        <v>0.66800000000000004</v>
      </c>
    </row>
    <row r="159" spans="1:6" x14ac:dyDescent="0.25">
      <c r="A159" t="str">
        <f>institutions_spss!A161</f>
        <v>ESSEC Business School</v>
      </c>
      <c r="B159">
        <f>VLOOKUP(A159,institutions_spss!A:M,9,0)</f>
        <v>0.7</v>
      </c>
      <c r="C159">
        <f>VLOOKUP(A159,institutions_spss!A:M,10,0)</f>
        <v>0.89</v>
      </c>
      <c r="D159">
        <f>VLOOKUP(A159,institutions_spss!A:M,11,0)</f>
        <v>0.45300000000000001</v>
      </c>
      <c r="E159">
        <f>VLOOKUP(A159,institutions_spss!A:M,12,0)</f>
        <v>0.64500000000000002</v>
      </c>
      <c r="F159">
        <f>VLOOKUP(A159,institutions_spss!A:M,13,0)</f>
        <v>0.437</v>
      </c>
    </row>
    <row r="160" spans="1:6" x14ac:dyDescent="0.25">
      <c r="A160" t="str">
        <f>institutions_spss!A162</f>
        <v>IE University</v>
      </c>
      <c r="B160">
        <f>VLOOKUP(A160,institutions_spss!A:M,9,0)</f>
        <v>0.752</v>
      </c>
      <c r="C160">
        <f>VLOOKUP(A160,institutions_spss!A:M,10,0)</f>
        <v>0.42199999999999999</v>
      </c>
      <c r="D160">
        <f>VLOOKUP(A160,institutions_spss!A:M,11,0)</f>
        <v>0.81699999999999995</v>
      </c>
      <c r="E160">
        <f>VLOOKUP(A160,institutions_spss!A:M,12,0)</f>
        <v>0.77200000000000002</v>
      </c>
      <c r="F160">
        <f>VLOOKUP(A160,institutions_spss!A:M,13,0)</f>
        <v>0.79200000000000004</v>
      </c>
    </row>
    <row r="161" spans="1:6" x14ac:dyDescent="0.25">
      <c r="A161" t="str">
        <f>institutions_spss!A163</f>
        <v>University of Rhode Island</v>
      </c>
      <c r="B161">
        <f>VLOOKUP(A161,institutions_spss!A:M,9,0)</f>
        <v>0.82199999999999995</v>
      </c>
      <c r="C161">
        <f>VLOOKUP(A161,institutions_spss!A:M,10,0)</f>
        <v>0.66300000000000003</v>
      </c>
      <c r="D161">
        <f>VLOOKUP(A161,institutions_spss!A:M,11,0)</f>
        <v>0.40200000000000002</v>
      </c>
      <c r="E161">
        <f>VLOOKUP(A161,institutions_spss!A:M,12,0)</f>
        <v>0.74199999999999999</v>
      </c>
      <c r="F161">
        <f>VLOOKUP(A161,institutions_spss!A:M,13,0)</f>
        <v>0.97699999999999998</v>
      </c>
    </row>
    <row r="162" spans="1:6" x14ac:dyDescent="0.25">
      <c r="A162" t="str">
        <f>institutions_spss!A164</f>
        <v>Bentley University</v>
      </c>
      <c r="B162">
        <f>VLOOKUP(A162,institutions_spss!A:M,9,0)</f>
        <v>0.72699999999999998</v>
      </c>
      <c r="C162">
        <f>VLOOKUP(A162,institutions_spss!A:M,10,0)</f>
        <v>0.79300000000000004</v>
      </c>
      <c r="D162">
        <f>VLOOKUP(A162,institutions_spss!A:M,11,0)</f>
        <v>0.81799999999999995</v>
      </c>
      <c r="E162">
        <f>VLOOKUP(A162,institutions_spss!A:M,12,0)</f>
        <v>0.59799999999999998</v>
      </c>
      <c r="F162">
        <f>VLOOKUP(A162,institutions_spss!A:M,13,0)</f>
        <v>0.69799999999999995</v>
      </c>
    </row>
    <row r="163" spans="1:6" x14ac:dyDescent="0.25">
      <c r="A163" t="str">
        <f>institutions_spss!A165</f>
        <v>Humboldt University of Berlin</v>
      </c>
      <c r="B163">
        <f>VLOOKUP(A163,institutions_spss!A:M,9,0)</f>
        <v>0.64500000000000002</v>
      </c>
      <c r="C163">
        <f>VLOOKUP(A163,institutions_spss!A:M,10,0)</f>
        <v>0.70199999999999996</v>
      </c>
      <c r="D163">
        <f>VLOOKUP(A163,institutions_spss!A:M,11,0)</f>
        <v>0.92500000000000004</v>
      </c>
      <c r="E163">
        <f>VLOOKUP(A163,institutions_spss!A:M,12,0)</f>
        <v>0.112</v>
      </c>
      <c r="F163">
        <f>VLOOKUP(A163,institutions_spss!A:M,13,0)</f>
        <v>0.497</v>
      </c>
    </row>
    <row r="164" spans="1:6" x14ac:dyDescent="0.25">
      <c r="A164" t="str">
        <f>institutions_spss!A166</f>
        <v>China Europe International Business School</v>
      </c>
      <c r="B164">
        <f>VLOOKUP(A164,institutions_spss!A:M,9,0)</f>
        <v>0.72299999999999998</v>
      </c>
      <c r="C164">
        <f>VLOOKUP(A164,institutions_spss!A:M,10,0)</f>
        <v>0.66300000000000003</v>
      </c>
      <c r="D164">
        <f>VLOOKUP(A164,institutions_spss!A:M,11,0)</f>
        <v>0.68700000000000006</v>
      </c>
      <c r="E164">
        <f>VLOOKUP(A164,institutions_spss!A:M,12,0)</f>
        <v>0.747</v>
      </c>
      <c r="F164">
        <f>VLOOKUP(A164,institutions_spss!A:M,13,0)</f>
        <v>0.753</v>
      </c>
    </row>
    <row r="165" spans="1:6" x14ac:dyDescent="0.25">
      <c r="A165" t="str">
        <f>institutions_spss!A167</f>
        <v>San Diego State University</v>
      </c>
      <c r="B165">
        <f>VLOOKUP(A165,institutions_spss!A:M,9,0)</f>
        <v>0.71499999999999997</v>
      </c>
      <c r="C165">
        <f>VLOOKUP(A165,institutions_spss!A:M,10,0)</f>
        <v>0.85799999999999998</v>
      </c>
      <c r="D165">
        <f>VLOOKUP(A165,institutions_spss!A:M,11,0)</f>
        <v>0.83299999999999996</v>
      </c>
      <c r="E165">
        <f>VLOOKUP(A165,institutions_spss!A:M,12,0)</f>
        <v>0.56299999999999994</v>
      </c>
      <c r="F165">
        <f>VLOOKUP(A165,institutions_spss!A:M,13,0)</f>
        <v>0.41</v>
      </c>
    </row>
    <row r="166" spans="1:6" x14ac:dyDescent="0.25">
      <c r="A166" t="str">
        <f>institutions_spss!A168</f>
        <v>University of Ottawa</v>
      </c>
      <c r="B166">
        <f>VLOOKUP(A166,institutions_spss!A:M,9,0)</f>
        <v>0.74</v>
      </c>
      <c r="C166">
        <f>VLOOKUP(A166,institutions_spss!A:M,10,0)</f>
        <v>0.8</v>
      </c>
      <c r="D166">
        <f>VLOOKUP(A166,institutions_spss!A:M,11,0)</f>
        <v>0.47299999999999998</v>
      </c>
      <c r="E166">
        <f>VLOOKUP(A166,institutions_spss!A:M,12,0)</f>
        <v>0.75</v>
      </c>
      <c r="F166">
        <f>VLOOKUP(A166,institutions_spss!A:M,13,0)</f>
        <v>0.753</v>
      </c>
    </row>
    <row r="167" spans="1:6" x14ac:dyDescent="0.25">
      <c r="A167" t="str">
        <f>institutions_spss!A169</f>
        <v>European Central Bank</v>
      </c>
      <c r="B167">
        <f>VLOOKUP(A167,institutions_spss!A:M,9,0)</f>
        <v>0.71199999999999997</v>
      </c>
      <c r="C167">
        <f>VLOOKUP(A167,institutions_spss!A:M,10,0)</f>
        <v>0.81200000000000006</v>
      </c>
      <c r="D167">
        <f>VLOOKUP(A167,institutions_spss!A:M,11,0)</f>
        <v>0.65500000000000003</v>
      </c>
      <c r="E167">
        <f>VLOOKUP(A167,institutions_spss!A:M,12,0)</f>
        <v>0</v>
      </c>
      <c r="F167">
        <f>VLOOKUP(A167,institutions_spss!A:M,13,0)</f>
        <v>0</v>
      </c>
    </row>
    <row r="168" spans="1:6" x14ac:dyDescent="0.25">
      <c r="A168" t="str">
        <f>institutions_spss!A170</f>
        <v>Iowa State University</v>
      </c>
      <c r="B168">
        <f>VLOOKUP(A168,institutions_spss!A:M,9,0)</f>
        <v>0.73499999999999999</v>
      </c>
      <c r="C168">
        <f>VLOOKUP(A168,institutions_spss!A:M,10,0)</f>
        <v>0.67</v>
      </c>
      <c r="D168">
        <f>VLOOKUP(A168,institutions_spss!A:M,11,0)</f>
        <v>0.80300000000000005</v>
      </c>
      <c r="E168">
        <f>VLOOKUP(A168,institutions_spss!A:M,12,0)</f>
        <v>0.77800000000000002</v>
      </c>
      <c r="F168">
        <f>VLOOKUP(A168,institutions_spss!A:M,13,0)</f>
        <v>0.82199999999999995</v>
      </c>
    </row>
    <row r="169" spans="1:6" x14ac:dyDescent="0.25">
      <c r="A169" t="str">
        <f>institutions_spss!A171</f>
        <v>Erasmus University Rotterdam</v>
      </c>
      <c r="B169">
        <f>VLOOKUP(A169,institutions_spss!A:M,9,0)</f>
        <v>0.71699999999999997</v>
      </c>
      <c r="C169">
        <f>VLOOKUP(A169,institutions_spss!A:M,10,0)</f>
        <v>0.60799999999999998</v>
      </c>
      <c r="D169">
        <f>VLOOKUP(A169,institutions_spss!A:M,11,0)</f>
        <v>0.76800000000000002</v>
      </c>
      <c r="E169">
        <f>VLOOKUP(A169,institutions_spss!A:M,12,0)</f>
        <v>0.83699999999999997</v>
      </c>
      <c r="F169">
        <f>VLOOKUP(A169,institutions_spss!A:M,13,0)</f>
        <v>0.76</v>
      </c>
    </row>
    <row r="170" spans="1:6" x14ac:dyDescent="0.25">
      <c r="A170" t="str">
        <f>institutions_spss!A172</f>
        <v>ESCP Business School</v>
      </c>
      <c r="B170">
        <f>VLOOKUP(A170,institutions_spss!A:M,9,0)</f>
        <v>0.752</v>
      </c>
      <c r="C170">
        <f>VLOOKUP(A170,institutions_spss!A:M,10,0)</f>
        <v>0.26800000000000002</v>
      </c>
      <c r="D170">
        <f>VLOOKUP(A170,institutions_spss!A:M,11,0)</f>
        <v>0.48</v>
      </c>
      <c r="E170">
        <f>VLOOKUP(A170,institutions_spss!A:M,12,0)</f>
        <v>0.77300000000000002</v>
      </c>
      <c r="F170">
        <f>VLOOKUP(A170,institutions_spss!A:M,13,0)</f>
        <v>0.68200000000000005</v>
      </c>
    </row>
    <row r="171" spans="1:6" x14ac:dyDescent="0.25">
      <c r="A171" t="str">
        <f>institutions_spss!A173</f>
        <v>City St Georges, University of London</v>
      </c>
      <c r="B171">
        <f>VLOOKUP(A171,institutions_spss!A:M,9,0)</f>
        <v>0.77700000000000002</v>
      </c>
      <c r="C171">
        <f>VLOOKUP(A171,institutions_spss!A:M,10,0)</f>
        <v>0.39200000000000002</v>
      </c>
      <c r="D171">
        <f>VLOOKUP(A171,institutions_spss!A:M,11,0)</f>
        <v>0.6</v>
      </c>
      <c r="E171">
        <f>VLOOKUP(A171,institutions_spss!A:M,12,0)</f>
        <v>0.9</v>
      </c>
      <c r="F171">
        <f>VLOOKUP(A171,institutions_spss!A:M,13,0)</f>
        <v>0.93700000000000006</v>
      </c>
    </row>
    <row r="172" spans="1:6" x14ac:dyDescent="0.25">
      <c r="A172" t="str">
        <f>institutions_spss!A174</f>
        <v>Temple University</v>
      </c>
      <c r="B172">
        <f>VLOOKUP(A172,institutions_spss!A:M,9,0)</f>
        <v>0.71199999999999997</v>
      </c>
      <c r="C172">
        <f>VLOOKUP(A172,institutions_spss!A:M,10,0)</f>
        <v>0.62</v>
      </c>
      <c r="D172">
        <f>VLOOKUP(A172,institutions_spss!A:M,11,0)</f>
        <v>0.79800000000000004</v>
      </c>
      <c r="E172">
        <f>VLOOKUP(A172,institutions_spss!A:M,12,0)</f>
        <v>0.71499999999999997</v>
      </c>
      <c r="F172">
        <f>VLOOKUP(A172,institutions_spss!A:M,13,0)</f>
        <v>0.63300000000000001</v>
      </c>
    </row>
    <row r="173" spans="1:6" x14ac:dyDescent="0.25">
      <c r="A173" t="str">
        <f>institutions_spss!A175</f>
        <v>Universitat Ramon Llull</v>
      </c>
      <c r="B173">
        <f>VLOOKUP(A173,institutions_spss!A:M,9,0)</f>
        <v>0.752</v>
      </c>
      <c r="C173">
        <f>VLOOKUP(A173,institutions_spss!A:M,10,0)</f>
        <v>0.54300000000000004</v>
      </c>
      <c r="D173">
        <f>VLOOKUP(A173,institutions_spss!A:M,11,0)</f>
        <v>0.61299999999999999</v>
      </c>
      <c r="E173">
        <f>VLOOKUP(A173,institutions_spss!A:M,12,0)</f>
        <v>0.76200000000000001</v>
      </c>
      <c r="F173">
        <f>VLOOKUP(A173,institutions_spss!A:M,13,0)</f>
        <v>0.72499999999999998</v>
      </c>
    </row>
    <row r="174" spans="1:6" x14ac:dyDescent="0.25">
      <c r="A174" t="str">
        <f>institutions_spss!A176</f>
        <v>Georgia State University</v>
      </c>
      <c r="B174">
        <f>VLOOKUP(A174,institutions_spss!A:M,9,0)</f>
        <v>0.71199999999999997</v>
      </c>
      <c r="C174">
        <f>VLOOKUP(A174,institutions_spss!A:M,10,0)</f>
        <v>0.753</v>
      </c>
      <c r="D174">
        <f>VLOOKUP(A174,institutions_spss!A:M,11,0)</f>
        <v>0.63</v>
      </c>
      <c r="E174">
        <f>VLOOKUP(A174,institutions_spss!A:M,12,0)</f>
        <v>0.72499999999999998</v>
      </c>
      <c r="F174">
        <f>VLOOKUP(A174,institutions_spss!A:M,13,0)</f>
        <v>0.82499999999999996</v>
      </c>
    </row>
    <row r="175" spans="1:6" x14ac:dyDescent="0.25">
      <c r="A175" t="str">
        <f>institutions_spss!A177</f>
        <v>Hanken School of Economics</v>
      </c>
      <c r="B175">
        <f>VLOOKUP(A175,institutions_spss!A:M,9,0)</f>
        <v>0.752</v>
      </c>
      <c r="C175">
        <f>VLOOKUP(A175,institutions_spss!A:M,10,0)</f>
        <v>0.67</v>
      </c>
      <c r="D175">
        <f>VLOOKUP(A175,institutions_spss!A:M,11,0)</f>
        <v>0.67300000000000004</v>
      </c>
      <c r="E175">
        <f>VLOOKUP(A175,institutions_spss!A:M,12,0)</f>
        <v>0.67700000000000005</v>
      </c>
      <c r="F175">
        <f>VLOOKUP(A175,institutions_spss!A:M,13,0)</f>
        <v>0.76</v>
      </c>
    </row>
    <row r="176" spans="1:6" x14ac:dyDescent="0.25">
      <c r="A176" t="str">
        <f>institutions_spss!A178</f>
        <v>Universite de Montreal</v>
      </c>
      <c r="B176">
        <f>VLOOKUP(A176,institutions_spss!A:M,9,0)</f>
        <v>0.73</v>
      </c>
      <c r="C176">
        <f>VLOOKUP(A176,institutions_spss!A:M,10,0)</f>
        <v>0.82</v>
      </c>
      <c r="D176">
        <f>VLOOKUP(A176,institutions_spss!A:M,11,0)</f>
        <v>0.59199999999999997</v>
      </c>
      <c r="E176">
        <f>VLOOKUP(A176,institutions_spss!A:M,12,0)</f>
        <v>6.7000000000000004E-2</v>
      </c>
      <c r="F176">
        <f>VLOOKUP(A176,institutions_spss!A:M,13,0)</f>
        <v>0.66</v>
      </c>
    </row>
    <row r="177" spans="1:6" x14ac:dyDescent="0.25">
      <c r="A177" t="str">
        <f>institutions_spss!A179</f>
        <v>University of Bath</v>
      </c>
      <c r="B177">
        <f>VLOOKUP(A177,institutions_spss!A:M,9,0)</f>
        <v>0.73499999999999999</v>
      </c>
      <c r="C177">
        <f>VLOOKUP(A177,institutions_spss!A:M,10,0)</f>
        <v>0.46800000000000003</v>
      </c>
      <c r="D177">
        <f>VLOOKUP(A177,institutions_spss!A:M,11,0)</f>
        <v>0.64500000000000002</v>
      </c>
      <c r="E177">
        <f>VLOOKUP(A177,institutions_spss!A:M,12,0)</f>
        <v>0.79700000000000004</v>
      </c>
      <c r="F177">
        <f>VLOOKUP(A177,institutions_spss!A:M,13,0)</f>
        <v>0.84299999999999997</v>
      </c>
    </row>
    <row r="178" spans="1:6" x14ac:dyDescent="0.25">
      <c r="A178" t="str">
        <f>institutions_spss!A180</f>
        <v>Hitotsubashi University</v>
      </c>
      <c r="B178">
        <f>VLOOKUP(A178,institutions_spss!A:M,9,0)</f>
        <v>0.63700000000000001</v>
      </c>
      <c r="C178">
        <f>VLOOKUP(A178,institutions_spss!A:M,10,0)</f>
        <v>0.77800000000000002</v>
      </c>
      <c r="D178">
        <f>VLOOKUP(A178,institutions_spss!A:M,11,0)</f>
        <v>0.52700000000000002</v>
      </c>
      <c r="E178">
        <f>VLOOKUP(A178,institutions_spss!A:M,12,0)</f>
        <v>0.61199999999999999</v>
      </c>
      <c r="F178">
        <f>VLOOKUP(A178,institutions_spss!A:M,13,0)</f>
        <v>0.67500000000000004</v>
      </c>
    </row>
    <row r="179" spans="1:6" x14ac:dyDescent="0.25">
      <c r="A179" t="str">
        <f>institutions_spss!A181</f>
        <v>IESEG School of Management</v>
      </c>
      <c r="B179">
        <f>VLOOKUP(A179,institutions_spss!A:M,9,0)</f>
        <v>0.72299999999999998</v>
      </c>
      <c r="C179">
        <f>VLOOKUP(A179,institutions_spss!A:M,10,0)</f>
        <v>0.61499999999999999</v>
      </c>
      <c r="D179">
        <f>VLOOKUP(A179,institutions_spss!A:M,11,0)</f>
        <v>0.193</v>
      </c>
      <c r="E179">
        <f>VLOOKUP(A179,institutions_spss!A:M,12,0)</f>
        <v>0.82299999999999995</v>
      </c>
      <c r="F179">
        <f>VLOOKUP(A179,institutions_spss!A:M,13,0)</f>
        <v>0.55800000000000005</v>
      </c>
    </row>
    <row r="180" spans="1:6" x14ac:dyDescent="0.25">
      <c r="A180" t="str">
        <f>institutions_spss!A182</f>
        <v>Luiss Guido Carli University</v>
      </c>
      <c r="B180">
        <f>VLOOKUP(A180,institutions_spss!A:M,9,0)</f>
        <v>0.72699999999999998</v>
      </c>
      <c r="C180">
        <f>VLOOKUP(A180,institutions_spss!A:M,10,0)</f>
        <v>0.64300000000000002</v>
      </c>
      <c r="D180">
        <f>VLOOKUP(A180,institutions_spss!A:M,11,0)</f>
        <v>0.26800000000000002</v>
      </c>
      <c r="E180">
        <f>VLOOKUP(A180,institutions_spss!A:M,12,0)</f>
        <v>0.80200000000000005</v>
      </c>
      <c r="F180">
        <f>VLOOKUP(A180,institutions_spss!A:M,13,0)</f>
        <v>0.92700000000000005</v>
      </c>
    </row>
    <row r="181" spans="1:6" x14ac:dyDescent="0.25">
      <c r="A181" t="str">
        <f>institutions_spss!A183</f>
        <v>University of Amsterdam</v>
      </c>
      <c r="B181">
        <f>VLOOKUP(A181,institutions_spss!A:M,9,0)</f>
        <v>0.70299999999999996</v>
      </c>
      <c r="C181">
        <f>VLOOKUP(A181,institutions_spss!A:M,10,0)</f>
        <v>0.73199999999999998</v>
      </c>
      <c r="D181">
        <f>VLOOKUP(A181,institutions_spss!A:M,11,0)</f>
        <v>0.85199999999999998</v>
      </c>
      <c r="E181">
        <f>VLOOKUP(A181,institutions_spss!A:M,12,0)</f>
        <v>0.73499999999999999</v>
      </c>
      <c r="F181">
        <f>VLOOKUP(A181,institutions_spss!A:M,13,0)</f>
        <v>0.61</v>
      </c>
    </row>
    <row r="182" spans="1:6" x14ac:dyDescent="0.25">
      <c r="A182" t="str">
        <f>institutions_spss!A184</f>
        <v>Virginia Polytechnic Institute &amp; State University</v>
      </c>
      <c r="B182">
        <f>VLOOKUP(A182,institutions_spss!A:M,9,0)</f>
        <v>0.68300000000000005</v>
      </c>
      <c r="C182">
        <f>VLOOKUP(A182,institutions_spss!A:M,10,0)</f>
        <v>0.76300000000000001</v>
      </c>
      <c r="D182">
        <f>VLOOKUP(A182,institutions_spss!A:M,11,0)</f>
        <v>0.93200000000000005</v>
      </c>
      <c r="E182">
        <f>VLOOKUP(A182,institutions_spss!A:M,12,0)</f>
        <v>0.48699999999999999</v>
      </c>
      <c r="F182">
        <f>VLOOKUP(A182,institutions_spss!A:M,13,0)</f>
        <v>0.41699999999999998</v>
      </c>
    </row>
    <row r="183" spans="1:6" x14ac:dyDescent="0.25">
      <c r="A183" t="str">
        <f>institutions_spss!A185</f>
        <v>Bank of Italy</v>
      </c>
      <c r="B183">
        <f>VLOOKUP(A183,institutions_spss!A:M,9,0)</f>
        <v>0.64</v>
      </c>
      <c r="C183">
        <f>VLOOKUP(A183,institutions_spss!A:M,10,0)</f>
        <v>0.8</v>
      </c>
      <c r="D183">
        <f>VLOOKUP(A183,institutions_spss!A:M,11,0)</f>
        <v>0.51800000000000002</v>
      </c>
      <c r="E183">
        <f>VLOOKUP(A183,institutions_spss!A:M,12,0)</f>
        <v>0</v>
      </c>
      <c r="F183">
        <f>VLOOKUP(A183,institutions_spss!A:M,13,0)</f>
        <v>0</v>
      </c>
    </row>
    <row r="184" spans="1:6" x14ac:dyDescent="0.25">
      <c r="A184" t="str">
        <f>institutions_spss!A186</f>
        <v>Baruch College (CUNY)</v>
      </c>
      <c r="B184">
        <f>VLOOKUP(A184,institutions_spss!A:M,9,0)</f>
        <v>0.69499999999999995</v>
      </c>
      <c r="C184">
        <f>VLOOKUP(A184,institutions_spss!A:M,10,0)</f>
        <v>0.67800000000000005</v>
      </c>
      <c r="D184">
        <f>VLOOKUP(A184,institutions_spss!A:M,11,0)</f>
        <v>0.73</v>
      </c>
      <c r="E184">
        <f>VLOOKUP(A184,institutions_spss!A:M,12,0)</f>
        <v>0.66800000000000004</v>
      </c>
      <c r="F184">
        <f>VLOOKUP(A184,institutions_spss!A:M,13,0)</f>
        <v>0.66</v>
      </c>
    </row>
    <row r="185" spans="1:6" x14ac:dyDescent="0.25">
      <c r="A185" t="str">
        <f>institutions_spss!A187</f>
        <v>Syracuse University</v>
      </c>
      <c r="B185">
        <f>VLOOKUP(A185,institutions_spss!A:M,9,0)</f>
        <v>0.66700000000000004</v>
      </c>
      <c r="C185">
        <f>VLOOKUP(A185,institutions_spss!A:M,10,0)</f>
        <v>0.49</v>
      </c>
      <c r="D185">
        <f>VLOOKUP(A185,institutions_spss!A:M,11,0)</f>
        <v>0.47299999999999998</v>
      </c>
      <c r="E185">
        <f>VLOOKUP(A185,institutions_spss!A:M,12,0)</f>
        <v>0.88</v>
      </c>
      <c r="F185">
        <f>VLOOKUP(A185,institutions_spss!A:M,13,0)</f>
        <v>0.88300000000000001</v>
      </c>
    </row>
    <row r="186" spans="1:6" x14ac:dyDescent="0.25">
      <c r="A186" t="str">
        <f>institutions_spss!A188</f>
        <v>University of Verona</v>
      </c>
      <c r="B186">
        <f>VLOOKUP(A186,institutions_spss!A:M,9,0)</f>
        <v>0.69499999999999995</v>
      </c>
      <c r="C186">
        <f>VLOOKUP(A186,institutions_spss!A:M,10,0)</f>
        <v>0.67800000000000005</v>
      </c>
      <c r="D186">
        <f>VLOOKUP(A186,institutions_spss!A:M,11,0)</f>
        <v>0.73</v>
      </c>
      <c r="E186">
        <f>VLOOKUP(A186,institutions_spss!A:M,12,0)</f>
        <v>0.66800000000000004</v>
      </c>
      <c r="F186">
        <f>VLOOKUP(A186,institutions_spss!A:M,13,0)</f>
        <v>0.66</v>
      </c>
    </row>
    <row r="187" spans="1:6" x14ac:dyDescent="0.25">
      <c r="A187" t="str">
        <f>institutions_spss!A189</f>
        <v>WHU - Otto Beisheim School of Management</v>
      </c>
      <c r="B187">
        <f>VLOOKUP(A187,institutions_spss!A:M,9,0)</f>
        <v>0.75800000000000001</v>
      </c>
      <c r="C187">
        <f>VLOOKUP(A187,institutions_spss!A:M,10,0)</f>
        <v>0.22800000000000001</v>
      </c>
      <c r="D187">
        <f>VLOOKUP(A187,institutions_spss!A:M,11,0)</f>
        <v>0.74299999999999999</v>
      </c>
      <c r="E187">
        <f>VLOOKUP(A187,institutions_spss!A:M,12,0)</f>
        <v>0.67700000000000005</v>
      </c>
      <c r="F187">
        <f>VLOOKUP(A187,institutions_spss!A:M,13,0)</f>
        <v>0.85299999999999998</v>
      </c>
    </row>
    <row r="188" spans="1:6" x14ac:dyDescent="0.25">
      <c r="A188" t="str">
        <f>institutions_spss!A190</f>
        <v>European University Institute</v>
      </c>
      <c r="B188">
        <f>VLOOKUP(A188,institutions_spss!A:M,9,0)</f>
        <v>0.65500000000000003</v>
      </c>
      <c r="C188">
        <f>VLOOKUP(A188,institutions_spss!A:M,10,0)</f>
        <v>0.80300000000000005</v>
      </c>
      <c r="D188">
        <f>VLOOKUP(A188,institutions_spss!A:M,11,0)</f>
        <v>0.14299999999999999</v>
      </c>
      <c r="E188">
        <f>VLOOKUP(A188,institutions_spss!A:M,12,0)</f>
        <v>0</v>
      </c>
      <c r="F188">
        <f>VLOOKUP(A188,institutions_spss!A:M,13,0)</f>
        <v>0</v>
      </c>
    </row>
    <row r="189" spans="1:6" x14ac:dyDescent="0.25">
      <c r="A189" t="str">
        <f>institutions_spss!A191</f>
        <v>Hebrew University of Jerusalem</v>
      </c>
      <c r="B189">
        <f>VLOOKUP(A189,institutions_spss!A:M,9,0)</f>
        <v>0.66</v>
      </c>
      <c r="C189">
        <f>VLOOKUP(A189,institutions_spss!A:M,10,0)</f>
        <v>0.82499999999999996</v>
      </c>
      <c r="D189">
        <f>VLOOKUP(A189,institutions_spss!A:M,11,0)</f>
        <v>0.69799999999999995</v>
      </c>
      <c r="E189">
        <f>VLOOKUP(A189,institutions_spss!A:M,12,0)</f>
        <v>5.7000000000000002E-2</v>
      </c>
      <c r="F189">
        <f>VLOOKUP(A189,institutions_spss!A:M,13,0)</f>
        <v>0.47199999999999998</v>
      </c>
    </row>
    <row r="190" spans="1:6" x14ac:dyDescent="0.25">
      <c r="A190" t="str">
        <f>institutions_spss!A192</f>
        <v>Ihsan Dogramaci Bilkent University</v>
      </c>
      <c r="B190">
        <f>VLOOKUP(A190,institutions_spss!A:M,9,0)</f>
        <v>0.66700000000000004</v>
      </c>
      <c r="C190">
        <f>VLOOKUP(A190,institutions_spss!A:M,10,0)</f>
        <v>0.68500000000000005</v>
      </c>
      <c r="D190">
        <f>VLOOKUP(A190,institutions_spss!A:M,11,0)</f>
        <v>0.6</v>
      </c>
      <c r="E190">
        <f>VLOOKUP(A190,institutions_spss!A:M,12,0)</f>
        <v>0.44500000000000001</v>
      </c>
      <c r="F190">
        <f>VLOOKUP(A190,institutions_spss!A:M,13,0)</f>
        <v>0.81200000000000006</v>
      </c>
    </row>
    <row r="191" spans="1:6" x14ac:dyDescent="0.25">
      <c r="A191" t="str">
        <f>institutions_spss!A193</f>
        <v>Lancaster University</v>
      </c>
      <c r="B191">
        <f>VLOOKUP(A191,institutions_spss!A:M,9,0)</f>
        <v>0.71199999999999997</v>
      </c>
      <c r="C191">
        <f>VLOOKUP(A191,institutions_spss!A:M,10,0)</f>
        <v>0.67800000000000005</v>
      </c>
      <c r="D191">
        <f>VLOOKUP(A191,institutions_spss!A:M,11,0)</f>
        <v>0.73</v>
      </c>
      <c r="E191">
        <f>VLOOKUP(A191,institutions_spss!A:M,12,0)</f>
        <v>0.74299999999999999</v>
      </c>
      <c r="F191">
        <f>VLOOKUP(A191,institutions_spss!A:M,13,0)</f>
        <v>0.58799999999999997</v>
      </c>
    </row>
    <row r="192" spans="1:6" x14ac:dyDescent="0.25">
      <c r="A192" t="str">
        <f>institutions_spss!A194</f>
        <v>Hong Kong Baptist University</v>
      </c>
      <c r="B192">
        <f>VLOOKUP(A192,institutions_spss!A:M,9,0)</f>
        <v>0.68300000000000005</v>
      </c>
      <c r="C192">
        <f>VLOOKUP(A192,institutions_spss!A:M,10,0)</f>
        <v>0.77200000000000002</v>
      </c>
      <c r="D192">
        <f>VLOOKUP(A192,institutions_spss!A:M,11,0)</f>
        <v>0.70499999999999996</v>
      </c>
      <c r="E192">
        <f>VLOOKUP(A192,institutions_spss!A:M,12,0)</f>
        <v>0.40699999999999997</v>
      </c>
      <c r="F192">
        <f>VLOOKUP(A192,institutions_spss!A:M,13,0)</f>
        <v>0.54500000000000004</v>
      </c>
    </row>
    <row r="193" spans="1:6" x14ac:dyDescent="0.25">
      <c r="A193" t="str">
        <f>institutions_spss!A195</f>
        <v>Polytechnic University of Milan</v>
      </c>
      <c r="B193">
        <f>VLOOKUP(A193,institutions_spss!A:M,9,0)</f>
        <v>0.69499999999999995</v>
      </c>
      <c r="C193">
        <f>VLOOKUP(A193,institutions_spss!A:M,10,0)</f>
        <v>0.108</v>
      </c>
      <c r="D193">
        <f>VLOOKUP(A193,institutions_spss!A:M,11,0)</f>
        <v>0</v>
      </c>
      <c r="E193">
        <f>VLOOKUP(A193,institutions_spss!A:M,12,0)</f>
        <v>0.76200000000000001</v>
      </c>
      <c r="F193">
        <f>VLOOKUP(A193,institutions_spss!A:M,13,0)</f>
        <v>0.68300000000000005</v>
      </c>
    </row>
    <row r="194" spans="1:6" x14ac:dyDescent="0.25">
      <c r="A194" t="str">
        <f>institutions_spss!A196</f>
        <v>City University of Hong Kong</v>
      </c>
      <c r="B194">
        <f>VLOOKUP(A194,institutions_spss!A:M,9,0)</f>
        <v>0.65800000000000003</v>
      </c>
      <c r="C194">
        <f>VLOOKUP(A194,institutions_spss!A:M,10,0)</f>
        <v>0.71199999999999997</v>
      </c>
      <c r="D194">
        <f>VLOOKUP(A194,institutions_spss!A:M,11,0)</f>
        <v>0.86799999999999999</v>
      </c>
      <c r="E194">
        <f>VLOOKUP(A194,institutions_spss!A:M,12,0)</f>
        <v>0.48</v>
      </c>
      <c r="F194">
        <f>VLOOKUP(A194,institutions_spss!A:M,13,0)</f>
        <v>0.51800000000000002</v>
      </c>
    </row>
    <row r="195" spans="1:6" x14ac:dyDescent="0.25">
      <c r="A195" t="str">
        <f>institutions_spss!A197</f>
        <v>George Mason University</v>
      </c>
      <c r="B195">
        <f>VLOOKUP(A195,institutions_spss!A:M,9,0)</f>
        <v>0.68300000000000005</v>
      </c>
      <c r="C195">
        <f>VLOOKUP(A195,institutions_spss!A:M,10,0)</f>
        <v>0.52</v>
      </c>
      <c r="D195">
        <f>VLOOKUP(A195,institutions_spss!A:M,11,0)</f>
        <v>0.96699999999999997</v>
      </c>
      <c r="E195">
        <f>VLOOKUP(A195,institutions_spss!A:M,12,0)</f>
        <v>0.84699999999999998</v>
      </c>
      <c r="F195">
        <f>VLOOKUP(A195,institutions_spss!A:M,13,0)</f>
        <v>0.875</v>
      </c>
    </row>
    <row r="196" spans="1:6" x14ac:dyDescent="0.25">
      <c r="A196" t="str">
        <f>institutions_spss!A198</f>
        <v>University of Turku</v>
      </c>
      <c r="B196">
        <f>VLOOKUP(A196,institutions_spss!A:M,9,0)</f>
        <v>0.69499999999999995</v>
      </c>
      <c r="C196">
        <f>VLOOKUP(A196,institutions_spss!A:M,10,0)</f>
        <v>0.442</v>
      </c>
      <c r="D196">
        <f>VLOOKUP(A196,institutions_spss!A:M,11,0)</f>
        <v>0.59199999999999997</v>
      </c>
      <c r="E196">
        <f>VLOOKUP(A196,institutions_spss!A:M,12,0)</f>
        <v>0.84799999999999998</v>
      </c>
      <c r="F196">
        <f>VLOOKUP(A196,institutions_spss!A:M,13,0)</f>
        <v>0.41</v>
      </c>
    </row>
    <row r="197" spans="1:6" x14ac:dyDescent="0.25">
      <c r="A197" t="str">
        <f>institutions_spss!A199</f>
        <v>Vrije Universiteit Amsterdam</v>
      </c>
      <c r="B197">
        <f>VLOOKUP(A197,institutions_spss!A:M,9,0)</f>
        <v>0.70299999999999996</v>
      </c>
      <c r="C197">
        <f>VLOOKUP(A197,institutions_spss!A:M,10,0)</f>
        <v>0.56299999999999994</v>
      </c>
      <c r="D197">
        <f>VLOOKUP(A197,institutions_spss!A:M,11,0)</f>
        <v>0.60799999999999998</v>
      </c>
      <c r="E197">
        <f>VLOOKUP(A197,institutions_spss!A:M,12,0)</f>
        <v>0.86199999999999999</v>
      </c>
      <c r="F197">
        <f>VLOOKUP(A197,institutions_spss!A:M,13,0)</f>
        <v>0.875</v>
      </c>
    </row>
    <row r="198" spans="1:6" x14ac:dyDescent="0.25">
      <c r="A198" t="str">
        <f>institutions_spss!A200</f>
        <v>Ghent University</v>
      </c>
      <c r="B198">
        <f>VLOOKUP(A198,institutions_spss!A:M,9,0)</f>
        <v>0.68300000000000005</v>
      </c>
      <c r="C198">
        <f>VLOOKUP(A198,institutions_spss!A:M,10,0)</f>
        <v>0.65300000000000002</v>
      </c>
      <c r="D198">
        <f>VLOOKUP(A198,institutions_spss!A:M,11,0)</f>
        <v>0.85699999999999998</v>
      </c>
      <c r="E198">
        <f>VLOOKUP(A198,institutions_spss!A:M,12,0)</f>
        <v>0.81200000000000006</v>
      </c>
      <c r="F198">
        <f>VLOOKUP(A198,institutions_spss!A:M,13,0)</f>
        <v>0.437</v>
      </c>
    </row>
    <row r="199" spans="1:6" x14ac:dyDescent="0.25">
      <c r="A199" t="str">
        <f>institutions_spss!A201</f>
        <v>Jonkoping University</v>
      </c>
      <c r="B199">
        <f>VLOOKUP(A199,institutions_spss!A:M,9,0)</f>
        <v>0.68300000000000005</v>
      </c>
      <c r="C199">
        <f>VLOOKUP(A199,institutions_spss!A:M,10,0)</f>
        <v>0.1</v>
      </c>
      <c r="D199">
        <f>VLOOKUP(A199,institutions_spss!A:M,11,0)</f>
        <v>0.187</v>
      </c>
      <c r="E199">
        <f>VLOOKUP(A199,institutions_spss!A:M,12,0)</f>
        <v>0.81200000000000006</v>
      </c>
      <c r="F199">
        <f>VLOOKUP(A199,institutions_spss!A:M,13,0)</f>
        <v>0.64</v>
      </c>
    </row>
    <row r="200" spans="1:6" x14ac:dyDescent="0.25">
      <c r="A200" t="str">
        <f>institutions_spss!A202</f>
        <v>Kiel Institute for the World Economy</v>
      </c>
      <c r="B200">
        <f>VLOOKUP(A200,institutions_spss!A:M,9,0)</f>
        <v>0.66700000000000004</v>
      </c>
      <c r="C200">
        <f>VLOOKUP(A200,institutions_spss!A:M,10,0)</f>
        <v>0.81499999999999995</v>
      </c>
      <c r="D200">
        <f>VLOOKUP(A200,institutions_spss!A:M,11,0)</f>
        <v>0.42699999999999999</v>
      </c>
      <c r="E200">
        <f>VLOOKUP(A200,institutions_spss!A:M,12,0)</f>
        <v>0</v>
      </c>
      <c r="F200">
        <f>VLOOKUP(A200,institutions_spss!A:M,13,0)</f>
        <v>0.1</v>
      </c>
    </row>
    <row r="201" spans="1:6" x14ac:dyDescent="0.25">
      <c r="A201" t="str">
        <f>institutions_spss!A203</f>
        <v>University of Liverpool</v>
      </c>
      <c r="B201">
        <f>VLOOKUP(A201,institutions_spss!A:M,9,0)</f>
        <v>0.7</v>
      </c>
      <c r="C201">
        <f>VLOOKUP(A201,institutions_spss!A:M,10,0)</f>
        <v>0.372</v>
      </c>
      <c r="D201">
        <f>VLOOKUP(A201,institutions_spss!A:M,11,0)</f>
        <v>0.45800000000000002</v>
      </c>
      <c r="E201">
        <f>VLOOKUP(A201,institutions_spss!A:M,12,0)</f>
        <v>0.75700000000000001</v>
      </c>
      <c r="F201">
        <f>VLOOKUP(A201,institutions_spss!A:M,13,0)</f>
        <v>0.79300000000000004</v>
      </c>
    </row>
    <row r="202" spans="1:6" x14ac:dyDescent="0.25">
      <c r="A202" t="str">
        <f>institutions_spss!A204</f>
        <v>Fudan University</v>
      </c>
      <c r="B202">
        <f>VLOOKUP(A202,institutions_spss!A:M,9,0)</f>
        <v>0.61199999999999999</v>
      </c>
      <c r="C202">
        <f>VLOOKUP(A202,institutions_spss!A:M,10,0)</f>
        <v>0.70699999999999996</v>
      </c>
      <c r="D202">
        <f>VLOOKUP(A202,institutions_spss!A:M,11,0)</f>
        <v>0.66300000000000003</v>
      </c>
      <c r="E202">
        <f>VLOOKUP(A202,institutions_spss!A:M,12,0)</f>
        <v>0.63700000000000001</v>
      </c>
      <c r="F202">
        <f>VLOOKUP(A202,institutions_spss!A:M,13,0)</f>
        <v>0.52300000000000002</v>
      </c>
    </row>
    <row r="203" spans="1:6" x14ac:dyDescent="0.25">
      <c r="A203" t="str">
        <f>institutions_spss!A205</f>
        <v>Royal Holloway University London</v>
      </c>
      <c r="B203">
        <f>VLOOKUP(A203,institutions_spss!A:M,9,0)</f>
        <v>0.69499999999999995</v>
      </c>
      <c r="C203">
        <f>VLOOKUP(A203,institutions_spss!A:M,10,0)</f>
        <v>0.63200000000000001</v>
      </c>
      <c r="D203">
        <f>VLOOKUP(A203,institutions_spss!A:M,11,0)</f>
        <v>0.59199999999999997</v>
      </c>
      <c r="E203">
        <f>VLOOKUP(A203,institutions_spss!A:M,12,0)</f>
        <v>0.64300000000000002</v>
      </c>
      <c r="F203">
        <f>VLOOKUP(A203,institutions_spss!A:M,13,0)</f>
        <v>0.7</v>
      </c>
    </row>
    <row r="204" spans="1:6" x14ac:dyDescent="0.25">
      <c r="A204" t="str">
        <f>institutions_spss!A206</f>
        <v>Tecnologico de Monterrey</v>
      </c>
      <c r="B204">
        <f>VLOOKUP(A204,institutions_spss!A:M,9,0)</f>
        <v>0.65500000000000003</v>
      </c>
      <c r="C204">
        <f>VLOOKUP(A204,institutions_spss!A:M,10,0)</f>
        <v>0.04</v>
      </c>
      <c r="D204">
        <f>VLOOKUP(A204,institutions_spss!A:M,11,0)</f>
        <v>0</v>
      </c>
      <c r="E204">
        <f>VLOOKUP(A204,institutions_spss!A:M,12,0)</f>
        <v>0.77800000000000002</v>
      </c>
      <c r="F204">
        <f>VLOOKUP(A204,institutions_spss!A:M,13,0)</f>
        <v>0.73</v>
      </c>
    </row>
    <row r="205" spans="1:6" x14ac:dyDescent="0.25">
      <c r="A205" t="str">
        <f>institutions_spss!A207</f>
        <v>University of Alberta</v>
      </c>
      <c r="B205">
        <f>VLOOKUP(A205,institutions_spss!A:M,9,0)</f>
        <v>0.71199999999999997</v>
      </c>
      <c r="C205">
        <f>VLOOKUP(A205,institutions_spss!A:M,10,0)</f>
        <v>0.33</v>
      </c>
      <c r="D205">
        <f>VLOOKUP(A205,institutions_spss!A:M,11,0)</f>
        <v>0.70199999999999996</v>
      </c>
      <c r="E205">
        <f>VLOOKUP(A205,institutions_spss!A:M,12,0)</f>
        <v>0.88700000000000001</v>
      </c>
      <c r="F205">
        <f>VLOOKUP(A205,institutions_spss!A:M,13,0)</f>
        <v>0.97</v>
      </c>
    </row>
    <row r="206" spans="1:6" x14ac:dyDescent="0.25">
      <c r="A206" t="str">
        <f>institutions_spss!A208</f>
        <v>University of Surrey</v>
      </c>
      <c r="B206">
        <f>VLOOKUP(A206,institutions_spss!A:M,9,0)</f>
        <v>0.65500000000000003</v>
      </c>
      <c r="C206">
        <f>VLOOKUP(A206,institutions_spss!A:M,10,0)</f>
        <v>0.68500000000000005</v>
      </c>
      <c r="D206">
        <f>VLOOKUP(A206,institutions_spss!A:M,11,0)</f>
        <v>0.60499999999999998</v>
      </c>
      <c r="E206">
        <f>VLOOKUP(A206,institutions_spss!A:M,12,0)</f>
        <v>0.73</v>
      </c>
      <c r="F206">
        <f>VLOOKUP(A206,institutions_spss!A:M,13,0)</f>
        <v>0.8</v>
      </c>
    </row>
    <row r="207" spans="1:6" x14ac:dyDescent="0.25">
      <c r="A207" t="str">
        <f>institutions_spss!A209</f>
        <v>University of Sussex</v>
      </c>
      <c r="B207">
        <f>VLOOKUP(A207,institutions_spss!A:M,9,0)</f>
        <v>0.67200000000000004</v>
      </c>
      <c r="C207">
        <f>VLOOKUP(A207,institutions_spss!A:M,10,0)</f>
        <v>0.77800000000000002</v>
      </c>
      <c r="D207">
        <f>VLOOKUP(A207,institutions_spss!A:M,11,0)</f>
        <v>0.32800000000000001</v>
      </c>
      <c r="E207">
        <f>VLOOKUP(A207,institutions_spss!A:M,12,0)</f>
        <v>0.55500000000000005</v>
      </c>
      <c r="F207">
        <f>VLOOKUP(A207,institutions_spss!A:M,13,0)</f>
        <v>0.77800000000000002</v>
      </c>
    </row>
    <row r="208" spans="1:6" x14ac:dyDescent="0.25">
      <c r="A208" t="str">
        <f>institutions_spss!A210</f>
        <v>Purdue University</v>
      </c>
      <c r="B208">
        <f>VLOOKUP(A208,institutions_spss!A:M,9,0)</f>
        <v>0.65800000000000003</v>
      </c>
      <c r="C208">
        <f>VLOOKUP(A208,institutions_spss!A:M,10,0)</f>
        <v>0.78700000000000003</v>
      </c>
      <c r="D208">
        <f>VLOOKUP(A208,institutions_spss!A:M,11,0)</f>
        <v>0.87</v>
      </c>
      <c r="E208">
        <f>VLOOKUP(A208,institutions_spss!A:M,12,0)</f>
        <v>0.502</v>
      </c>
      <c r="F208">
        <f>VLOOKUP(A208,institutions_spss!A:M,13,0)</f>
        <v>0.63800000000000001</v>
      </c>
    </row>
    <row r="209" spans="1:6" x14ac:dyDescent="0.25">
      <c r="A209" t="str">
        <f>institutions_spss!A211</f>
        <v>Florida State University</v>
      </c>
      <c r="B209">
        <f>VLOOKUP(A209,institutions_spss!A:M,9,0)</f>
        <v>0.68300000000000005</v>
      </c>
      <c r="C209">
        <f>VLOOKUP(A209,institutions_spss!A:M,10,0)</f>
        <v>0.61199999999999999</v>
      </c>
      <c r="D209">
        <f>VLOOKUP(A209,institutions_spss!A:M,11,0)</f>
        <v>0.79500000000000004</v>
      </c>
      <c r="E209">
        <f>VLOOKUP(A209,institutions_spss!A:M,12,0)</f>
        <v>0.81200000000000006</v>
      </c>
      <c r="F209">
        <f>VLOOKUP(A209,institutions_spss!A:M,13,0)</f>
        <v>0.78700000000000003</v>
      </c>
    </row>
    <row r="210" spans="1:6" x14ac:dyDescent="0.25">
      <c r="A210" t="str">
        <f>institutions_spss!A212</f>
        <v>Monash University</v>
      </c>
      <c r="B210">
        <f>VLOOKUP(A210,institutions_spss!A:M,9,0)</f>
        <v>0.625</v>
      </c>
      <c r="C210">
        <f>VLOOKUP(A210,institutions_spss!A:M,10,0)</f>
        <v>0.83699999999999997</v>
      </c>
      <c r="D210">
        <f>VLOOKUP(A210,institutions_spss!A:M,11,0)</f>
        <v>0.68200000000000005</v>
      </c>
      <c r="E210">
        <f>VLOOKUP(A210,institutions_spss!A:M,12,0)</f>
        <v>0.45</v>
      </c>
      <c r="F210">
        <f>VLOOKUP(A210,institutions_spss!A:M,13,0)</f>
        <v>0.50800000000000001</v>
      </c>
    </row>
    <row r="211" spans="1:6" x14ac:dyDescent="0.25">
      <c r="A211" t="str">
        <f>institutions_spss!A213</f>
        <v>The World Bank</v>
      </c>
      <c r="B211">
        <f>VLOOKUP(A211,institutions_spss!A:M,9,0)</f>
        <v>0.6</v>
      </c>
      <c r="C211">
        <f>VLOOKUP(A211,institutions_spss!A:M,10,0)</f>
        <v>0.78500000000000003</v>
      </c>
      <c r="D211">
        <f>VLOOKUP(A211,institutions_spss!A:M,11,0)</f>
        <v>0.41199999999999998</v>
      </c>
      <c r="E211">
        <f>VLOOKUP(A211,institutions_spss!A:M,12,0)</f>
        <v>0</v>
      </c>
      <c r="F211">
        <f>VLOOKUP(A211,institutions_spss!A:M,13,0)</f>
        <v>0</v>
      </c>
    </row>
    <row r="212" spans="1:6" x14ac:dyDescent="0.25">
      <c r="A212" t="str">
        <f>institutions_spss!A214</f>
        <v>emlyon business school</v>
      </c>
      <c r="B212">
        <f>VLOOKUP(A212,institutions_spss!A:M,9,0)</f>
        <v>0.68500000000000005</v>
      </c>
      <c r="C212">
        <f>VLOOKUP(A212,institutions_spss!A:M,10,0)</f>
        <v>0.52</v>
      </c>
      <c r="D212">
        <f>VLOOKUP(A212,institutions_spss!A:M,11,0)</f>
        <v>0.41199999999999998</v>
      </c>
      <c r="E212">
        <f>VLOOKUP(A212,institutions_spss!A:M,12,0)</f>
        <v>0.65800000000000003</v>
      </c>
      <c r="F212">
        <f>VLOOKUP(A212,institutions_spss!A:M,13,0)</f>
        <v>0.76700000000000002</v>
      </c>
    </row>
    <row r="213" spans="1:6" x14ac:dyDescent="0.25">
      <c r="A213" t="str">
        <f>institutions_spss!A215</f>
        <v>University of Birmingham</v>
      </c>
      <c r="B213">
        <f>VLOOKUP(A213,institutions_spss!A:M,9,0)</f>
        <v>0.65500000000000003</v>
      </c>
      <c r="C213">
        <f>VLOOKUP(A213,institutions_spss!A:M,10,0)</f>
        <v>0.46800000000000003</v>
      </c>
      <c r="D213">
        <f>VLOOKUP(A213,institutions_spss!A:M,11,0)</f>
        <v>0.55200000000000005</v>
      </c>
      <c r="E213">
        <f>VLOOKUP(A213,institutions_spss!A:M,12,0)</f>
        <v>0.622</v>
      </c>
      <c r="F213">
        <f>VLOOKUP(A213,institutions_spss!A:M,13,0)</f>
        <v>0.753</v>
      </c>
    </row>
    <row r="214" spans="1:6" x14ac:dyDescent="0.25">
      <c r="A214" t="str">
        <f>institutions_spss!A216</f>
        <v>Vienna University of Economics &amp; Business</v>
      </c>
      <c r="B214">
        <f>VLOOKUP(A214,institutions_spss!A:M,9,0)</f>
        <v>0.69499999999999995</v>
      </c>
      <c r="C214">
        <f>VLOOKUP(A214,institutions_spss!A:M,10,0)</f>
        <v>0.69199999999999995</v>
      </c>
      <c r="D214">
        <f>VLOOKUP(A214,institutions_spss!A:M,11,0)</f>
        <v>0.76200000000000001</v>
      </c>
      <c r="E214">
        <f>VLOOKUP(A214,institutions_spss!A:M,12,0)</f>
        <v>0.86699999999999999</v>
      </c>
      <c r="F214">
        <f>VLOOKUP(A214,institutions_spss!A:M,13,0)</f>
        <v>0.83499999999999996</v>
      </c>
    </row>
    <row r="215" spans="1:6" x14ac:dyDescent="0.25">
      <c r="A215" t="str">
        <f>institutions_spss!A217</f>
        <v>Autonomous University of Barcelona</v>
      </c>
      <c r="B215">
        <f>VLOOKUP(A215,institutions_spss!A:M,9,0)</f>
        <v>0.68300000000000005</v>
      </c>
      <c r="C215">
        <f>VLOOKUP(A215,institutions_spss!A:M,10,0)</f>
        <v>0.76300000000000001</v>
      </c>
      <c r="D215">
        <f>VLOOKUP(A215,institutions_spss!A:M,11,0)</f>
        <v>0.36499999999999999</v>
      </c>
      <c r="E215">
        <f>VLOOKUP(A215,institutions_spss!A:M,12,0)</f>
        <v>0.84699999999999998</v>
      </c>
      <c r="F215">
        <f>VLOOKUP(A215,institutions_spss!A:M,13,0)</f>
        <v>0.68500000000000005</v>
      </c>
    </row>
    <row r="216" spans="1:6" x14ac:dyDescent="0.25">
      <c r="A216" t="str">
        <f>institutions_spss!A218</f>
        <v>Chalmers University of Technology</v>
      </c>
      <c r="B216">
        <f>VLOOKUP(A216,institutions_spss!A:M,9,0)</f>
        <v>0.63</v>
      </c>
      <c r="C216">
        <f>VLOOKUP(A216,institutions_spss!A:M,10,0)</f>
        <v>0</v>
      </c>
      <c r="D216">
        <f>VLOOKUP(A216,institutions_spss!A:M,11,0)</f>
        <v>0</v>
      </c>
      <c r="E216">
        <f>VLOOKUP(A216,institutions_spss!A:M,12,0)</f>
        <v>0.7</v>
      </c>
      <c r="F216">
        <f>VLOOKUP(A216,institutions_spss!A:M,13,0)</f>
        <v>0.72499999999999998</v>
      </c>
    </row>
    <row r="217" spans="1:6" x14ac:dyDescent="0.25">
      <c r="A217" t="str">
        <f>institutions_spss!A219</f>
        <v>NEOMA Business School</v>
      </c>
      <c r="B217">
        <f>VLOOKUP(A217,institutions_spss!A:M,9,0)</f>
        <v>0.67200000000000004</v>
      </c>
      <c r="C217">
        <f>VLOOKUP(A217,institutions_spss!A:M,10,0)</f>
        <v>0.54300000000000004</v>
      </c>
      <c r="D217">
        <f>VLOOKUP(A217,institutions_spss!A:M,11,0)</f>
        <v>0</v>
      </c>
      <c r="E217">
        <f>VLOOKUP(A217,institutions_spss!A:M,12,0)</f>
        <v>0.47199999999999998</v>
      </c>
      <c r="F217">
        <f>VLOOKUP(A217,institutions_spss!A:M,13,0)</f>
        <v>0.71499999999999997</v>
      </c>
    </row>
    <row r="218" spans="1:6" x14ac:dyDescent="0.25">
      <c r="A218" t="str">
        <f>institutions_spss!A220</f>
        <v>University of Essex</v>
      </c>
      <c r="B218">
        <f>VLOOKUP(A218,institutions_spss!A:M,9,0)</f>
        <v>0.63</v>
      </c>
      <c r="C218">
        <f>VLOOKUP(A218,institutions_spss!A:M,10,0)</f>
        <v>0.82</v>
      </c>
      <c r="D218">
        <f>VLOOKUP(A218,institutions_spss!A:M,11,0)</f>
        <v>0.53300000000000003</v>
      </c>
      <c r="E218">
        <f>VLOOKUP(A218,institutions_spss!A:M,12,0)</f>
        <v>0.35</v>
      </c>
      <c r="F218">
        <f>VLOOKUP(A218,institutions_spss!A:M,13,0)</f>
        <v>0.432</v>
      </c>
    </row>
    <row r="219" spans="1:6" x14ac:dyDescent="0.25">
      <c r="A219" t="str">
        <f>institutions_spss!A221</f>
        <v>Florida Atlantic University</v>
      </c>
      <c r="B219">
        <f>VLOOKUP(A219,institutions_spss!A:M,9,0)</f>
        <v>0.63700000000000001</v>
      </c>
      <c r="C219">
        <f>VLOOKUP(A219,institutions_spss!A:M,10,0)</f>
        <v>0.22800000000000001</v>
      </c>
      <c r="D219">
        <f>VLOOKUP(A219,institutions_spss!A:M,11,0)</f>
        <v>0.53300000000000003</v>
      </c>
      <c r="E219">
        <f>VLOOKUP(A219,institutions_spss!A:M,12,0)</f>
        <v>0.72499999999999998</v>
      </c>
      <c r="F219">
        <f>VLOOKUP(A219,institutions_spss!A:M,13,0)</f>
        <v>0.54500000000000004</v>
      </c>
    </row>
    <row r="220" spans="1:6" x14ac:dyDescent="0.25">
      <c r="A220" t="str">
        <f>institutions_spss!A222</f>
        <v>Maastricht University</v>
      </c>
      <c r="B220">
        <f>VLOOKUP(A220,institutions_spss!A:M,9,0)</f>
        <v>0.61699999999999999</v>
      </c>
      <c r="C220">
        <f>VLOOKUP(A220,institutions_spss!A:M,10,0)</f>
        <v>0.53300000000000003</v>
      </c>
      <c r="D220">
        <f>VLOOKUP(A220,institutions_spss!A:M,11,0)</f>
        <v>0.69199999999999995</v>
      </c>
      <c r="E220">
        <f>VLOOKUP(A220,institutions_spss!A:M,12,0)</f>
        <v>0.88300000000000001</v>
      </c>
      <c r="F220">
        <f>VLOOKUP(A220,institutions_spss!A:M,13,0)</f>
        <v>0.53800000000000003</v>
      </c>
    </row>
    <row r="221" spans="1:6" x14ac:dyDescent="0.25">
      <c r="A221" t="str">
        <f>institutions_spss!A223</f>
        <v>University of Bristol</v>
      </c>
      <c r="B221">
        <f>VLOOKUP(A221,institutions_spss!A:M,9,0)</f>
        <v>0.66700000000000004</v>
      </c>
      <c r="C221">
        <f>VLOOKUP(A221,institutions_spss!A:M,10,0)</f>
        <v>0.73799999999999999</v>
      </c>
      <c r="D221">
        <f>VLOOKUP(A221,institutions_spss!A:M,11,0)</f>
        <v>0.38200000000000001</v>
      </c>
      <c r="E221">
        <f>VLOOKUP(A221,institutions_spss!A:M,12,0)</f>
        <v>0.76800000000000002</v>
      </c>
      <c r="F221">
        <f>VLOOKUP(A221,institutions_spss!A:M,13,0)</f>
        <v>0.68200000000000005</v>
      </c>
    </row>
    <row r="222" spans="1:6" x14ac:dyDescent="0.25">
      <c r="A222" t="str">
        <f>institutions_spss!A224</f>
        <v>University of North Carolina Greensboro</v>
      </c>
      <c r="B222">
        <f>VLOOKUP(A222,institutions_spss!A:M,9,0)</f>
        <v>0.64500000000000002</v>
      </c>
      <c r="C222">
        <f>VLOOKUP(A222,institutions_spss!A:M,10,0)</f>
        <v>0.69699999999999995</v>
      </c>
      <c r="D222">
        <f>VLOOKUP(A222,institutions_spss!A:M,11,0)</f>
        <v>0.54300000000000004</v>
      </c>
      <c r="E222">
        <f>VLOOKUP(A222,institutions_spss!A:M,12,0)</f>
        <v>0.60499999999999998</v>
      </c>
      <c r="F222">
        <f>VLOOKUP(A222,institutions_spss!A:M,13,0)</f>
        <v>0.60499999999999998</v>
      </c>
    </row>
    <row r="223" spans="1:6" x14ac:dyDescent="0.25">
      <c r="A223" t="str">
        <f>institutions_spss!A225</f>
        <v>University of St Andrews</v>
      </c>
      <c r="B223">
        <f>VLOOKUP(A223,institutions_spss!A:M,9,0)</f>
        <v>0.65500000000000003</v>
      </c>
      <c r="C223">
        <f>VLOOKUP(A223,institutions_spss!A:M,10,0)</f>
        <v>0.68500000000000005</v>
      </c>
      <c r="D223">
        <f>VLOOKUP(A223,institutions_spss!A:M,11,0)</f>
        <v>0.69699999999999995</v>
      </c>
      <c r="E223">
        <f>VLOOKUP(A223,institutions_spss!A:M,12,0)</f>
        <v>0.502</v>
      </c>
      <c r="F223">
        <f>VLOOKUP(A223,institutions_spss!A:M,13,0)</f>
        <v>0.67200000000000004</v>
      </c>
    </row>
    <row r="224" spans="1:6" x14ac:dyDescent="0.25">
      <c r="A224" t="str">
        <f>institutions_spss!A226</f>
        <v>Villanova University</v>
      </c>
      <c r="B224">
        <f>VLOOKUP(A224,institutions_spss!A:M,9,0)</f>
        <v>0.625</v>
      </c>
      <c r="C224">
        <f>VLOOKUP(A224,institutions_spss!A:M,10,0)</f>
        <v>0.2</v>
      </c>
      <c r="D224">
        <f>VLOOKUP(A224,institutions_spss!A:M,11,0)</f>
        <v>0.86299999999999999</v>
      </c>
      <c r="E224">
        <f>VLOOKUP(A224,institutions_spss!A:M,12,0)</f>
        <v>0.70699999999999996</v>
      </c>
      <c r="F224">
        <f>VLOOKUP(A224,institutions_spss!A:M,13,0)</f>
        <v>0.77700000000000002</v>
      </c>
    </row>
    <row r="225" spans="1:6" x14ac:dyDescent="0.25">
      <c r="A225" t="str">
        <f>institutions_spss!A227</f>
        <v>DIW Berlin - Deutsches Institut fur Wirtschaftsforschung</v>
      </c>
      <c r="B225">
        <f>VLOOKUP(A225,institutions_spss!A:M,9,0)</f>
        <v>0.625</v>
      </c>
      <c r="C225">
        <f>VLOOKUP(A225,institutions_spss!A:M,10,0)</f>
        <v>0.77200000000000002</v>
      </c>
      <c r="D225">
        <f>VLOOKUP(A225,institutions_spss!A:M,11,0)</f>
        <v>0.435</v>
      </c>
      <c r="E225">
        <f>VLOOKUP(A225,institutions_spss!A:M,12,0)</f>
        <v>0</v>
      </c>
      <c r="F225">
        <f>VLOOKUP(A225,institutions_spss!A:M,13,0)</f>
        <v>0</v>
      </c>
    </row>
    <row r="226" spans="1:6" x14ac:dyDescent="0.25">
      <c r="A226" t="str">
        <f>institutions_spss!A228</f>
        <v>Solent University</v>
      </c>
      <c r="B226">
        <f>VLOOKUP(A226,institutions_spss!A:M,9,0)</f>
        <v>0.67200000000000004</v>
      </c>
      <c r="C226">
        <f>VLOOKUP(A226,institutions_spss!A:M,10,0)</f>
        <v>0.46800000000000003</v>
      </c>
      <c r="D226">
        <f>VLOOKUP(A226,institutions_spss!A:M,11,0)</f>
        <v>0.67200000000000004</v>
      </c>
      <c r="E226">
        <f>VLOOKUP(A226,institutions_spss!A:M,12,0)</f>
        <v>0.57499999999999996</v>
      </c>
      <c r="F226">
        <f>VLOOKUP(A226,institutions_spss!A:M,13,0)</f>
        <v>0.69799999999999995</v>
      </c>
    </row>
    <row r="227" spans="1:6" x14ac:dyDescent="0.25">
      <c r="A227" t="str">
        <f>institutions_spss!A229</f>
        <v>Technical University of Munich</v>
      </c>
      <c r="B227">
        <f>VLOOKUP(A227,institutions_spss!A:M,9,0)</f>
        <v>0.59299999999999997</v>
      </c>
      <c r="C227">
        <f>VLOOKUP(A227,institutions_spss!A:M,10,0)</f>
        <v>0.498</v>
      </c>
      <c r="D227">
        <f>VLOOKUP(A227,institutions_spss!A:M,11,0)</f>
        <v>0.68700000000000006</v>
      </c>
      <c r="E227">
        <f>VLOOKUP(A227,institutions_spss!A:M,12,0)</f>
        <v>0.74199999999999999</v>
      </c>
      <c r="F227">
        <f>VLOOKUP(A227,institutions_spss!A:M,13,0)</f>
        <v>0.66300000000000003</v>
      </c>
    </row>
    <row r="228" spans="1:6" x14ac:dyDescent="0.25">
      <c r="A228" t="str">
        <f>institutions_spss!A230</f>
        <v>University College Dublin</v>
      </c>
      <c r="B228">
        <f>VLOOKUP(A228,institutions_spss!A:M,9,0)</f>
        <v>0.61199999999999999</v>
      </c>
      <c r="C228">
        <f>VLOOKUP(A228,institutions_spss!A:M,10,0)</f>
        <v>0.64300000000000002</v>
      </c>
      <c r="D228">
        <f>VLOOKUP(A228,institutions_spss!A:M,11,0)</f>
        <v>0.79</v>
      </c>
      <c r="E228">
        <f>VLOOKUP(A228,institutions_spss!A:M,12,0)</f>
        <v>0.57499999999999996</v>
      </c>
      <c r="F228">
        <f>VLOOKUP(A228,institutions_spss!A:M,13,0)</f>
        <v>0.66200000000000003</v>
      </c>
    </row>
    <row r="229" spans="1:6" x14ac:dyDescent="0.25">
      <c r="A229" t="str">
        <f>institutions_spss!A231</f>
        <v>University of Manchester</v>
      </c>
      <c r="B229">
        <f>VLOOKUP(A229,institutions_spss!A:M,9,0)</f>
        <v>0.63700000000000001</v>
      </c>
      <c r="C229">
        <f>VLOOKUP(A229,institutions_spss!A:M,10,0)</f>
        <v>0.63200000000000001</v>
      </c>
      <c r="D229">
        <f>VLOOKUP(A229,institutions_spss!A:M,11,0)</f>
        <v>0.622</v>
      </c>
      <c r="E229">
        <f>VLOOKUP(A229,institutions_spss!A:M,12,0)</f>
        <v>0.71799999999999997</v>
      </c>
      <c r="F229">
        <f>VLOOKUP(A229,institutions_spss!A:M,13,0)</f>
        <v>0.622</v>
      </c>
    </row>
    <row r="230" spans="1:6" x14ac:dyDescent="0.25">
      <c r="A230" t="str">
        <f>institutions_spss!A232</f>
        <v>Washington State University</v>
      </c>
      <c r="B230">
        <f>VLOOKUP(A230,institutions_spss!A:M,9,0)</f>
        <v>0.61699999999999999</v>
      </c>
      <c r="C230">
        <f>VLOOKUP(A230,institutions_spss!A:M,10,0)</f>
        <v>0.73199999999999998</v>
      </c>
      <c r="D230">
        <f>VLOOKUP(A230,institutions_spss!A:M,11,0)</f>
        <v>0.81</v>
      </c>
      <c r="E230">
        <f>VLOOKUP(A230,institutions_spss!A:M,12,0)</f>
        <v>0.505</v>
      </c>
      <c r="F230">
        <f>VLOOKUP(A230,institutions_spss!A:M,13,0)</f>
        <v>0.44</v>
      </c>
    </row>
    <row r="231" spans="1:6" x14ac:dyDescent="0.25">
      <c r="A231" t="str">
        <f>institutions_spss!A233</f>
        <v>Free University of Berlin</v>
      </c>
      <c r="B231">
        <f>VLOOKUP(A231,institutions_spss!A:M,9,0)</f>
        <v>0.61199999999999999</v>
      </c>
      <c r="C231">
        <f>VLOOKUP(A231,institutions_spss!A:M,10,0)</f>
        <v>0.62</v>
      </c>
      <c r="D231">
        <f>VLOOKUP(A231,institutions_spss!A:M,11,0)</f>
        <v>0</v>
      </c>
      <c r="E231">
        <f>VLOOKUP(A231,institutions_spss!A:M,12,0)</f>
        <v>0.82199999999999995</v>
      </c>
      <c r="F231">
        <f>VLOOKUP(A231,institutions_spss!A:M,13,0)</f>
        <v>0.68200000000000005</v>
      </c>
    </row>
    <row r="232" spans="1:6" x14ac:dyDescent="0.25">
      <c r="A232" t="str">
        <f>institutions_spss!A234</f>
        <v>King's College London</v>
      </c>
      <c r="B232">
        <f>VLOOKUP(A232,institutions_spss!A:M,9,0)</f>
        <v>0.64500000000000002</v>
      </c>
      <c r="C232">
        <f>VLOOKUP(A232,institutions_spss!A:M,10,0)</f>
        <v>0.46800000000000003</v>
      </c>
      <c r="D232">
        <f>VLOOKUP(A232,institutions_spss!A:M,11,0)</f>
        <v>0.72</v>
      </c>
      <c r="E232">
        <f>VLOOKUP(A232,institutions_spss!A:M,12,0)</f>
        <v>0.74199999999999999</v>
      </c>
      <c r="F232">
        <f>VLOOKUP(A232,institutions_spss!A:M,13,0)</f>
        <v>0.73199999999999998</v>
      </c>
    </row>
    <row r="233" spans="1:6" x14ac:dyDescent="0.25">
      <c r="A233" t="str">
        <f>institutions_spss!A235</f>
        <v>Universidad Carlos III de Madrid</v>
      </c>
      <c r="B233">
        <f>VLOOKUP(A233,institutions_spss!A:M,9,0)</f>
        <v>0.625</v>
      </c>
      <c r="C233">
        <f>VLOOKUP(A233,institutions_spss!A:M,10,0)</f>
        <v>0.63700000000000001</v>
      </c>
      <c r="D233">
        <f>VLOOKUP(A233,institutions_spss!A:M,11,0)</f>
        <v>0.747</v>
      </c>
      <c r="E233">
        <f>VLOOKUP(A233,institutions_spss!A:M,12,0)</f>
        <v>0.80200000000000005</v>
      </c>
      <c r="F233">
        <f>VLOOKUP(A233,institutions_spss!A:M,13,0)</f>
        <v>0.89</v>
      </c>
    </row>
    <row r="234" spans="1:6" x14ac:dyDescent="0.25">
      <c r="A234" t="str">
        <f>institutions_spss!A236</f>
        <v>Goethe University Frankfurt</v>
      </c>
      <c r="B234">
        <f>VLOOKUP(A234,institutions_spss!A:M,9,0)</f>
        <v>0.56499999999999995</v>
      </c>
      <c r="C234">
        <f>VLOOKUP(A234,institutions_spss!A:M,10,0)</f>
        <v>0.69699999999999995</v>
      </c>
      <c r="D234">
        <f>VLOOKUP(A234,institutions_spss!A:M,11,0)</f>
        <v>0.76</v>
      </c>
      <c r="E234">
        <f>VLOOKUP(A234,institutions_spss!A:M,12,0)</f>
        <v>0.74199999999999999</v>
      </c>
      <c r="F234">
        <f>VLOOKUP(A234,institutions_spss!A:M,13,0)</f>
        <v>0.96199999999999997</v>
      </c>
    </row>
    <row r="235" spans="1:6" x14ac:dyDescent="0.25">
      <c r="A235" t="str">
        <f>institutions_spss!A237</f>
        <v>University of Edinburgh</v>
      </c>
      <c r="B235">
        <f>VLOOKUP(A235,institutions_spss!A:M,9,0)</f>
        <v>0.65500000000000003</v>
      </c>
      <c r="C235">
        <f>VLOOKUP(A235,institutions_spss!A:M,10,0)</f>
        <v>0.747</v>
      </c>
      <c r="D235">
        <f>VLOOKUP(A235,institutions_spss!A:M,11,0)</f>
        <v>0.39</v>
      </c>
      <c r="E235">
        <f>VLOOKUP(A235,institutions_spss!A:M,12,0)</f>
        <v>0.65800000000000003</v>
      </c>
      <c r="F235">
        <f>VLOOKUP(A235,institutions_spss!A:M,13,0)</f>
        <v>0.77</v>
      </c>
    </row>
    <row r="236" spans="1:6" x14ac:dyDescent="0.25">
      <c r="A236" t="str">
        <f>institutions_spss!A238</f>
        <v>University of Missouri Columbia</v>
      </c>
      <c r="B236">
        <f>VLOOKUP(A236,institutions_spss!A:M,9,0)</f>
        <v>0.56499999999999995</v>
      </c>
      <c r="C236">
        <f>VLOOKUP(A236,institutions_spss!A:M,10,0)</f>
        <v>0.70199999999999996</v>
      </c>
      <c r="D236">
        <f>VLOOKUP(A236,institutions_spss!A:M,11,0)</f>
        <v>0.82699999999999996</v>
      </c>
      <c r="E236">
        <f>VLOOKUP(A236,institutions_spss!A:M,12,0)</f>
        <v>0.51300000000000001</v>
      </c>
      <c r="F236">
        <f>VLOOKUP(A236,institutions_spss!A:M,13,0)</f>
        <v>0.39800000000000002</v>
      </c>
    </row>
    <row r="237" spans="1:6" x14ac:dyDescent="0.25">
      <c r="A237" t="str">
        <f>institutions_spss!A239</f>
        <v>University of North Carolina Charlotte</v>
      </c>
      <c r="B237">
        <f>VLOOKUP(A237,institutions_spss!A:M,9,0)</f>
        <v>0.61699999999999999</v>
      </c>
      <c r="C237">
        <f>VLOOKUP(A237,institutions_spss!A:M,10,0)</f>
        <v>0.60799999999999998</v>
      </c>
      <c r="D237">
        <f>VLOOKUP(A237,institutions_spss!A:M,11,0)</f>
        <v>0.71199999999999997</v>
      </c>
      <c r="E237">
        <f>VLOOKUP(A237,institutions_spss!A:M,12,0)</f>
        <v>0.73</v>
      </c>
      <c r="F237">
        <f>VLOOKUP(A237,institutions_spss!A:M,13,0)</f>
        <v>0.505</v>
      </c>
    </row>
    <row r="238" spans="1:6" x14ac:dyDescent="0.25">
      <c r="A238" t="str">
        <f>institutions_spss!A240</f>
        <v>University of Auckland</v>
      </c>
      <c r="B238">
        <f>VLOOKUP(A238,institutions_spss!A:M,9,0)</f>
        <v>0.64</v>
      </c>
      <c r="C238">
        <f>VLOOKUP(A238,institutions_spss!A:M,10,0)</f>
        <v>0.498</v>
      </c>
      <c r="D238">
        <f>VLOOKUP(A238,institutions_spss!A:M,11,0)</f>
        <v>0.47299999999999998</v>
      </c>
      <c r="E238">
        <f>VLOOKUP(A238,institutions_spss!A:M,12,0)</f>
        <v>0.63700000000000001</v>
      </c>
      <c r="F238">
        <f>VLOOKUP(A238,institutions_spss!A:M,13,0)</f>
        <v>0.77300000000000002</v>
      </c>
    </row>
    <row r="239" spans="1:6" x14ac:dyDescent="0.25">
      <c r="A239" t="str">
        <f>institutions_spss!A241</f>
        <v>University of New South Wales Sydney</v>
      </c>
      <c r="B239">
        <f>VLOOKUP(A239,institutions_spss!A:M,9,0)</f>
        <v>0.6</v>
      </c>
      <c r="C239">
        <f>VLOOKUP(A239,institutions_spss!A:M,10,0)</f>
        <v>0.78500000000000003</v>
      </c>
      <c r="D239">
        <f>VLOOKUP(A239,institutions_spss!A:M,11,0)</f>
        <v>0.81699999999999995</v>
      </c>
      <c r="E239">
        <f>VLOOKUP(A239,institutions_spss!A:M,12,0)</f>
        <v>0.52500000000000002</v>
      </c>
      <c r="F239">
        <f>VLOOKUP(A239,institutions_spss!A:M,13,0)</f>
        <v>0.33500000000000002</v>
      </c>
    </row>
    <row r="240" spans="1:6" x14ac:dyDescent="0.25">
      <c r="A240" t="str">
        <f>institutions_spss!A242</f>
        <v>American University</v>
      </c>
      <c r="B240">
        <f>VLOOKUP(A240,institutions_spss!A:M,9,0)</f>
        <v>0.58199999999999996</v>
      </c>
      <c r="C240">
        <f>VLOOKUP(A240,institutions_spss!A:M,10,0)</f>
        <v>0.55700000000000005</v>
      </c>
      <c r="D240">
        <f>VLOOKUP(A240,institutions_spss!A:M,11,0)</f>
        <v>0.55200000000000005</v>
      </c>
      <c r="E240">
        <f>VLOOKUP(A240,institutions_spss!A:M,12,0)</f>
        <v>0.753</v>
      </c>
      <c r="F240">
        <f>VLOOKUP(A240,institutions_spss!A:M,13,0)</f>
        <v>0.51500000000000001</v>
      </c>
    </row>
    <row r="241" spans="1:6" x14ac:dyDescent="0.25">
      <c r="A241" t="str">
        <f>institutions_spss!A243</f>
        <v>Auburn University</v>
      </c>
      <c r="B241">
        <f>VLOOKUP(A241,institutions_spss!A:M,9,0)</f>
        <v>0.63</v>
      </c>
      <c r="C241">
        <f>VLOOKUP(A241,institutions_spss!A:M,10,0)</f>
        <v>0.33</v>
      </c>
      <c r="D241">
        <f>VLOOKUP(A241,institutions_spss!A:M,11,0)</f>
        <v>0.68799999999999994</v>
      </c>
      <c r="E241">
        <f>VLOOKUP(A241,institutions_spss!A:M,12,0)</f>
        <v>0.67200000000000004</v>
      </c>
      <c r="F241">
        <f>VLOOKUP(A241,institutions_spss!A:M,13,0)</f>
        <v>0.82499999999999996</v>
      </c>
    </row>
    <row r="242" spans="1:6" x14ac:dyDescent="0.25">
      <c r="A242" t="str">
        <f>institutions_spss!A244</f>
        <v>Czech Academy of Sciences</v>
      </c>
      <c r="B242">
        <f>VLOOKUP(A242,institutions_spss!A:M,9,0)</f>
        <v>0.56499999999999995</v>
      </c>
      <c r="C242">
        <f>VLOOKUP(A242,institutions_spss!A:M,10,0)</f>
        <v>0</v>
      </c>
      <c r="D242">
        <f>VLOOKUP(A242,institutions_spss!A:M,11,0)</f>
        <v>0</v>
      </c>
      <c r="E242">
        <f>VLOOKUP(A242,institutions_spss!A:M,12,0)</f>
        <v>0</v>
      </c>
      <c r="F242">
        <f>VLOOKUP(A242,institutions_spss!A:M,13,0)</f>
        <v>0</v>
      </c>
    </row>
    <row r="243" spans="1:6" x14ac:dyDescent="0.25">
      <c r="A243" t="str">
        <f>institutions_spss!A245</f>
        <v>Dublin City University</v>
      </c>
      <c r="B243">
        <f>VLOOKUP(A243,institutions_spss!A:M,9,0)</f>
        <v>0.61199999999999999</v>
      </c>
      <c r="C243">
        <f>VLOOKUP(A243,institutions_spss!A:M,10,0)</f>
        <v>0.47799999999999998</v>
      </c>
      <c r="D243">
        <f>VLOOKUP(A243,institutions_spss!A:M,11,0)</f>
        <v>0.67200000000000004</v>
      </c>
      <c r="E243">
        <f>VLOOKUP(A243,institutions_spss!A:M,12,0)</f>
        <v>0.44</v>
      </c>
      <c r="F243">
        <f>VLOOKUP(A243,institutions_spss!A:M,13,0)</f>
        <v>0.83699999999999997</v>
      </c>
    </row>
    <row r="244" spans="1:6" x14ac:dyDescent="0.25">
      <c r="A244" t="str">
        <f>institutions_spss!A246</f>
        <v>Shanghai University of Finance &amp; Economics</v>
      </c>
      <c r="B244">
        <f>VLOOKUP(A244,institutions_spss!A:M,9,0)</f>
        <v>0.59299999999999997</v>
      </c>
      <c r="C244">
        <f>VLOOKUP(A244,institutions_spss!A:M,10,0)</f>
        <v>0.56299999999999994</v>
      </c>
      <c r="D244">
        <f>VLOOKUP(A244,institutions_spss!A:M,11,0)</f>
        <v>0.78300000000000003</v>
      </c>
      <c r="E244">
        <f>VLOOKUP(A244,institutions_spss!A:M,12,0)</f>
        <v>0.433</v>
      </c>
      <c r="F244">
        <f>VLOOKUP(A244,institutions_spss!A:M,13,0)</f>
        <v>0.92</v>
      </c>
    </row>
    <row r="245" spans="1:6" x14ac:dyDescent="0.25">
      <c r="A245" t="str">
        <f>institutions_spss!A247</f>
        <v>Tsinghua University</v>
      </c>
      <c r="B245">
        <f>VLOOKUP(A245,institutions_spss!A:M,9,0)</f>
        <v>0.57799999999999996</v>
      </c>
      <c r="C245">
        <f>VLOOKUP(A245,institutions_spss!A:M,10,0)</f>
        <v>0.72499999999999998</v>
      </c>
      <c r="D245">
        <f>VLOOKUP(A245,institutions_spss!A:M,11,0)</f>
        <v>0.245</v>
      </c>
      <c r="E245">
        <f>VLOOKUP(A245,institutions_spss!A:M,12,0)</f>
        <v>0.36299999999999999</v>
      </c>
      <c r="F245">
        <f>VLOOKUP(A245,institutions_spss!A:M,13,0)</f>
        <v>0.38700000000000001</v>
      </c>
    </row>
    <row r="246" spans="1:6" x14ac:dyDescent="0.25">
      <c r="A246" t="str">
        <f>institutions_spss!A248</f>
        <v>University of Bern</v>
      </c>
      <c r="B246">
        <f>VLOOKUP(A246,institutions_spss!A:M,9,0)</f>
        <v>0.57299999999999995</v>
      </c>
      <c r="C246">
        <f>VLOOKUP(A246,institutions_spss!A:M,10,0)</f>
        <v>0.77800000000000002</v>
      </c>
      <c r="D246">
        <f>VLOOKUP(A246,institutions_spss!A:M,11,0)</f>
        <v>0.77200000000000002</v>
      </c>
      <c r="E246">
        <f>VLOOKUP(A246,institutions_spss!A:M,12,0)</f>
        <v>0.38300000000000001</v>
      </c>
      <c r="F246">
        <f>VLOOKUP(A246,institutions_spss!A:M,13,0)</f>
        <v>0.20300000000000001</v>
      </c>
    </row>
    <row r="247" spans="1:6" x14ac:dyDescent="0.25">
      <c r="A247" t="str">
        <f>institutions_spss!A249</f>
        <v>University of Cologne</v>
      </c>
      <c r="B247">
        <f>VLOOKUP(A247,institutions_spss!A:M,9,0)</f>
        <v>0.60499999999999998</v>
      </c>
      <c r="C247">
        <f>VLOOKUP(A247,institutions_spss!A:M,10,0)</f>
        <v>0.65700000000000003</v>
      </c>
      <c r="D247">
        <f>VLOOKUP(A247,institutions_spss!A:M,11,0)</f>
        <v>0.48499999999999999</v>
      </c>
      <c r="E247">
        <f>VLOOKUP(A247,institutions_spss!A:M,12,0)</f>
        <v>0.85799999999999998</v>
      </c>
      <c r="F247">
        <f>VLOOKUP(A247,institutions_spss!A:M,13,0)</f>
        <v>0.65</v>
      </c>
    </row>
    <row r="248" spans="1:6" x14ac:dyDescent="0.25">
      <c r="A248" t="str">
        <f>institutions_spss!A250</f>
        <v>Oklahoma State University - Stillwater</v>
      </c>
      <c r="B248">
        <f>VLOOKUP(A248,institutions_spss!A:M,9,0)</f>
        <v>0.6</v>
      </c>
      <c r="C248">
        <f>VLOOKUP(A248,institutions_spss!A:M,10,0)</f>
        <v>0.24199999999999999</v>
      </c>
      <c r="D248">
        <f>VLOOKUP(A248,institutions_spss!A:M,11,0)</f>
        <v>0.38200000000000001</v>
      </c>
      <c r="E248">
        <f>VLOOKUP(A248,institutions_spss!A:M,12,0)</f>
        <v>0.86699999999999999</v>
      </c>
      <c r="F248">
        <f>VLOOKUP(A248,institutions_spss!A:M,13,0)</f>
        <v>0.96299999999999997</v>
      </c>
    </row>
    <row r="249" spans="1:6" x14ac:dyDescent="0.25">
      <c r="A249" t="str">
        <f>institutions_spss!A251</f>
        <v>SKEMA Business School</v>
      </c>
      <c r="B249">
        <f>VLOOKUP(A249,institutions_spss!A:M,9,0)</f>
        <v>0.63700000000000001</v>
      </c>
      <c r="C249">
        <f>VLOOKUP(A249,institutions_spss!A:M,10,0)</f>
        <v>0.498</v>
      </c>
      <c r="D249">
        <f>VLOOKUP(A249,institutions_spss!A:M,11,0)</f>
        <v>0.498</v>
      </c>
      <c r="E249">
        <f>VLOOKUP(A249,institutions_spss!A:M,12,0)</f>
        <v>0.47799999999999998</v>
      </c>
      <c r="F249">
        <f>VLOOKUP(A249,institutions_spss!A:M,13,0)</f>
        <v>0.627</v>
      </c>
    </row>
    <row r="250" spans="1:6" x14ac:dyDescent="0.25">
      <c r="A250" t="str">
        <f>institutions_spss!A252</f>
        <v>University of Aberdeen</v>
      </c>
      <c r="B250">
        <f>VLOOKUP(A250,institutions_spss!A:M,9,0)</f>
        <v>0.59299999999999997</v>
      </c>
      <c r="C250">
        <f>VLOOKUP(A250,institutions_spss!A:M,10,0)</f>
        <v>8.7999999999999995E-2</v>
      </c>
      <c r="D250">
        <f>VLOOKUP(A250,institutions_spss!A:M,11,0)</f>
        <v>0.47299999999999998</v>
      </c>
      <c r="E250">
        <f>VLOOKUP(A250,institutions_spss!A:M,12,0)</f>
        <v>0.7</v>
      </c>
      <c r="F250">
        <f>VLOOKUP(A250,institutions_spss!A:M,13,0)</f>
        <v>0.77300000000000002</v>
      </c>
    </row>
    <row r="251" spans="1:6" x14ac:dyDescent="0.25">
      <c r="A251" t="str">
        <f>institutions_spss!A253</f>
        <v>University of Exeter</v>
      </c>
      <c r="B251">
        <f>VLOOKUP(A251,institutions_spss!A:M,9,0)</f>
        <v>0.59299999999999997</v>
      </c>
      <c r="C251">
        <f>VLOOKUP(A251,institutions_spss!A:M,10,0)</f>
        <v>0.59199999999999997</v>
      </c>
      <c r="D251">
        <f>VLOOKUP(A251,institutions_spss!A:M,11,0)</f>
        <v>0.56799999999999995</v>
      </c>
      <c r="E251">
        <f>VLOOKUP(A251,institutions_spss!A:M,12,0)</f>
        <v>0.61199999999999999</v>
      </c>
      <c r="F251">
        <f>VLOOKUP(A251,institutions_spss!A:M,13,0)</f>
        <v>0.74199999999999999</v>
      </c>
    </row>
    <row r="252" spans="1:6" x14ac:dyDescent="0.25">
      <c r="A252" t="str">
        <f>institutions_spss!A254</f>
        <v>Deutsche Bundesbank</v>
      </c>
      <c r="B252">
        <f>VLOOKUP(A252,institutions_spss!A:M,9,0)</f>
        <v>0.54300000000000004</v>
      </c>
      <c r="C252">
        <f>VLOOKUP(A252,institutions_spss!A:M,10,0)</f>
        <v>0.62</v>
      </c>
      <c r="D252">
        <f>VLOOKUP(A252,institutions_spss!A:M,11,0)</f>
        <v>0.69699999999999995</v>
      </c>
      <c r="E252">
        <f>VLOOKUP(A252,institutions_spss!A:M,12,0)</f>
        <v>0</v>
      </c>
      <c r="F252">
        <f>VLOOKUP(A252,institutions_spss!A:M,13,0)</f>
        <v>0</v>
      </c>
    </row>
    <row r="253" spans="1:6" x14ac:dyDescent="0.25">
      <c r="A253" t="str">
        <f>institutions_spss!A255</f>
        <v>University of South Florida</v>
      </c>
      <c r="B253">
        <f>VLOOKUP(A253,institutions_spss!A:M,9,0)</f>
        <v>0.53700000000000003</v>
      </c>
      <c r="C253">
        <f>VLOOKUP(A253,institutions_spss!A:M,10,0)</f>
        <v>0.39200000000000002</v>
      </c>
      <c r="D253">
        <f>VLOOKUP(A253,institutions_spss!A:M,11,0)</f>
        <v>0.63300000000000001</v>
      </c>
      <c r="E253">
        <f>VLOOKUP(A253,institutions_spss!A:M,12,0)</f>
        <v>0.69499999999999995</v>
      </c>
      <c r="F253">
        <f>VLOOKUP(A253,institutions_spss!A:M,13,0)</f>
        <v>0.64200000000000002</v>
      </c>
    </row>
    <row r="254" spans="1:6" x14ac:dyDescent="0.25">
      <c r="A254" t="str">
        <f>institutions_spss!A256</f>
        <v>Durham University</v>
      </c>
      <c r="B254">
        <f>VLOOKUP(A254,institutions_spss!A:M,9,0)</f>
        <v>0.58499999999999996</v>
      </c>
      <c r="C254">
        <f>VLOOKUP(A254,institutions_spss!A:M,10,0)</f>
        <v>0.44800000000000001</v>
      </c>
      <c r="D254">
        <f>VLOOKUP(A254,institutions_spss!A:M,11,0)</f>
        <v>0.34699999999999998</v>
      </c>
      <c r="E254">
        <f>VLOOKUP(A254,institutions_spss!A:M,12,0)</f>
        <v>0.68799999999999994</v>
      </c>
      <c r="F254">
        <f>VLOOKUP(A254,institutions_spss!A:M,13,0)</f>
        <v>0.69299999999999995</v>
      </c>
    </row>
    <row r="255" spans="1:6" x14ac:dyDescent="0.25">
      <c r="A255" t="str">
        <f>institutions_spss!A257</f>
        <v>Fordham University</v>
      </c>
      <c r="B255">
        <f>VLOOKUP(A255,institutions_spss!A:M,9,0)</f>
        <v>0.54300000000000004</v>
      </c>
      <c r="C255">
        <f>VLOOKUP(A255,institutions_spss!A:M,10,0)</f>
        <v>0.29799999999999999</v>
      </c>
      <c r="D255">
        <f>VLOOKUP(A255,institutions_spss!A:M,11,0)</f>
        <v>0.64500000000000002</v>
      </c>
      <c r="E255">
        <f>VLOOKUP(A255,institutions_spss!A:M,12,0)</f>
        <v>0.71199999999999997</v>
      </c>
      <c r="F255">
        <f>VLOOKUP(A255,institutions_spss!A:M,13,0)</f>
        <v>0.42699999999999999</v>
      </c>
    </row>
    <row r="256" spans="1:6" x14ac:dyDescent="0.25">
      <c r="A256" t="str">
        <f>institutions_spss!A258</f>
        <v>North Carolina State University</v>
      </c>
      <c r="B256">
        <f>VLOOKUP(A256,institutions_spss!A:M,9,0)</f>
        <v>0.60499999999999998</v>
      </c>
      <c r="C256">
        <f>VLOOKUP(A256,institutions_spss!A:M,10,0)</f>
        <v>0.78500000000000003</v>
      </c>
      <c r="D256">
        <f>VLOOKUP(A256,institutions_spss!A:M,11,0)</f>
        <v>0.74</v>
      </c>
      <c r="E256">
        <f>VLOOKUP(A256,institutions_spss!A:M,12,0)</f>
        <v>0.33700000000000002</v>
      </c>
      <c r="F256">
        <f>VLOOKUP(A256,institutions_spss!A:M,13,0)</f>
        <v>0.53</v>
      </c>
    </row>
    <row r="257" spans="1:6" x14ac:dyDescent="0.25">
      <c r="A257" t="str">
        <f>institutions_spss!A259</f>
        <v>University of Vaasa</v>
      </c>
      <c r="B257">
        <f>VLOOKUP(A257,institutions_spss!A:M,9,0)</f>
        <v>0.625</v>
      </c>
      <c r="C257">
        <f>VLOOKUP(A257,institutions_spss!A:M,10,0)</f>
        <v>0.13500000000000001</v>
      </c>
      <c r="D257">
        <f>VLOOKUP(A257,institutions_spss!A:M,11,0)</f>
        <v>0.38200000000000001</v>
      </c>
      <c r="E257">
        <f>VLOOKUP(A257,institutions_spss!A:M,12,0)</f>
        <v>0.55200000000000005</v>
      </c>
      <c r="F257">
        <f>VLOOKUP(A257,institutions_spss!A:M,13,0)</f>
        <v>0.80700000000000005</v>
      </c>
    </row>
    <row r="258" spans="1:6" x14ac:dyDescent="0.25">
      <c r="A258" t="str">
        <f>institutions_spss!A260</f>
        <v>Australian National University</v>
      </c>
      <c r="B258">
        <f>VLOOKUP(A258,institutions_spss!A:M,9,0)</f>
        <v>0.54300000000000004</v>
      </c>
      <c r="C258">
        <f>VLOOKUP(A258,institutions_spss!A:M,10,0)</f>
        <v>0.72199999999999998</v>
      </c>
      <c r="D258">
        <f>VLOOKUP(A258,institutions_spss!A:M,11,0)</f>
        <v>0.47299999999999998</v>
      </c>
      <c r="E258">
        <f>VLOOKUP(A258,institutions_spss!A:M,12,0)</f>
        <v>0.53200000000000003</v>
      </c>
      <c r="F258">
        <f>VLOOKUP(A258,institutions_spss!A:M,13,0)</f>
        <v>0.57799999999999996</v>
      </c>
    </row>
    <row r="259" spans="1:6" x14ac:dyDescent="0.25">
      <c r="A259" t="str">
        <f>institutions_spss!A261</f>
        <v>Audencia</v>
      </c>
      <c r="B259">
        <f>VLOOKUP(A259,institutions_spss!A:M,9,0)</f>
        <v>0.6</v>
      </c>
      <c r="C259">
        <f>VLOOKUP(A259,institutions_spss!A:M,10,0)</f>
        <v>0.11700000000000001</v>
      </c>
      <c r="D259">
        <f>VLOOKUP(A259,institutions_spss!A:M,11,0)</f>
        <v>0.44</v>
      </c>
      <c r="E259">
        <f>VLOOKUP(A259,institutions_spss!A:M,12,0)</f>
        <v>0.76700000000000002</v>
      </c>
      <c r="F259">
        <f>VLOOKUP(A259,institutions_spss!A:M,13,0)</f>
        <v>0.53</v>
      </c>
    </row>
    <row r="260" spans="1:6" x14ac:dyDescent="0.25">
      <c r="A260" t="str">
        <f>institutions_spss!A262</f>
        <v>Universite Grenoble Alpes (UGA)</v>
      </c>
      <c r="B260">
        <f>VLOOKUP(A260,institutions_spss!A:M,9,0)</f>
        <v>6.2E-2</v>
      </c>
      <c r="C260">
        <f>VLOOKUP(A260,institutions_spss!A:M,10,0)</f>
        <v>0.253</v>
      </c>
      <c r="D260">
        <f>VLOOKUP(A260,institutions_spss!A:M,11,0)</f>
        <v>0</v>
      </c>
      <c r="E260">
        <f>VLOOKUP(A260,institutions_spss!A:M,12,0)</f>
        <v>0.42699999999999999</v>
      </c>
      <c r="F260">
        <f>VLOOKUP(A260,institutions_spss!A:M,13,0)</f>
        <v>0.81</v>
      </c>
    </row>
    <row r="261" spans="1:6" x14ac:dyDescent="0.25">
      <c r="A261" t="str">
        <f>institutions_spss!A263</f>
        <v>Carleton University</v>
      </c>
      <c r="B261">
        <f>VLOOKUP(A261,institutions_spss!A:M,9,0)</f>
        <v>0.56499999999999995</v>
      </c>
      <c r="C261">
        <f>VLOOKUP(A261,institutions_spss!A:M,10,0)</f>
        <v>0.8</v>
      </c>
      <c r="D261">
        <f>VLOOKUP(A261,institutions_spss!A:M,11,0)</f>
        <v>0.26800000000000002</v>
      </c>
      <c r="E261">
        <f>VLOOKUP(A261,institutions_spss!A:M,12,0)</f>
        <v>0.37</v>
      </c>
      <c r="F261">
        <f>VLOOKUP(A261,institutions_spss!A:M,13,0)</f>
        <v>0.45800000000000002</v>
      </c>
    </row>
    <row r="262" spans="1:6" x14ac:dyDescent="0.25">
      <c r="A262" t="str">
        <f>institutions_spss!A264</f>
        <v>Charles University Prague</v>
      </c>
      <c r="B262">
        <f>VLOOKUP(A262,institutions_spss!A:M,9,0)</f>
        <v>0.53700000000000003</v>
      </c>
      <c r="C262">
        <f>VLOOKUP(A262,institutions_spss!A:M,10,0)</f>
        <v>0.73199999999999998</v>
      </c>
      <c r="D262">
        <f>VLOOKUP(A262,institutions_spss!A:M,11,0)</f>
        <v>0.32800000000000001</v>
      </c>
      <c r="E262">
        <f>VLOOKUP(A262,institutions_spss!A:M,12,0)</f>
        <v>0.11799999999999999</v>
      </c>
      <c r="F262">
        <f>VLOOKUP(A262,institutions_spss!A:M,13,0)</f>
        <v>5.5E-2</v>
      </c>
    </row>
    <row r="263" spans="1:6" x14ac:dyDescent="0.25">
      <c r="A263" t="str">
        <f>institutions_spss!A265</f>
        <v>Concordia University - Canada</v>
      </c>
      <c r="B263">
        <f>VLOOKUP(A263,institutions_spss!A:M,9,0)</f>
        <v>0.57299999999999995</v>
      </c>
      <c r="C263">
        <f>VLOOKUP(A263,institutions_spss!A:M,10,0)</f>
        <v>0.60799999999999998</v>
      </c>
      <c r="D263">
        <f>VLOOKUP(A263,institutions_spss!A:M,11,0)</f>
        <v>0.80700000000000005</v>
      </c>
      <c r="E263">
        <f>VLOOKUP(A263,institutions_spss!A:M,12,0)</f>
        <v>0.47799999999999998</v>
      </c>
      <c r="F263">
        <f>VLOOKUP(A263,institutions_spss!A:M,13,0)</f>
        <v>0.41</v>
      </c>
    </row>
    <row r="264" spans="1:6" x14ac:dyDescent="0.25">
      <c r="A264" t="str">
        <f>institutions_spss!A266</f>
        <v>Lahore University of Management Sciences</v>
      </c>
      <c r="B264">
        <f>VLOOKUP(A264,institutions_spss!A:M,9,0)</f>
        <v>0.57299999999999995</v>
      </c>
      <c r="C264">
        <f>VLOOKUP(A264,institutions_spss!A:M,10,0)</f>
        <v>0.873</v>
      </c>
      <c r="D264">
        <f>VLOOKUP(A264,institutions_spss!A:M,11,0)</f>
        <v>0.50700000000000001</v>
      </c>
      <c r="E264">
        <f>VLOOKUP(A264,institutions_spss!A:M,12,0)</f>
        <v>0.13</v>
      </c>
      <c r="F264">
        <f>VLOOKUP(A264,institutions_spss!A:M,13,0)</f>
        <v>0.29499999999999998</v>
      </c>
    </row>
    <row r="265" spans="1:6" x14ac:dyDescent="0.25">
      <c r="A265" t="str">
        <f>institutions_spss!A267</f>
        <v>Montpellier Business School</v>
      </c>
      <c r="B265">
        <f>VLOOKUP(A265,institutions_spss!A:M,9,0)</f>
        <v>0.58199999999999996</v>
      </c>
      <c r="C265">
        <f>VLOOKUP(A265,institutions_spss!A:M,10,0)</f>
        <v>0.50800000000000001</v>
      </c>
      <c r="D265">
        <f>VLOOKUP(A265,institutions_spss!A:M,11,0)</f>
        <v>0.45300000000000001</v>
      </c>
      <c r="E265">
        <f>VLOOKUP(A265,institutions_spss!A:M,12,0)</f>
        <v>0.69499999999999995</v>
      </c>
      <c r="F265">
        <f>VLOOKUP(A265,institutions_spss!A:M,13,0)</f>
        <v>0.59799999999999998</v>
      </c>
    </row>
    <row r="266" spans="1:6" x14ac:dyDescent="0.25">
      <c r="A266" t="str">
        <f>institutions_spss!A268</f>
        <v>University of Munster</v>
      </c>
      <c r="B266">
        <f>VLOOKUP(A266,institutions_spss!A:M,9,0)</f>
        <v>0.55300000000000005</v>
      </c>
      <c r="C266">
        <f>VLOOKUP(A266,institutions_spss!A:M,10,0)</f>
        <v>0.31</v>
      </c>
      <c r="D266">
        <f>VLOOKUP(A266,institutions_spss!A:M,11,0)</f>
        <v>0.29699999999999999</v>
      </c>
      <c r="E266">
        <f>VLOOKUP(A266,institutions_spss!A:M,12,0)</f>
        <v>0.88</v>
      </c>
      <c r="F266">
        <f>VLOOKUP(A266,institutions_spss!A:M,13,0)</f>
        <v>0.373</v>
      </c>
    </row>
    <row r="267" spans="1:6" x14ac:dyDescent="0.25">
      <c r="A267" t="str">
        <f>institutions_spss!A269</f>
        <v>Uppsala University</v>
      </c>
      <c r="B267">
        <f>VLOOKUP(A267,institutions_spss!A:M,9,0)</f>
        <v>0.56499999999999995</v>
      </c>
      <c r="C267">
        <f>VLOOKUP(A267,institutions_spss!A:M,10,0)</f>
        <v>0.84</v>
      </c>
      <c r="D267">
        <f>VLOOKUP(A267,institutions_spss!A:M,11,0)</f>
        <v>0.127</v>
      </c>
      <c r="E267">
        <f>VLOOKUP(A267,institutions_spss!A:M,12,0)</f>
        <v>0.247</v>
      </c>
      <c r="F267">
        <f>VLOOKUP(A267,institutions_spss!A:M,13,0)</f>
        <v>0.35799999999999998</v>
      </c>
    </row>
    <row r="268" spans="1:6" x14ac:dyDescent="0.25">
      <c r="A268" t="str">
        <f>institutions_spss!A270</f>
        <v>Eindhoven University of Technology</v>
      </c>
      <c r="B268">
        <f>VLOOKUP(A268,institutions_spss!A:M,9,0)</f>
        <v>0.55000000000000004</v>
      </c>
      <c r="C268">
        <f>VLOOKUP(A268,institutions_spss!A:M,10,0)</f>
        <v>3.2000000000000001E-2</v>
      </c>
      <c r="D268">
        <f>VLOOKUP(A268,institutions_spss!A:M,11,0)</f>
        <v>0</v>
      </c>
      <c r="E268">
        <f>VLOOKUP(A268,institutions_spss!A:M,12,0)</f>
        <v>0.56299999999999994</v>
      </c>
      <c r="F268">
        <f>VLOOKUP(A268,institutions_spss!A:M,13,0)</f>
        <v>0.54500000000000004</v>
      </c>
    </row>
    <row r="269" spans="1:6" x14ac:dyDescent="0.25">
      <c r="A269" t="str">
        <f>institutions_spss!A271</f>
        <v>University of Hamburg</v>
      </c>
      <c r="B269">
        <f>VLOOKUP(A269,institutions_spss!A:M,9,0)</f>
        <v>0.58699999999999997</v>
      </c>
      <c r="C269">
        <f>VLOOKUP(A269,institutions_spss!A:M,10,0)</f>
        <v>0.39200000000000002</v>
      </c>
      <c r="D269">
        <f>VLOOKUP(A269,institutions_spss!A:M,11,0)</f>
        <v>0.38200000000000001</v>
      </c>
      <c r="E269">
        <f>VLOOKUP(A269,institutions_spss!A:M,12,0)</f>
        <v>0.86799999999999999</v>
      </c>
      <c r="F269">
        <f>VLOOKUP(A269,institutions_spss!A:M,13,0)</f>
        <v>0.89200000000000002</v>
      </c>
    </row>
    <row r="270" spans="1:6" x14ac:dyDescent="0.25">
      <c r="A270" t="str">
        <f>institutions_spss!A272</f>
        <v>University of Massachusetts Lowell</v>
      </c>
      <c r="B270">
        <f>VLOOKUP(A270,institutions_spss!A:M,9,0)</f>
        <v>0.60499999999999998</v>
      </c>
      <c r="C270">
        <f>VLOOKUP(A270,institutions_spss!A:M,10,0)</f>
        <v>0.02</v>
      </c>
      <c r="D270">
        <f>VLOOKUP(A270,institutions_spss!A:M,11,0)</f>
        <v>0.752</v>
      </c>
      <c r="E270">
        <f>VLOOKUP(A270,institutions_spss!A:M,12,0)</f>
        <v>0.54800000000000004</v>
      </c>
      <c r="F270">
        <f>VLOOKUP(A270,institutions_spss!A:M,13,0)</f>
        <v>0.503</v>
      </c>
    </row>
    <row r="271" spans="1:6" x14ac:dyDescent="0.25">
      <c r="A271" t="str">
        <f>institutions_spss!A273</f>
        <v>University of Strathclyde</v>
      </c>
      <c r="B271">
        <f>VLOOKUP(A271,institutions_spss!A:M,9,0)</f>
        <v>0.58499999999999996</v>
      </c>
      <c r="C271">
        <f>VLOOKUP(A271,institutions_spss!A:M,10,0)</f>
        <v>0.57999999999999996</v>
      </c>
      <c r="D271">
        <f>VLOOKUP(A271,institutions_spss!A:M,11,0)</f>
        <v>0.57799999999999996</v>
      </c>
      <c r="E271">
        <f>VLOOKUP(A271,institutions_spss!A:M,12,0)</f>
        <v>0.58499999999999996</v>
      </c>
      <c r="F271">
        <f>VLOOKUP(A271,institutions_spss!A:M,13,0)</f>
        <v>0.55800000000000005</v>
      </c>
    </row>
    <row r="272" spans="1:6" x14ac:dyDescent="0.25">
      <c r="A272" t="str">
        <f>institutions_spss!A274</f>
        <v>Aston University</v>
      </c>
      <c r="B272">
        <f>VLOOKUP(A272,institutions_spss!A:M,9,0)</f>
        <v>0.57799999999999996</v>
      </c>
      <c r="C272">
        <f>VLOOKUP(A272,institutions_spss!A:M,10,0)</f>
        <v>0.18</v>
      </c>
      <c r="D272">
        <f>VLOOKUP(A272,institutions_spss!A:M,11,0)</f>
        <v>0.27800000000000002</v>
      </c>
      <c r="E272">
        <f>VLOOKUP(A272,institutions_spss!A:M,12,0)</f>
        <v>0.71</v>
      </c>
      <c r="F272">
        <f>VLOOKUP(A272,institutions_spss!A:M,13,0)</f>
        <v>0.60199999999999998</v>
      </c>
    </row>
    <row r="273" spans="1:6" x14ac:dyDescent="0.25">
      <c r="A273" t="str">
        <f>institutions_spss!A275</f>
        <v>Universite Claude Bernard Lyon 1</v>
      </c>
      <c r="B273">
        <f>VLOOKUP(A273,institutions_spss!A:M,9,0)</f>
        <v>0.46800000000000003</v>
      </c>
      <c r="C273">
        <f>VLOOKUP(A273,institutions_spss!A:M,10,0)</f>
        <v>0.69199999999999995</v>
      </c>
      <c r="D273">
        <f>VLOOKUP(A273,institutions_spss!A:M,11,0)</f>
        <v>0.54300000000000004</v>
      </c>
      <c r="E273">
        <f>VLOOKUP(A273,institutions_spss!A:M,12,0)</f>
        <v>0</v>
      </c>
      <c r="F273">
        <f>VLOOKUP(A273,institutions_spss!A:M,13,0)</f>
        <v>0</v>
      </c>
    </row>
    <row r="274" spans="1:6" x14ac:dyDescent="0.25">
      <c r="A274" t="str">
        <f>institutions_spss!A276</f>
        <v>University of Kent</v>
      </c>
      <c r="B274">
        <f>VLOOKUP(A274,institutions_spss!A:M,9,0)</f>
        <v>0.55000000000000004</v>
      </c>
      <c r="C274">
        <f>VLOOKUP(A274,institutions_spss!A:M,10,0)</f>
        <v>0.60799999999999998</v>
      </c>
      <c r="D274">
        <f>VLOOKUP(A274,institutions_spss!A:M,11,0)</f>
        <v>0.32800000000000001</v>
      </c>
      <c r="E274">
        <f>VLOOKUP(A274,institutions_spss!A:M,12,0)</f>
        <v>0.59299999999999997</v>
      </c>
      <c r="F274">
        <f>VLOOKUP(A274,institutions_spss!A:M,13,0)</f>
        <v>0.64300000000000002</v>
      </c>
    </row>
    <row r="275" spans="1:6" x14ac:dyDescent="0.25">
      <c r="A275" t="str">
        <f>institutions_spss!A277</f>
        <v>Technische Universitat Dresden</v>
      </c>
      <c r="B275">
        <f>VLOOKUP(A275,institutions_spss!A:M,9,0)</f>
        <v>0.57799999999999996</v>
      </c>
      <c r="C275">
        <f>VLOOKUP(A275,institutions_spss!A:M,10,0)</f>
        <v>0.56799999999999995</v>
      </c>
      <c r="D275">
        <f>VLOOKUP(A275,institutions_spss!A:M,11,0)</f>
        <v>0.193</v>
      </c>
      <c r="E275">
        <f>VLOOKUP(A275,institutions_spss!A:M,12,0)</f>
        <v>0.66800000000000004</v>
      </c>
      <c r="F275">
        <f>VLOOKUP(A275,institutions_spss!A:M,13,0)</f>
        <v>0.622</v>
      </c>
    </row>
    <row r="276" spans="1:6" x14ac:dyDescent="0.25">
      <c r="A276" t="str">
        <f>institutions_spss!A278</f>
        <v>University of Oklahoma - Norman</v>
      </c>
      <c r="B276">
        <f>VLOOKUP(A276,institutions_spss!A:M,9,0)</f>
        <v>0.57299999999999995</v>
      </c>
      <c r="C276">
        <f>VLOOKUP(A276,institutions_spss!A:M,10,0)</f>
        <v>0.42199999999999999</v>
      </c>
      <c r="D276">
        <f>VLOOKUP(A276,institutions_spss!A:M,11,0)</f>
        <v>0.72</v>
      </c>
      <c r="E276">
        <f>VLOOKUP(A276,institutions_spss!A:M,12,0)</f>
        <v>0.67200000000000004</v>
      </c>
      <c r="F276">
        <f>VLOOKUP(A276,institutions_spss!A:M,13,0)</f>
        <v>0.53800000000000003</v>
      </c>
    </row>
    <row r="277" spans="1:6" x14ac:dyDescent="0.25">
      <c r="A277" t="str">
        <f>institutions_spss!A279</f>
        <v>Aarhus University</v>
      </c>
      <c r="B277">
        <f>VLOOKUP(A277,institutions_spss!A:M,9,0)</f>
        <v>0.53700000000000003</v>
      </c>
      <c r="C277">
        <f>VLOOKUP(A277,institutions_spss!A:M,10,0)</f>
        <v>0.71199999999999997</v>
      </c>
      <c r="D277">
        <f>VLOOKUP(A277,institutions_spss!A:M,11,0)</f>
        <v>0.60799999999999998</v>
      </c>
      <c r="E277">
        <f>VLOOKUP(A277,institutions_spss!A:M,12,0)</f>
        <v>0.46500000000000002</v>
      </c>
      <c r="F277">
        <f>VLOOKUP(A277,institutions_spss!A:M,13,0)</f>
        <v>0.55000000000000004</v>
      </c>
    </row>
    <row r="278" spans="1:6" x14ac:dyDescent="0.25">
      <c r="A278" t="str">
        <f>institutions_spss!A280</f>
        <v>Miami University</v>
      </c>
      <c r="B278">
        <f>VLOOKUP(A278,institutions_spss!A:M,9,0)</f>
        <v>0.55000000000000004</v>
      </c>
      <c r="C278">
        <f>VLOOKUP(A278,institutions_spss!A:M,10,0)</f>
        <v>0.48199999999999998</v>
      </c>
      <c r="D278">
        <f>VLOOKUP(A278,institutions_spss!A:M,11,0)</f>
        <v>0.73</v>
      </c>
      <c r="E278">
        <f>VLOOKUP(A278,institutions_spss!A:M,12,0)</f>
        <v>0.6</v>
      </c>
      <c r="F278">
        <f>VLOOKUP(A278,institutions_spss!A:M,13,0)</f>
        <v>0.47799999999999998</v>
      </c>
    </row>
    <row r="279" spans="1:6" x14ac:dyDescent="0.25">
      <c r="A279" t="str">
        <f>institutions_spss!A281</f>
        <v>Universidade Nova de Lisboa</v>
      </c>
      <c r="B279">
        <f>VLOOKUP(A279,institutions_spss!A:M,9,0)</f>
        <v>0.5</v>
      </c>
      <c r="C279">
        <f>VLOOKUP(A279,institutions_spss!A:M,10,0)</f>
        <v>0.63700000000000001</v>
      </c>
      <c r="D279">
        <f>VLOOKUP(A279,institutions_spss!A:M,11,0)</f>
        <v>0.748</v>
      </c>
      <c r="E279">
        <f>VLOOKUP(A279,institutions_spss!A:M,12,0)</f>
        <v>0.54800000000000004</v>
      </c>
      <c r="F279">
        <f>VLOOKUP(A279,institutions_spss!A:M,13,0)</f>
        <v>0.48799999999999999</v>
      </c>
    </row>
    <row r="280" spans="1:6" x14ac:dyDescent="0.25">
      <c r="A280" t="str">
        <f>institutions_spss!A282</f>
        <v>University of Nottingham</v>
      </c>
      <c r="B280">
        <f>VLOOKUP(A280,institutions_spss!A:M,9,0)</f>
        <v>0.57299999999999995</v>
      </c>
      <c r="C280">
        <f>VLOOKUP(A280,institutions_spss!A:M,10,0)</f>
        <v>0.66700000000000004</v>
      </c>
      <c r="D280">
        <f>VLOOKUP(A280,institutions_spss!A:M,11,0)</f>
        <v>0.39</v>
      </c>
      <c r="E280">
        <f>VLOOKUP(A280,institutions_spss!A:M,12,0)</f>
        <v>0.56999999999999995</v>
      </c>
      <c r="F280">
        <f>VLOOKUP(A280,institutions_spss!A:M,13,0)</f>
        <v>0.63300000000000001</v>
      </c>
    </row>
    <row r="281" spans="1:6" x14ac:dyDescent="0.25">
      <c r="A281" t="str">
        <f>institutions_spss!A283</f>
        <v>University of Reading</v>
      </c>
      <c r="B281">
        <f>VLOOKUP(A281,institutions_spss!A:M,9,0)</f>
        <v>0.52700000000000002</v>
      </c>
      <c r="C281">
        <f>VLOOKUP(A281,institutions_spss!A:M,10,0)</f>
        <v>0.442</v>
      </c>
      <c r="D281">
        <f>VLOOKUP(A281,institutions_spss!A:M,11,0)</f>
        <v>0.54300000000000004</v>
      </c>
      <c r="E281">
        <f>VLOOKUP(A281,institutions_spss!A:M,12,0)</f>
        <v>0.61799999999999999</v>
      </c>
      <c r="F281">
        <f>VLOOKUP(A281,institutions_spss!A:M,13,0)</f>
        <v>0.71</v>
      </c>
    </row>
    <row r="282" spans="1:6" x14ac:dyDescent="0.25">
      <c r="A282" t="str">
        <f>institutions_spss!A284</f>
        <v>Laval University</v>
      </c>
      <c r="B282">
        <f>VLOOKUP(A282,institutions_spss!A:M,9,0)</f>
        <v>0.53700000000000003</v>
      </c>
      <c r="C282">
        <f>VLOOKUP(A282,institutions_spss!A:M,10,0)</f>
        <v>0.76800000000000002</v>
      </c>
      <c r="D282">
        <f>VLOOKUP(A282,institutions_spss!A:M,11,0)</f>
        <v>0.56000000000000005</v>
      </c>
      <c r="E282">
        <f>VLOOKUP(A282,institutions_spss!A:M,12,0)</f>
        <v>0.44500000000000001</v>
      </c>
      <c r="F282">
        <f>VLOOKUP(A282,institutions_spss!A:M,13,0)</f>
        <v>0.32500000000000001</v>
      </c>
    </row>
    <row r="283" spans="1:6" x14ac:dyDescent="0.25">
      <c r="A283" t="str">
        <f>institutions_spss!A285</f>
        <v>RWTH Aachen University</v>
      </c>
      <c r="B283">
        <f>VLOOKUP(A283,institutions_spss!A:M,9,0)</f>
        <v>0.55300000000000005</v>
      </c>
      <c r="C283">
        <f>VLOOKUP(A283,institutions_spss!A:M,10,0)</f>
        <v>0.36199999999999999</v>
      </c>
      <c r="D283">
        <f>VLOOKUP(A283,institutions_spss!A:M,11,0)</f>
        <v>0.57799999999999996</v>
      </c>
      <c r="E283">
        <f>VLOOKUP(A283,institutions_spss!A:M,12,0)</f>
        <v>0.7</v>
      </c>
      <c r="F283">
        <f>VLOOKUP(A283,institutions_spss!A:M,13,0)</f>
        <v>0.69</v>
      </c>
    </row>
    <row r="284" spans="1:6" x14ac:dyDescent="0.25">
      <c r="A284" t="str">
        <f>institutions_spss!A286</f>
        <v>Scuola Superiore Sant'Anna</v>
      </c>
      <c r="B284">
        <f>VLOOKUP(A284,institutions_spss!A:M,9,0)</f>
        <v>0.56499999999999995</v>
      </c>
      <c r="C284">
        <f>VLOOKUP(A284,institutions_spss!A:M,10,0)</f>
        <v>0.54300000000000004</v>
      </c>
      <c r="D284">
        <f>VLOOKUP(A284,institutions_spss!A:M,11,0)</f>
        <v>0</v>
      </c>
      <c r="E284">
        <f>VLOOKUP(A284,institutions_spss!A:M,12,0)</f>
        <v>0.58799999999999997</v>
      </c>
      <c r="F284">
        <f>VLOOKUP(A284,institutions_spss!A:M,13,0)</f>
        <v>0.69199999999999995</v>
      </c>
    </row>
    <row r="285" spans="1:6" x14ac:dyDescent="0.25">
      <c r="A285" t="str">
        <f>institutions_spss!A287</f>
        <v>University of Turin</v>
      </c>
      <c r="B285">
        <f>VLOOKUP(A285,institutions_spss!A:M,9,0)</f>
        <v>0.51</v>
      </c>
      <c r="C285">
        <f>VLOOKUP(A285,institutions_spss!A:M,10,0)</f>
        <v>0.73799999999999999</v>
      </c>
      <c r="D285">
        <f>VLOOKUP(A285,institutions_spss!A:M,11,0)</f>
        <v>0.187</v>
      </c>
      <c r="E285">
        <f>VLOOKUP(A285,institutions_spss!A:M,12,0)</f>
        <v>0.32200000000000001</v>
      </c>
      <c r="F285">
        <f>VLOOKUP(A285,institutions_spss!A:M,13,0)</f>
        <v>0.34200000000000003</v>
      </c>
    </row>
    <row r="286" spans="1:6" x14ac:dyDescent="0.25">
      <c r="A286" t="str">
        <f>institutions_spss!A288</f>
        <v>Florida International University</v>
      </c>
      <c r="B286">
        <f>VLOOKUP(A286,institutions_spss!A:M,9,0)</f>
        <v>0.51</v>
      </c>
      <c r="C286">
        <f>VLOOKUP(A286,institutions_spss!A:M,10,0)</f>
        <v>0.22800000000000001</v>
      </c>
      <c r="D286">
        <f>VLOOKUP(A286,institutions_spss!A:M,11,0)</f>
        <v>0.67200000000000004</v>
      </c>
      <c r="E286">
        <f>VLOOKUP(A286,institutions_spss!A:M,12,0)</f>
        <v>0.72499999999999998</v>
      </c>
      <c r="F286">
        <f>VLOOKUP(A286,institutions_spss!A:M,13,0)</f>
        <v>0.76700000000000002</v>
      </c>
    </row>
    <row r="287" spans="1:6" x14ac:dyDescent="0.25">
      <c r="A287" t="str">
        <f>institutions_spss!A289</f>
        <v>Max Planck Society</v>
      </c>
      <c r="B287">
        <f>VLOOKUP(A287,institutions_spss!A:M,9,0)</f>
        <v>0.52700000000000002</v>
      </c>
      <c r="C287">
        <f>VLOOKUP(A287,institutions_spss!A:M,10,0)</f>
        <v>0.58699999999999997</v>
      </c>
      <c r="D287">
        <f>VLOOKUP(A287,institutions_spss!A:M,11,0)</f>
        <v>0.83799999999999997</v>
      </c>
      <c r="E287">
        <f>VLOOKUP(A287,institutions_spss!A:M,12,0)</f>
        <v>0.92</v>
      </c>
      <c r="F287">
        <f>VLOOKUP(A287,institutions_spss!A:M,13,0)</f>
        <v>0.622</v>
      </c>
    </row>
    <row r="288" spans="1:6" x14ac:dyDescent="0.25">
      <c r="A288" t="str">
        <f>institutions_spss!A290</f>
        <v>Nanjing University</v>
      </c>
      <c r="B288">
        <f>VLOOKUP(A288,institutions_spss!A:M,9,0)</f>
        <v>0.48699999999999999</v>
      </c>
      <c r="C288">
        <f>VLOOKUP(A288,institutions_spss!A:M,10,0)</f>
        <v>0.70199999999999996</v>
      </c>
      <c r="D288">
        <f>VLOOKUP(A288,institutions_spss!A:M,11,0)</f>
        <v>0.42699999999999999</v>
      </c>
      <c r="E288">
        <f>VLOOKUP(A288,institutions_spss!A:M,12,0)</f>
        <v>0.3</v>
      </c>
      <c r="F288">
        <f>VLOOKUP(A288,institutions_spss!A:M,13,0)</f>
        <v>0.30499999999999999</v>
      </c>
    </row>
    <row r="289" spans="1:6" x14ac:dyDescent="0.25">
      <c r="A289" t="str">
        <f>institutions_spss!A291</f>
        <v>University of Bergamo</v>
      </c>
      <c r="B289">
        <f>VLOOKUP(A289,institutions_spss!A:M,9,0)</f>
        <v>0.52</v>
      </c>
      <c r="C289">
        <f>VLOOKUP(A289,institutions_spss!A:M,10,0)</f>
        <v>0.34799999999999998</v>
      </c>
      <c r="D289">
        <f>VLOOKUP(A289,institutions_spss!A:M,11,0)</f>
        <v>0.35699999999999998</v>
      </c>
      <c r="E289">
        <f>VLOOKUP(A289,institutions_spss!A:M,12,0)</f>
        <v>0.78700000000000003</v>
      </c>
      <c r="F289">
        <f>VLOOKUP(A289,institutions_spss!A:M,13,0)</f>
        <v>0.71</v>
      </c>
    </row>
    <row r="290" spans="1:6" x14ac:dyDescent="0.25">
      <c r="A290" t="str">
        <f>institutions_spss!A292</f>
        <v>University of Bologna</v>
      </c>
      <c r="B290">
        <f>VLOOKUP(A290,institutions_spss!A:M,9,0)</f>
        <v>0.503</v>
      </c>
      <c r="C290">
        <f>VLOOKUP(A290,institutions_spss!A:M,10,0)</f>
        <v>0.63200000000000001</v>
      </c>
      <c r="D290">
        <f>VLOOKUP(A290,institutions_spss!A:M,11,0)</f>
        <v>0.29699999999999999</v>
      </c>
      <c r="E290">
        <f>VLOOKUP(A290,institutions_spss!A:M,12,0)</f>
        <v>0.59299999999999997</v>
      </c>
      <c r="F290">
        <f>VLOOKUP(A290,institutions_spss!A:M,13,0)</f>
        <v>0.35199999999999998</v>
      </c>
    </row>
    <row r="291" spans="1:6" x14ac:dyDescent="0.25">
      <c r="A291" t="str">
        <f>institutions_spss!A293</f>
        <v>University of Central Florida</v>
      </c>
      <c r="B291">
        <f>VLOOKUP(A291,institutions_spss!A:M,9,0)</f>
        <v>0.53700000000000003</v>
      </c>
      <c r="C291">
        <f>VLOOKUP(A291,institutions_spss!A:M,10,0)</f>
        <v>0.42199999999999999</v>
      </c>
      <c r="D291">
        <f>VLOOKUP(A291,institutions_spss!A:M,11,0)</f>
        <v>0.67200000000000004</v>
      </c>
      <c r="E291">
        <f>VLOOKUP(A291,institutions_spss!A:M,12,0)</f>
        <v>0.55800000000000005</v>
      </c>
      <c r="F291">
        <f>VLOOKUP(A291,institutions_spss!A:M,13,0)</f>
        <v>0.61199999999999999</v>
      </c>
    </row>
    <row r="292" spans="1:6" x14ac:dyDescent="0.25">
      <c r="A292" t="str">
        <f>institutions_spss!A294</f>
        <v>University of Houston</v>
      </c>
      <c r="B292">
        <f>VLOOKUP(A292,institutions_spss!A:M,9,0)</f>
        <v>0.52</v>
      </c>
      <c r="C292">
        <f>VLOOKUP(A292,institutions_spss!A:M,10,0)</f>
        <v>0.60799999999999998</v>
      </c>
      <c r="D292">
        <f>VLOOKUP(A292,institutions_spss!A:M,11,0)</f>
        <v>0.77500000000000002</v>
      </c>
      <c r="E292">
        <f>VLOOKUP(A292,institutions_spss!A:M,12,0)</f>
        <v>0.51300000000000001</v>
      </c>
      <c r="F292">
        <f>VLOOKUP(A292,institutions_spss!A:M,13,0)</f>
        <v>0.44</v>
      </c>
    </row>
    <row r="293" spans="1:6" x14ac:dyDescent="0.25">
      <c r="A293" t="str">
        <f>institutions_spss!A295</f>
        <v>University of Leeds</v>
      </c>
      <c r="B293">
        <f>VLOOKUP(A293,institutions_spss!A:M,9,0)</f>
        <v>0.56499999999999995</v>
      </c>
      <c r="C293">
        <f>VLOOKUP(A293,institutions_spss!A:M,10,0)</f>
        <v>0.44800000000000001</v>
      </c>
      <c r="D293">
        <f>VLOOKUP(A293,institutions_spss!A:M,11,0)</f>
        <v>0.56799999999999995</v>
      </c>
      <c r="E293">
        <f>VLOOKUP(A293,institutions_spss!A:M,12,0)</f>
        <v>0.55200000000000005</v>
      </c>
      <c r="F293">
        <f>VLOOKUP(A293,institutions_spss!A:M,13,0)</f>
        <v>0.70499999999999996</v>
      </c>
    </row>
    <row r="294" spans="1:6" x14ac:dyDescent="0.25">
      <c r="A294" t="str">
        <f>institutions_spss!A296</f>
        <v>University of Queensland</v>
      </c>
      <c r="B294">
        <f>VLOOKUP(A294,institutions_spss!A:M,9,0)</f>
        <v>0.55000000000000004</v>
      </c>
      <c r="C294">
        <f>VLOOKUP(A294,institutions_spss!A:M,10,0)</f>
        <v>0.49</v>
      </c>
      <c r="D294">
        <f>VLOOKUP(A294,institutions_spss!A:M,11,0)</f>
        <v>0.52700000000000002</v>
      </c>
      <c r="E294">
        <f>VLOOKUP(A294,institutions_spss!A:M,12,0)</f>
        <v>0.65800000000000003</v>
      </c>
      <c r="F294">
        <f>VLOOKUP(A294,institutions_spss!A:M,13,0)</f>
        <v>0.73499999999999999</v>
      </c>
    </row>
    <row r="295" spans="1:6" x14ac:dyDescent="0.25">
      <c r="A295" t="str">
        <f>institutions_spss!A297</f>
        <v>Colorado State University</v>
      </c>
      <c r="B295">
        <f>VLOOKUP(A295,institutions_spss!A:M,9,0)</f>
        <v>0.50700000000000001</v>
      </c>
      <c r="C295">
        <f>VLOOKUP(A295,institutions_spss!A:M,10,0)</f>
        <v>0.57999999999999996</v>
      </c>
      <c r="D295">
        <f>VLOOKUP(A295,institutions_spss!A:M,11,0)</f>
        <v>0.85699999999999998</v>
      </c>
      <c r="E295">
        <f>VLOOKUP(A295,institutions_spss!A:M,12,0)</f>
        <v>0.64300000000000002</v>
      </c>
      <c r="F295">
        <f>VLOOKUP(A295,institutions_spss!A:M,13,0)</f>
        <v>0.55000000000000004</v>
      </c>
    </row>
    <row r="296" spans="1:6" x14ac:dyDescent="0.25">
      <c r="A296" t="str">
        <f>institutions_spss!A298</f>
        <v>Technical University of Berlin</v>
      </c>
      <c r="B296">
        <f>VLOOKUP(A296,institutions_spss!A:M,9,0)</f>
        <v>0.44800000000000001</v>
      </c>
      <c r="C296">
        <f>VLOOKUP(A296,institutions_spss!A:M,10,0)</f>
        <v>0.74199999999999999</v>
      </c>
      <c r="D296">
        <f>VLOOKUP(A296,institutions_spss!A:M,11,0)</f>
        <v>0</v>
      </c>
      <c r="E296">
        <f>VLOOKUP(A296,institutions_spss!A:M,12,0)</f>
        <v>0.28199999999999997</v>
      </c>
      <c r="F296">
        <f>VLOOKUP(A296,institutions_spss!A:M,13,0)</f>
        <v>0.155</v>
      </c>
    </row>
    <row r="297" spans="1:6" x14ac:dyDescent="0.25">
      <c r="A297" t="str">
        <f>institutions_spss!A299</f>
        <v>Tongji University</v>
      </c>
      <c r="B297">
        <f>VLOOKUP(A297,institutions_spss!A:M,9,0)</f>
        <v>0.52700000000000002</v>
      </c>
      <c r="C297">
        <f>VLOOKUP(A297,institutions_spss!A:M,10,0)</f>
        <v>0.50800000000000001</v>
      </c>
      <c r="D297">
        <f>VLOOKUP(A297,institutions_spss!A:M,11,0)</f>
        <v>0</v>
      </c>
      <c r="E297">
        <f>VLOOKUP(A297,institutions_spss!A:M,12,0)</f>
        <v>0.35</v>
      </c>
      <c r="F297">
        <f>VLOOKUP(A297,institutions_spss!A:M,13,0)</f>
        <v>0.45</v>
      </c>
    </row>
    <row r="298" spans="1:6" x14ac:dyDescent="0.25">
      <c r="A298" t="str">
        <f>institutions_spss!A300</f>
        <v>Wilfrid Laurier University</v>
      </c>
      <c r="B298">
        <f>VLOOKUP(A298,institutions_spss!A:M,9,0)</f>
        <v>0.52</v>
      </c>
      <c r="C298">
        <f>VLOOKUP(A298,institutions_spss!A:M,10,0)</f>
        <v>0.61199999999999999</v>
      </c>
      <c r="D298">
        <f>VLOOKUP(A298,institutions_spss!A:M,11,0)</f>
        <v>0.57799999999999996</v>
      </c>
      <c r="E298">
        <f>VLOOKUP(A298,institutions_spss!A:M,12,0)</f>
        <v>0.60499999999999998</v>
      </c>
      <c r="F298">
        <f>VLOOKUP(A298,institutions_spss!A:M,13,0)</f>
        <v>0.497</v>
      </c>
    </row>
    <row r="299" spans="1:6" x14ac:dyDescent="0.25">
      <c r="A299" t="str">
        <f>institutions_spss!A301</f>
        <v>ETH Zurich</v>
      </c>
      <c r="B299">
        <f>VLOOKUP(A299,institutions_spss!A:M,9,0)</f>
        <v>0.49199999999999999</v>
      </c>
      <c r="C299">
        <f>VLOOKUP(A299,institutions_spss!A:M,10,0)</f>
        <v>0.53300000000000003</v>
      </c>
      <c r="D299">
        <f>VLOOKUP(A299,institutions_spss!A:M,11,0)</f>
        <v>0.60499999999999998</v>
      </c>
      <c r="E299">
        <f>VLOOKUP(A299,institutions_spss!A:M,12,0)</f>
        <v>0.81200000000000006</v>
      </c>
      <c r="F299">
        <f>VLOOKUP(A299,institutions_spss!A:M,13,0)</f>
        <v>0.72799999999999998</v>
      </c>
    </row>
    <row r="300" spans="1:6" x14ac:dyDescent="0.25">
      <c r="A300" t="str">
        <f>institutions_spss!A302</f>
        <v>Karlsruhe Institute of Technology</v>
      </c>
      <c r="B300">
        <f>VLOOKUP(A300,institutions_spss!A:M,9,0)</f>
        <v>0.5</v>
      </c>
      <c r="C300">
        <f>VLOOKUP(A300,institutions_spss!A:M,10,0)</f>
        <v>0.72499999999999998</v>
      </c>
      <c r="D300">
        <f>VLOOKUP(A300,institutions_spss!A:M,11,0)</f>
        <v>0.66300000000000003</v>
      </c>
      <c r="E300">
        <f>VLOOKUP(A300,institutions_spss!A:M,12,0)</f>
        <v>0.44</v>
      </c>
      <c r="F300">
        <f>VLOOKUP(A300,institutions_spss!A:M,13,0)</f>
        <v>0.23</v>
      </c>
    </row>
    <row r="301" spans="1:6" x14ac:dyDescent="0.25">
      <c r="A301" t="str">
        <f>institutions_spss!A303</f>
        <v>Louisiana State University</v>
      </c>
      <c r="B301">
        <f>VLOOKUP(A301,institutions_spss!A:M,9,0)</f>
        <v>0.52</v>
      </c>
      <c r="C301">
        <f>VLOOKUP(A301,institutions_spss!A:M,10,0)</f>
        <v>0.52500000000000002</v>
      </c>
      <c r="D301">
        <f>VLOOKUP(A301,institutions_spss!A:M,11,0)</f>
        <v>0.60499999999999998</v>
      </c>
      <c r="E301">
        <f>VLOOKUP(A301,institutions_spss!A:M,12,0)</f>
        <v>0.78700000000000003</v>
      </c>
      <c r="F301">
        <f>VLOOKUP(A301,institutions_spss!A:M,13,0)</f>
        <v>0.57999999999999996</v>
      </c>
    </row>
    <row r="302" spans="1:6" x14ac:dyDescent="0.25">
      <c r="A302" t="str">
        <f>institutions_spss!A304</f>
        <v>Renmin University of China</v>
      </c>
      <c r="B302">
        <f>VLOOKUP(A302,institutions_spss!A:M,9,0)</f>
        <v>0.48</v>
      </c>
      <c r="C302">
        <f>VLOOKUP(A302,institutions_spss!A:M,10,0)</f>
        <v>0.55800000000000005</v>
      </c>
      <c r="D302">
        <f>VLOOKUP(A302,institutions_spss!A:M,11,0)</f>
        <v>0.72</v>
      </c>
      <c r="E302">
        <f>VLOOKUP(A302,institutions_spss!A:M,12,0)</f>
        <v>0.23300000000000001</v>
      </c>
      <c r="F302">
        <f>VLOOKUP(A302,institutions_spss!A:M,13,0)</f>
        <v>0.38200000000000001</v>
      </c>
    </row>
    <row r="303" spans="1:6" x14ac:dyDescent="0.25">
      <c r="A303" t="str">
        <f>institutions_spss!A305</f>
        <v>University of Kansas</v>
      </c>
      <c r="B303">
        <f>VLOOKUP(A303,institutions_spss!A:M,9,0)</f>
        <v>0.48699999999999999</v>
      </c>
      <c r="C303">
        <f>VLOOKUP(A303,institutions_spss!A:M,10,0)</f>
        <v>0.31</v>
      </c>
      <c r="D303">
        <f>VLOOKUP(A303,institutions_spss!A:M,11,0)</f>
        <v>0.86799999999999999</v>
      </c>
      <c r="E303">
        <f>VLOOKUP(A303,institutions_spss!A:M,12,0)</f>
        <v>0.502</v>
      </c>
      <c r="F303">
        <f>VLOOKUP(A303,institutions_spss!A:M,13,0)</f>
        <v>0.47799999999999998</v>
      </c>
    </row>
    <row r="304" spans="1:6" x14ac:dyDescent="0.25">
      <c r="A304" t="str">
        <f>institutions_spss!A306</f>
        <v>University of Southampton</v>
      </c>
      <c r="B304">
        <f>VLOOKUP(A304,institutions_spss!A:M,9,0)</f>
        <v>0.53700000000000003</v>
      </c>
      <c r="C304">
        <f>VLOOKUP(A304,institutions_spss!A:M,10,0)</f>
        <v>0.52</v>
      </c>
      <c r="D304">
        <f>VLOOKUP(A304,institutions_spss!A:M,11,0)</f>
        <v>0.63</v>
      </c>
      <c r="E304">
        <f>VLOOKUP(A304,institutions_spss!A:M,12,0)</f>
        <v>0.53300000000000003</v>
      </c>
      <c r="F304">
        <f>VLOOKUP(A304,institutions_spss!A:M,13,0)</f>
        <v>0.58299999999999996</v>
      </c>
    </row>
    <row r="305" spans="1:6" x14ac:dyDescent="0.25">
      <c r="A305" t="str">
        <f>institutions_spss!A307</f>
        <v>University of Texas at San Antonio (UTSA)</v>
      </c>
      <c r="B305">
        <f>VLOOKUP(A305,institutions_spss!A:M,9,0)</f>
        <v>0.503</v>
      </c>
      <c r="C305">
        <f>VLOOKUP(A305,institutions_spss!A:M,10,0)</f>
        <v>0.16500000000000001</v>
      </c>
      <c r="D305">
        <f>VLOOKUP(A305,institutions_spss!A:M,11,0)</f>
        <v>0.45300000000000001</v>
      </c>
      <c r="E305">
        <f>VLOOKUP(A305,institutions_spss!A:M,12,0)</f>
        <v>0.91300000000000003</v>
      </c>
      <c r="F305">
        <f>VLOOKUP(A305,institutions_spss!A:M,13,0)</f>
        <v>0.372</v>
      </c>
    </row>
    <row r="306" spans="1:6" x14ac:dyDescent="0.25">
      <c r="A306" t="str">
        <f>institutions_spss!A308</f>
        <v>University of Alabama Tuscaloosa</v>
      </c>
      <c r="B306">
        <f>VLOOKUP(A306,institutions_spss!A:M,9,0)</f>
        <v>0.52700000000000002</v>
      </c>
      <c r="C306">
        <f>VLOOKUP(A306,institutions_spss!A:M,10,0)</f>
        <v>0.498</v>
      </c>
      <c r="D306">
        <f>VLOOKUP(A306,institutions_spss!A:M,11,0)</f>
        <v>0.71299999999999997</v>
      </c>
      <c r="E306">
        <f>VLOOKUP(A306,institutions_spss!A:M,12,0)</f>
        <v>0.622</v>
      </c>
      <c r="F306">
        <f>VLOOKUP(A306,institutions_spss!A:M,13,0)</f>
        <v>0.61699999999999999</v>
      </c>
    </row>
    <row r="307" spans="1:6" x14ac:dyDescent="0.25">
      <c r="A307" t="str">
        <f>institutions_spss!A309</f>
        <v>University of Sydney</v>
      </c>
      <c r="B307">
        <f>VLOOKUP(A307,institutions_spss!A:M,9,0)</f>
        <v>0.52</v>
      </c>
      <c r="C307">
        <f>VLOOKUP(A307,institutions_spss!A:M,10,0)</f>
        <v>0.49</v>
      </c>
      <c r="D307">
        <f>VLOOKUP(A307,institutions_spss!A:M,11,0)</f>
        <v>0.64500000000000002</v>
      </c>
      <c r="E307">
        <f>VLOOKUP(A307,institutions_spss!A:M,12,0)</f>
        <v>0.63700000000000001</v>
      </c>
      <c r="F307">
        <f>VLOOKUP(A307,institutions_spss!A:M,13,0)</f>
        <v>0.76</v>
      </c>
    </row>
    <row r="308" spans="1:6" x14ac:dyDescent="0.25">
      <c r="A308" t="str">
        <f>institutions_spss!A310</f>
        <v>Simon Fraser University</v>
      </c>
      <c r="B308">
        <f>VLOOKUP(A308,institutions_spss!A:M,9,0)</f>
        <v>0.495</v>
      </c>
      <c r="C308">
        <f>VLOOKUP(A308,institutions_spss!A:M,10,0)</f>
        <v>0.55700000000000005</v>
      </c>
      <c r="D308">
        <f>VLOOKUP(A308,institutions_spss!A:M,11,0)</f>
        <v>0.59199999999999997</v>
      </c>
      <c r="E308">
        <f>VLOOKUP(A308,institutions_spss!A:M,12,0)</f>
        <v>0.66800000000000004</v>
      </c>
      <c r="F308">
        <f>VLOOKUP(A308,institutions_spss!A:M,13,0)</f>
        <v>0.57799999999999996</v>
      </c>
    </row>
    <row r="309" spans="1:6" x14ac:dyDescent="0.25">
      <c r="A309" t="str">
        <f>institutions_spss!A311</f>
        <v>Linkoping University</v>
      </c>
      <c r="B309">
        <f>VLOOKUP(A309,institutions_spss!A:M,9,0)</f>
        <v>0.49199999999999999</v>
      </c>
      <c r="C309">
        <f>VLOOKUP(A309,institutions_spss!A:M,10,0)</f>
        <v>0.29799999999999999</v>
      </c>
      <c r="D309">
        <f>VLOOKUP(A309,institutions_spss!A:M,11,0)</f>
        <v>0.253</v>
      </c>
      <c r="E309">
        <f>VLOOKUP(A309,institutions_spss!A:M,12,0)</f>
        <v>0.64300000000000002</v>
      </c>
      <c r="F309">
        <f>VLOOKUP(A309,institutions_spss!A:M,13,0)</f>
        <v>0.57799999999999996</v>
      </c>
    </row>
    <row r="310" spans="1:6" x14ac:dyDescent="0.25">
      <c r="A310" t="str">
        <f>institutions_spss!A312</f>
        <v>Loughborough University</v>
      </c>
      <c r="B310">
        <f>VLOOKUP(A310,institutions_spss!A:M,9,0)</f>
        <v>0.50700000000000001</v>
      </c>
      <c r="C310">
        <f>VLOOKUP(A310,institutions_spss!A:M,10,0)</f>
        <v>0.372</v>
      </c>
      <c r="D310">
        <f>VLOOKUP(A310,institutions_spss!A:M,11,0)</f>
        <v>0.253</v>
      </c>
      <c r="E310">
        <f>VLOOKUP(A310,institutions_spss!A:M,12,0)</f>
        <v>0.58799999999999997</v>
      </c>
      <c r="F310">
        <f>VLOOKUP(A310,institutions_spss!A:M,13,0)</f>
        <v>0.72199999999999998</v>
      </c>
    </row>
    <row r="311" spans="1:6" x14ac:dyDescent="0.25">
      <c r="A311" t="str">
        <f>institutions_spss!A313</f>
        <v>Peking University</v>
      </c>
      <c r="B311">
        <f>VLOOKUP(A311,institutions_spss!A:M,9,0)</f>
        <v>0.46800000000000003</v>
      </c>
      <c r="C311">
        <f>VLOOKUP(A311,institutions_spss!A:M,10,0)</f>
        <v>0.65300000000000002</v>
      </c>
      <c r="D311">
        <f>VLOOKUP(A311,institutions_spss!A:M,11,0)</f>
        <v>0.63300000000000001</v>
      </c>
      <c r="E311">
        <f>VLOOKUP(A311,institutions_spss!A:M,12,0)</f>
        <v>0.41</v>
      </c>
      <c r="F311">
        <f>VLOOKUP(A311,institutions_spss!A:M,13,0)</f>
        <v>0.55200000000000005</v>
      </c>
    </row>
    <row r="312" spans="1:6" x14ac:dyDescent="0.25">
      <c r="A312" t="str">
        <f>institutions_spss!A314</f>
        <v>University of Memphis</v>
      </c>
      <c r="B312">
        <f>VLOOKUP(A312,institutions_spss!A:M,9,0)</f>
        <v>0.54300000000000004</v>
      </c>
      <c r="C312">
        <f>VLOOKUP(A312,institutions_spss!A:M,10,0)</f>
        <v>0.60799999999999998</v>
      </c>
      <c r="D312">
        <f>VLOOKUP(A312,institutions_spss!A:M,11,0)</f>
        <v>0.65500000000000003</v>
      </c>
      <c r="E312">
        <f>VLOOKUP(A312,institutions_spss!A:M,12,0)</f>
        <v>0.51300000000000001</v>
      </c>
      <c r="F312">
        <f>VLOOKUP(A312,institutions_spss!A:M,13,0)</f>
        <v>0.68700000000000006</v>
      </c>
    </row>
    <row r="313" spans="1:6" x14ac:dyDescent="0.25">
      <c r="A313" t="str">
        <f>institutions_spss!A315</f>
        <v>Utah State University</v>
      </c>
      <c r="B313">
        <f>VLOOKUP(A313,institutions_spss!A:M,9,0)</f>
        <v>0.46800000000000003</v>
      </c>
      <c r="C313">
        <f>VLOOKUP(A313,institutions_spss!A:M,10,0)</f>
        <v>0.63700000000000001</v>
      </c>
      <c r="D313">
        <f>VLOOKUP(A313,institutions_spss!A:M,11,0)</f>
        <v>0.51800000000000002</v>
      </c>
      <c r="E313">
        <f>VLOOKUP(A313,institutions_spss!A:M,12,0)</f>
        <v>0.58499999999999996</v>
      </c>
      <c r="F313">
        <f>VLOOKUP(A313,institutions_spss!A:M,13,0)</f>
        <v>0.42699999999999999</v>
      </c>
    </row>
    <row r="314" spans="1:6" x14ac:dyDescent="0.25">
      <c r="A314" t="str">
        <f>institutions_spss!A316</f>
        <v>University of Bayreuth</v>
      </c>
      <c r="B314">
        <f>VLOOKUP(A314,institutions_spss!A:M,9,0)</f>
        <v>0.495</v>
      </c>
      <c r="C314">
        <f>VLOOKUP(A314,institutions_spss!A:M,10,0)</f>
        <v>0.42199999999999999</v>
      </c>
      <c r="D314">
        <f>VLOOKUP(A314,institutions_spss!A:M,11,0)</f>
        <v>0</v>
      </c>
      <c r="E314">
        <f>VLOOKUP(A314,institutions_spss!A:M,12,0)</f>
        <v>0.61799999999999999</v>
      </c>
      <c r="F314">
        <f>VLOOKUP(A314,institutions_spss!A:M,13,0)</f>
        <v>0.46200000000000002</v>
      </c>
    </row>
    <row r="315" spans="1:6" x14ac:dyDescent="0.25">
      <c r="A315" t="str">
        <f>institutions_spss!A317</f>
        <v>University of Gothenburg</v>
      </c>
      <c r="B315">
        <f>VLOOKUP(A315,institutions_spss!A:M,9,0)</f>
        <v>0.437</v>
      </c>
      <c r="C315">
        <f>VLOOKUP(A315,institutions_spss!A:M,10,0)</f>
        <v>0.71199999999999997</v>
      </c>
      <c r="D315">
        <f>VLOOKUP(A315,institutions_spss!A:M,11,0)</f>
        <v>0.51800000000000002</v>
      </c>
      <c r="E315">
        <f>VLOOKUP(A315,institutions_spss!A:M,12,0)</f>
        <v>0.20300000000000001</v>
      </c>
      <c r="F315">
        <f>VLOOKUP(A315,institutions_spss!A:M,13,0)</f>
        <v>0.22500000000000001</v>
      </c>
    </row>
    <row r="316" spans="1:6" x14ac:dyDescent="0.25">
      <c r="A316" t="str">
        <f>institutions_spss!A318</f>
        <v>University of Texas Rio Grande Valley</v>
      </c>
      <c r="B316">
        <f>VLOOKUP(A316,institutions_spss!A:M,9,0)</f>
        <v>0.5</v>
      </c>
      <c r="C316">
        <f>VLOOKUP(A316,institutions_spss!A:M,10,0)</f>
        <v>0.33</v>
      </c>
      <c r="D316">
        <f>VLOOKUP(A316,institutions_spss!A:M,11,0)</f>
        <v>0.66300000000000003</v>
      </c>
      <c r="E316">
        <f>VLOOKUP(A316,institutions_spss!A:M,12,0)</f>
        <v>0.46</v>
      </c>
      <c r="F316">
        <f>VLOOKUP(A316,institutions_spss!A:M,13,0)</f>
        <v>0.53800000000000003</v>
      </c>
    </row>
    <row r="317" spans="1:6" x14ac:dyDescent="0.25">
      <c r="A317" t="str">
        <f>institutions_spss!A319</f>
        <v>University of Duisburg Essen</v>
      </c>
      <c r="B317">
        <f>VLOOKUP(A317,institutions_spss!A:M,9,0)</f>
        <v>0.48699999999999999</v>
      </c>
      <c r="C317">
        <f>VLOOKUP(A317,institutions_spss!A:M,10,0)</f>
        <v>0.56299999999999994</v>
      </c>
      <c r="D317">
        <f>VLOOKUP(A317,institutions_spss!A:M,11,0)</f>
        <v>0.88700000000000001</v>
      </c>
      <c r="E317">
        <f>VLOOKUP(A317,institutions_spss!A:M,12,0)</f>
        <v>0.46</v>
      </c>
      <c r="F317">
        <f>VLOOKUP(A317,institutions_spss!A:M,13,0)</f>
        <v>0.65300000000000002</v>
      </c>
    </row>
    <row r="318" spans="1:6" x14ac:dyDescent="0.25">
      <c r="A318" t="str">
        <f>institutions_spss!A320</f>
        <v>University of Padua</v>
      </c>
      <c r="B318">
        <f>VLOOKUP(A318,institutions_spss!A:M,9,0)</f>
        <v>0.44800000000000001</v>
      </c>
      <c r="C318">
        <f>VLOOKUP(A318,institutions_spss!A:M,10,0)</f>
        <v>0.39200000000000002</v>
      </c>
      <c r="D318">
        <f>VLOOKUP(A318,institutions_spss!A:M,11,0)</f>
        <v>0.50700000000000001</v>
      </c>
      <c r="E318">
        <f>VLOOKUP(A318,institutions_spss!A:M,12,0)</f>
        <v>0.69499999999999995</v>
      </c>
      <c r="F318">
        <f>VLOOKUP(A318,institutions_spss!A:M,13,0)</f>
        <v>0.71</v>
      </c>
    </row>
    <row r="319" spans="1:6" x14ac:dyDescent="0.25">
      <c r="A319" t="str">
        <f>institutions_spss!A321</f>
        <v>Johannes Kepler University Linz</v>
      </c>
      <c r="B319">
        <f>VLOOKUP(A319,institutions_spss!A:M,9,0)</f>
        <v>0.52</v>
      </c>
      <c r="C319">
        <f>VLOOKUP(A319,institutions_spss!A:M,10,0)</f>
        <v>0.66300000000000003</v>
      </c>
      <c r="D319">
        <f>VLOOKUP(A319,institutions_spss!A:M,11,0)</f>
        <v>0.39</v>
      </c>
      <c r="E319">
        <f>VLOOKUP(A319,institutions_spss!A:M,12,0)</f>
        <v>0.58499999999999996</v>
      </c>
      <c r="F319">
        <f>VLOOKUP(A319,institutions_spss!A:M,13,0)</f>
        <v>0.98</v>
      </c>
    </row>
    <row r="320" spans="1:6" x14ac:dyDescent="0.25">
      <c r="A320" t="str">
        <f>institutions_spss!A322</f>
        <v>National Taiwan University</v>
      </c>
      <c r="B320">
        <f>VLOOKUP(A320,institutions_spss!A:M,9,0)</f>
        <v>0.45800000000000002</v>
      </c>
      <c r="C320">
        <f>VLOOKUP(A320,institutions_spss!A:M,10,0)</f>
        <v>0.28299999999999997</v>
      </c>
      <c r="D320">
        <f>VLOOKUP(A320,institutions_spss!A:M,11,0)</f>
        <v>0.52700000000000002</v>
      </c>
      <c r="E320">
        <f>VLOOKUP(A320,institutions_spss!A:M,12,0)</f>
        <v>0.79200000000000004</v>
      </c>
      <c r="F320">
        <f>VLOOKUP(A320,institutions_spss!A:M,13,0)</f>
        <v>0.38700000000000001</v>
      </c>
    </row>
    <row r="321" spans="1:6" x14ac:dyDescent="0.25">
      <c r="A321" t="str">
        <f>institutions_spss!A323</f>
        <v>Queens University Belfast</v>
      </c>
      <c r="B321">
        <f>VLOOKUP(A321,institutions_spss!A:M,9,0)</f>
        <v>0.45800000000000002</v>
      </c>
      <c r="C321">
        <f>VLOOKUP(A321,institutions_spss!A:M,10,0)</f>
        <v>0.66700000000000004</v>
      </c>
      <c r="D321">
        <f>VLOOKUP(A321,institutions_spss!A:M,11,0)</f>
        <v>0.312</v>
      </c>
      <c r="E321">
        <f>VLOOKUP(A321,institutions_spss!A:M,12,0)</f>
        <v>0.308</v>
      </c>
      <c r="F321">
        <f>VLOOKUP(A321,institutions_spss!A:M,13,0)</f>
        <v>0.71799999999999997</v>
      </c>
    </row>
    <row r="322" spans="1:6" x14ac:dyDescent="0.25">
      <c r="A322" t="str">
        <f>institutions_spss!A324</f>
        <v>Radboud University Nijmegen</v>
      </c>
      <c r="B322">
        <f>VLOOKUP(A322,institutions_spss!A:M,9,0)</f>
        <v>0.48</v>
      </c>
      <c r="C322">
        <f>VLOOKUP(A322,institutions_spss!A:M,10,0)</f>
        <v>0.432</v>
      </c>
      <c r="D322">
        <f>VLOOKUP(A322,institutions_spss!A:M,11,0)</f>
        <v>0.66300000000000003</v>
      </c>
      <c r="E322">
        <f>VLOOKUP(A322,institutions_spss!A:M,12,0)</f>
        <v>0.70299999999999996</v>
      </c>
      <c r="F322">
        <f>VLOOKUP(A322,institutions_spss!A:M,13,0)</f>
        <v>0.59299999999999997</v>
      </c>
    </row>
    <row r="323" spans="1:6" x14ac:dyDescent="0.25">
      <c r="A323" t="str">
        <f>institutions_spss!A325</f>
        <v>Trinity College Dublin</v>
      </c>
      <c r="B323">
        <f>VLOOKUP(A323,institutions_spss!A:M,9,0)</f>
        <v>0.44800000000000001</v>
      </c>
      <c r="C323">
        <f>VLOOKUP(A323,institutions_spss!A:M,10,0)</f>
        <v>0.31</v>
      </c>
      <c r="D323">
        <f>VLOOKUP(A323,institutions_spss!A:M,11,0)</f>
        <v>0.61299999999999999</v>
      </c>
      <c r="E323">
        <f>VLOOKUP(A323,institutions_spss!A:M,12,0)</f>
        <v>0.47199999999999998</v>
      </c>
      <c r="F323">
        <f>VLOOKUP(A323,institutions_spss!A:M,13,0)</f>
        <v>0.56000000000000005</v>
      </c>
    </row>
    <row r="324" spans="1:6" x14ac:dyDescent="0.25">
      <c r="A324" t="str">
        <f>institutions_spss!A326</f>
        <v>University of Groningen</v>
      </c>
      <c r="B324">
        <f>VLOOKUP(A324,institutions_spss!A:M,9,0)</f>
        <v>0.44800000000000001</v>
      </c>
      <c r="C324">
        <f>VLOOKUP(A324,institutions_spss!A:M,10,0)</f>
        <v>0.46800000000000003</v>
      </c>
      <c r="D324">
        <f>VLOOKUP(A324,institutions_spss!A:M,11,0)</f>
        <v>0.64500000000000002</v>
      </c>
      <c r="E324">
        <f>VLOOKUP(A324,institutions_spss!A:M,12,0)</f>
        <v>0.67700000000000005</v>
      </c>
      <c r="F324">
        <f>VLOOKUP(A324,institutions_spss!A:M,13,0)</f>
        <v>0.53200000000000003</v>
      </c>
    </row>
    <row r="325" spans="1:6" x14ac:dyDescent="0.25">
      <c r="A325" t="str">
        <f>institutions_spss!A327</f>
        <v>University of Manitoba</v>
      </c>
      <c r="B325">
        <f>VLOOKUP(A325,institutions_spss!A:M,9,0)</f>
        <v>0.46200000000000002</v>
      </c>
      <c r="C325">
        <f>VLOOKUP(A325,institutions_spss!A:M,10,0)</f>
        <v>0.39200000000000002</v>
      </c>
      <c r="D325">
        <f>VLOOKUP(A325,institutions_spss!A:M,11,0)</f>
        <v>0.312</v>
      </c>
      <c r="E325">
        <f>VLOOKUP(A325,institutions_spss!A:M,12,0)</f>
        <v>0.58499999999999996</v>
      </c>
      <c r="F325">
        <f>VLOOKUP(A325,institutions_spss!A:M,13,0)</f>
        <v>0.77700000000000002</v>
      </c>
    </row>
    <row r="326" spans="1:6" x14ac:dyDescent="0.25">
      <c r="A326" t="str">
        <f>institutions_spss!A328</f>
        <v>University of Technology Sydney</v>
      </c>
      <c r="B326">
        <f>VLOOKUP(A326,institutions_spss!A:M,9,0)</f>
        <v>0.46800000000000003</v>
      </c>
      <c r="C326">
        <f>VLOOKUP(A326,institutions_spss!A:M,10,0)</f>
        <v>0.498</v>
      </c>
      <c r="D326">
        <f>VLOOKUP(A326,institutions_spss!A:M,11,0)</f>
        <v>0.57799999999999996</v>
      </c>
      <c r="E326">
        <f>VLOOKUP(A326,institutions_spss!A:M,12,0)</f>
        <v>0.52500000000000002</v>
      </c>
      <c r="F326">
        <f>VLOOKUP(A326,institutions_spss!A:M,13,0)</f>
        <v>0.56999999999999995</v>
      </c>
    </row>
    <row r="327" spans="1:6" x14ac:dyDescent="0.25">
      <c r="A327" t="str">
        <f>institutions_spss!A329</f>
        <v>University of Waikato</v>
      </c>
      <c r="B327">
        <f>VLOOKUP(A327,institutions_spss!A:M,9,0)</f>
        <v>0.45800000000000002</v>
      </c>
      <c r="C327">
        <f>VLOOKUP(A327,institutions_spss!A:M,10,0)</f>
        <v>0.52</v>
      </c>
      <c r="D327">
        <f>VLOOKUP(A327,institutions_spss!A:M,11,0)</f>
        <v>0.55200000000000005</v>
      </c>
      <c r="E327">
        <f>VLOOKUP(A327,institutions_spss!A:M,12,0)</f>
        <v>0.33700000000000002</v>
      </c>
      <c r="F327">
        <f>VLOOKUP(A327,institutions_spss!A:M,13,0)</f>
        <v>0.58799999999999997</v>
      </c>
    </row>
    <row r="328" spans="1:6" x14ac:dyDescent="0.25">
      <c r="A328" t="str">
        <f>institutions_spss!A330</f>
        <v>Hong Kong Polytechnic University</v>
      </c>
      <c r="B328">
        <f>VLOOKUP(A328,institutions_spss!A:M,9,0)</f>
        <v>0.48</v>
      </c>
      <c r="C328">
        <f>VLOOKUP(A328,institutions_spss!A:M,10,0)</f>
        <v>0.29799999999999999</v>
      </c>
      <c r="D328">
        <f>VLOOKUP(A328,institutions_spss!A:M,11,0)</f>
        <v>0.74</v>
      </c>
      <c r="E328">
        <f>VLOOKUP(A328,institutions_spss!A:M,12,0)</f>
        <v>0.52500000000000002</v>
      </c>
      <c r="F328">
        <f>VLOOKUP(A328,institutions_spss!A:M,13,0)</f>
        <v>0.35799999999999998</v>
      </c>
    </row>
    <row r="329" spans="1:6" x14ac:dyDescent="0.25">
      <c r="A329" t="str">
        <f>institutions_spss!A331</f>
        <v>University Hohenheim</v>
      </c>
      <c r="B329">
        <f>VLOOKUP(A329,institutions_spss!A:M,9,0)</f>
        <v>0.45800000000000002</v>
      </c>
      <c r="C329">
        <f>VLOOKUP(A329,institutions_spss!A:M,10,0)</f>
        <v>0.52</v>
      </c>
      <c r="D329">
        <f>VLOOKUP(A329,institutions_spss!A:M,11,0)</f>
        <v>0.435</v>
      </c>
      <c r="E329">
        <f>VLOOKUP(A329,institutions_spss!A:M,12,0)</f>
        <v>0.52700000000000002</v>
      </c>
      <c r="F329">
        <f>VLOOKUP(A329,institutions_spss!A:M,13,0)</f>
        <v>0.47799999999999998</v>
      </c>
    </row>
    <row r="330" spans="1:6" x14ac:dyDescent="0.25">
      <c r="A330" t="str">
        <f>institutions_spss!A332</f>
        <v>University of Vienna</v>
      </c>
      <c r="B330">
        <f>VLOOKUP(A330,institutions_spss!A:M,9,0)</f>
        <v>0.48699999999999999</v>
      </c>
      <c r="C330">
        <f>VLOOKUP(A330,institutions_spss!A:M,10,0)</f>
        <v>0.57999999999999996</v>
      </c>
      <c r="D330">
        <f>VLOOKUP(A330,institutions_spss!A:M,11,0)</f>
        <v>0.55200000000000005</v>
      </c>
      <c r="E330">
        <f>VLOOKUP(A330,institutions_spss!A:M,12,0)</f>
        <v>0.65800000000000003</v>
      </c>
      <c r="F330">
        <f>VLOOKUP(A330,institutions_spss!A:M,13,0)</f>
        <v>0.61</v>
      </c>
    </row>
    <row r="331" spans="1:6" x14ac:dyDescent="0.25">
      <c r="A331" t="str">
        <f>institutions_spss!A333</f>
        <v>Deakin University</v>
      </c>
      <c r="B331">
        <f>VLOOKUP(A331,institutions_spss!A:M,9,0)</f>
        <v>0.432</v>
      </c>
      <c r="C331">
        <f>VLOOKUP(A331,institutions_spss!A:M,10,0)</f>
        <v>0.65300000000000002</v>
      </c>
      <c r="D331">
        <f>VLOOKUP(A331,institutions_spss!A:M,11,0)</f>
        <v>0.36499999999999999</v>
      </c>
      <c r="E331">
        <f>VLOOKUP(A331,institutions_spss!A:M,12,0)</f>
        <v>0.54800000000000004</v>
      </c>
      <c r="F331">
        <f>VLOOKUP(A331,institutions_spss!A:M,13,0)</f>
        <v>0.40300000000000002</v>
      </c>
    </row>
    <row r="332" spans="1:6" x14ac:dyDescent="0.25">
      <c r="A332" t="str">
        <f>institutions_spss!A334</f>
        <v>Kedge Business School</v>
      </c>
      <c r="B332">
        <f>VLOOKUP(A332,institutions_spss!A:M,9,0)</f>
        <v>0.48</v>
      </c>
      <c r="C332">
        <f>VLOOKUP(A332,institutions_spss!A:M,10,0)</f>
        <v>0.26800000000000002</v>
      </c>
      <c r="D332">
        <f>VLOOKUP(A332,institutions_spss!A:M,11,0)</f>
        <v>0.11799999999999999</v>
      </c>
      <c r="E332">
        <f>VLOOKUP(A332,institutions_spss!A:M,12,0)</f>
        <v>0.48299999999999998</v>
      </c>
      <c r="F332">
        <f>VLOOKUP(A332,institutions_spss!A:M,13,0)</f>
        <v>0.48799999999999999</v>
      </c>
    </row>
    <row r="333" spans="1:6" x14ac:dyDescent="0.25">
      <c r="A333" t="str">
        <f>institutions_spss!A335</f>
        <v>Stellenbosch University</v>
      </c>
      <c r="B333">
        <f>VLOOKUP(A333,institutions_spss!A:M,9,0)</f>
        <v>0.39500000000000002</v>
      </c>
      <c r="C333">
        <f>VLOOKUP(A333,institutions_spss!A:M,10,0)</f>
        <v>0.76800000000000002</v>
      </c>
      <c r="D333">
        <f>VLOOKUP(A333,institutions_spss!A:M,11,0)</f>
        <v>0.11799999999999999</v>
      </c>
      <c r="E333">
        <f>VLOOKUP(A333,institutions_spss!A:M,12,0)</f>
        <v>6.2E-2</v>
      </c>
      <c r="F333">
        <f>VLOOKUP(A333,institutions_spss!A:M,13,0)</f>
        <v>4.7E-2</v>
      </c>
    </row>
    <row r="334" spans="1:6" x14ac:dyDescent="0.25">
      <c r="A334" t="str">
        <f>institutions_spss!A336</f>
        <v>Tinbergen Institute</v>
      </c>
      <c r="B334">
        <f>VLOOKUP(A334,institutions_spss!A:M,9,0)</f>
        <v>0.375</v>
      </c>
      <c r="C334">
        <f>VLOOKUP(A334,institutions_spss!A:M,10,0)</f>
        <v>0.57999999999999996</v>
      </c>
      <c r="D334">
        <f>VLOOKUP(A334,institutions_spss!A:M,11,0)</f>
        <v>0.35699999999999998</v>
      </c>
      <c r="E334">
        <f>VLOOKUP(A334,institutions_spss!A:M,12,0)</f>
        <v>0.52500000000000002</v>
      </c>
      <c r="F334">
        <f>VLOOKUP(A334,institutions_spss!A:M,13,0)</f>
        <v>0.41699999999999998</v>
      </c>
    </row>
    <row r="335" spans="1:6" x14ac:dyDescent="0.25">
      <c r="A335" t="str">
        <f>institutions_spss!A337</f>
        <v>University of South Australia</v>
      </c>
      <c r="B335">
        <f>VLOOKUP(A335,institutions_spss!A:M,9,0)</f>
        <v>0.44800000000000001</v>
      </c>
      <c r="C335">
        <f>VLOOKUP(A335,institutions_spss!A:M,10,0)</f>
        <v>0.39200000000000002</v>
      </c>
      <c r="D335">
        <f>VLOOKUP(A335,institutions_spss!A:M,11,0)</f>
        <v>0.34699999999999998</v>
      </c>
      <c r="E335">
        <f>VLOOKUP(A335,institutions_spss!A:M,12,0)</f>
        <v>0.54200000000000004</v>
      </c>
      <c r="F335">
        <f>VLOOKUP(A335,institutions_spss!A:M,13,0)</f>
        <v>0.52300000000000002</v>
      </c>
    </row>
    <row r="336" spans="1:6" x14ac:dyDescent="0.25">
      <c r="A336" t="str">
        <f>institutions_spss!A338</f>
        <v>Binghamton University, SUNY</v>
      </c>
      <c r="B336">
        <f>VLOOKUP(A336,institutions_spss!A:M,9,0)</f>
        <v>0.40300000000000002</v>
      </c>
      <c r="C336">
        <f>VLOOKUP(A336,institutions_spss!A:M,10,0)</f>
        <v>0.26800000000000002</v>
      </c>
      <c r="D336">
        <f>VLOOKUP(A336,institutions_spss!A:M,11,0)</f>
        <v>0.61299999999999999</v>
      </c>
      <c r="E336">
        <f>VLOOKUP(A336,institutions_spss!A:M,12,0)</f>
        <v>0.51300000000000001</v>
      </c>
      <c r="F336">
        <f>VLOOKUP(A336,institutions_spss!A:M,13,0)</f>
        <v>0.71199999999999997</v>
      </c>
    </row>
    <row r="337" spans="1:6" x14ac:dyDescent="0.25">
      <c r="A337" t="str">
        <f>institutions_spss!A339</f>
        <v>Marquette University</v>
      </c>
      <c r="B337">
        <f>VLOOKUP(A337,institutions_spss!A:M,9,0)</f>
        <v>0.45800000000000002</v>
      </c>
      <c r="C337">
        <f>VLOOKUP(A337,institutions_spss!A:M,10,0)</f>
        <v>6.8000000000000005E-2</v>
      </c>
      <c r="D337">
        <f>VLOOKUP(A337,institutions_spss!A:M,11,0)</f>
        <v>0.22</v>
      </c>
      <c r="E337">
        <f>VLOOKUP(A337,institutions_spss!A:M,12,0)</f>
        <v>0.68500000000000005</v>
      </c>
      <c r="F337">
        <f>VLOOKUP(A337,institutions_spss!A:M,13,0)</f>
        <v>0.78200000000000003</v>
      </c>
    </row>
    <row r="338" spans="1:6" x14ac:dyDescent="0.25">
      <c r="A338" t="str">
        <f>institutions_spss!A340</f>
        <v>Middlesex University</v>
      </c>
      <c r="B338">
        <f>VLOOKUP(A338,institutions_spss!A:M,9,0)</f>
        <v>0.44800000000000001</v>
      </c>
      <c r="C338">
        <f>VLOOKUP(A338,institutions_spss!A:M,10,0)</f>
        <v>0.22800000000000001</v>
      </c>
      <c r="D338">
        <f>VLOOKUP(A338,institutions_spss!A:M,11,0)</f>
        <v>0.29699999999999999</v>
      </c>
      <c r="E338">
        <f>VLOOKUP(A338,institutions_spss!A:M,12,0)</f>
        <v>0.505</v>
      </c>
      <c r="F338">
        <f>VLOOKUP(A338,institutions_spss!A:M,13,0)</f>
        <v>0.51500000000000001</v>
      </c>
    </row>
    <row r="339" spans="1:6" x14ac:dyDescent="0.25">
      <c r="A339" t="str">
        <f>institutions_spss!A341</f>
        <v>Mississippi State University</v>
      </c>
      <c r="B339">
        <f>VLOOKUP(A339,institutions_spss!A:M,9,0)</f>
        <v>0.432</v>
      </c>
      <c r="C339">
        <f>VLOOKUP(A339,institutions_spss!A:M,10,0)</f>
        <v>0.42199999999999999</v>
      </c>
      <c r="D339">
        <f>VLOOKUP(A339,institutions_spss!A:M,11,0)</f>
        <v>0.74</v>
      </c>
      <c r="E339">
        <f>VLOOKUP(A339,institutions_spss!A:M,12,0)</f>
        <v>0.56999999999999995</v>
      </c>
      <c r="F339">
        <f>VLOOKUP(A339,institutions_spss!A:M,13,0)</f>
        <v>0.34799999999999998</v>
      </c>
    </row>
    <row r="340" spans="1:6" x14ac:dyDescent="0.25">
      <c r="A340" t="str">
        <f>institutions_spss!A342</f>
        <v>Norwegian University of Science &amp; Technology (NTNU)</v>
      </c>
      <c r="B340">
        <f>VLOOKUP(A340,institutions_spss!A:M,9,0)</f>
        <v>0.48</v>
      </c>
      <c r="C340">
        <f>VLOOKUP(A340,institutions_spss!A:M,10,0)</f>
        <v>0.35199999999999998</v>
      </c>
      <c r="D340">
        <f>VLOOKUP(A340,institutions_spss!A:M,11,0)</f>
        <v>0</v>
      </c>
      <c r="E340">
        <f>VLOOKUP(A340,institutions_spss!A:M,12,0)</f>
        <v>0.75</v>
      </c>
      <c r="F340">
        <f>VLOOKUP(A340,institutions_spss!A:M,13,0)</f>
        <v>0.64700000000000002</v>
      </c>
    </row>
    <row r="341" spans="1:6" x14ac:dyDescent="0.25">
      <c r="A341" t="str">
        <f>institutions_spss!A343</f>
        <v>Universite Cote d'Azur</v>
      </c>
      <c r="B341">
        <f>VLOOKUP(A341,institutions_spss!A:M,9,0)</f>
        <v>0.46200000000000002</v>
      </c>
      <c r="C341">
        <f>VLOOKUP(A341,institutions_spss!A:M,10,0)</f>
        <v>0.35199999999999998</v>
      </c>
      <c r="D341">
        <f>VLOOKUP(A341,institutions_spss!A:M,11,0)</f>
        <v>0.67800000000000005</v>
      </c>
      <c r="E341">
        <f>VLOOKUP(A341,institutions_spss!A:M,12,0)</f>
        <v>0.34200000000000003</v>
      </c>
      <c r="F341">
        <f>VLOOKUP(A341,institutions_spss!A:M,13,0)</f>
        <v>0.56499999999999995</v>
      </c>
    </row>
    <row r="342" spans="1:6" x14ac:dyDescent="0.25">
      <c r="A342" t="str">
        <f>institutions_spss!A344</f>
        <v>University of Mississippi</v>
      </c>
      <c r="B342">
        <f>VLOOKUP(A342,institutions_spss!A:M,9,0)</f>
        <v>0.432</v>
      </c>
      <c r="C342">
        <f>VLOOKUP(A342,institutions_spss!A:M,10,0)</f>
        <v>0.42199999999999999</v>
      </c>
      <c r="D342">
        <f>VLOOKUP(A342,institutions_spss!A:M,11,0)</f>
        <v>0.74</v>
      </c>
      <c r="E342">
        <f>VLOOKUP(A342,institutions_spss!A:M,12,0)</f>
        <v>0.56999999999999995</v>
      </c>
      <c r="F342">
        <f>VLOOKUP(A342,institutions_spss!A:M,13,0)</f>
        <v>0.34799999999999998</v>
      </c>
    </row>
    <row r="343" spans="1:6" x14ac:dyDescent="0.25">
      <c r="A343" t="str">
        <f>institutions_spss!A345</f>
        <v>G d'Annunzio University of Chieti-Pescara</v>
      </c>
      <c r="B343">
        <f>VLOOKUP(A343,institutions_spss!A:M,9,0)</f>
        <v>0.437</v>
      </c>
      <c r="C343">
        <f>VLOOKUP(A343,institutions_spss!A:M,10,0)</f>
        <v>0.29799999999999999</v>
      </c>
      <c r="D343">
        <f>VLOOKUP(A343,institutions_spss!A:M,11,0)</f>
        <v>0.51800000000000002</v>
      </c>
      <c r="E343">
        <f>VLOOKUP(A343,institutions_spss!A:M,12,0)</f>
        <v>0.56299999999999994</v>
      </c>
      <c r="F343">
        <f>VLOOKUP(A343,institutions_spss!A:M,13,0)</f>
        <v>0.58799999999999997</v>
      </c>
    </row>
    <row r="344" spans="1:6" x14ac:dyDescent="0.25">
      <c r="A344" t="str">
        <f>institutions_spss!A346</f>
        <v>Royal Institute of Technology</v>
      </c>
      <c r="B344">
        <f>VLOOKUP(A344,institutions_spss!A:M,9,0)</f>
        <v>0.45800000000000002</v>
      </c>
      <c r="C344">
        <f>VLOOKUP(A344,institutions_spss!A:M,10,0)</f>
        <v>0.28299999999999997</v>
      </c>
      <c r="D344">
        <f>VLOOKUP(A344,institutions_spss!A:M,11,0)</f>
        <v>0.55700000000000005</v>
      </c>
      <c r="E344">
        <f>VLOOKUP(A344,institutions_spss!A:M,12,0)</f>
        <v>0.44</v>
      </c>
      <c r="F344">
        <f>VLOOKUP(A344,institutions_spss!A:M,13,0)</f>
        <v>0.89500000000000002</v>
      </c>
    </row>
    <row r="345" spans="1:6" x14ac:dyDescent="0.25">
      <c r="A345" t="str">
        <f>institutions_spss!A347</f>
        <v>Swansea University</v>
      </c>
      <c r="B345">
        <f>VLOOKUP(A345,institutions_spss!A:M,9,0)</f>
        <v>0.48</v>
      </c>
      <c r="C345">
        <f>VLOOKUP(A345,institutions_spss!A:M,10,0)</f>
        <v>0.21</v>
      </c>
      <c r="D345">
        <f>VLOOKUP(A345,institutions_spss!A:M,11,0)</f>
        <v>0.20200000000000001</v>
      </c>
      <c r="E345">
        <f>VLOOKUP(A345,institutions_spss!A:M,12,0)</f>
        <v>0.64300000000000002</v>
      </c>
      <c r="F345">
        <f>VLOOKUP(A345,institutions_spss!A:M,13,0)</f>
        <v>0.40300000000000002</v>
      </c>
    </row>
    <row r="346" spans="1:6" x14ac:dyDescent="0.25">
      <c r="A346" t="str">
        <f>institutions_spss!A348</f>
        <v>University of Naples Federico II</v>
      </c>
      <c r="B346">
        <f>VLOOKUP(A346,institutions_spss!A:M,9,0)</f>
        <v>0.41799999999999998</v>
      </c>
      <c r="C346">
        <f>VLOOKUP(A346,institutions_spss!A:M,10,0)</f>
        <v>0.60799999999999998</v>
      </c>
      <c r="D346">
        <f>VLOOKUP(A346,institutions_spss!A:M,11,0)</f>
        <v>0</v>
      </c>
      <c r="E346">
        <f>VLOOKUP(A346,institutions_spss!A:M,12,0)</f>
        <v>0.32200000000000001</v>
      </c>
      <c r="F346">
        <f>VLOOKUP(A346,institutions_spss!A:M,13,0)</f>
        <v>0.45</v>
      </c>
    </row>
    <row r="347" spans="1:6" x14ac:dyDescent="0.25">
      <c r="A347" t="str">
        <f>institutions_spss!A349</f>
        <v>Open University - UK</v>
      </c>
      <c r="B347">
        <f>VLOOKUP(A347,institutions_spss!A:M,9,0)</f>
        <v>0.49199999999999999</v>
      </c>
      <c r="C347">
        <f>VLOOKUP(A347,institutions_spss!A:M,10,0)</f>
        <v>0.40300000000000002</v>
      </c>
      <c r="D347">
        <f>VLOOKUP(A347,institutions_spss!A:M,11,0)</f>
        <v>0.20200000000000001</v>
      </c>
      <c r="E347">
        <f>VLOOKUP(A347,institutions_spss!A:M,12,0)</f>
        <v>0.502</v>
      </c>
      <c r="F347">
        <f>VLOOKUP(A347,institutions_spss!A:M,13,0)</f>
        <v>0.625</v>
      </c>
    </row>
    <row r="348" spans="1:6" x14ac:dyDescent="0.25">
      <c r="A348" t="str">
        <f>institutions_spss!A350</f>
        <v>Queensland University of Technology (QUT)</v>
      </c>
      <c r="B348">
        <f>VLOOKUP(A348,institutions_spss!A:M,9,0)</f>
        <v>0.432</v>
      </c>
      <c r="C348">
        <f>VLOOKUP(A348,institutions_spss!A:M,10,0)</f>
        <v>0.2</v>
      </c>
      <c r="D348">
        <f>VLOOKUP(A348,institutions_spss!A:M,11,0)</f>
        <v>0.48799999999999999</v>
      </c>
      <c r="E348">
        <f>VLOOKUP(A348,institutions_spss!A:M,12,0)</f>
        <v>0.59799999999999998</v>
      </c>
      <c r="F348">
        <f>VLOOKUP(A348,institutions_spss!A:M,13,0)</f>
        <v>0.45</v>
      </c>
    </row>
    <row r="349" spans="1:6" x14ac:dyDescent="0.25">
      <c r="A349" t="str">
        <f>institutions_spss!A351</f>
        <v>Shanghai Jiao Tong University</v>
      </c>
      <c r="B349">
        <f>VLOOKUP(A349,institutions_spss!A:M,9,0)</f>
        <v>0.40200000000000002</v>
      </c>
      <c r="C349">
        <f>VLOOKUP(A349,institutions_spss!A:M,10,0)</f>
        <v>0.54700000000000004</v>
      </c>
      <c r="D349">
        <f>VLOOKUP(A349,institutions_spss!A:M,11,0)</f>
        <v>0.69199999999999995</v>
      </c>
      <c r="E349">
        <f>VLOOKUP(A349,institutions_spss!A:M,12,0)</f>
        <v>0.255</v>
      </c>
      <c r="F349">
        <f>VLOOKUP(A349,institutions_spss!A:M,13,0)</f>
        <v>0.45800000000000002</v>
      </c>
    </row>
    <row r="350" spans="1:6" x14ac:dyDescent="0.25">
      <c r="A350" t="str">
        <f>institutions_spss!A352</f>
        <v>University of Basque Country</v>
      </c>
      <c r="B350">
        <f>VLOOKUP(A350,institutions_spss!A:M,9,0)</f>
        <v>0.39500000000000002</v>
      </c>
      <c r="C350">
        <f>VLOOKUP(A350,institutions_spss!A:M,10,0)</f>
        <v>0.67200000000000004</v>
      </c>
      <c r="D350">
        <f>VLOOKUP(A350,institutions_spss!A:M,11,0)</f>
        <v>0.11799999999999999</v>
      </c>
      <c r="E350">
        <f>VLOOKUP(A350,institutions_spss!A:M,12,0)</f>
        <v>0.28699999999999998</v>
      </c>
      <c r="F350">
        <f>VLOOKUP(A350,institutions_spss!A:M,13,0)</f>
        <v>0.34200000000000003</v>
      </c>
    </row>
    <row r="351" spans="1:6" x14ac:dyDescent="0.25">
      <c r="A351" t="str">
        <f>institutions_spss!A353</f>
        <v>University of Glasgow</v>
      </c>
      <c r="B351">
        <f>VLOOKUP(A351,institutions_spss!A:M,9,0)</f>
        <v>0.437</v>
      </c>
      <c r="C351">
        <f>VLOOKUP(A351,institutions_spss!A:M,10,0)</f>
        <v>0.36199999999999999</v>
      </c>
      <c r="D351">
        <f>VLOOKUP(A351,institutions_spss!A:M,11,0)</f>
        <v>0.48799999999999999</v>
      </c>
      <c r="E351">
        <f>VLOOKUP(A351,institutions_spss!A:M,12,0)</f>
        <v>0.625</v>
      </c>
      <c r="F351">
        <f>VLOOKUP(A351,institutions_spss!A:M,13,0)</f>
        <v>0.71499999999999997</v>
      </c>
    </row>
    <row r="352" spans="1:6" x14ac:dyDescent="0.25">
      <c r="A352" t="str">
        <f>institutions_spss!A354</f>
        <v>University of Rome Tor Vergata</v>
      </c>
      <c r="B352">
        <f>VLOOKUP(A352,institutions_spss!A:M,9,0)</f>
        <v>0.40200000000000002</v>
      </c>
      <c r="C352">
        <f>VLOOKUP(A352,institutions_spss!A:M,10,0)</f>
        <v>0.56999999999999995</v>
      </c>
      <c r="D352">
        <f>VLOOKUP(A352,institutions_spss!A:M,11,0)</f>
        <v>0.14299999999999999</v>
      </c>
      <c r="E352">
        <f>VLOOKUP(A352,institutions_spss!A:M,12,0)</f>
        <v>0.44500000000000001</v>
      </c>
      <c r="F352">
        <f>VLOOKUP(A352,institutions_spss!A:M,13,0)</f>
        <v>0.437</v>
      </c>
    </row>
    <row r="353" spans="1:6" x14ac:dyDescent="0.25">
      <c r="A353" t="str">
        <f>institutions_spss!A355</f>
        <v>University of Twente</v>
      </c>
      <c r="B353">
        <f>VLOOKUP(A353,institutions_spss!A:M,9,0)</f>
        <v>0.432</v>
      </c>
      <c r="C353">
        <f>VLOOKUP(A353,institutions_spss!A:M,10,0)</f>
        <v>0.04</v>
      </c>
      <c r="D353">
        <f>VLOOKUP(A353,institutions_spss!A:M,11,0)</f>
        <v>0</v>
      </c>
      <c r="E353">
        <f>VLOOKUP(A353,institutions_spss!A:M,12,0)</f>
        <v>0.37</v>
      </c>
      <c r="F353">
        <f>VLOOKUP(A353,institutions_spss!A:M,13,0)</f>
        <v>0.54500000000000004</v>
      </c>
    </row>
    <row r="354" spans="1:6" x14ac:dyDescent="0.25">
      <c r="A354" t="str">
        <f>institutions_spss!A356</f>
        <v>Cranfield University</v>
      </c>
      <c r="B354">
        <f>VLOOKUP(A354,institutions_spss!A:M,9,0)</f>
        <v>0.48</v>
      </c>
      <c r="C354">
        <f>VLOOKUP(A354,institutions_spss!A:M,10,0)</f>
        <v>7.0000000000000001E-3</v>
      </c>
      <c r="D354">
        <f>VLOOKUP(A354,institutions_spss!A:M,11,0)</f>
        <v>0.48</v>
      </c>
      <c r="E354">
        <f>VLOOKUP(A354,institutions_spss!A:M,12,0)</f>
        <v>0.34200000000000003</v>
      </c>
      <c r="F354">
        <f>VLOOKUP(A354,institutions_spss!A:M,13,0)</f>
        <v>0.63800000000000001</v>
      </c>
    </row>
    <row r="355" spans="1:6" x14ac:dyDescent="0.25">
      <c r="A355" t="str">
        <f>institutions_spss!A357</f>
        <v>University of Graz</v>
      </c>
      <c r="B355">
        <f>VLOOKUP(A355,institutions_spss!A:M,9,0)</f>
        <v>0.40200000000000002</v>
      </c>
      <c r="C355">
        <f>VLOOKUP(A355,institutions_spss!A:M,10,0)</f>
        <v>0.58699999999999997</v>
      </c>
      <c r="D355">
        <f>VLOOKUP(A355,institutions_spss!A:M,11,0)</f>
        <v>0.752</v>
      </c>
      <c r="E355">
        <f>VLOOKUP(A355,institutions_spss!A:M,12,0)</f>
        <v>0</v>
      </c>
      <c r="F355">
        <f>VLOOKUP(A355,institutions_spss!A:M,13,0)</f>
        <v>0.61699999999999999</v>
      </c>
    </row>
    <row r="356" spans="1:6" x14ac:dyDescent="0.25">
      <c r="A356" t="str">
        <f>institutions_spss!A358</f>
        <v>University of Southern Denmark</v>
      </c>
      <c r="B356">
        <f>VLOOKUP(A356,institutions_spss!A:M,9,0)</f>
        <v>0.41799999999999998</v>
      </c>
      <c r="C356">
        <f>VLOOKUP(A356,institutions_spss!A:M,10,0)</f>
        <v>0.55700000000000005</v>
      </c>
      <c r="D356">
        <f>VLOOKUP(A356,institutions_spss!A:M,11,0)</f>
        <v>0.6</v>
      </c>
      <c r="E356">
        <f>VLOOKUP(A356,institutions_spss!A:M,12,0)</f>
        <v>0.40699999999999997</v>
      </c>
      <c r="F356">
        <f>VLOOKUP(A356,institutions_spss!A:M,13,0)</f>
        <v>0.42699999999999999</v>
      </c>
    </row>
    <row r="357" spans="1:6" x14ac:dyDescent="0.25">
      <c r="A357" t="str">
        <f>institutions_spss!A359</f>
        <v>University of Wyoming</v>
      </c>
      <c r="B357">
        <f>VLOOKUP(A357,institutions_spss!A:M,9,0)</f>
        <v>0.41199999999999998</v>
      </c>
      <c r="C357">
        <f>VLOOKUP(A357,institutions_spss!A:M,10,0)</f>
        <v>0.55700000000000005</v>
      </c>
      <c r="D357">
        <f>VLOOKUP(A357,institutions_spss!A:M,11,0)</f>
        <v>0.26800000000000002</v>
      </c>
      <c r="E357">
        <f>VLOOKUP(A357,institutions_spss!A:M,12,0)</f>
        <v>0.47199999999999998</v>
      </c>
      <c r="F357">
        <f>VLOOKUP(A357,institutions_spss!A:M,13,0)</f>
        <v>0</v>
      </c>
    </row>
    <row r="358" spans="1:6" x14ac:dyDescent="0.25">
      <c r="A358" t="str">
        <f>institutions_spss!A360</f>
        <v>Victoria University Wellington</v>
      </c>
      <c r="B358">
        <f>VLOOKUP(A358,institutions_spss!A:M,9,0)</f>
        <v>0.42</v>
      </c>
      <c r="C358">
        <f>VLOOKUP(A358,institutions_spss!A:M,10,0)</f>
        <v>0.21</v>
      </c>
      <c r="D358">
        <f>VLOOKUP(A358,institutions_spss!A:M,11,0)</f>
        <v>0.61799999999999999</v>
      </c>
      <c r="E358">
        <f>VLOOKUP(A358,institutions_spss!A:M,12,0)</f>
        <v>0.29299999999999998</v>
      </c>
      <c r="F358">
        <f>VLOOKUP(A358,institutions_spss!A:M,13,0)</f>
        <v>0.42699999999999999</v>
      </c>
    </row>
    <row r="359" spans="1:6" x14ac:dyDescent="0.25">
      <c r="A359" t="str">
        <f>institutions_spss!A361</f>
        <v>Nankai University</v>
      </c>
      <c r="B359">
        <f>VLOOKUP(A359,institutions_spss!A:M,9,0)</f>
        <v>0.36799999999999999</v>
      </c>
      <c r="C359">
        <f>VLOOKUP(A359,institutions_spss!A:M,10,0)</f>
        <v>0.432</v>
      </c>
      <c r="D359">
        <f>VLOOKUP(A359,institutions_spss!A:M,11,0)</f>
        <v>0.42199999999999999</v>
      </c>
      <c r="E359">
        <f>VLOOKUP(A359,institutions_spss!A:M,12,0)</f>
        <v>0.45</v>
      </c>
      <c r="F359">
        <f>VLOOKUP(A359,institutions_spss!A:M,13,0)</f>
        <v>0.47199999999999998</v>
      </c>
    </row>
    <row r="360" spans="1:6" x14ac:dyDescent="0.25">
      <c r="A360" t="str">
        <f>institutions_spss!A362</f>
        <v>Texas State University San Marcos</v>
      </c>
      <c r="B360">
        <f>VLOOKUP(A360,institutions_spss!A:M,9,0)</f>
        <v>0.42299999999999999</v>
      </c>
      <c r="C360">
        <f>VLOOKUP(A360,institutions_spss!A:M,10,0)</f>
        <v>0.26800000000000002</v>
      </c>
      <c r="D360">
        <f>VLOOKUP(A360,institutions_spss!A:M,11,0)</f>
        <v>0.29699999999999999</v>
      </c>
      <c r="E360">
        <f>VLOOKUP(A360,institutions_spss!A:M,12,0)</f>
        <v>0.46500000000000002</v>
      </c>
      <c r="F360">
        <f>VLOOKUP(A360,institutions_spss!A:M,13,0)</f>
        <v>0.34200000000000003</v>
      </c>
    </row>
    <row r="361" spans="1:6" x14ac:dyDescent="0.25">
      <c r="A361" t="str">
        <f>institutions_spss!A363</f>
        <v>University of Antwerp</v>
      </c>
      <c r="B361">
        <f>VLOOKUP(A361,institutions_spss!A:M,9,0)</f>
        <v>0.44800000000000001</v>
      </c>
      <c r="C361">
        <f>VLOOKUP(A361,institutions_spss!A:M,10,0)</f>
        <v>0.40300000000000002</v>
      </c>
      <c r="D361">
        <f>VLOOKUP(A361,institutions_spss!A:M,11,0)</f>
        <v>0.253</v>
      </c>
      <c r="E361">
        <f>VLOOKUP(A361,institutions_spss!A:M,12,0)</f>
        <v>0.68500000000000005</v>
      </c>
      <c r="F361">
        <f>VLOOKUP(A361,institutions_spss!A:M,13,0)</f>
        <v>0.63800000000000001</v>
      </c>
    </row>
    <row r="362" spans="1:6" x14ac:dyDescent="0.25">
      <c r="A362" t="str">
        <f>institutions_spss!A364</f>
        <v>University of Canterbury</v>
      </c>
      <c r="B362">
        <f>VLOOKUP(A362,institutions_spss!A:M,9,0)</f>
        <v>0.39500000000000002</v>
      </c>
      <c r="C362">
        <f>VLOOKUP(A362,institutions_spss!A:M,10,0)</f>
        <v>0.22800000000000001</v>
      </c>
      <c r="D362">
        <f>VLOOKUP(A362,institutions_spss!A:M,11,0)</f>
        <v>0.22</v>
      </c>
      <c r="E362">
        <f>VLOOKUP(A362,institutions_spss!A:M,12,0)</f>
        <v>0.372</v>
      </c>
      <c r="F362">
        <f>VLOOKUP(A362,institutions_spss!A:M,13,0)</f>
        <v>0.57799999999999996</v>
      </c>
    </row>
    <row r="363" spans="1:6" x14ac:dyDescent="0.25">
      <c r="A363" t="str">
        <f>institutions_spss!A365</f>
        <v>Zentrum fur Europaische Wirtschaftsforschung (ZEW)</v>
      </c>
      <c r="B363">
        <f>VLOOKUP(A363,institutions_spss!A:M,9,0)</f>
        <v>0.375</v>
      </c>
      <c r="C363">
        <f>VLOOKUP(A363,institutions_spss!A:M,10,0)</f>
        <v>0.56799999999999995</v>
      </c>
      <c r="D363">
        <f>VLOOKUP(A363,institutions_spss!A:M,11,0)</f>
        <v>0.27800000000000002</v>
      </c>
      <c r="E363">
        <f>VLOOKUP(A363,institutions_spss!A:M,12,0)</f>
        <v>0.28699999999999998</v>
      </c>
      <c r="F363">
        <f>VLOOKUP(A363,institutions_spss!A:M,13,0)</f>
        <v>0.152</v>
      </c>
    </row>
    <row r="364" spans="1:6" x14ac:dyDescent="0.25">
      <c r="A364" t="str">
        <f>institutions_spss!A366</f>
        <v>California State University Fullerton</v>
      </c>
      <c r="B364">
        <f>VLOOKUP(A364,institutions_spss!A:M,9,0)</f>
        <v>0.39500000000000002</v>
      </c>
      <c r="C364">
        <f>VLOOKUP(A364,institutions_spss!A:M,10,0)</f>
        <v>0.33</v>
      </c>
      <c r="D364">
        <f>VLOOKUP(A364,institutions_spss!A:M,11,0)</f>
        <v>0.79</v>
      </c>
      <c r="E364">
        <f>VLOOKUP(A364,institutions_spss!A:M,12,0)</f>
        <v>0.22</v>
      </c>
      <c r="F364">
        <f>VLOOKUP(A364,institutions_spss!A:M,13,0)</f>
        <v>0.33500000000000002</v>
      </c>
    </row>
    <row r="365" spans="1:6" x14ac:dyDescent="0.25">
      <c r="A365" t="str">
        <f>institutions_spss!A367</f>
        <v>Nottingham Trent University</v>
      </c>
      <c r="B365">
        <f>VLOOKUP(A365,institutions_spss!A:M,9,0)</f>
        <v>0.42299999999999999</v>
      </c>
      <c r="C365">
        <f>VLOOKUP(A365,institutions_spss!A:M,10,0)</f>
        <v>0.2</v>
      </c>
      <c r="D365">
        <f>VLOOKUP(A365,institutions_spss!A:M,11,0)</f>
        <v>0.20200000000000001</v>
      </c>
      <c r="E365">
        <f>VLOOKUP(A365,institutions_spss!A:M,12,0)</f>
        <v>0.58499999999999996</v>
      </c>
      <c r="F365">
        <f>VLOOKUP(A365,institutions_spss!A:M,13,0)</f>
        <v>0.59199999999999997</v>
      </c>
    </row>
    <row r="366" spans="1:6" x14ac:dyDescent="0.25">
      <c r="A366" t="str">
        <f>institutions_spss!A368</f>
        <v>University of Florence</v>
      </c>
      <c r="B366">
        <f>VLOOKUP(A366,institutions_spss!A:M,9,0)</f>
        <v>0.41199999999999998</v>
      </c>
      <c r="C366">
        <f>VLOOKUP(A366,institutions_spss!A:M,10,0)</f>
        <v>0.34799999999999998</v>
      </c>
      <c r="D366">
        <f>VLOOKUP(A366,institutions_spss!A:M,11,0)</f>
        <v>0.498</v>
      </c>
      <c r="E366">
        <f>VLOOKUP(A366,institutions_spss!A:M,12,0)</f>
        <v>0.68500000000000005</v>
      </c>
      <c r="F366">
        <f>VLOOKUP(A366,institutions_spss!A:M,13,0)</f>
        <v>0.63300000000000001</v>
      </c>
    </row>
    <row r="367" spans="1:6" x14ac:dyDescent="0.25">
      <c r="A367" t="str">
        <f>institutions_spss!A369</f>
        <v>University of Konstanz</v>
      </c>
      <c r="B367">
        <f>VLOOKUP(A367,institutions_spss!A:M,9,0)</f>
        <v>0.39500000000000002</v>
      </c>
      <c r="C367">
        <f>VLOOKUP(A367,institutions_spss!A:M,10,0)</f>
        <v>0.58699999999999997</v>
      </c>
      <c r="D367">
        <f>VLOOKUP(A367,institutions_spss!A:M,11,0)</f>
        <v>0.76</v>
      </c>
      <c r="E367">
        <f>VLOOKUP(A367,institutions_spss!A:M,12,0)</f>
        <v>0.247</v>
      </c>
      <c r="F367">
        <f>VLOOKUP(A367,institutions_spss!A:M,13,0)</f>
        <v>0.52300000000000002</v>
      </c>
    </row>
    <row r="368" spans="1:6" x14ac:dyDescent="0.25">
      <c r="A368" t="str">
        <f>institutions_spss!A370</f>
        <v>University of Milan</v>
      </c>
      <c r="B368">
        <f>VLOOKUP(A368,institutions_spss!A:M,9,0)</f>
        <v>0.35499999999999998</v>
      </c>
      <c r="C368">
        <f>VLOOKUP(A368,institutions_spss!A:M,10,0)</f>
        <v>0.57999999999999996</v>
      </c>
      <c r="D368">
        <f>VLOOKUP(A368,institutions_spss!A:M,11,0)</f>
        <v>0.63</v>
      </c>
      <c r="E368">
        <f>VLOOKUP(A368,institutions_spss!A:M,12,0)</f>
        <v>0.29299999999999998</v>
      </c>
      <c r="F368">
        <f>VLOOKUP(A368,institutions_spss!A:M,13,0)</f>
        <v>0.42699999999999999</v>
      </c>
    </row>
    <row r="369" spans="1:6" x14ac:dyDescent="0.25">
      <c r="A369" t="str">
        <f>institutions_spss!A371</f>
        <v>University of York - UK</v>
      </c>
      <c r="B369">
        <f>VLOOKUP(A369,institutions_spss!A:M,9,0)</f>
        <v>0.36799999999999999</v>
      </c>
      <c r="C369">
        <f>VLOOKUP(A369,institutions_spss!A:M,10,0)</f>
        <v>0.64500000000000002</v>
      </c>
      <c r="D369">
        <f>VLOOKUP(A369,institutions_spss!A:M,11,0)</f>
        <v>0.45300000000000001</v>
      </c>
      <c r="E369">
        <f>VLOOKUP(A369,institutions_spss!A:M,12,0)</f>
        <v>0.26200000000000001</v>
      </c>
      <c r="F369">
        <f>VLOOKUP(A369,institutions_spss!A:M,13,0)</f>
        <v>0.3</v>
      </c>
    </row>
    <row r="370" spans="1:6" x14ac:dyDescent="0.25">
      <c r="A370" t="str">
        <f>institutions_spss!A372</f>
        <v>Utrecht University</v>
      </c>
      <c r="B370">
        <f>VLOOKUP(A370,institutions_spss!A:M,9,0)</f>
        <v>0.39500000000000002</v>
      </c>
      <c r="C370">
        <f>VLOOKUP(A370,institutions_spss!A:M,10,0)</f>
        <v>0.46800000000000003</v>
      </c>
      <c r="D370">
        <f>VLOOKUP(A370,institutions_spss!A:M,11,0)</f>
        <v>0.48</v>
      </c>
      <c r="E370">
        <f>VLOOKUP(A370,institutions_spss!A:M,12,0)</f>
        <v>0.42299999999999999</v>
      </c>
      <c r="F370">
        <f>VLOOKUP(A370,institutions_spss!A:M,13,0)</f>
        <v>0.55800000000000005</v>
      </c>
    </row>
    <row r="371" spans="1:6" x14ac:dyDescent="0.25">
      <c r="A371" t="str">
        <f>institutions_spss!A373</f>
        <v>Griffith University</v>
      </c>
      <c r="B371">
        <f>VLOOKUP(A371,institutions_spss!A:M,9,0)</f>
        <v>0.41799999999999998</v>
      </c>
      <c r="C371">
        <f>VLOOKUP(A371,institutions_spss!A:M,10,0)</f>
        <v>0.22800000000000001</v>
      </c>
      <c r="D371">
        <f>VLOOKUP(A371,institutions_spss!A:M,11,0)</f>
        <v>0.26800000000000002</v>
      </c>
      <c r="E371">
        <f>VLOOKUP(A371,institutions_spss!A:M,12,0)</f>
        <v>0.63700000000000001</v>
      </c>
      <c r="F371">
        <f>VLOOKUP(A371,institutions_spss!A:M,13,0)</f>
        <v>0.46300000000000002</v>
      </c>
    </row>
    <row r="372" spans="1:6" x14ac:dyDescent="0.25">
      <c r="A372" t="str">
        <f>institutions_spss!A374</f>
        <v>University of Gottingen</v>
      </c>
      <c r="B372">
        <f>VLOOKUP(A372,institutions_spss!A:M,9,0)</f>
        <v>0.35499999999999998</v>
      </c>
      <c r="C372">
        <f>VLOOKUP(A372,institutions_spss!A:M,10,0)</f>
        <v>0.442</v>
      </c>
      <c r="D372">
        <f>VLOOKUP(A372,institutions_spss!A:M,11,0)</f>
        <v>0.17</v>
      </c>
      <c r="E372">
        <f>VLOOKUP(A372,institutions_spss!A:M,12,0)</f>
        <v>0.73</v>
      </c>
      <c r="F372">
        <f>VLOOKUP(A372,institutions_spss!A:M,13,0)</f>
        <v>0.89700000000000002</v>
      </c>
    </row>
    <row r="373" spans="1:6" x14ac:dyDescent="0.25">
      <c r="A373" t="str">
        <f>institutions_spss!A375</f>
        <v>De Montfort University</v>
      </c>
      <c r="B373">
        <f>VLOOKUP(A373,institutions_spss!A:M,9,0)</f>
        <v>0.39500000000000002</v>
      </c>
      <c r="C373">
        <f>VLOOKUP(A373,institutions_spss!A:M,10,0)</f>
        <v>2.3E-2</v>
      </c>
      <c r="D373">
        <f>VLOOKUP(A373,institutions_spss!A:M,11,0)</f>
        <v>0.245</v>
      </c>
      <c r="E373">
        <f>VLOOKUP(A373,institutions_spss!A:M,12,0)</f>
        <v>0.46</v>
      </c>
      <c r="F373">
        <f>VLOOKUP(A373,institutions_spss!A:M,13,0)</f>
        <v>0.61</v>
      </c>
    </row>
    <row r="374" spans="1:6" x14ac:dyDescent="0.25">
      <c r="A374" t="str">
        <f>institutions_spss!A376</f>
        <v>Ruprecht Karls University Heidelberg</v>
      </c>
      <c r="B374">
        <f>VLOOKUP(A374,institutions_spss!A:M,9,0)</f>
        <v>0.36799999999999999</v>
      </c>
      <c r="C374">
        <f>VLOOKUP(A374,institutions_spss!A:M,10,0)</f>
        <v>0.61499999999999999</v>
      </c>
      <c r="D374">
        <f>VLOOKUP(A374,institutions_spss!A:M,11,0)</f>
        <v>0</v>
      </c>
      <c r="E374">
        <f>VLOOKUP(A374,institutions_spss!A:M,12,0)</f>
        <v>0</v>
      </c>
      <c r="F374">
        <f>VLOOKUP(A374,institutions_spss!A:M,13,0)</f>
        <v>0</v>
      </c>
    </row>
    <row r="375" spans="1:6" x14ac:dyDescent="0.25">
      <c r="A375" t="str">
        <f>institutions_spss!A377</f>
        <v>South Ural State University</v>
      </c>
      <c r="B375">
        <f>VLOOKUP(A375,institutions_spss!A:M,9,0)</f>
        <v>0.38300000000000001</v>
      </c>
      <c r="C375">
        <f>VLOOKUP(A375,institutions_spss!A:M,10,0)</f>
        <v>0.64300000000000002</v>
      </c>
      <c r="D375">
        <f>VLOOKUP(A375,institutions_spss!A:M,11,0)</f>
        <v>0.34699999999999998</v>
      </c>
      <c r="E375">
        <f>VLOOKUP(A375,institutions_spss!A:M,12,0)</f>
        <v>0</v>
      </c>
      <c r="F375">
        <f>VLOOKUP(A375,institutions_spss!A:M,13,0)</f>
        <v>0</v>
      </c>
    </row>
    <row r="376" spans="1:6" x14ac:dyDescent="0.25">
      <c r="A376" t="str">
        <f>institutions_spss!A378</f>
        <v>Universitetet i Stavanger</v>
      </c>
      <c r="B376">
        <f>VLOOKUP(A376,institutions_spss!A:M,9,0)</f>
        <v>0.35499999999999998</v>
      </c>
      <c r="C376">
        <f>VLOOKUP(A376,institutions_spss!A:M,10,0)</f>
        <v>0.39200000000000002</v>
      </c>
      <c r="D376">
        <f>VLOOKUP(A376,institutions_spss!A:M,11,0)</f>
        <v>0.38200000000000001</v>
      </c>
      <c r="E376">
        <f>VLOOKUP(A376,institutions_spss!A:M,12,0)</f>
        <v>0.65800000000000003</v>
      </c>
      <c r="F376">
        <f>VLOOKUP(A376,institutions_spss!A:M,13,0)</f>
        <v>0.28999999999999998</v>
      </c>
    </row>
    <row r="377" spans="1:6" x14ac:dyDescent="0.25">
      <c r="A377" t="str">
        <f>institutions_spss!A379</f>
        <v>University of Newcastle</v>
      </c>
      <c r="B377">
        <f>VLOOKUP(A377,institutions_spss!A:M,9,0)</f>
        <v>0.41199999999999998</v>
      </c>
      <c r="C377">
        <f>VLOOKUP(A377,institutions_spss!A:M,10,0)</f>
        <v>0.22800000000000001</v>
      </c>
      <c r="D377">
        <f>VLOOKUP(A377,institutions_spss!A:M,11,0)</f>
        <v>0.245</v>
      </c>
      <c r="E377">
        <f>VLOOKUP(A377,institutions_spss!A:M,12,0)</f>
        <v>0.35799999999999998</v>
      </c>
      <c r="F377">
        <f>VLOOKUP(A377,institutions_spss!A:M,13,0)</f>
        <v>0.55800000000000005</v>
      </c>
    </row>
    <row r="378" spans="1:6" x14ac:dyDescent="0.25">
      <c r="A378" t="str">
        <f>institutions_spss!A380</f>
        <v>University of Otago</v>
      </c>
      <c r="B378">
        <f>VLOOKUP(A378,institutions_spss!A:M,9,0)</f>
        <v>0.375</v>
      </c>
      <c r="C378">
        <f>VLOOKUP(A378,institutions_spss!A:M,10,0)</f>
        <v>0.253</v>
      </c>
      <c r="D378">
        <f>VLOOKUP(A378,institutions_spss!A:M,11,0)</f>
        <v>0.47299999999999998</v>
      </c>
      <c r="E378">
        <f>VLOOKUP(A378,institutions_spss!A:M,12,0)</f>
        <v>0.45</v>
      </c>
      <c r="F378">
        <f>VLOOKUP(A378,institutions_spss!A:M,13,0)</f>
        <v>0.59</v>
      </c>
    </row>
    <row r="379" spans="1:6" x14ac:dyDescent="0.25">
      <c r="A379" t="str">
        <f>institutions_spss!A381</f>
        <v>University of Palermo</v>
      </c>
      <c r="B379">
        <f>VLOOKUP(A379,institutions_spss!A:M,9,0)</f>
        <v>0.32500000000000001</v>
      </c>
      <c r="C379">
        <f>VLOOKUP(A379,institutions_spss!A:M,10,0)</f>
        <v>0.58699999999999997</v>
      </c>
      <c r="D379">
        <f>VLOOKUP(A379,institutions_spss!A:M,11,0)</f>
        <v>0</v>
      </c>
      <c r="E379">
        <f>VLOOKUP(A379,institutions_spss!A:M,12,0)</f>
        <v>0.38300000000000001</v>
      </c>
      <c r="F379">
        <f>VLOOKUP(A379,institutions_spss!A:M,13,0)</f>
        <v>0.27800000000000002</v>
      </c>
    </row>
    <row r="380" spans="1:6" x14ac:dyDescent="0.25">
      <c r="A380" t="str">
        <f>institutions_spss!A382</f>
        <v>University of Salamanca</v>
      </c>
      <c r="B380">
        <f>VLOOKUP(A380,institutions_spss!A:M,9,0)</f>
        <v>0.41199999999999998</v>
      </c>
      <c r="C380">
        <f>VLOOKUP(A380,institutions_spss!A:M,10,0)</f>
        <v>0.29799999999999999</v>
      </c>
      <c r="D380">
        <f>VLOOKUP(A380,institutions_spss!A:M,11,0)</f>
        <v>0.157</v>
      </c>
      <c r="E380">
        <f>VLOOKUP(A380,institutions_spss!A:M,12,0)</f>
        <v>0.54800000000000004</v>
      </c>
      <c r="F380">
        <f>VLOOKUP(A380,institutions_spss!A:M,13,0)</f>
        <v>0.56999999999999995</v>
      </c>
    </row>
    <row r="381" spans="1:6" x14ac:dyDescent="0.25">
      <c r="A381" t="str">
        <f>institutions_spss!A383</f>
        <v>Auckland University of Technology</v>
      </c>
      <c r="B381">
        <f>VLOOKUP(A381,institutions_spss!A:M,9,0)</f>
        <v>0.41799999999999998</v>
      </c>
      <c r="C381">
        <f>VLOOKUP(A381,institutions_spss!A:M,10,0)</f>
        <v>0.34799999999999998</v>
      </c>
      <c r="D381">
        <f>VLOOKUP(A381,institutions_spss!A:M,11,0)</f>
        <v>0.318</v>
      </c>
      <c r="E381">
        <f>VLOOKUP(A381,institutions_spss!A:M,12,0)</f>
        <v>0.65800000000000003</v>
      </c>
      <c r="F381">
        <f>VLOOKUP(A381,institutions_spss!A:M,13,0)</f>
        <v>0.308</v>
      </c>
    </row>
    <row r="382" spans="1:6" x14ac:dyDescent="0.25">
      <c r="A382" t="str">
        <f>institutions_spss!A384</f>
        <v>Cardiff University</v>
      </c>
      <c r="B382">
        <f>VLOOKUP(A382,institutions_spss!A:M,9,0)</f>
        <v>0.41199999999999998</v>
      </c>
      <c r="C382">
        <f>VLOOKUP(A382,institutions_spss!A:M,10,0)</f>
        <v>0.39200000000000002</v>
      </c>
      <c r="D382">
        <f>VLOOKUP(A382,institutions_spss!A:M,11,0)</f>
        <v>0.187</v>
      </c>
      <c r="E382">
        <f>VLOOKUP(A382,institutions_spss!A:M,12,0)</f>
        <v>0.58499999999999996</v>
      </c>
      <c r="F382">
        <f>VLOOKUP(A382,institutions_spss!A:M,13,0)</f>
        <v>0.50800000000000001</v>
      </c>
    </row>
    <row r="383" spans="1:6" x14ac:dyDescent="0.25">
      <c r="A383" t="str">
        <f>institutions_spss!A385</f>
        <v>Jinan University</v>
      </c>
      <c r="B383">
        <f>VLOOKUP(A383,institutions_spss!A:M,9,0)</f>
        <v>0.36799999999999999</v>
      </c>
      <c r="C383">
        <f>VLOOKUP(A383,institutions_spss!A:M,10,0)</f>
        <v>0.64300000000000002</v>
      </c>
      <c r="D383">
        <f>VLOOKUP(A383,institutions_spss!A:M,11,0)</f>
        <v>0.33800000000000002</v>
      </c>
      <c r="E383">
        <f>VLOOKUP(A383,institutions_spss!A:M,12,0)</f>
        <v>0.23</v>
      </c>
      <c r="F383">
        <f>VLOOKUP(A383,institutions_spss!A:M,13,0)</f>
        <v>0.16300000000000001</v>
      </c>
    </row>
    <row r="384" spans="1:6" x14ac:dyDescent="0.25">
      <c r="A384" t="str">
        <f>institutions_spss!A386</f>
        <v>Newcastle University - UK</v>
      </c>
      <c r="B384">
        <f>VLOOKUP(A384,institutions_spss!A:M,9,0)</f>
        <v>0.38300000000000001</v>
      </c>
      <c r="C384">
        <f>VLOOKUP(A384,institutions_spss!A:M,10,0)</f>
        <v>0.21</v>
      </c>
      <c r="D384">
        <f>VLOOKUP(A384,institutions_spss!A:M,11,0)</f>
        <v>0.29699999999999999</v>
      </c>
      <c r="E384">
        <f>VLOOKUP(A384,institutions_spss!A:M,12,0)</f>
        <v>0.40699999999999997</v>
      </c>
      <c r="F384">
        <f>VLOOKUP(A384,institutions_spss!A:M,13,0)</f>
        <v>0.48799999999999999</v>
      </c>
    </row>
    <row r="385" spans="1:6" x14ac:dyDescent="0.25">
      <c r="A385" t="str">
        <f>institutions_spss!A387</f>
        <v>Parthenope University Naples</v>
      </c>
      <c r="B385">
        <f>VLOOKUP(A385,institutions_spss!A:M,9,0)</f>
        <v>0.38300000000000001</v>
      </c>
      <c r="C385">
        <f>VLOOKUP(A385,institutions_spss!A:M,10,0)</f>
        <v>0.34200000000000003</v>
      </c>
      <c r="D385">
        <f>VLOOKUP(A385,institutions_spss!A:M,11,0)</f>
        <v>0.09</v>
      </c>
      <c r="E385">
        <f>VLOOKUP(A385,institutions_spss!A:M,12,0)</f>
        <v>0.46</v>
      </c>
      <c r="F385">
        <f>VLOOKUP(A385,institutions_spss!A:M,13,0)</f>
        <v>0.498</v>
      </c>
    </row>
    <row r="386" spans="1:6" x14ac:dyDescent="0.25">
      <c r="A386" t="str">
        <f>institutions_spss!A388</f>
        <v>Royal Melbourne Institute of Technology (RMIT)</v>
      </c>
      <c r="B386">
        <f>VLOOKUP(A386,institutions_spss!A:M,9,0)</f>
        <v>0.40200000000000002</v>
      </c>
      <c r="C386">
        <f>VLOOKUP(A386,institutions_spss!A:M,10,0)</f>
        <v>0.53300000000000003</v>
      </c>
      <c r="D386">
        <f>VLOOKUP(A386,institutions_spss!A:M,11,0)</f>
        <v>0.53300000000000003</v>
      </c>
      <c r="E386">
        <f>VLOOKUP(A386,institutions_spss!A:M,12,0)</f>
        <v>0.55800000000000005</v>
      </c>
      <c r="F386">
        <f>VLOOKUP(A386,institutions_spss!A:M,13,0)</f>
        <v>0.317</v>
      </c>
    </row>
    <row r="387" spans="1:6" x14ac:dyDescent="0.25">
      <c r="A387" t="str">
        <f>institutions_spss!A389</f>
        <v>Universidade do Porto</v>
      </c>
      <c r="B387">
        <f>VLOOKUP(A387,institutions_spss!A:M,9,0)</f>
        <v>0.33200000000000002</v>
      </c>
      <c r="C387">
        <f>VLOOKUP(A387,institutions_spss!A:M,10,0)</f>
        <v>0.60799999999999998</v>
      </c>
      <c r="D387">
        <f>VLOOKUP(A387,institutions_spss!A:M,11,0)</f>
        <v>0.38200000000000001</v>
      </c>
      <c r="E387">
        <f>VLOOKUP(A387,institutions_spss!A:M,12,0)</f>
        <v>0.27200000000000002</v>
      </c>
      <c r="F387">
        <f>VLOOKUP(A387,institutions_spss!A:M,13,0)</f>
        <v>0.26700000000000002</v>
      </c>
    </row>
    <row r="388" spans="1:6" x14ac:dyDescent="0.25">
      <c r="A388" t="str">
        <f>institutions_spss!A390</f>
        <v>Universita Ca Foscari Venezia</v>
      </c>
      <c r="B388">
        <f>VLOOKUP(A388,institutions_spss!A:M,9,0)</f>
        <v>0.34499999999999997</v>
      </c>
      <c r="C388">
        <f>VLOOKUP(A388,institutions_spss!A:M,10,0)</f>
        <v>0.47799999999999998</v>
      </c>
      <c r="D388">
        <f>VLOOKUP(A388,institutions_spss!A:M,11,0)</f>
        <v>0.312</v>
      </c>
      <c r="E388">
        <f>VLOOKUP(A388,institutions_spss!A:M,12,0)</f>
        <v>0.40699999999999997</v>
      </c>
      <c r="F388">
        <f>VLOOKUP(A388,institutions_spss!A:M,13,0)</f>
        <v>0.90800000000000003</v>
      </c>
    </row>
    <row r="389" spans="1:6" x14ac:dyDescent="0.25">
      <c r="A389" t="str">
        <f>institutions_spss!A391</f>
        <v>University of Leicester</v>
      </c>
      <c r="B389">
        <f>VLOOKUP(A389,institutions_spss!A:M,9,0)</f>
        <v>0.35</v>
      </c>
      <c r="C389">
        <f>VLOOKUP(A389,institutions_spss!A:M,10,0)</f>
        <v>0.60799999999999998</v>
      </c>
      <c r="D389">
        <f>VLOOKUP(A389,institutions_spss!A:M,11,0)</f>
        <v>0.245</v>
      </c>
      <c r="E389">
        <f>VLOOKUP(A389,institutions_spss!A:M,12,0)</f>
        <v>0.26200000000000001</v>
      </c>
      <c r="F389">
        <f>VLOOKUP(A389,institutions_spss!A:M,13,0)</f>
        <v>0.76700000000000002</v>
      </c>
    </row>
    <row r="390" spans="1:6" x14ac:dyDescent="0.25">
      <c r="A390" t="str">
        <f>institutions_spss!A392</f>
        <v>University of Sheffield</v>
      </c>
      <c r="B390">
        <f>VLOOKUP(A390,institutions_spss!A:M,9,0)</f>
        <v>0.34499999999999997</v>
      </c>
      <c r="C390">
        <f>VLOOKUP(A390,institutions_spss!A:M,10,0)</f>
        <v>0.50800000000000001</v>
      </c>
      <c r="D390">
        <f>VLOOKUP(A390,institutions_spss!A:M,11,0)</f>
        <v>0.312</v>
      </c>
      <c r="E390">
        <f>VLOOKUP(A390,institutions_spss!A:M,12,0)</f>
        <v>0.53500000000000003</v>
      </c>
      <c r="F390">
        <f>VLOOKUP(A390,institutions_spss!A:M,13,0)</f>
        <v>0.45800000000000002</v>
      </c>
    </row>
    <row r="391" spans="1:6" x14ac:dyDescent="0.25">
      <c r="A391" t="str">
        <f>institutions_spss!A393</f>
        <v>University of Waterloo</v>
      </c>
      <c r="B391">
        <f>VLOOKUP(A391,institutions_spss!A:M,9,0)</f>
        <v>0.34499999999999997</v>
      </c>
      <c r="C391">
        <f>VLOOKUP(A391,institutions_spss!A:M,10,0)</f>
        <v>0.39200000000000002</v>
      </c>
      <c r="D391">
        <f>VLOOKUP(A391,institutions_spss!A:M,11,0)</f>
        <v>0.8</v>
      </c>
      <c r="E391">
        <f>VLOOKUP(A391,institutions_spss!A:M,12,0)</f>
        <v>0.183</v>
      </c>
      <c r="F391">
        <f>VLOOKUP(A391,institutions_spss!A:M,13,0)</f>
        <v>0.23</v>
      </c>
    </row>
    <row r="392" spans="1:6" x14ac:dyDescent="0.25">
      <c r="A392" t="str">
        <f>institutions_spss!A394</f>
        <v>Central South University</v>
      </c>
      <c r="B392">
        <f>VLOOKUP(A392,institutions_spss!A:M,9,0)</f>
        <v>0.36799999999999999</v>
      </c>
      <c r="C392">
        <f>VLOOKUP(A392,institutions_spss!A:M,10,0)</f>
        <v>0.54300000000000004</v>
      </c>
      <c r="D392">
        <f>VLOOKUP(A392,institutions_spss!A:M,11,0)</f>
        <v>0.29699999999999999</v>
      </c>
      <c r="E392">
        <f>VLOOKUP(A392,institutions_spss!A:M,12,0)</f>
        <v>0.433</v>
      </c>
      <c r="F392">
        <f>VLOOKUP(A392,institutions_spss!A:M,13,0)</f>
        <v>0.377</v>
      </c>
    </row>
    <row r="393" spans="1:6" x14ac:dyDescent="0.25">
      <c r="A393" t="str">
        <f>institutions_spss!A395</f>
        <v>University of Wollongong</v>
      </c>
      <c r="B393">
        <f>VLOOKUP(A393,institutions_spss!A:M,9,0)</f>
        <v>0.36799999999999999</v>
      </c>
      <c r="C393">
        <f>VLOOKUP(A393,institutions_spss!A:M,10,0)</f>
        <v>0.49</v>
      </c>
      <c r="D393">
        <f>VLOOKUP(A393,institutions_spss!A:M,11,0)</f>
        <v>0.51800000000000002</v>
      </c>
      <c r="E393">
        <f>VLOOKUP(A393,institutions_spss!A:M,12,0)</f>
        <v>0.42299999999999999</v>
      </c>
      <c r="F393">
        <f>VLOOKUP(A393,institutions_spss!A:M,13,0)</f>
        <v>0.32700000000000001</v>
      </c>
    </row>
    <row r="394" spans="1:6" x14ac:dyDescent="0.25">
      <c r="A394" t="str">
        <f>institutions_spss!A396</f>
        <v>Northwestern Polytechnical University</v>
      </c>
      <c r="B394">
        <f>VLOOKUP(A394,institutions_spss!A:M,9,0)</f>
        <v>0.38300000000000001</v>
      </c>
      <c r="C394">
        <f>VLOOKUP(A394,institutions_spss!A:M,10,0)</f>
        <v>0.04</v>
      </c>
      <c r="D394">
        <f>VLOOKUP(A394,institutions_spss!A:M,11,0)</f>
        <v>0.318</v>
      </c>
      <c r="E394">
        <f>VLOOKUP(A394,institutions_spss!A:M,12,0)</f>
        <v>0.502</v>
      </c>
      <c r="F394">
        <f>VLOOKUP(A394,institutions_spss!A:M,13,0)</f>
        <v>0.38200000000000001</v>
      </c>
    </row>
    <row r="395" spans="1:6" x14ac:dyDescent="0.25">
      <c r="A395" t="str">
        <f>institutions_spss!A397</f>
        <v>Southwestern University of Finance &amp; Economics - China</v>
      </c>
      <c r="B395">
        <f>VLOOKUP(A395,institutions_spss!A:M,9,0)</f>
        <v>0.32500000000000001</v>
      </c>
      <c r="C395">
        <f>VLOOKUP(A395,institutions_spss!A:M,10,0)</f>
        <v>0.42199999999999999</v>
      </c>
      <c r="D395">
        <f>VLOOKUP(A395,institutions_spss!A:M,11,0)</f>
        <v>0.498</v>
      </c>
      <c r="E395">
        <f>VLOOKUP(A395,institutions_spss!A:M,12,0)</f>
        <v>0.21</v>
      </c>
      <c r="F395">
        <f>VLOOKUP(A395,institutions_spss!A:M,13,0)</f>
        <v>0.372</v>
      </c>
    </row>
    <row r="396" spans="1:6" x14ac:dyDescent="0.25">
      <c r="A396" t="str">
        <f>institutions_spss!A398</f>
        <v>University of Derby</v>
      </c>
      <c r="B396">
        <f>VLOOKUP(A396,institutions_spss!A:M,9,0)</f>
        <v>0.38300000000000001</v>
      </c>
      <c r="C396">
        <f>VLOOKUP(A396,institutions_spss!A:M,10,0)</f>
        <v>0.16500000000000001</v>
      </c>
      <c r="D396">
        <f>VLOOKUP(A396,institutions_spss!A:M,11,0)</f>
        <v>0.13500000000000001</v>
      </c>
      <c r="E396">
        <f>VLOOKUP(A396,institutions_spss!A:M,12,0)</f>
        <v>0.46</v>
      </c>
      <c r="F396">
        <f>VLOOKUP(A396,institutions_spss!A:M,13,0)</f>
        <v>0.78200000000000003</v>
      </c>
    </row>
    <row r="397" spans="1:6" x14ac:dyDescent="0.25">
      <c r="A397" t="str">
        <f>institutions_spss!A399</f>
        <v>Xiamen University</v>
      </c>
      <c r="B397">
        <f>VLOOKUP(A397,institutions_spss!A:M,9,0)</f>
        <v>0.33200000000000002</v>
      </c>
      <c r="C397">
        <f>VLOOKUP(A397,institutions_spss!A:M,10,0)</f>
        <v>0.432</v>
      </c>
      <c r="D397">
        <f>VLOOKUP(A397,institutions_spss!A:M,11,0)</f>
        <v>0.54300000000000004</v>
      </c>
      <c r="E397">
        <f>VLOOKUP(A397,institutions_spss!A:M,12,0)</f>
        <v>0.20200000000000001</v>
      </c>
      <c r="F397">
        <f>VLOOKUP(A397,institutions_spss!A:M,13,0)</f>
        <v>0.19</v>
      </c>
    </row>
    <row r="398" spans="1:6" x14ac:dyDescent="0.25">
      <c r="A398" t="str">
        <f>institutions_spss!A400</f>
        <v>Zayed University</v>
      </c>
      <c r="B398">
        <f>VLOOKUP(A398,institutions_spss!A:M,9,0)</f>
        <v>0.35</v>
      </c>
      <c r="C398">
        <f>VLOOKUP(A398,institutions_spss!A:M,10,0)</f>
        <v>0.53300000000000003</v>
      </c>
      <c r="D398">
        <f>VLOOKUP(A398,institutions_spss!A:M,11,0)</f>
        <v>0.45800000000000002</v>
      </c>
      <c r="E398">
        <f>VLOOKUP(A398,institutions_spss!A:M,12,0)</f>
        <v>0.308</v>
      </c>
      <c r="F398">
        <f>VLOOKUP(A398,institutions_spss!A:M,13,0)</f>
        <v>0.24199999999999999</v>
      </c>
    </row>
    <row r="399" spans="1:6" x14ac:dyDescent="0.25">
      <c r="A399" t="str">
        <f>institutions_spss!A401</f>
        <v>University of Adelaide</v>
      </c>
      <c r="B399">
        <f>VLOOKUP(A399,institutions_spss!A:M,9,0)</f>
        <v>0.318</v>
      </c>
      <c r="C399">
        <f>VLOOKUP(A399,institutions_spss!A:M,10,0)</f>
        <v>0.52500000000000002</v>
      </c>
      <c r="D399">
        <f>VLOOKUP(A399,institutions_spss!A:M,11,0)</f>
        <v>0.56000000000000005</v>
      </c>
      <c r="E399">
        <f>VLOOKUP(A399,institutions_spss!A:M,12,0)</f>
        <v>0.39200000000000002</v>
      </c>
      <c r="F399">
        <f>VLOOKUP(A399,institutions_spss!A:M,13,0)</f>
        <v>0.155</v>
      </c>
    </row>
    <row r="400" spans="1:6" x14ac:dyDescent="0.25">
      <c r="A400" t="str">
        <f>institutions_spss!A402</f>
        <v>University of Erlangen Nuremberg</v>
      </c>
      <c r="B400">
        <f>VLOOKUP(A400,institutions_spss!A:M,9,0)</f>
        <v>0.33200000000000002</v>
      </c>
      <c r="C400">
        <f>VLOOKUP(A400,institutions_spss!A:M,10,0)</f>
        <v>0.54300000000000004</v>
      </c>
      <c r="D400">
        <f>VLOOKUP(A400,institutions_spss!A:M,11,0)</f>
        <v>0.36499999999999999</v>
      </c>
      <c r="E400">
        <f>VLOOKUP(A400,institutions_spss!A:M,12,0)</f>
        <v>0.34200000000000003</v>
      </c>
      <c r="F400">
        <f>VLOOKUP(A400,institutions_spss!A:M,13,0)</f>
        <v>0.372</v>
      </c>
    </row>
    <row r="401" spans="1:6" x14ac:dyDescent="0.25">
      <c r="A401" t="str">
        <f>institutions_spss!A403</f>
        <v>University of Granada</v>
      </c>
      <c r="B401">
        <f>VLOOKUP(A401,institutions_spss!A:M,9,0)</f>
        <v>0.33300000000000002</v>
      </c>
      <c r="C401">
        <f>VLOOKUP(A401,institutions_spss!A:M,10,0)</f>
        <v>0.18</v>
      </c>
      <c r="D401">
        <f>VLOOKUP(A401,institutions_spss!A:M,11,0)</f>
        <v>0.40200000000000002</v>
      </c>
      <c r="E401">
        <f>VLOOKUP(A401,institutions_spss!A:M,12,0)</f>
        <v>0.54</v>
      </c>
      <c r="F401">
        <f>VLOOKUP(A401,institutions_spss!A:M,13,0)</f>
        <v>0.625</v>
      </c>
    </row>
    <row r="402" spans="1:6" x14ac:dyDescent="0.25">
      <c r="A402" t="str">
        <f>institutions_spss!A404</f>
        <v>Zhejiang University</v>
      </c>
      <c r="B402">
        <f>VLOOKUP(A402,institutions_spss!A:M,9,0)</f>
        <v>0.34499999999999997</v>
      </c>
      <c r="C402">
        <f>VLOOKUP(A402,institutions_spss!A:M,10,0)</f>
        <v>0.47799999999999998</v>
      </c>
      <c r="D402">
        <f>VLOOKUP(A402,institutions_spss!A:M,11,0)</f>
        <v>0.38200000000000001</v>
      </c>
      <c r="E402">
        <f>VLOOKUP(A402,institutions_spss!A:M,12,0)</f>
        <v>0.46500000000000002</v>
      </c>
      <c r="F402">
        <f>VLOOKUP(A402,institutions_spss!A:M,13,0)</f>
        <v>0.41199999999999998</v>
      </c>
    </row>
    <row r="403" spans="1:6" x14ac:dyDescent="0.25">
      <c r="A403" t="str">
        <f>institutions_spss!A405</f>
        <v>Northumbria University</v>
      </c>
      <c r="B403">
        <f>VLOOKUP(A403,institutions_spss!A:M,9,0)</f>
        <v>0.36799999999999999</v>
      </c>
      <c r="C403">
        <f>VLOOKUP(A403,institutions_spss!A:M,10,0)</f>
        <v>0.34200000000000003</v>
      </c>
      <c r="D403">
        <f>VLOOKUP(A403,institutions_spss!A:M,11,0)</f>
        <v>0.23</v>
      </c>
      <c r="E403">
        <f>VLOOKUP(A403,institutions_spss!A:M,12,0)</f>
        <v>0.433</v>
      </c>
      <c r="F403">
        <f>VLOOKUP(A403,institutions_spss!A:M,13,0)</f>
        <v>0.45800000000000002</v>
      </c>
    </row>
    <row r="404" spans="1:6" x14ac:dyDescent="0.25">
      <c r="A404" t="str">
        <f>institutions_spss!A406</f>
        <v>Southern Illinois University</v>
      </c>
      <c r="B404">
        <f>VLOOKUP(A404,institutions_spss!A:M,9,0)</f>
        <v>0.36799999999999999</v>
      </c>
      <c r="C404">
        <f>VLOOKUP(A404,institutions_spss!A:M,10,0)</f>
        <v>0.45300000000000001</v>
      </c>
      <c r="D404">
        <f>VLOOKUP(A404,institutions_spss!A:M,11,0)</f>
        <v>0.55700000000000005</v>
      </c>
      <c r="E404">
        <f>VLOOKUP(A404,institutions_spss!A:M,12,0)</f>
        <v>0.41199999999999998</v>
      </c>
      <c r="F404">
        <f>VLOOKUP(A404,institutions_spss!A:M,13,0)</f>
        <v>0.32200000000000001</v>
      </c>
    </row>
    <row r="405" spans="1:6" x14ac:dyDescent="0.25">
      <c r="A405" t="str">
        <f>institutions_spss!A407</f>
        <v>Universidad Pablo de Olavide</v>
      </c>
      <c r="B405">
        <f>VLOOKUP(A405,institutions_spss!A:M,9,0)</f>
        <v>0.248</v>
      </c>
      <c r="C405">
        <f>VLOOKUP(A405,institutions_spss!A:M,10,0)</f>
        <v>0.372</v>
      </c>
      <c r="D405">
        <f>VLOOKUP(A405,institutions_spss!A:M,11,0)</f>
        <v>0</v>
      </c>
      <c r="E405">
        <f>VLOOKUP(A405,institutions_spss!A:M,12,0)</f>
        <v>0.255</v>
      </c>
      <c r="F405">
        <f>VLOOKUP(A405,institutions_spss!A:M,13,0)</f>
        <v>0.35799999999999998</v>
      </c>
    </row>
    <row r="406" spans="1:6" x14ac:dyDescent="0.25">
      <c r="A406" t="str">
        <f>institutions_spss!A408</f>
        <v>West Virginia University</v>
      </c>
      <c r="B406">
        <f>VLOOKUP(A406,institutions_spss!A:M,9,0)</f>
        <v>0.34499999999999997</v>
      </c>
      <c r="C406">
        <f>VLOOKUP(A406,institutions_spss!A:M,10,0)</f>
        <v>0.442</v>
      </c>
      <c r="D406">
        <f>VLOOKUP(A406,institutions_spss!A:M,11,0)</f>
        <v>0.77300000000000002</v>
      </c>
      <c r="E406">
        <f>VLOOKUP(A406,institutions_spss!A:M,12,0)</f>
        <v>0.23300000000000001</v>
      </c>
      <c r="F406">
        <f>VLOOKUP(A406,institutions_spss!A:M,13,0)</f>
        <v>0.39800000000000002</v>
      </c>
    </row>
    <row r="407" spans="1:6" x14ac:dyDescent="0.25">
      <c r="A407" t="str">
        <f>institutions_spss!A409</f>
        <v>Organisation for Economic Co-operation &amp; Development (OECD)</v>
      </c>
      <c r="B407">
        <f>VLOOKUP(A407,institutions_spss!A:M,9,0)</f>
        <v>0.32500000000000001</v>
      </c>
      <c r="C407">
        <f>VLOOKUP(A407,institutions_spss!A:M,10,0)</f>
        <v>0.57999999999999996</v>
      </c>
      <c r="D407">
        <f>VLOOKUP(A407,institutions_spss!A:M,11,0)</f>
        <v>0.14299999999999999</v>
      </c>
      <c r="E407">
        <f>VLOOKUP(A407,institutions_spss!A:M,12,0)</f>
        <v>0</v>
      </c>
      <c r="F407">
        <f>VLOOKUP(A407,institutions_spss!A:M,13,0)</f>
        <v>6.2E-2</v>
      </c>
    </row>
    <row r="408" spans="1:6" x14ac:dyDescent="0.25">
      <c r="A408" t="str">
        <f>institutions_spss!A410</f>
        <v>University of Nevada Las Vegas</v>
      </c>
      <c r="B408">
        <f>VLOOKUP(A408,institutions_spss!A:M,9,0)</f>
        <v>0.33200000000000002</v>
      </c>
      <c r="C408">
        <f>VLOOKUP(A408,institutions_spss!A:M,10,0)</f>
        <v>0.46800000000000003</v>
      </c>
      <c r="D408">
        <f>VLOOKUP(A408,institutions_spss!A:M,11,0)</f>
        <v>0.54300000000000004</v>
      </c>
      <c r="E408">
        <f>VLOOKUP(A408,institutions_spss!A:M,12,0)</f>
        <v>0.29299999999999998</v>
      </c>
      <c r="F408">
        <f>VLOOKUP(A408,institutions_spss!A:M,13,0)</f>
        <v>0.28699999999999998</v>
      </c>
    </row>
    <row r="409" spans="1:6" x14ac:dyDescent="0.25">
      <c r="A409" t="str">
        <f>institutions_spss!A411</f>
        <v>Virginia Commonwealth University</v>
      </c>
      <c r="B409">
        <f>VLOOKUP(A409,institutions_spss!A:M,9,0)</f>
        <v>0.34499999999999997</v>
      </c>
      <c r="C409">
        <f>VLOOKUP(A409,institutions_spss!A:M,10,0)</f>
        <v>0.69699999999999995</v>
      </c>
      <c r="D409">
        <f>VLOOKUP(A409,institutions_spss!A:M,11,0)</f>
        <v>0.625</v>
      </c>
      <c r="E409">
        <f>VLOOKUP(A409,institutions_spss!A:M,12,0)</f>
        <v>0.23799999999999999</v>
      </c>
      <c r="F409">
        <f>VLOOKUP(A409,institutions_spss!A:M,13,0)</f>
        <v>0.38200000000000001</v>
      </c>
    </row>
    <row r="410" spans="1:6" x14ac:dyDescent="0.25">
      <c r="A410" t="str">
        <f>institutions_spss!A412</f>
        <v>Wageningen University &amp; Research</v>
      </c>
      <c r="B410">
        <f>VLOOKUP(A410,institutions_spss!A:M,9,0)</f>
        <v>0.318</v>
      </c>
      <c r="C410">
        <f>VLOOKUP(A410,institutions_spss!A:M,10,0)</f>
        <v>0.44800000000000001</v>
      </c>
      <c r="D410">
        <f>VLOOKUP(A410,institutions_spss!A:M,11,0)</f>
        <v>0</v>
      </c>
      <c r="E410">
        <f>VLOOKUP(A410,institutions_spss!A:M,12,0)</f>
        <v>0.61799999999999999</v>
      </c>
      <c r="F410">
        <f>VLOOKUP(A410,institutions_spss!A:M,13,0)</f>
        <v>0.39</v>
      </c>
    </row>
    <row r="411" spans="1:6" x14ac:dyDescent="0.25">
      <c r="A411" t="str">
        <f>institutions_spss!A413</f>
        <v>Yonsei University</v>
      </c>
      <c r="B411">
        <f>VLOOKUP(A411,institutions_spss!A:M,9,0)</f>
        <v>0.318</v>
      </c>
      <c r="C411">
        <f>VLOOKUP(A411,institutions_spss!A:M,10,0)</f>
        <v>0.40300000000000002</v>
      </c>
      <c r="D411">
        <f>VLOOKUP(A411,institutions_spss!A:M,11,0)</f>
        <v>0.76</v>
      </c>
      <c r="E411">
        <f>VLOOKUP(A411,institutions_spss!A:M,12,0)</f>
        <v>0.41699999999999998</v>
      </c>
      <c r="F411">
        <f>VLOOKUP(A411,institutions_spss!A:M,13,0)</f>
        <v>0.23699999999999999</v>
      </c>
    </row>
    <row r="412" spans="1:6" x14ac:dyDescent="0.25">
      <c r="A412" t="str">
        <f>institutions_spss!A414</f>
        <v>Ho Chi Minh City University Economics</v>
      </c>
      <c r="B412">
        <f>VLOOKUP(A412,institutions_spss!A:M,9,0)</f>
        <v>0.34499999999999997</v>
      </c>
      <c r="C412">
        <f>VLOOKUP(A412,institutions_spss!A:M,10,0)</f>
        <v>0.42199999999999999</v>
      </c>
      <c r="D412">
        <f>VLOOKUP(A412,institutions_spss!A:M,11,0)</f>
        <v>0.6</v>
      </c>
      <c r="E412">
        <f>VLOOKUP(A412,institutions_spss!A:M,12,0)</f>
        <v>0.23</v>
      </c>
      <c r="F412">
        <f>VLOOKUP(A412,institutions_spss!A:M,13,0)</f>
        <v>0.25</v>
      </c>
    </row>
    <row r="413" spans="1:6" x14ac:dyDescent="0.25">
      <c r="A413" t="str">
        <f>institutions_spss!A415</f>
        <v>Osaka University</v>
      </c>
      <c r="B413">
        <f>VLOOKUP(A413,institutions_spss!A:M,9,0)</f>
        <v>0.248</v>
      </c>
      <c r="C413">
        <f>VLOOKUP(A413,institutions_spss!A:M,10,0)</f>
        <v>0.372</v>
      </c>
      <c r="D413">
        <f>VLOOKUP(A413,institutions_spss!A:M,11,0)</f>
        <v>0.51800000000000002</v>
      </c>
      <c r="E413">
        <f>VLOOKUP(A413,institutions_spss!A:M,12,0)</f>
        <v>0.378</v>
      </c>
      <c r="F413">
        <f>VLOOKUP(A413,institutions_spss!A:M,13,0)</f>
        <v>0.74</v>
      </c>
    </row>
    <row r="414" spans="1:6" x14ac:dyDescent="0.25">
      <c r="A414" t="str">
        <f>institutions_spss!A416</f>
        <v>Swinburne University of Technology</v>
      </c>
      <c r="B414">
        <f>VLOOKUP(A414,institutions_spss!A:M,9,0)</f>
        <v>0.375</v>
      </c>
      <c r="C414">
        <f>VLOOKUP(A414,institutions_spss!A:M,10,0)</f>
        <v>2.8000000000000001E-2</v>
      </c>
      <c r="D414">
        <f>VLOOKUP(A414,institutions_spss!A:M,11,0)</f>
        <v>0.312</v>
      </c>
      <c r="E414">
        <f>VLOOKUP(A414,institutions_spss!A:M,12,0)</f>
        <v>0.59499999999999997</v>
      </c>
      <c r="F414">
        <f>VLOOKUP(A414,institutions_spss!A:M,13,0)</f>
        <v>0.27800000000000002</v>
      </c>
    </row>
    <row r="415" spans="1:6" x14ac:dyDescent="0.25">
      <c r="A415" t="str">
        <f>institutions_spss!A417</f>
        <v>Wuhan University</v>
      </c>
      <c r="B415">
        <f>VLOOKUP(A415,institutions_spss!A:M,9,0)</f>
        <v>0.28799999999999998</v>
      </c>
      <c r="C415">
        <f>VLOOKUP(A415,institutions_spss!A:M,10,0)</f>
        <v>0.33</v>
      </c>
      <c r="D415">
        <f>VLOOKUP(A415,institutions_spss!A:M,11,0)</f>
        <v>0.76500000000000001</v>
      </c>
      <c r="E415">
        <f>VLOOKUP(A415,institutions_spss!A:M,12,0)</f>
        <v>0.19800000000000001</v>
      </c>
      <c r="F415">
        <f>VLOOKUP(A415,institutions_spss!A:M,13,0)</f>
        <v>0.60199999999999998</v>
      </c>
    </row>
    <row r="416" spans="1:6" x14ac:dyDescent="0.25">
      <c r="A416" t="str">
        <f>institutions_spss!A418</f>
        <v>Beijing Jiaotong University</v>
      </c>
      <c r="B416">
        <f>VLOOKUP(A416,institutions_spss!A:M,9,0)</f>
        <v>0.29799999999999999</v>
      </c>
      <c r="C416">
        <f>VLOOKUP(A416,institutions_spss!A:M,10,0)</f>
        <v>0.48199999999999998</v>
      </c>
      <c r="D416">
        <f>VLOOKUP(A416,institutions_spss!A:M,11,0)</f>
        <v>0.56299999999999994</v>
      </c>
      <c r="E416">
        <f>VLOOKUP(A416,institutions_spss!A:M,12,0)</f>
        <v>0.16200000000000001</v>
      </c>
      <c r="F416">
        <f>VLOOKUP(A416,institutions_spss!A:M,13,0)</f>
        <v>0.182</v>
      </c>
    </row>
    <row r="417" spans="1:6" x14ac:dyDescent="0.25">
      <c r="A417" t="str">
        <f>institutions_spss!A419</f>
        <v>Capital University of Economics &amp; Business</v>
      </c>
      <c r="B417">
        <f>VLOOKUP(A417,institutions_spss!A:M,9,0)</f>
        <v>0.35</v>
      </c>
      <c r="C417">
        <f>VLOOKUP(A417,institutions_spss!A:M,10,0)</f>
        <v>0.432</v>
      </c>
      <c r="D417">
        <f>VLOOKUP(A417,institutions_spss!A:M,11,0)</f>
        <v>0.50700000000000001</v>
      </c>
      <c r="E417">
        <f>VLOOKUP(A417,institutions_spss!A:M,12,0)</f>
        <v>0.39200000000000002</v>
      </c>
      <c r="F417">
        <f>VLOOKUP(A417,institutions_spss!A:M,13,0)</f>
        <v>0.28699999999999998</v>
      </c>
    </row>
    <row r="418" spans="1:6" x14ac:dyDescent="0.25">
      <c r="A418" t="str">
        <f>institutions_spss!A420</f>
        <v>Centre National de la Recherche Scientifique (CNRS)</v>
      </c>
      <c r="B418">
        <f>VLOOKUP(A418,institutions_spss!A:M,9,0)</f>
        <v>0.28299999999999997</v>
      </c>
      <c r="C418">
        <f>VLOOKUP(A418,institutions_spss!A:M,10,0)</f>
        <v>0.47799999999999998</v>
      </c>
      <c r="D418">
        <f>VLOOKUP(A418,institutions_spss!A:M,11,0)</f>
        <v>0.23</v>
      </c>
      <c r="E418">
        <f>VLOOKUP(A418,institutions_spss!A:M,12,0)</f>
        <v>0.47799999999999998</v>
      </c>
      <c r="F418">
        <f>VLOOKUP(A418,institutions_spss!A:M,13,0)</f>
        <v>0.38700000000000001</v>
      </c>
    </row>
    <row r="419" spans="1:6" x14ac:dyDescent="0.25">
      <c r="A419" t="str">
        <f>institutions_spss!A421</f>
        <v>Universite de Montpellier</v>
      </c>
      <c r="B419">
        <f>VLOOKUP(A419,institutions_spss!A:M,9,0)</f>
        <v>0.307</v>
      </c>
      <c r="C419">
        <f>VLOOKUP(A419,institutions_spss!A:M,10,0)</f>
        <v>0.188</v>
      </c>
      <c r="D419">
        <f>VLOOKUP(A419,institutions_spss!A:M,11,0)</f>
        <v>0.312</v>
      </c>
      <c r="E419">
        <f>VLOOKUP(A419,institutions_spss!A:M,12,0)</f>
        <v>0.61199999999999999</v>
      </c>
      <c r="F419">
        <f>VLOOKUP(A419,institutions_spss!A:M,13,0)</f>
        <v>0.53</v>
      </c>
    </row>
    <row r="420" spans="1:6" x14ac:dyDescent="0.25">
      <c r="A420" t="str">
        <f>institutions_spss!A422</f>
        <v>University of Western Australia</v>
      </c>
      <c r="B420">
        <f>VLOOKUP(A420,institutions_spss!A:M,9,0)</f>
        <v>0.307</v>
      </c>
      <c r="C420">
        <f>VLOOKUP(A420,institutions_spss!A:M,10,0)</f>
        <v>0.46800000000000003</v>
      </c>
      <c r="D420">
        <f>VLOOKUP(A420,institutions_spss!A:M,11,0)</f>
        <v>0.52700000000000002</v>
      </c>
      <c r="E420">
        <f>VLOOKUP(A420,institutions_spss!A:M,12,0)</f>
        <v>0.26500000000000001</v>
      </c>
      <c r="F420">
        <f>VLOOKUP(A420,institutions_spss!A:M,13,0)</f>
        <v>0.23699999999999999</v>
      </c>
    </row>
    <row r="421" spans="1:6" x14ac:dyDescent="0.25">
      <c r="A421" t="str">
        <f>institutions_spss!A423</f>
        <v>Huazhong University of Science &amp; Technology</v>
      </c>
      <c r="B421">
        <f>VLOOKUP(A421,institutions_spss!A:M,9,0)</f>
        <v>0.307</v>
      </c>
      <c r="C421">
        <f>VLOOKUP(A421,institutions_spss!A:M,10,0)</f>
        <v>0.33</v>
      </c>
      <c r="D421">
        <f>VLOOKUP(A421,institutions_spss!A:M,11,0)</f>
        <v>0.64500000000000002</v>
      </c>
      <c r="E421">
        <f>VLOOKUP(A421,institutions_spss!A:M,12,0)</f>
        <v>0.30499999999999999</v>
      </c>
      <c r="F421">
        <f>VLOOKUP(A421,institutions_spss!A:M,13,0)</f>
        <v>0.25</v>
      </c>
    </row>
    <row r="422" spans="1:6" x14ac:dyDescent="0.25">
      <c r="A422" t="str">
        <f>institutions_spss!A424</f>
        <v>University at Albany, SUNY</v>
      </c>
      <c r="B422">
        <f>VLOOKUP(A422,institutions_spss!A:M,9,0)</f>
        <v>0.28799999999999998</v>
      </c>
      <c r="C422">
        <f>VLOOKUP(A422,institutions_spss!A:M,10,0)</f>
        <v>0.2</v>
      </c>
      <c r="D422">
        <f>VLOOKUP(A422,institutions_spss!A:M,11,0)</f>
        <v>0.187</v>
      </c>
      <c r="E422">
        <f>VLOOKUP(A422,institutions_spss!A:M,12,0)</f>
        <v>0.77800000000000002</v>
      </c>
      <c r="F422">
        <f>VLOOKUP(A422,institutions_spss!A:M,13,0)</f>
        <v>0.49</v>
      </c>
    </row>
    <row r="423" spans="1:6" x14ac:dyDescent="0.25">
      <c r="A423" t="str">
        <f>institutions_spss!A425</f>
        <v>University of North Texas Denton</v>
      </c>
      <c r="B423">
        <f>VLOOKUP(A423,institutions_spss!A:M,9,0)</f>
        <v>0.307</v>
      </c>
      <c r="C423">
        <f>VLOOKUP(A423,institutions_spss!A:M,10,0)</f>
        <v>0.14499999999999999</v>
      </c>
      <c r="D423">
        <f>VLOOKUP(A423,institutions_spss!A:M,11,0)</f>
        <v>0.64700000000000002</v>
      </c>
      <c r="E423">
        <f>VLOOKUP(A423,institutions_spss!A:M,12,0)</f>
        <v>0.36199999999999999</v>
      </c>
      <c r="F423">
        <f>VLOOKUP(A423,institutions_spss!A:M,13,0)</f>
        <v>0.23699999999999999</v>
      </c>
    </row>
    <row r="424" spans="1:6" x14ac:dyDescent="0.25">
      <c r="A424" t="str">
        <f>institutions_spss!A426</f>
        <v>Instituto Universitario de Lisboa</v>
      </c>
      <c r="B424">
        <f>VLOOKUP(A424,institutions_spss!A:M,9,0)</f>
        <v>0.29799999999999999</v>
      </c>
      <c r="C424">
        <f>VLOOKUP(A424,institutions_spss!A:M,10,0)</f>
        <v>0.59199999999999997</v>
      </c>
      <c r="D424">
        <f>VLOOKUP(A424,institutions_spss!A:M,11,0)</f>
        <v>0.50700000000000001</v>
      </c>
      <c r="E424">
        <f>VLOOKUP(A424,institutions_spss!A:M,12,0)</f>
        <v>0.247</v>
      </c>
      <c r="F424">
        <f>VLOOKUP(A424,institutions_spss!A:M,13,0)</f>
        <v>0.28699999999999998</v>
      </c>
    </row>
    <row r="425" spans="1:6" x14ac:dyDescent="0.25">
      <c r="A425" t="str">
        <f>institutions_spss!A427</f>
        <v>Tallinn University of Technology</v>
      </c>
      <c r="B425">
        <f>VLOOKUP(A425,institutions_spss!A:M,9,0)</f>
        <v>0.248</v>
      </c>
      <c r="C425">
        <f>VLOOKUP(A425,institutions_spss!A:M,10,0)</f>
        <v>0.2</v>
      </c>
      <c r="D425">
        <f>VLOOKUP(A425,institutions_spss!A:M,11,0)</f>
        <v>0.17</v>
      </c>
      <c r="E425">
        <f>VLOOKUP(A425,institutions_spss!A:M,12,0)</f>
        <v>0.82499999999999996</v>
      </c>
      <c r="F425">
        <f>VLOOKUP(A425,institutions_spss!A:M,13,0)</f>
        <v>0.05</v>
      </c>
    </row>
    <row r="426" spans="1:6" x14ac:dyDescent="0.25">
      <c r="A426" t="str">
        <f>institutions_spss!A428</f>
        <v>Texas Tech University</v>
      </c>
      <c r="B426">
        <f>VLOOKUP(A426,institutions_spss!A:M,9,0)</f>
        <v>0.312</v>
      </c>
      <c r="C426">
        <f>VLOOKUP(A426,institutions_spss!A:M,10,0)</f>
        <v>0.40300000000000002</v>
      </c>
      <c r="D426">
        <f>VLOOKUP(A426,institutions_spss!A:M,11,0)</f>
        <v>0.45300000000000001</v>
      </c>
      <c r="E426">
        <f>VLOOKUP(A426,institutions_spss!A:M,12,0)</f>
        <v>0.41699999999999998</v>
      </c>
      <c r="F426">
        <f>VLOOKUP(A426,institutions_spss!A:M,13,0)</f>
        <v>0.36299999999999999</v>
      </c>
    </row>
    <row r="427" spans="1:6" x14ac:dyDescent="0.25">
      <c r="A427" t="str">
        <f>institutions_spss!A429</f>
        <v>Universidad de los Andes (Colombia)</v>
      </c>
      <c r="B427">
        <f>VLOOKUP(A427,institutions_spss!A:M,9,0)</f>
        <v>0.29799999999999999</v>
      </c>
      <c r="C427">
        <f>VLOOKUP(A427,institutions_spss!A:M,10,0)</f>
        <v>0.73199999999999998</v>
      </c>
      <c r="D427">
        <f>VLOOKUP(A427,institutions_spss!A:M,11,0)</f>
        <v>0.157</v>
      </c>
      <c r="E427">
        <f>VLOOKUP(A427,institutions_spss!A:M,12,0)</f>
        <v>0.183</v>
      </c>
      <c r="F427">
        <f>VLOOKUP(A427,institutions_spss!A:M,13,0)</f>
        <v>6.5000000000000002E-2</v>
      </c>
    </row>
    <row r="428" spans="1:6" x14ac:dyDescent="0.25">
      <c r="A428" t="str">
        <f>institutions_spss!A430</f>
        <v>University of Kiel</v>
      </c>
      <c r="B428">
        <f>VLOOKUP(A428,institutions_spss!A:M,9,0)</f>
        <v>0.28299999999999997</v>
      </c>
      <c r="C428">
        <f>VLOOKUP(A428,institutions_spss!A:M,10,0)</f>
        <v>0.55700000000000005</v>
      </c>
      <c r="D428">
        <f>VLOOKUP(A428,institutions_spss!A:M,11,0)</f>
        <v>0.107</v>
      </c>
      <c r="E428">
        <f>VLOOKUP(A428,institutions_spss!A:M,12,0)</f>
        <v>0.183</v>
      </c>
      <c r="F428">
        <f>VLOOKUP(A428,institutions_spss!A:M,13,0)</f>
        <v>0.158</v>
      </c>
    </row>
    <row r="429" spans="1:6" x14ac:dyDescent="0.25">
      <c r="A429" t="str">
        <f>institutions_spss!A431</f>
        <v>University of Nottingham Ningbo China</v>
      </c>
      <c r="B429">
        <f>VLOOKUP(A429,institutions_spss!A:M,9,0)</f>
        <v>0.312</v>
      </c>
      <c r="C429">
        <f>VLOOKUP(A429,institutions_spss!A:M,10,0)</f>
        <v>7.6999999999999999E-2</v>
      </c>
      <c r="D429">
        <f>VLOOKUP(A429,institutions_spss!A:M,11,0)</f>
        <v>0.22</v>
      </c>
      <c r="E429">
        <f>VLOOKUP(A429,institutions_spss!A:M,12,0)</f>
        <v>0.502</v>
      </c>
      <c r="F429">
        <f>VLOOKUP(A429,institutions_spss!A:M,13,0)</f>
        <v>0.497</v>
      </c>
    </row>
    <row r="430" spans="1:6" x14ac:dyDescent="0.25">
      <c r="A430" t="str">
        <f>institutions_spss!A432</f>
        <v>University of Wisconsin Milwaukee</v>
      </c>
      <c r="B430">
        <f>VLOOKUP(A430,institutions_spss!A:M,9,0)</f>
        <v>0.26200000000000001</v>
      </c>
      <c r="C430">
        <f>VLOOKUP(A430,institutions_spss!A:M,10,0)</f>
        <v>0.31</v>
      </c>
      <c r="D430">
        <f>VLOOKUP(A430,institutions_spss!A:M,11,0)</f>
        <v>0.41199999999999998</v>
      </c>
      <c r="E430">
        <f>VLOOKUP(A430,institutions_spss!A:M,12,0)</f>
        <v>0.54</v>
      </c>
      <c r="F430">
        <f>VLOOKUP(A430,institutions_spss!A:M,13,0)</f>
        <v>0.34200000000000003</v>
      </c>
    </row>
    <row r="431" spans="1:6" x14ac:dyDescent="0.25">
      <c r="A431" t="str">
        <f>institutions_spss!A433</f>
        <v>Beijing Normal University</v>
      </c>
      <c r="B431">
        <f>VLOOKUP(A431,institutions_spss!A:M,9,0)</f>
        <v>0.27700000000000002</v>
      </c>
      <c r="C431">
        <f>VLOOKUP(A431,institutions_spss!A:M,10,0)</f>
        <v>0.50800000000000001</v>
      </c>
      <c r="D431">
        <f>VLOOKUP(A431,institutions_spss!A:M,11,0)</f>
        <v>0.33800000000000002</v>
      </c>
      <c r="E431">
        <f>VLOOKUP(A431,institutions_spss!A:M,12,0)</f>
        <v>0.30499999999999999</v>
      </c>
      <c r="F431">
        <f>VLOOKUP(A431,institutions_spss!A:M,13,0)</f>
        <v>0.255</v>
      </c>
    </row>
    <row r="432" spans="1:6" x14ac:dyDescent="0.25">
      <c r="A432" t="str">
        <f>institutions_spss!A434</f>
        <v>Massey University</v>
      </c>
      <c r="B432">
        <f>VLOOKUP(A432,institutions_spss!A:M,9,0)</f>
        <v>0.318</v>
      </c>
      <c r="C432">
        <f>VLOOKUP(A432,institutions_spss!A:M,10,0)</f>
        <v>0.45300000000000001</v>
      </c>
      <c r="D432">
        <f>VLOOKUP(A432,institutions_spss!A:M,11,0)</f>
        <v>0.38200000000000001</v>
      </c>
      <c r="E432">
        <f>VLOOKUP(A432,institutions_spss!A:M,12,0)</f>
        <v>0.315</v>
      </c>
      <c r="F432">
        <f>VLOOKUP(A432,institutions_spss!A:M,13,0)</f>
        <v>0.39800000000000002</v>
      </c>
    </row>
    <row r="433" spans="1:6" x14ac:dyDescent="0.25">
      <c r="A433" t="str">
        <f>institutions_spss!A435</f>
        <v>University of Huddersfield</v>
      </c>
      <c r="B433">
        <f>VLOOKUP(A433,institutions_spss!A:M,9,0)</f>
        <v>0.312</v>
      </c>
      <c r="C433">
        <f>VLOOKUP(A433,institutions_spss!A:M,10,0)</f>
        <v>0.39200000000000002</v>
      </c>
      <c r="D433">
        <f>VLOOKUP(A433,institutions_spss!A:M,11,0)</f>
        <v>0.35699999999999998</v>
      </c>
      <c r="E433">
        <f>VLOOKUP(A433,institutions_spss!A:M,12,0)</f>
        <v>0.40699999999999997</v>
      </c>
      <c r="F433">
        <f>VLOOKUP(A433,institutions_spss!A:M,13,0)</f>
        <v>0.26700000000000002</v>
      </c>
    </row>
    <row r="434" spans="1:6" x14ac:dyDescent="0.25">
      <c r="A434" t="str">
        <f>institutions_spss!A436</f>
        <v>Curtin University</v>
      </c>
      <c r="B434">
        <f>VLOOKUP(A434,institutions_spss!A:M,9,0)</f>
        <v>0.28299999999999997</v>
      </c>
      <c r="C434">
        <f>VLOOKUP(A434,institutions_spss!A:M,10,0)</f>
        <v>0.18</v>
      </c>
      <c r="D434">
        <f>VLOOKUP(A434,institutions_spss!A:M,11,0)</f>
        <v>0.435</v>
      </c>
      <c r="E434">
        <f>VLOOKUP(A434,institutions_spss!A:M,12,0)</f>
        <v>0.29299999999999998</v>
      </c>
      <c r="F434">
        <f>VLOOKUP(A434,institutions_spss!A:M,13,0)</f>
        <v>0.41</v>
      </c>
    </row>
    <row r="435" spans="1:6" x14ac:dyDescent="0.25">
      <c r="A435" t="str">
        <f>institutions_spss!A437</f>
        <v>INRAE</v>
      </c>
      <c r="B435">
        <f>VLOOKUP(A435,institutions_spss!A:M,9,0)</f>
        <v>0.23</v>
      </c>
      <c r="C435">
        <f>VLOOKUP(A435,institutions_spss!A:M,10,0)</f>
        <v>0.52</v>
      </c>
      <c r="D435">
        <f>VLOOKUP(A435,institutions_spss!A:M,11,0)</f>
        <v>0.52700000000000002</v>
      </c>
      <c r="E435">
        <f>VLOOKUP(A435,institutions_spss!A:M,12,0)</f>
        <v>0.42699999999999999</v>
      </c>
      <c r="F435">
        <f>VLOOKUP(A435,institutions_spss!A:M,13,0)</f>
        <v>0.09</v>
      </c>
    </row>
    <row r="436" spans="1:6" x14ac:dyDescent="0.25">
      <c r="A436" t="str">
        <f>institutions_spss!A438</f>
        <v>Kansas State University</v>
      </c>
      <c r="B436">
        <f>VLOOKUP(A436,institutions_spss!A:M,9,0)</f>
        <v>0.307</v>
      </c>
      <c r="C436">
        <f>VLOOKUP(A436,institutions_spss!A:M,10,0)</f>
        <v>0.50800000000000001</v>
      </c>
      <c r="D436">
        <f>VLOOKUP(A436,institutions_spss!A:M,11,0)</f>
        <v>0.56799999999999995</v>
      </c>
      <c r="E436">
        <f>VLOOKUP(A436,institutions_spss!A:M,12,0)</f>
        <v>0.47299999999999998</v>
      </c>
      <c r="F436">
        <f>VLOOKUP(A436,institutions_spss!A:M,13,0)</f>
        <v>0.48799999999999999</v>
      </c>
    </row>
    <row r="437" spans="1:6" x14ac:dyDescent="0.25">
      <c r="A437" t="str">
        <f>institutions_spss!A439</f>
        <v>Universite Libre de Bruxelles</v>
      </c>
      <c r="B437">
        <f>VLOOKUP(A437,institutions_spss!A:M,9,0)</f>
        <v>0.248</v>
      </c>
      <c r="C437">
        <f>VLOOKUP(A437,institutions_spss!A:M,10,0)</f>
        <v>0.442</v>
      </c>
      <c r="D437">
        <f>VLOOKUP(A437,institutions_spss!A:M,11,0)</f>
        <v>0.27800000000000002</v>
      </c>
      <c r="E437">
        <f>VLOOKUP(A437,institutions_spss!A:M,12,0)</f>
        <v>0.48699999999999999</v>
      </c>
      <c r="F437">
        <f>VLOOKUP(A437,institutions_spss!A:M,13,0)</f>
        <v>0.27200000000000002</v>
      </c>
    </row>
    <row r="438" spans="1:6" x14ac:dyDescent="0.25">
      <c r="A438" t="str">
        <f>institutions_spss!A440</f>
        <v>University of International Business &amp; Economics</v>
      </c>
      <c r="B438">
        <f>VLOOKUP(A438,institutions_spss!A:M,9,0)</f>
        <v>0.27700000000000002</v>
      </c>
      <c r="C438">
        <f>VLOOKUP(A438,institutions_spss!A:M,10,0)</f>
        <v>0.29799999999999999</v>
      </c>
      <c r="D438">
        <f>VLOOKUP(A438,institutions_spss!A:M,11,0)</f>
        <v>0.47299999999999998</v>
      </c>
      <c r="E438">
        <f>VLOOKUP(A438,institutions_spss!A:M,12,0)</f>
        <v>0.35799999999999998</v>
      </c>
      <c r="F438">
        <f>VLOOKUP(A438,institutions_spss!A:M,13,0)</f>
        <v>0.247</v>
      </c>
    </row>
    <row r="439" spans="1:6" x14ac:dyDescent="0.25">
      <c r="A439" t="str">
        <f>institutions_spss!A441</f>
        <v>University of Zaragoza</v>
      </c>
      <c r="B439">
        <f>VLOOKUP(A439,institutions_spss!A:M,9,0)</f>
        <v>0.29799999999999999</v>
      </c>
      <c r="C439">
        <f>VLOOKUP(A439,institutions_spss!A:M,10,0)</f>
        <v>0.81699999999999995</v>
      </c>
      <c r="D439">
        <f>VLOOKUP(A439,institutions_spss!A:M,11,0)</f>
        <v>0.157</v>
      </c>
      <c r="E439">
        <f>VLOOKUP(A439,institutions_spss!A:M,12,0)</f>
        <v>0.54</v>
      </c>
      <c r="F439">
        <f>VLOOKUP(A439,institutions_spss!A:M,13,0)</f>
        <v>0.502</v>
      </c>
    </row>
    <row r="440" spans="1:6" x14ac:dyDescent="0.25">
      <c r="A440" t="str">
        <f>institutions_spss!A442</f>
        <v>Heriot Watt University</v>
      </c>
      <c r="B440">
        <f>VLOOKUP(A440,institutions_spss!A:M,9,0)</f>
        <v>0.28799999999999998</v>
      </c>
      <c r="C440">
        <f>VLOOKUP(A440,institutions_spss!A:M,10,0)</f>
        <v>0.372</v>
      </c>
      <c r="D440">
        <f>VLOOKUP(A440,institutions_spss!A:M,11,0)</f>
        <v>0.29699999999999999</v>
      </c>
      <c r="E440">
        <f>VLOOKUP(A440,institutions_spss!A:M,12,0)</f>
        <v>0.23</v>
      </c>
      <c r="F440">
        <f>VLOOKUP(A440,institutions_spss!A:M,13,0)</f>
        <v>0.56699999999999995</v>
      </c>
    </row>
    <row r="441" spans="1:6" x14ac:dyDescent="0.25">
      <c r="A441" t="str">
        <f>institutions_spss!A443</f>
        <v>King Abdulaziz University</v>
      </c>
      <c r="B441">
        <f>VLOOKUP(A441,institutions_spss!A:M,9,0)</f>
        <v>0.27700000000000002</v>
      </c>
      <c r="C441">
        <f>VLOOKUP(A441,institutions_spss!A:M,10,0)</f>
        <v>7.6999999999999999E-2</v>
      </c>
      <c r="D441">
        <f>VLOOKUP(A441,institutions_spss!A:M,11,0)</f>
        <v>0.40200000000000002</v>
      </c>
      <c r="E441">
        <f>VLOOKUP(A441,institutions_spss!A:M,12,0)</f>
        <v>0.41</v>
      </c>
      <c r="F441">
        <f>VLOOKUP(A441,institutions_spss!A:M,13,0)</f>
        <v>0.27200000000000002</v>
      </c>
    </row>
    <row r="442" spans="1:6" x14ac:dyDescent="0.25">
      <c r="A442" t="str">
        <f>institutions_spss!A444</f>
        <v>University of Barcelona</v>
      </c>
      <c r="B442">
        <f>VLOOKUP(A442,institutions_spss!A:M,9,0)</f>
        <v>0.21199999999999999</v>
      </c>
      <c r="C442">
        <f>VLOOKUP(A442,institutions_spss!A:M,10,0)</f>
        <v>0.36199999999999999</v>
      </c>
      <c r="D442">
        <f>VLOOKUP(A442,institutions_spss!A:M,11,0)</f>
        <v>0.187</v>
      </c>
      <c r="E442">
        <f>VLOOKUP(A442,institutions_spss!A:M,12,0)</f>
        <v>0.51300000000000001</v>
      </c>
      <c r="F442">
        <f>VLOOKUP(A442,institutions_spss!A:M,13,0)</f>
        <v>0.47299999999999998</v>
      </c>
    </row>
    <row r="443" spans="1:6" x14ac:dyDescent="0.25">
      <c r="A443" t="str">
        <f>institutions_spss!A445</f>
        <v>Beijing Institute of Technology</v>
      </c>
      <c r="B443">
        <f>VLOOKUP(A443,institutions_spss!A:M,9,0)</f>
        <v>0.26200000000000001</v>
      </c>
      <c r="C443">
        <f>VLOOKUP(A443,institutions_spss!A:M,10,0)</f>
        <v>0.50800000000000001</v>
      </c>
      <c r="D443">
        <f>VLOOKUP(A443,institutions_spss!A:M,11,0)</f>
        <v>0.23</v>
      </c>
      <c r="E443">
        <f>VLOOKUP(A443,institutions_spss!A:M,12,0)</f>
        <v>0.32200000000000001</v>
      </c>
      <c r="F443">
        <f>VLOOKUP(A443,institutions_spss!A:M,13,0)</f>
        <v>0.43</v>
      </c>
    </row>
    <row r="444" spans="1:6" x14ac:dyDescent="0.25">
      <c r="A444" t="str">
        <f>institutions_spss!A446</f>
        <v>Central University of Finance &amp; Economics</v>
      </c>
      <c r="B444">
        <f>VLOOKUP(A444,institutions_spss!A:M,9,0)</f>
        <v>0.27700000000000002</v>
      </c>
      <c r="C444">
        <f>VLOOKUP(A444,institutions_spss!A:M,10,0)</f>
        <v>0.33</v>
      </c>
      <c r="D444">
        <f>VLOOKUP(A444,institutions_spss!A:M,11,0)</f>
        <v>0.55700000000000005</v>
      </c>
      <c r="E444">
        <f>VLOOKUP(A444,institutions_spss!A:M,12,0)</f>
        <v>0.27200000000000002</v>
      </c>
      <c r="F444">
        <f>VLOOKUP(A444,institutions_spss!A:M,13,0)</f>
        <v>0.26700000000000002</v>
      </c>
    </row>
    <row r="445" spans="1:6" x14ac:dyDescent="0.25">
      <c r="A445" t="str">
        <f>institutions_spss!A447</f>
        <v>Chinese Academy of Sciences</v>
      </c>
      <c r="B445">
        <f>VLOOKUP(A445,institutions_spss!A:M,9,0)</f>
        <v>0.27700000000000002</v>
      </c>
      <c r="C445">
        <f>VLOOKUP(A445,institutions_spss!A:M,10,0)</f>
        <v>0.24199999999999999</v>
      </c>
      <c r="D445">
        <f>VLOOKUP(A445,institutions_spss!A:M,11,0)</f>
        <v>0.67500000000000004</v>
      </c>
      <c r="E445">
        <f>VLOOKUP(A445,institutions_spss!A:M,12,0)</f>
        <v>0.16200000000000001</v>
      </c>
      <c r="F445">
        <f>VLOOKUP(A445,institutions_spss!A:M,13,0)</f>
        <v>0.21299999999999999</v>
      </c>
    </row>
    <row r="446" spans="1:6" x14ac:dyDescent="0.25">
      <c r="A446" t="str">
        <f>institutions_spss!A448</f>
        <v>Getulio Vargas Foundation</v>
      </c>
      <c r="B446">
        <f>VLOOKUP(A446,institutions_spss!A:M,9,0)</f>
        <v>0.23699999999999999</v>
      </c>
      <c r="C446">
        <f>VLOOKUP(A446,institutions_spss!A:M,10,0)</f>
        <v>0.49</v>
      </c>
      <c r="D446">
        <f>VLOOKUP(A446,institutions_spss!A:M,11,0)</f>
        <v>0.48499999999999999</v>
      </c>
      <c r="E446">
        <f>VLOOKUP(A446,institutions_spss!A:M,12,0)</f>
        <v>0.26200000000000001</v>
      </c>
      <c r="F446">
        <f>VLOOKUP(A446,institutions_spss!A:M,13,0)</f>
        <v>0.217</v>
      </c>
    </row>
    <row r="447" spans="1:6" x14ac:dyDescent="0.25">
      <c r="A447" t="str">
        <f>institutions_spss!A449</f>
        <v>Shandong University</v>
      </c>
      <c r="B447">
        <f>VLOOKUP(A447,institutions_spss!A:M,9,0)</f>
        <v>0.29799999999999999</v>
      </c>
      <c r="C447">
        <f>VLOOKUP(A447,institutions_spss!A:M,10,0)</f>
        <v>0.22800000000000001</v>
      </c>
      <c r="D447">
        <f>VLOOKUP(A447,institutions_spss!A:M,11,0)</f>
        <v>0.622</v>
      </c>
      <c r="E447">
        <f>VLOOKUP(A447,institutions_spss!A:M,12,0)</f>
        <v>0.35799999999999998</v>
      </c>
      <c r="F447">
        <f>VLOOKUP(A447,institutions_spss!A:M,13,0)</f>
        <v>0.25800000000000001</v>
      </c>
    </row>
    <row r="448" spans="1:6" x14ac:dyDescent="0.25">
      <c r="A448" t="str">
        <f>institutions_spss!A450</f>
        <v>Southwest Jiaotong University</v>
      </c>
      <c r="B448">
        <f>VLOOKUP(A448,institutions_spss!A:M,9,0)</f>
        <v>0.26200000000000001</v>
      </c>
      <c r="C448">
        <f>VLOOKUP(A448,institutions_spss!A:M,10,0)</f>
        <v>0.54700000000000004</v>
      </c>
      <c r="D448">
        <f>VLOOKUP(A448,institutions_spss!A:M,11,0)</f>
        <v>0.50700000000000001</v>
      </c>
      <c r="E448">
        <f>VLOOKUP(A448,institutions_spss!A:M,12,0)</f>
        <v>0.14799999999999999</v>
      </c>
      <c r="F448">
        <f>VLOOKUP(A448,institutions_spss!A:M,13,0)</f>
        <v>0.22500000000000001</v>
      </c>
    </row>
    <row r="449" spans="1:6" x14ac:dyDescent="0.25">
      <c r="A449" t="str">
        <f>institutions_spss!A451</f>
        <v>University of Stirling</v>
      </c>
      <c r="B449">
        <f>VLOOKUP(A449,institutions_spss!A:M,9,0)</f>
        <v>0.29799999999999999</v>
      </c>
      <c r="C449">
        <f>VLOOKUP(A449,institutions_spss!A:M,10,0)</f>
        <v>0.47799999999999998</v>
      </c>
      <c r="D449">
        <f>VLOOKUP(A449,institutions_spss!A:M,11,0)</f>
        <v>0.187</v>
      </c>
      <c r="E449">
        <f>VLOOKUP(A449,institutions_spss!A:M,12,0)</f>
        <v>0.33700000000000002</v>
      </c>
      <c r="F449">
        <f>VLOOKUP(A449,institutions_spss!A:M,13,0)</f>
        <v>0.72</v>
      </c>
    </row>
    <row r="450" spans="1:6" x14ac:dyDescent="0.25">
      <c r="A450" t="str">
        <f>institutions_spss!A452</f>
        <v>University of Valencia</v>
      </c>
      <c r="B450">
        <f>VLOOKUP(A450,institutions_spss!A:M,9,0)</f>
        <v>0.27700000000000002</v>
      </c>
      <c r="C450">
        <f>VLOOKUP(A450,institutions_spss!A:M,10,0)</f>
        <v>0.16500000000000001</v>
      </c>
      <c r="D450">
        <f>VLOOKUP(A450,institutions_spss!A:M,11,0)</f>
        <v>0.253</v>
      </c>
      <c r="E450">
        <f>VLOOKUP(A450,institutions_spss!A:M,12,0)</f>
        <v>0.38300000000000001</v>
      </c>
      <c r="F450">
        <f>VLOOKUP(A450,institutions_spss!A:M,13,0)</f>
        <v>0.45</v>
      </c>
    </row>
    <row r="451" spans="1:6" x14ac:dyDescent="0.25">
      <c r="A451" t="str">
        <f>institutions_spss!A453</f>
        <v>Aalborg University</v>
      </c>
      <c r="B451">
        <f>VLOOKUP(A451,institutions_spss!A:M,9,0)</f>
        <v>0.26200000000000001</v>
      </c>
      <c r="C451">
        <f>VLOOKUP(A451,institutions_spss!A:M,10,0)</f>
        <v>0.26800000000000002</v>
      </c>
      <c r="D451">
        <f>VLOOKUP(A451,institutions_spss!A:M,11,0)</f>
        <v>0.33800000000000002</v>
      </c>
      <c r="E451">
        <f>VLOOKUP(A451,institutions_spss!A:M,12,0)</f>
        <v>0.35</v>
      </c>
      <c r="F451">
        <f>VLOOKUP(A451,institutions_spss!A:M,13,0)</f>
        <v>0.29699999999999999</v>
      </c>
    </row>
    <row r="452" spans="1:6" x14ac:dyDescent="0.25">
      <c r="A452" t="str">
        <f>institutions_spss!A454</f>
        <v>Aix-Marseille Universite</v>
      </c>
      <c r="B452">
        <f>VLOOKUP(A452,institutions_spss!A:M,9,0)</f>
        <v>0.223</v>
      </c>
      <c r="C452">
        <f>VLOOKUP(A452,institutions_spss!A:M,10,0)</f>
        <v>0.47799999999999998</v>
      </c>
      <c r="D452">
        <f>VLOOKUP(A452,institutions_spss!A:M,11,0)</f>
        <v>0.187</v>
      </c>
      <c r="E452">
        <f>VLOOKUP(A452,institutions_spss!A:M,12,0)</f>
        <v>0.192</v>
      </c>
      <c r="F452">
        <f>VLOOKUP(A452,institutions_spss!A:M,13,0)</f>
        <v>0.33500000000000002</v>
      </c>
    </row>
    <row r="453" spans="1:6" x14ac:dyDescent="0.25">
      <c r="A453" t="str">
        <f>institutions_spss!A455</f>
        <v>Dongbei University of Finance &amp; Economics</v>
      </c>
      <c r="B453">
        <f>VLOOKUP(A453,institutions_spss!A:M,9,0)</f>
        <v>0.27700000000000002</v>
      </c>
      <c r="C453">
        <f>VLOOKUP(A453,institutions_spss!A:M,10,0)</f>
        <v>0.13500000000000001</v>
      </c>
      <c r="D453">
        <f>VLOOKUP(A453,institutions_spss!A:M,11,0)</f>
        <v>0.47299999999999998</v>
      </c>
      <c r="E453">
        <f>VLOOKUP(A453,institutions_spss!A:M,12,0)</f>
        <v>0.23799999999999999</v>
      </c>
      <c r="F453">
        <f>VLOOKUP(A453,institutions_spss!A:M,13,0)</f>
        <v>0.30199999999999999</v>
      </c>
    </row>
    <row r="454" spans="1:6" x14ac:dyDescent="0.25">
      <c r="A454" t="str">
        <f>institutions_spss!A456</f>
        <v>Edith Cowan University</v>
      </c>
      <c r="B454">
        <f>VLOOKUP(A454,institutions_spss!A:M,9,0)</f>
        <v>0.23699999999999999</v>
      </c>
      <c r="C454">
        <f>VLOOKUP(A454,institutions_spss!A:M,10,0)</f>
        <v>0.16500000000000001</v>
      </c>
      <c r="D454">
        <f>VLOOKUP(A454,institutions_spss!A:M,11,0)</f>
        <v>0.36499999999999999</v>
      </c>
      <c r="E454">
        <f>VLOOKUP(A454,institutions_spss!A:M,12,0)</f>
        <v>0.378</v>
      </c>
      <c r="F454">
        <f>VLOOKUP(A454,institutions_spss!A:M,13,0)</f>
        <v>0.22500000000000001</v>
      </c>
    </row>
    <row r="455" spans="1:6" x14ac:dyDescent="0.25">
      <c r="A455" t="str">
        <f>institutions_spss!A457</f>
        <v>Hunan University</v>
      </c>
      <c r="B455">
        <f>VLOOKUP(A455,institutions_spss!A:M,9,0)</f>
        <v>0.23</v>
      </c>
      <c r="C455">
        <f>VLOOKUP(A455,institutions_spss!A:M,10,0)</f>
        <v>0.42199999999999999</v>
      </c>
      <c r="D455">
        <f>VLOOKUP(A455,institutions_spss!A:M,11,0)</f>
        <v>0.39</v>
      </c>
      <c r="E455">
        <f>VLOOKUP(A455,institutions_spss!A:M,12,0)</f>
        <v>0.192</v>
      </c>
      <c r="F455">
        <f>VLOOKUP(A455,institutions_spss!A:M,13,0)</f>
        <v>0.81799999999999995</v>
      </c>
    </row>
    <row r="456" spans="1:6" x14ac:dyDescent="0.25">
      <c r="A456" t="str">
        <f>institutions_spss!A458</f>
        <v>Illinois State University</v>
      </c>
      <c r="B456">
        <f>VLOOKUP(A456,institutions_spss!A:M,9,0)</f>
        <v>0.26200000000000001</v>
      </c>
      <c r="C456">
        <f>VLOOKUP(A456,institutions_spss!A:M,10,0)</f>
        <v>0.24199999999999999</v>
      </c>
      <c r="D456">
        <f>VLOOKUP(A456,institutions_spss!A:M,11,0)</f>
        <v>0.34699999999999998</v>
      </c>
      <c r="E456">
        <f>VLOOKUP(A456,institutions_spss!A:M,12,0)</f>
        <v>0.39700000000000002</v>
      </c>
      <c r="F456">
        <f>VLOOKUP(A456,institutions_spss!A:M,13,0)</f>
        <v>0.21199999999999999</v>
      </c>
    </row>
    <row r="457" spans="1:6" x14ac:dyDescent="0.25">
      <c r="A457" t="str">
        <f>institutions_spss!A459</f>
        <v>Manchester Metropolitan University</v>
      </c>
      <c r="B457">
        <f>VLOOKUP(A457,institutions_spss!A:M,9,0)</f>
        <v>0.26200000000000001</v>
      </c>
      <c r="C457">
        <f>VLOOKUP(A457,institutions_spss!A:M,10,0)</f>
        <v>0.31</v>
      </c>
      <c r="D457">
        <f>VLOOKUP(A457,institutions_spss!A:M,11,0)</f>
        <v>0.1</v>
      </c>
      <c r="E457">
        <f>VLOOKUP(A457,institutions_spss!A:M,12,0)</f>
        <v>0.33700000000000002</v>
      </c>
      <c r="F457">
        <f>VLOOKUP(A457,institutions_spss!A:M,13,0)</f>
        <v>0.24199999999999999</v>
      </c>
    </row>
    <row r="458" spans="1:6" x14ac:dyDescent="0.25">
      <c r="A458" t="str">
        <f>institutions_spss!A460</f>
        <v>Sun Yat Sen University</v>
      </c>
      <c r="B458">
        <f>VLOOKUP(A458,institutions_spss!A:M,9,0)</f>
        <v>0.26200000000000001</v>
      </c>
      <c r="C458">
        <f>VLOOKUP(A458,institutions_spss!A:M,10,0)</f>
        <v>0.24199999999999999</v>
      </c>
      <c r="D458">
        <f>VLOOKUP(A458,institutions_spss!A:M,11,0)</f>
        <v>0.38200000000000001</v>
      </c>
      <c r="E458">
        <f>VLOOKUP(A458,institutions_spss!A:M,12,0)</f>
        <v>0.39700000000000002</v>
      </c>
      <c r="F458">
        <f>VLOOKUP(A458,institutions_spss!A:M,13,0)</f>
        <v>0.32500000000000001</v>
      </c>
    </row>
    <row r="459" spans="1:6" x14ac:dyDescent="0.25">
      <c r="A459" t="str">
        <f>institutions_spss!A461</f>
        <v>Universite de Strasbourg</v>
      </c>
      <c r="B459">
        <f>VLOOKUP(A459,institutions_spss!A:M,9,0)</f>
        <v>0.223</v>
      </c>
      <c r="C459">
        <f>VLOOKUP(A459,institutions_spss!A:M,10,0)</f>
        <v>0.34799999999999998</v>
      </c>
      <c r="D459">
        <f>VLOOKUP(A459,institutions_spss!A:M,11,0)</f>
        <v>0.498</v>
      </c>
      <c r="E459">
        <f>VLOOKUP(A459,institutions_spss!A:M,12,0)</f>
        <v>0.3</v>
      </c>
      <c r="F459">
        <f>VLOOKUP(A459,institutions_spss!A:M,13,0)</f>
        <v>0.67200000000000004</v>
      </c>
    </row>
    <row r="460" spans="1:6" x14ac:dyDescent="0.25">
      <c r="A460" t="str">
        <f>institutions_spss!A462</f>
        <v>University of New Mexico</v>
      </c>
      <c r="B460">
        <f>VLOOKUP(A460,institutions_spss!A:M,9,0)</f>
        <v>0.23699999999999999</v>
      </c>
      <c r="C460">
        <f>VLOOKUP(A460,institutions_spss!A:M,10,0)</f>
        <v>0.2</v>
      </c>
      <c r="D460">
        <f>VLOOKUP(A460,institutions_spss!A:M,11,0)</f>
        <v>0.17</v>
      </c>
      <c r="E460">
        <f>VLOOKUP(A460,institutions_spss!A:M,12,0)</f>
        <v>0.33700000000000002</v>
      </c>
      <c r="F460">
        <f>VLOOKUP(A460,institutions_spss!A:M,13,0)</f>
        <v>0.51800000000000002</v>
      </c>
    </row>
    <row r="461" spans="1:6" x14ac:dyDescent="0.25">
      <c r="A461" t="str">
        <f>institutions_spss!A463</f>
        <v>University of West England</v>
      </c>
      <c r="B461">
        <f>VLOOKUP(A461,institutions_spss!A:M,9,0)</f>
        <v>0.32500000000000001</v>
      </c>
      <c r="C461">
        <f>VLOOKUP(A461,institutions_spss!A:M,10,0)</f>
        <v>0.253</v>
      </c>
      <c r="D461">
        <f>VLOOKUP(A461,institutions_spss!A:M,11,0)</f>
        <v>0</v>
      </c>
      <c r="E461">
        <f>VLOOKUP(A461,institutions_spss!A:M,12,0)</f>
        <v>0.35799999999999998</v>
      </c>
      <c r="F461">
        <f>VLOOKUP(A461,institutions_spss!A:M,13,0)</f>
        <v>0.45</v>
      </c>
    </row>
    <row r="462" spans="1:6" x14ac:dyDescent="0.25">
      <c r="A462" t="str">
        <f>institutions_spss!A464</f>
        <v>Brunel University</v>
      </c>
      <c r="B462">
        <f>VLOOKUP(A462,institutions_spss!A:M,9,0)</f>
        <v>0.248</v>
      </c>
      <c r="C462">
        <f>VLOOKUP(A462,institutions_spss!A:M,10,0)</f>
        <v>0.125</v>
      </c>
      <c r="D462">
        <f>VLOOKUP(A462,institutions_spss!A:M,11,0)</f>
        <v>0.187</v>
      </c>
      <c r="E462">
        <f>VLOOKUP(A462,institutions_spss!A:M,12,0)</f>
        <v>0.378</v>
      </c>
      <c r="F462">
        <f>VLOOKUP(A462,institutions_spss!A:M,13,0)</f>
        <v>0.56499999999999995</v>
      </c>
    </row>
    <row r="463" spans="1:6" x14ac:dyDescent="0.25">
      <c r="A463" t="str">
        <f>institutions_spss!A465</f>
        <v>Catholic University of the Sacred Heart</v>
      </c>
      <c r="B463">
        <f>VLOOKUP(A463,institutions_spss!A:M,9,0)</f>
        <v>0.223</v>
      </c>
      <c r="C463">
        <f>VLOOKUP(A463,institutions_spss!A:M,10,0)</f>
        <v>0.36199999999999999</v>
      </c>
      <c r="D463">
        <f>VLOOKUP(A463,institutions_spss!A:M,11,0)</f>
        <v>0.27800000000000002</v>
      </c>
      <c r="E463">
        <f>VLOOKUP(A463,institutions_spss!A:M,12,0)</f>
        <v>0.42299999999999999</v>
      </c>
      <c r="F463">
        <f>VLOOKUP(A463,institutions_spss!A:M,13,0)</f>
        <v>0.318</v>
      </c>
    </row>
    <row r="464" spans="1:6" x14ac:dyDescent="0.25">
      <c r="A464" t="str">
        <f>institutions_spss!A466</f>
        <v>La Trobe University</v>
      </c>
      <c r="B464">
        <f>VLOOKUP(A464,institutions_spss!A:M,9,0)</f>
        <v>0.248</v>
      </c>
      <c r="C464">
        <f>VLOOKUP(A464,institutions_spss!A:M,10,0)</f>
        <v>0.42199999999999999</v>
      </c>
      <c r="D464">
        <f>VLOOKUP(A464,institutions_spss!A:M,11,0)</f>
        <v>0.41199999999999998</v>
      </c>
      <c r="E464">
        <f>VLOOKUP(A464,institutions_spss!A:M,12,0)</f>
        <v>0.32200000000000001</v>
      </c>
      <c r="F464">
        <f>VLOOKUP(A464,institutions_spss!A:M,13,0)</f>
        <v>0.217</v>
      </c>
    </row>
    <row r="465" spans="1:6" x14ac:dyDescent="0.25">
      <c r="A465" t="str">
        <f>institutions_spss!A467</f>
        <v>University of Portsmouth</v>
      </c>
      <c r="B465">
        <f>VLOOKUP(A465,institutions_spss!A:M,9,0)</f>
        <v>0.28299999999999997</v>
      </c>
      <c r="C465">
        <f>VLOOKUP(A465,institutions_spss!A:M,10,0)</f>
        <v>0.40300000000000002</v>
      </c>
      <c r="D465">
        <f>VLOOKUP(A465,institutions_spss!A:M,11,0)</f>
        <v>0.26800000000000002</v>
      </c>
      <c r="E465">
        <f>VLOOKUP(A465,institutions_spss!A:M,12,0)</f>
        <v>0.3</v>
      </c>
      <c r="F465">
        <f>VLOOKUP(A465,institutions_spss!A:M,13,0)</f>
        <v>0.34799999999999998</v>
      </c>
    </row>
    <row r="466" spans="1:6" x14ac:dyDescent="0.25">
      <c r="A466" t="str">
        <f>institutions_spss!A468</f>
        <v>Nanjing Audit University</v>
      </c>
      <c r="B466">
        <f>VLOOKUP(A466,institutions_spss!A:M,9,0)</f>
        <v>0.23</v>
      </c>
      <c r="C466">
        <f>VLOOKUP(A466,institutions_spss!A:M,10,0)</f>
        <v>0.40300000000000002</v>
      </c>
      <c r="D466">
        <f>VLOOKUP(A466,institutions_spss!A:M,11,0)</f>
        <v>0.41199999999999998</v>
      </c>
      <c r="E466">
        <f>VLOOKUP(A466,institutions_spss!A:M,12,0)</f>
        <v>0.122</v>
      </c>
      <c r="F466">
        <f>VLOOKUP(A466,institutions_spss!A:M,13,0)</f>
        <v>0.182</v>
      </c>
    </row>
    <row r="467" spans="1:6" x14ac:dyDescent="0.25">
      <c r="A467" t="str">
        <f>institutions_spss!A469</f>
        <v>Nanjing University of Science &amp; Technology</v>
      </c>
      <c r="B467">
        <f>VLOOKUP(A467,institutions_spss!A:M,9,0)</f>
        <v>0.23</v>
      </c>
      <c r="C467">
        <f>VLOOKUP(A467,institutions_spss!A:M,10,0)</f>
        <v>0.60799999999999998</v>
      </c>
      <c r="D467">
        <f>VLOOKUP(A467,institutions_spss!A:M,11,0)</f>
        <v>0.312</v>
      </c>
      <c r="E467">
        <f>VLOOKUP(A467,institutions_spss!A:M,12,0)</f>
        <v>0.158</v>
      </c>
      <c r="F467">
        <f>VLOOKUP(A467,institutions_spss!A:M,13,0)</f>
        <v>0.125</v>
      </c>
    </row>
    <row r="468" spans="1:6" x14ac:dyDescent="0.25">
      <c r="A468" t="str">
        <f>institutions_spss!A470</f>
        <v>National Chengchi University</v>
      </c>
      <c r="B468">
        <f>VLOOKUP(A468,institutions_spss!A:M,9,0)</f>
        <v>0.2</v>
      </c>
      <c r="C468">
        <f>VLOOKUP(A468,institutions_spss!A:M,10,0)</f>
        <v>0.14499999999999999</v>
      </c>
      <c r="D468">
        <f>VLOOKUP(A468,institutions_spss!A:M,11,0)</f>
        <v>0.45800000000000002</v>
      </c>
      <c r="E468">
        <f>VLOOKUP(A468,institutions_spss!A:M,12,0)</f>
        <v>0.3</v>
      </c>
      <c r="F468">
        <f>VLOOKUP(A468,institutions_spss!A:M,13,0)</f>
        <v>0.372</v>
      </c>
    </row>
    <row r="469" spans="1:6" x14ac:dyDescent="0.25">
      <c r="A469" t="str">
        <f>institutions_spss!A471</f>
        <v>University of Salento</v>
      </c>
      <c r="B469">
        <f>VLOOKUP(A469,institutions_spss!A:M,9,0)</f>
        <v>0.248</v>
      </c>
      <c r="C469">
        <f>VLOOKUP(A469,institutions_spss!A:M,10,0)</f>
        <v>4.8000000000000001E-2</v>
      </c>
      <c r="D469">
        <f>VLOOKUP(A469,institutions_spss!A:M,11,0)</f>
        <v>0</v>
      </c>
      <c r="E469">
        <f>VLOOKUP(A469,institutions_spss!A:M,12,0)</f>
        <v>0.37</v>
      </c>
      <c r="F469">
        <f>VLOOKUP(A469,institutions_spss!A:M,13,0)</f>
        <v>0.51500000000000001</v>
      </c>
    </row>
    <row r="470" spans="1:6" x14ac:dyDescent="0.25">
      <c r="A470" t="str">
        <f>institutions_spss!A472</f>
        <v>Toronto Metropolitan University</v>
      </c>
      <c r="B470">
        <f>VLOOKUP(A470,institutions_spss!A:M,9,0)</f>
        <v>0.27700000000000002</v>
      </c>
      <c r="C470">
        <f>VLOOKUP(A470,institutions_spss!A:M,10,0)</f>
        <v>0.125</v>
      </c>
      <c r="D470">
        <f>VLOOKUP(A470,institutions_spss!A:M,11,0)</f>
        <v>0.23</v>
      </c>
      <c r="E470">
        <f>VLOOKUP(A470,institutions_spss!A:M,12,0)</f>
        <v>0.26700000000000002</v>
      </c>
      <c r="F470">
        <f>VLOOKUP(A470,institutions_spss!A:M,13,0)</f>
        <v>0.39800000000000002</v>
      </c>
    </row>
    <row r="471" spans="1:6" x14ac:dyDescent="0.25">
      <c r="A471" t="str">
        <f>institutions_spss!A473</f>
        <v>University of Cape Town</v>
      </c>
      <c r="B471">
        <f>VLOOKUP(A471,institutions_spss!A:M,9,0)</f>
        <v>0.21199999999999999</v>
      </c>
      <c r="C471">
        <f>VLOOKUP(A471,institutions_spss!A:M,10,0)</f>
        <v>0.29799999999999999</v>
      </c>
      <c r="D471">
        <f>VLOOKUP(A471,institutions_spss!A:M,11,0)</f>
        <v>0.157</v>
      </c>
      <c r="E471">
        <f>VLOOKUP(A471,institutions_spss!A:M,12,0)</f>
        <v>0.71799999999999997</v>
      </c>
      <c r="F471">
        <f>VLOOKUP(A471,institutions_spss!A:M,13,0)</f>
        <v>7.4999999999999997E-2</v>
      </c>
    </row>
    <row r="472" spans="1:6" x14ac:dyDescent="0.25">
      <c r="A472" t="str">
        <f>institutions_spss!A474</f>
        <v>University of East Anglia</v>
      </c>
      <c r="B472">
        <f>VLOOKUP(A472,institutions_spss!A:M,9,0)</f>
        <v>0.21199999999999999</v>
      </c>
      <c r="C472">
        <f>VLOOKUP(A472,institutions_spss!A:M,10,0)</f>
        <v>0.29799999999999999</v>
      </c>
      <c r="D472">
        <f>VLOOKUP(A472,institutions_spss!A:M,11,0)</f>
        <v>0.107</v>
      </c>
      <c r="E472">
        <f>VLOOKUP(A472,institutions_spss!A:M,12,0)</f>
        <v>0.49</v>
      </c>
      <c r="F472">
        <f>VLOOKUP(A472,institutions_spss!A:M,13,0)</f>
        <v>0.30499999999999999</v>
      </c>
    </row>
    <row r="473" spans="1:6" x14ac:dyDescent="0.25">
      <c r="A473" t="str">
        <f>institutions_spss!A475</f>
        <v>Xi'an Jiaotong-Liverpool University</v>
      </c>
      <c r="B473">
        <f>VLOOKUP(A473,institutions_spss!A:M,9,0)</f>
        <v>0.217</v>
      </c>
      <c r="C473">
        <f>VLOOKUP(A473,institutions_spss!A:M,10,0)</f>
        <v>0.108</v>
      </c>
      <c r="D473">
        <f>VLOOKUP(A473,institutions_spss!A:M,11,0)</f>
        <v>0.17</v>
      </c>
      <c r="E473">
        <f>VLOOKUP(A473,institutions_spss!A:M,12,0)</f>
        <v>0.35</v>
      </c>
      <c r="F473">
        <f>VLOOKUP(A473,institutions_spss!A:M,13,0)</f>
        <v>0.41699999999999998</v>
      </c>
    </row>
    <row r="474" spans="1:6" x14ac:dyDescent="0.25">
      <c r="A474" t="str">
        <f>institutions_spss!A476</f>
        <v>Consejo Superior de Investigaciones Cientificas (CSIC)</v>
      </c>
      <c r="B474">
        <f>VLOOKUP(A474,institutions_spss!A:M,9,0)</f>
        <v>0.217</v>
      </c>
      <c r="C474">
        <f>VLOOKUP(A474,institutions_spss!A:M,10,0)</f>
        <v>0.432</v>
      </c>
      <c r="D474">
        <f>VLOOKUP(A474,institutions_spss!A:M,11,0)</f>
        <v>0</v>
      </c>
      <c r="E474">
        <f>VLOOKUP(A474,institutions_spss!A:M,12,0)</f>
        <v>0</v>
      </c>
      <c r="F474">
        <f>VLOOKUP(A474,institutions_spss!A:M,13,0)</f>
        <v>0.43</v>
      </c>
    </row>
    <row r="475" spans="1:6" x14ac:dyDescent="0.25">
      <c r="A475" t="str">
        <f>institutions_spss!A477</f>
        <v>Kozminski University</v>
      </c>
      <c r="B475">
        <f>VLOOKUP(A475,institutions_spss!A:M,9,0)</f>
        <v>0.2</v>
      </c>
      <c r="C475">
        <f>VLOOKUP(A475,institutions_spss!A:M,10,0)</f>
        <v>8.7999999999999995E-2</v>
      </c>
      <c r="D475">
        <f>VLOOKUP(A475,institutions_spss!A:M,11,0)</f>
        <v>0.13500000000000001</v>
      </c>
      <c r="E475">
        <f>VLOOKUP(A475,institutions_spss!A:M,12,0)</f>
        <v>0.44</v>
      </c>
      <c r="F475">
        <f>VLOOKUP(A475,institutions_spss!A:M,13,0)</f>
        <v>0.308</v>
      </c>
    </row>
    <row r="476" spans="1:6" x14ac:dyDescent="0.25">
      <c r="A476" t="str">
        <f>institutions_spss!A478</f>
        <v>Northeastern University - China</v>
      </c>
      <c r="B476">
        <f>VLOOKUP(A476,institutions_spss!A:M,9,0)</f>
        <v>0.23699999999999999</v>
      </c>
      <c r="C476">
        <f>VLOOKUP(A476,institutions_spss!A:M,10,0)</f>
        <v>0.16500000000000001</v>
      </c>
      <c r="D476">
        <f>VLOOKUP(A476,institutions_spss!A:M,11,0)</f>
        <v>0.435</v>
      </c>
      <c r="E476">
        <f>VLOOKUP(A476,institutions_spss!A:M,12,0)</f>
        <v>0.64800000000000002</v>
      </c>
      <c r="F476">
        <f>VLOOKUP(A476,institutions_spss!A:M,13,0)</f>
        <v>0.25800000000000001</v>
      </c>
    </row>
    <row r="477" spans="1:6" x14ac:dyDescent="0.25">
      <c r="A477" t="str">
        <f>institutions_spss!A479</f>
        <v>University of Helsinki</v>
      </c>
      <c r="B477">
        <f>VLOOKUP(A477,institutions_spss!A:M,9,0)</f>
        <v>0.26200000000000001</v>
      </c>
      <c r="C477">
        <f>VLOOKUP(A477,institutions_spss!A:M,10,0)</f>
        <v>0.28299999999999997</v>
      </c>
      <c r="D477">
        <f>VLOOKUP(A477,institutions_spss!A:M,11,0)</f>
        <v>0.29699999999999999</v>
      </c>
      <c r="E477">
        <f>VLOOKUP(A477,institutions_spss!A:M,12,0)</f>
        <v>0.37</v>
      </c>
      <c r="F477">
        <f>VLOOKUP(A477,institutions_spss!A:M,13,0)</f>
        <v>0.60499999999999998</v>
      </c>
    </row>
    <row r="478" spans="1:6" x14ac:dyDescent="0.25">
      <c r="A478" t="str">
        <f>institutions_spss!A480</f>
        <v>Xi'an Jiaotong University</v>
      </c>
      <c r="B478">
        <f>VLOOKUP(A478,institutions_spss!A:M,9,0)</f>
        <v>0.223</v>
      </c>
      <c r="C478">
        <f>VLOOKUP(A478,institutions_spss!A:M,10,0)</f>
        <v>0.02</v>
      </c>
      <c r="D478">
        <f>VLOOKUP(A478,institutions_spss!A:M,11,0)</f>
        <v>0.42199999999999999</v>
      </c>
      <c r="E478">
        <f>VLOOKUP(A478,institutions_spss!A:M,12,0)</f>
        <v>0.255</v>
      </c>
      <c r="F478">
        <f>VLOOKUP(A478,institutions_spss!A:M,13,0)</f>
        <v>0.255</v>
      </c>
    </row>
    <row r="479" spans="1:6" x14ac:dyDescent="0.25">
      <c r="A479" t="str">
        <f>institutions_spss!A481</f>
        <v>Beihang University</v>
      </c>
      <c r="B479">
        <f>VLOOKUP(A479,institutions_spss!A:M,9,0)</f>
        <v>0.2</v>
      </c>
      <c r="C479">
        <f>VLOOKUP(A479,institutions_spss!A:M,10,0)</f>
        <v>0.36199999999999999</v>
      </c>
      <c r="D479">
        <f>VLOOKUP(A479,institutions_spss!A:M,11,0)</f>
        <v>0.48</v>
      </c>
      <c r="E479">
        <f>VLOOKUP(A479,institutions_spss!A:M,12,0)</f>
        <v>0.107</v>
      </c>
      <c r="F479">
        <f>VLOOKUP(A479,institutions_spss!A:M,13,0)</f>
        <v>0.152</v>
      </c>
    </row>
    <row r="480" spans="1:6" x14ac:dyDescent="0.25">
      <c r="A480" t="str">
        <f>institutions_spss!A482</f>
        <v>Marche Polytechnic University</v>
      </c>
      <c r="B480">
        <f>VLOOKUP(A480,institutions_spss!A:M,9,0)</f>
        <v>0.17799999999999999</v>
      </c>
      <c r="C480">
        <f>VLOOKUP(A480,institutions_spss!A:M,10,0)</f>
        <v>0.253</v>
      </c>
      <c r="D480">
        <f>VLOOKUP(A480,institutions_spss!A:M,11,0)</f>
        <v>0.35699999999999998</v>
      </c>
      <c r="E480">
        <f>VLOOKUP(A480,institutions_spss!A:M,12,0)</f>
        <v>0.42299999999999999</v>
      </c>
      <c r="F480">
        <f>VLOOKUP(A480,institutions_spss!A:M,13,0)</f>
        <v>0.21199999999999999</v>
      </c>
    </row>
    <row r="481" spans="1:6" x14ac:dyDescent="0.25">
      <c r="A481" t="str">
        <f>institutions_spss!A483</f>
        <v>Universite de Rennes</v>
      </c>
      <c r="B481">
        <f>VLOOKUP(A481,institutions_spss!A:M,9,0)</f>
        <v>0.19500000000000001</v>
      </c>
      <c r="C481">
        <f>VLOOKUP(A481,institutions_spss!A:M,10,0)</f>
        <v>0.33</v>
      </c>
      <c r="D481">
        <f>VLOOKUP(A481,institutions_spss!A:M,11,0)</f>
        <v>0.107</v>
      </c>
      <c r="E481">
        <f>VLOOKUP(A481,institutions_spss!A:M,12,0)</f>
        <v>0.20200000000000001</v>
      </c>
      <c r="F481">
        <f>VLOOKUP(A481,institutions_spss!A:M,13,0)</f>
        <v>0.42699999999999999</v>
      </c>
    </row>
    <row r="482" spans="1:6" x14ac:dyDescent="0.25">
      <c r="A482" t="str">
        <f>institutions_spss!A484</f>
        <v>University of Zagreb</v>
      </c>
      <c r="B482">
        <f>VLOOKUP(A482,institutions_spss!A:M,9,0)</f>
        <v>0.21199999999999999</v>
      </c>
      <c r="C482">
        <f>VLOOKUP(A482,institutions_spss!A:M,10,0)</f>
        <v>2.8000000000000001E-2</v>
      </c>
      <c r="D482">
        <f>VLOOKUP(A482,institutions_spss!A:M,11,0)</f>
        <v>6.2E-2</v>
      </c>
      <c r="E482">
        <f>VLOOKUP(A482,institutions_spss!A:M,12,0)</f>
        <v>0.502</v>
      </c>
      <c r="F482">
        <f>VLOOKUP(A482,institutions_spss!A:M,13,0)</f>
        <v>0.28699999999999998</v>
      </c>
    </row>
    <row r="483" spans="1:6" x14ac:dyDescent="0.25">
      <c r="A483" t="str">
        <f>institutions_spss!A485</f>
        <v>Guangdong University of Foreign Studies</v>
      </c>
      <c r="B483">
        <f>VLOOKUP(A483,institutions_spss!A:M,9,0)</f>
        <v>0.188</v>
      </c>
      <c r="C483">
        <f>VLOOKUP(A483,institutions_spss!A:M,10,0)</f>
        <v>0.16500000000000001</v>
      </c>
      <c r="D483">
        <f>VLOOKUP(A483,institutions_spss!A:M,11,0)</f>
        <v>0.45300000000000001</v>
      </c>
      <c r="E483">
        <f>VLOOKUP(A483,institutions_spss!A:M,12,0)</f>
        <v>0.255</v>
      </c>
      <c r="F483">
        <f>VLOOKUP(A483,institutions_spss!A:M,13,0)</f>
        <v>0.182</v>
      </c>
    </row>
    <row r="484" spans="1:6" x14ac:dyDescent="0.25">
      <c r="A484" t="str">
        <f>institutions_spss!A486</f>
        <v>IPAG Business School</v>
      </c>
      <c r="B484">
        <f>VLOOKUP(A484,institutions_spss!A:M,9,0)</f>
        <v>0.21199999999999999</v>
      </c>
      <c r="C484">
        <f>VLOOKUP(A484,institutions_spss!A:M,10,0)</f>
        <v>0.26800000000000002</v>
      </c>
      <c r="D484">
        <f>VLOOKUP(A484,institutions_spss!A:M,11,0)</f>
        <v>0.42199999999999999</v>
      </c>
      <c r="E484">
        <f>VLOOKUP(A484,institutions_spss!A:M,12,0)</f>
        <v>0.33700000000000002</v>
      </c>
      <c r="F484">
        <f>VLOOKUP(A484,institutions_spss!A:M,13,0)</f>
        <v>0.16200000000000001</v>
      </c>
    </row>
    <row r="485" spans="1:6" x14ac:dyDescent="0.25">
      <c r="A485" t="str">
        <f>institutions_spss!A487</f>
        <v>Shenzhen University</v>
      </c>
      <c r="B485">
        <f>VLOOKUP(A485,institutions_spss!A:M,9,0)</f>
        <v>0.188</v>
      </c>
      <c r="C485">
        <f>VLOOKUP(A485,institutions_spss!A:M,10,0)</f>
        <v>0.22800000000000001</v>
      </c>
      <c r="D485">
        <f>VLOOKUP(A485,institutions_spss!A:M,11,0)</f>
        <v>0.35699999999999998</v>
      </c>
      <c r="E485">
        <f>VLOOKUP(A485,institutions_spss!A:M,12,0)</f>
        <v>0.35</v>
      </c>
      <c r="F485">
        <f>VLOOKUP(A485,institutions_spss!A:M,13,0)</f>
        <v>0.21199999999999999</v>
      </c>
    </row>
    <row r="486" spans="1:6" x14ac:dyDescent="0.25">
      <c r="A486" t="str">
        <f>institutions_spss!A488</f>
        <v>Universite PSL</v>
      </c>
      <c r="B486">
        <f>VLOOKUP(A486,institutions_spss!A:M,9,0)</f>
        <v>0.188</v>
      </c>
      <c r="C486">
        <f>VLOOKUP(A486,institutions_spss!A:M,10,0)</f>
        <v>0.24199999999999999</v>
      </c>
      <c r="D486">
        <f>VLOOKUP(A486,institutions_spss!A:M,11,0)</f>
        <v>0.40200000000000002</v>
      </c>
      <c r="E486">
        <f>VLOOKUP(A486,institutions_spss!A:M,12,0)</f>
        <v>0.158</v>
      </c>
      <c r="F486">
        <f>VLOOKUP(A486,institutions_spss!A:M,13,0)</f>
        <v>0.48799999999999999</v>
      </c>
    </row>
    <row r="487" spans="1:6" x14ac:dyDescent="0.25">
      <c r="A487" t="str">
        <f>institutions_spss!A489</f>
        <v>Brock University</v>
      </c>
      <c r="B487">
        <f>VLOOKUP(A487,institutions_spss!A:M,9,0)</f>
        <v>0.27700000000000002</v>
      </c>
      <c r="C487">
        <f>VLOOKUP(A487,institutions_spss!A:M,10,0)</f>
        <v>2.8000000000000001E-2</v>
      </c>
      <c r="D487">
        <f>VLOOKUP(A487,institutions_spss!A:M,11,0)</f>
        <v>0.127</v>
      </c>
      <c r="E487">
        <f>VLOOKUP(A487,institutions_spss!A:M,12,0)</f>
        <v>0.315</v>
      </c>
      <c r="F487">
        <f>VLOOKUP(A487,institutions_spss!A:M,13,0)</f>
        <v>0.39800000000000002</v>
      </c>
    </row>
    <row r="488" spans="1:6" x14ac:dyDescent="0.25">
      <c r="A488" t="str">
        <f>institutions_spss!A490</f>
        <v>Coventry University</v>
      </c>
      <c r="B488">
        <f>VLOOKUP(A488,institutions_spss!A:M,9,0)</f>
        <v>0.188</v>
      </c>
      <c r="C488">
        <f>VLOOKUP(A488,institutions_spss!A:M,10,0)</f>
        <v>6.8000000000000005E-2</v>
      </c>
      <c r="D488">
        <f>VLOOKUP(A488,institutions_spss!A:M,11,0)</f>
        <v>0.22</v>
      </c>
      <c r="E488">
        <f>VLOOKUP(A488,institutions_spss!A:M,12,0)</f>
        <v>0.28699999999999998</v>
      </c>
      <c r="F488">
        <f>VLOOKUP(A488,institutions_spss!A:M,13,0)</f>
        <v>0.23699999999999999</v>
      </c>
    </row>
    <row r="489" spans="1:6" x14ac:dyDescent="0.25">
      <c r="A489" t="str">
        <f>institutions_spss!A491</f>
        <v>Nanchang University</v>
      </c>
      <c r="B489">
        <f>VLOOKUP(A489,institutions_spss!A:M,9,0)</f>
        <v>0.14699999999999999</v>
      </c>
      <c r="C489">
        <f>VLOOKUP(A489,institutions_spss!A:M,10,0)</f>
        <v>0.42199999999999999</v>
      </c>
      <c r="D489">
        <f>VLOOKUP(A489,institutions_spss!A:M,11,0)</f>
        <v>0.22</v>
      </c>
      <c r="E489">
        <f>VLOOKUP(A489,institutions_spss!A:M,12,0)</f>
        <v>0.152</v>
      </c>
      <c r="F489">
        <f>VLOOKUP(A489,institutions_spss!A:M,13,0)</f>
        <v>0.125</v>
      </c>
    </row>
    <row r="490" spans="1:6" x14ac:dyDescent="0.25">
      <c r="A490" t="str">
        <f>institutions_spss!A492</f>
        <v>Seoul National University (SNU)</v>
      </c>
      <c r="B490">
        <f>VLOOKUP(A490,institutions_spss!A:M,9,0)</f>
        <v>0.17799999999999999</v>
      </c>
      <c r="C490">
        <f>VLOOKUP(A490,institutions_spss!A:M,10,0)</f>
        <v>0.34200000000000003</v>
      </c>
      <c r="D490">
        <f>VLOOKUP(A490,institutions_spss!A:M,11,0)</f>
        <v>0.65500000000000003</v>
      </c>
      <c r="E490">
        <f>VLOOKUP(A490,institutions_spss!A:M,12,0)</f>
        <v>0.223</v>
      </c>
      <c r="F490">
        <f>VLOOKUP(A490,institutions_spss!A:M,13,0)</f>
        <v>0.26700000000000002</v>
      </c>
    </row>
    <row r="491" spans="1:6" x14ac:dyDescent="0.25">
      <c r="A491" t="str">
        <f>institutions_spss!A493</f>
        <v>Universidad de Chile</v>
      </c>
      <c r="B491">
        <f>VLOOKUP(A491,institutions_spss!A:M,9,0)</f>
        <v>0.14699999999999999</v>
      </c>
      <c r="C491">
        <f>VLOOKUP(A491,institutions_spss!A:M,10,0)</f>
        <v>0.18</v>
      </c>
      <c r="D491">
        <f>VLOOKUP(A491,institutions_spss!A:M,11,0)</f>
        <v>0.59199999999999997</v>
      </c>
      <c r="E491">
        <f>VLOOKUP(A491,institutions_spss!A:M,12,0)</f>
        <v>0.112</v>
      </c>
      <c r="F491">
        <f>VLOOKUP(A491,institutions_spss!A:M,13,0)</f>
        <v>0.47199999999999998</v>
      </c>
    </row>
    <row r="492" spans="1:6" x14ac:dyDescent="0.25">
      <c r="A492" t="str">
        <f>institutions_spss!A494</f>
        <v>Universita degli Studi di Bari Aldo Moro</v>
      </c>
      <c r="B492">
        <f>VLOOKUP(A492,institutions_spss!A:M,9,0)</f>
        <v>0.19500000000000001</v>
      </c>
      <c r="C492">
        <f>VLOOKUP(A492,institutions_spss!A:M,10,0)</f>
        <v>0.16500000000000001</v>
      </c>
      <c r="D492">
        <f>VLOOKUP(A492,institutions_spss!A:M,11,0)</f>
        <v>0.22</v>
      </c>
      <c r="E492">
        <f>VLOOKUP(A492,institutions_spss!A:M,12,0)</f>
        <v>0.26500000000000001</v>
      </c>
      <c r="F492">
        <f>VLOOKUP(A492,institutions_spss!A:M,13,0)</f>
        <v>0.29499999999999998</v>
      </c>
    </row>
    <row r="493" spans="1:6" x14ac:dyDescent="0.25">
      <c r="A493" t="str">
        <f>institutions_spss!A495</f>
        <v>Universite de Lille</v>
      </c>
      <c r="B493">
        <f>VLOOKUP(A493,institutions_spss!A:M,9,0)</f>
        <v>0.16300000000000001</v>
      </c>
      <c r="C493">
        <f>VLOOKUP(A493,institutions_spss!A:M,10,0)</f>
        <v>0.36199999999999999</v>
      </c>
      <c r="D493">
        <f>VLOOKUP(A493,institutions_spss!A:M,11,0)</f>
        <v>7.1999999999999995E-2</v>
      </c>
      <c r="E493">
        <f>VLOOKUP(A493,institutions_spss!A:M,12,0)</f>
        <v>0.40699999999999997</v>
      </c>
      <c r="F493">
        <f>VLOOKUP(A493,institutions_spss!A:M,13,0)</f>
        <v>0.21199999999999999</v>
      </c>
    </row>
    <row r="494" spans="1:6" x14ac:dyDescent="0.25">
      <c r="A494" t="str">
        <f>institutions_spss!A496</f>
        <v>University of Luxembourg</v>
      </c>
      <c r="B494">
        <f>VLOOKUP(A494,institutions_spss!A:M,9,0)</f>
        <v>0.13200000000000001</v>
      </c>
      <c r="C494">
        <f>VLOOKUP(A494,institutions_spss!A:M,10,0)</f>
        <v>0.26800000000000002</v>
      </c>
      <c r="D494">
        <f>VLOOKUP(A494,institutions_spss!A:M,11,0)</f>
        <v>0.498</v>
      </c>
      <c r="E494">
        <f>VLOOKUP(A494,institutions_spss!A:M,12,0)</f>
        <v>0.125</v>
      </c>
      <c r="F494">
        <f>VLOOKUP(A494,institutions_spss!A:M,13,0)</f>
        <v>0.13200000000000001</v>
      </c>
    </row>
    <row r="495" spans="1:6" x14ac:dyDescent="0.25">
      <c r="A495" t="str">
        <f>institutions_spss!A497</f>
        <v>University of Salerno</v>
      </c>
      <c r="B495">
        <f>VLOOKUP(A495,institutions_spss!A:M,9,0)</f>
        <v>0.16300000000000001</v>
      </c>
      <c r="C495">
        <f>VLOOKUP(A495,institutions_spss!A:M,10,0)</f>
        <v>0.33</v>
      </c>
      <c r="D495">
        <f>VLOOKUP(A495,institutions_spss!A:M,11,0)</f>
        <v>0.14299999999999999</v>
      </c>
      <c r="E495">
        <f>VLOOKUP(A495,institutions_spss!A:M,12,0)</f>
        <v>0.19800000000000001</v>
      </c>
      <c r="F495">
        <f>VLOOKUP(A495,institutions_spss!A:M,13,0)</f>
        <v>0.19</v>
      </c>
    </row>
    <row r="496" spans="1:6" x14ac:dyDescent="0.25">
      <c r="A496" t="str">
        <f>institutions_spss!A498</f>
        <v>Hanyang University</v>
      </c>
      <c r="B496">
        <f>VLOOKUP(A496,institutions_spss!A:M,9,0)</f>
        <v>0.21299999999999999</v>
      </c>
      <c r="C496">
        <f>VLOOKUP(A496,institutions_spss!A:M,10,0)</f>
        <v>0.28299999999999997</v>
      </c>
      <c r="D496">
        <f>VLOOKUP(A496,institutions_spss!A:M,11,0)</f>
        <v>0.26800000000000002</v>
      </c>
      <c r="E496">
        <f>VLOOKUP(A496,institutions_spss!A:M,12,0)</f>
        <v>0.35799999999999998</v>
      </c>
      <c r="F496">
        <f>VLOOKUP(A496,institutions_spss!A:M,13,0)</f>
        <v>0.14699999999999999</v>
      </c>
    </row>
    <row r="497" spans="1:6" x14ac:dyDescent="0.25">
      <c r="A497" t="str">
        <f>institutions_spss!A499</f>
        <v>Qatar University</v>
      </c>
      <c r="B497">
        <f>VLOOKUP(A497,institutions_spss!A:M,9,0)</f>
        <v>0.21199999999999999</v>
      </c>
      <c r="C497">
        <f>VLOOKUP(A497,institutions_spss!A:M,10,0)</f>
        <v>0.188</v>
      </c>
      <c r="D497">
        <f>VLOOKUP(A497,institutions_spss!A:M,11,0)</f>
        <v>0.245</v>
      </c>
      <c r="E497">
        <f>VLOOKUP(A497,institutions_spss!A:M,12,0)</f>
        <v>0.36199999999999999</v>
      </c>
      <c r="F497">
        <f>VLOOKUP(A497,institutions_spss!A:M,13,0)</f>
        <v>0.317</v>
      </c>
    </row>
    <row r="498" spans="1:6" x14ac:dyDescent="0.25">
      <c r="A498" t="str">
        <f>institutions_spss!A500</f>
        <v>Sichuan University</v>
      </c>
      <c r="B498">
        <f>VLOOKUP(A498,institutions_spss!A:M,9,0)</f>
        <v>0.17799999999999999</v>
      </c>
      <c r="C498">
        <f>VLOOKUP(A498,institutions_spss!A:M,10,0)</f>
        <v>0.16500000000000001</v>
      </c>
      <c r="D498">
        <f>VLOOKUP(A498,institutions_spss!A:M,11,0)</f>
        <v>0.40200000000000002</v>
      </c>
      <c r="E498">
        <f>VLOOKUP(A498,institutions_spss!A:M,12,0)</f>
        <v>0.49</v>
      </c>
      <c r="F498">
        <f>VLOOKUP(A498,institutions_spss!A:M,13,0)</f>
        <v>0.2</v>
      </c>
    </row>
    <row r="499" spans="1:6" x14ac:dyDescent="0.25">
      <c r="A499" t="str">
        <f>institutions_spss!A501</f>
        <v>South China University of Technology</v>
      </c>
      <c r="B499">
        <f>VLOOKUP(A499,institutions_spss!A:M,9,0)</f>
        <v>0.19500000000000001</v>
      </c>
      <c r="C499">
        <f>VLOOKUP(A499,institutions_spss!A:M,10,0)</f>
        <v>0.1</v>
      </c>
      <c r="D499">
        <f>VLOOKUP(A499,institutions_spss!A:M,11,0)</f>
        <v>0.59199999999999997</v>
      </c>
      <c r="E499">
        <f>VLOOKUP(A499,institutions_spss!A:M,12,0)</f>
        <v>0.255</v>
      </c>
      <c r="F499">
        <f>VLOOKUP(A499,institutions_spss!A:M,13,0)</f>
        <v>0.14199999999999999</v>
      </c>
    </row>
    <row r="500" spans="1:6" x14ac:dyDescent="0.25">
      <c r="A500" t="str">
        <f>institutions_spss!A502</f>
        <v>University of Pisa</v>
      </c>
      <c r="B500">
        <f>VLOOKUP(A500,institutions_spss!A:M,9,0)</f>
        <v>0.17199999999999999</v>
      </c>
      <c r="C500">
        <f>VLOOKUP(A500,institutions_spss!A:M,10,0)</f>
        <v>0.28299999999999997</v>
      </c>
      <c r="D500">
        <f>VLOOKUP(A500,institutions_spss!A:M,11,0)</f>
        <v>0.157</v>
      </c>
      <c r="E500">
        <f>VLOOKUP(A500,institutions_spss!A:M,12,0)</f>
        <v>0.46</v>
      </c>
      <c r="F500">
        <f>VLOOKUP(A500,institutions_spss!A:M,13,0)</f>
        <v>0.19700000000000001</v>
      </c>
    </row>
    <row r="501" spans="1:6" x14ac:dyDescent="0.25">
      <c r="A501" t="str">
        <f>institutions_spss!A503</f>
        <v>Zhongnan University of Economics &amp; Law</v>
      </c>
      <c r="B501">
        <f>VLOOKUP(A501,institutions_spss!A:M,9,0)</f>
        <v>0.17799999999999999</v>
      </c>
      <c r="C501">
        <f>VLOOKUP(A501,institutions_spss!A:M,10,0)</f>
        <v>0.31</v>
      </c>
      <c r="D501">
        <f>VLOOKUP(A501,institutions_spss!A:M,11,0)</f>
        <v>0.47299999999999998</v>
      </c>
      <c r="E501">
        <f>VLOOKUP(A501,institutions_spss!A:M,12,0)</f>
        <v>0.122</v>
      </c>
      <c r="F501">
        <f>VLOOKUP(A501,institutions_spss!A:M,13,0)</f>
        <v>0.22500000000000001</v>
      </c>
    </row>
    <row r="502" spans="1:6" x14ac:dyDescent="0.25">
      <c r="A502" t="str">
        <f>institutions_spss!A504</f>
        <v>American University of Sharjah</v>
      </c>
      <c r="B502">
        <f>VLOOKUP(A502,institutions_spss!A:M,9,0)</f>
        <v>0.16300000000000001</v>
      </c>
      <c r="C502">
        <f>VLOOKUP(A502,institutions_spss!A:M,10,0)</f>
        <v>0.33</v>
      </c>
      <c r="D502">
        <f>VLOOKUP(A502,institutions_spss!A:M,11,0)</f>
        <v>0.318</v>
      </c>
      <c r="E502">
        <f>VLOOKUP(A502,institutions_spss!A:M,12,0)</f>
        <v>0.33700000000000002</v>
      </c>
      <c r="F502">
        <f>VLOOKUP(A502,institutions_spss!A:M,13,0)</f>
        <v>0.13800000000000001</v>
      </c>
    </row>
    <row r="503" spans="1:6" x14ac:dyDescent="0.25">
      <c r="A503" t="str">
        <f>institutions_spss!A505</f>
        <v>China Agricultural University</v>
      </c>
      <c r="B503">
        <f>VLOOKUP(A503,institutions_spss!A:M,9,0)</f>
        <v>0.16300000000000001</v>
      </c>
      <c r="C503">
        <f>VLOOKUP(A503,institutions_spss!A:M,10,0)</f>
        <v>0.40300000000000002</v>
      </c>
      <c r="D503">
        <f>VLOOKUP(A503,institutions_spss!A:M,11,0)</f>
        <v>0</v>
      </c>
      <c r="E503">
        <f>VLOOKUP(A503,institutions_spss!A:M,12,0)</f>
        <v>0.16500000000000001</v>
      </c>
      <c r="F503">
        <f>VLOOKUP(A503,institutions_spss!A:M,13,0)</f>
        <v>0</v>
      </c>
    </row>
    <row r="504" spans="1:6" x14ac:dyDescent="0.25">
      <c r="A504" t="str">
        <f>institutions_spss!A506</f>
        <v>Old Dominion University</v>
      </c>
      <c r="B504">
        <f>VLOOKUP(A504,institutions_spss!A:M,9,0)</f>
        <v>0.188</v>
      </c>
      <c r="C504">
        <f>VLOOKUP(A504,institutions_spss!A:M,10,0)</f>
        <v>0.1</v>
      </c>
      <c r="D504">
        <f>VLOOKUP(A504,institutions_spss!A:M,11,0)</f>
        <v>0.38200000000000001</v>
      </c>
      <c r="E504">
        <f>VLOOKUP(A504,institutions_spss!A:M,12,0)</f>
        <v>0.28199999999999997</v>
      </c>
      <c r="F504">
        <f>VLOOKUP(A504,institutions_spss!A:M,13,0)</f>
        <v>0.35199999999999998</v>
      </c>
    </row>
    <row r="505" spans="1:6" x14ac:dyDescent="0.25">
      <c r="A505" t="str">
        <f>institutions_spss!A507</f>
        <v>Roma Tre University</v>
      </c>
      <c r="B505">
        <f>VLOOKUP(A505,institutions_spss!A:M,9,0)</f>
        <v>0.14699999999999999</v>
      </c>
      <c r="C505">
        <f>VLOOKUP(A505,institutions_spss!A:M,10,0)</f>
        <v>0.372</v>
      </c>
      <c r="D505">
        <f>VLOOKUP(A505,institutions_spss!A:M,11,0)</f>
        <v>0.44</v>
      </c>
      <c r="E505">
        <f>VLOOKUP(A505,institutions_spss!A:M,12,0)</f>
        <v>0.14799999999999999</v>
      </c>
      <c r="F505">
        <f>VLOOKUP(A505,institutions_spss!A:M,13,0)</f>
        <v>0.247</v>
      </c>
    </row>
    <row r="506" spans="1:6" x14ac:dyDescent="0.25">
      <c r="A506" t="str">
        <f>institutions_spss!A508</f>
        <v>Sapienza University Rome</v>
      </c>
      <c r="B506">
        <f>VLOOKUP(A506,institutions_spss!A:M,9,0)</f>
        <v>0.16300000000000001</v>
      </c>
      <c r="C506">
        <f>VLOOKUP(A506,institutions_spss!A:M,10,0)</f>
        <v>0.31</v>
      </c>
      <c r="D506">
        <f>VLOOKUP(A506,institutions_spss!A:M,11,0)</f>
        <v>0.36499999999999999</v>
      </c>
      <c r="E506">
        <f>VLOOKUP(A506,institutions_spss!A:M,12,0)</f>
        <v>0.28199999999999997</v>
      </c>
      <c r="F506">
        <f>VLOOKUP(A506,institutions_spss!A:M,13,0)</f>
        <v>0.39</v>
      </c>
    </row>
    <row r="507" spans="1:6" x14ac:dyDescent="0.25">
      <c r="A507" t="str">
        <f>institutions_spss!A509</f>
        <v>Shanghai University</v>
      </c>
      <c r="B507">
        <f>VLOOKUP(A507,institutions_spss!A:M,9,0)</f>
        <v>0.21199999999999999</v>
      </c>
      <c r="C507">
        <f>VLOOKUP(A507,institutions_spss!A:M,10,0)</f>
        <v>7.6999999999999999E-2</v>
      </c>
      <c r="D507">
        <f>VLOOKUP(A507,institutions_spss!A:M,11,0)</f>
        <v>0.26800000000000002</v>
      </c>
      <c r="E507">
        <f>VLOOKUP(A507,institutions_spss!A:M,12,0)</f>
        <v>0.247</v>
      </c>
      <c r="F507">
        <f>VLOOKUP(A507,institutions_spss!A:M,13,0)</f>
        <v>0.85</v>
      </c>
    </row>
    <row r="508" spans="1:6" x14ac:dyDescent="0.25">
      <c r="A508" t="str">
        <f>institutions_spss!A510</f>
        <v>University of Johannesburg</v>
      </c>
      <c r="B508">
        <f>VLOOKUP(A508,institutions_spss!A:M,9,0)</f>
        <v>0.17199999999999999</v>
      </c>
      <c r="C508">
        <f>VLOOKUP(A508,institutions_spss!A:M,10,0)</f>
        <v>0.24199999999999999</v>
      </c>
      <c r="D508">
        <f>VLOOKUP(A508,institutions_spss!A:M,11,0)</f>
        <v>0.127</v>
      </c>
      <c r="E508">
        <f>VLOOKUP(A508,institutions_spss!A:M,12,0)</f>
        <v>0.30499999999999999</v>
      </c>
      <c r="F508">
        <f>VLOOKUP(A508,institutions_spss!A:M,13,0)</f>
        <v>0.17299999999999999</v>
      </c>
    </row>
    <row r="509" spans="1:6" x14ac:dyDescent="0.25">
      <c r="A509" t="str">
        <f>institutions_spss!A511</f>
        <v>University of Milano-Bicocca</v>
      </c>
      <c r="B509">
        <f>VLOOKUP(A509,institutions_spss!A:M,9,0)</f>
        <v>0.14699999999999999</v>
      </c>
      <c r="C509">
        <f>VLOOKUP(A509,institutions_spss!A:M,10,0)</f>
        <v>0.26800000000000002</v>
      </c>
      <c r="D509">
        <f>VLOOKUP(A509,institutions_spss!A:M,11,0)</f>
        <v>0.35699999999999998</v>
      </c>
      <c r="E509">
        <f>VLOOKUP(A509,institutions_spss!A:M,12,0)</f>
        <v>0.23</v>
      </c>
      <c r="F509">
        <f>VLOOKUP(A509,institutions_spss!A:M,13,0)</f>
        <v>0.45800000000000002</v>
      </c>
    </row>
    <row r="510" spans="1:6" x14ac:dyDescent="0.25">
      <c r="A510" t="str">
        <f>institutions_spss!A512</f>
        <v>University of Siena</v>
      </c>
      <c r="B510">
        <f>VLOOKUP(A510,institutions_spss!A:M,9,0)</f>
        <v>0.16300000000000001</v>
      </c>
      <c r="C510">
        <f>VLOOKUP(A510,institutions_spss!A:M,10,0)</f>
        <v>0.33</v>
      </c>
      <c r="D510">
        <f>VLOOKUP(A510,institutions_spss!A:M,11,0)</f>
        <v>0</v>
      </c>
      <c r="E510">
        <f>VLOOKUP(A510,institutions_spss!A:M,12,0)</f>
        <v>0.39200000000000002</v>
      </c>
      <c r="F510">
        <f>VLOOKUP(A510,institutions_spss!A:M,13,0)</f>
        <v>0.34799999999999998</v>
      </c>
    </row>
    <row r="511" spans="1:6" x14ac:dyDescent="0.25">
      <c r="A511" t="str">
        <f>institutions_spss!A513</f>
        <v>University of Tasmania</v>
      </c>
      <c r="B511">
        <f>VLOOKUP(A511,institutions_spss!A:M,9,0)</f>
        <v>0.188</v>
      </c>
      <c r="C511">
        <f>VLOOKUP(A511,institutions_spss!A:M,10,0)</f>
        <v>0.16500000000000001</v>
      </c>
      <c r="D511">
        <f>VLOOKUP(A511,institutions_spss!A:M,11,0)</f>
        <v>0.59199999999999997</v>
      </c>
      <c r="E511">
        <f>VLOOKUP(A511,institutions_spss!A:M,12,0)</f>
        <v>0.192</v>
      </c>
      <c r="F511">
        <f>VLOOKUP(A511,institutions_spss!A:M,13,0)</f>
        <v>0.19700000000000001</v>
      </c>
    </row>
    <row r="512" spans="1:6" x14ac:dyDescent="0.25">
      <c r="A512" t="str">
        <f>institutions_spss!A514</f>
        <v>Autonomous University of Madrid</v>
      </c>
      <c r="B512">
        <f>VLOOKUP(A512,institutions_spss!A:M,9,0)</f>
        <v>0.16300000000000001</v>
      </c>
      <c r="C512">
        <f>VLOOKUP(A512,institutions_spss!A:M,10,0)</f>
        <v>0.125</v>
      </c>
      <c r="D512">
        <f>VLOOKUP(A512,institutions_spss!A:M,11,0)</f>
        <v>0.61799999999999999</v>
      </c>
      <c r="E512">
        <f>VLOOKUP(A512,institutions_spss!A:M,12,0)</f>
        <v>0.315</v>
      </c>
      <c r="F512">
        <f>VLOOKUP(A512,institutions_spss!A:M,13,0)</f>
        <v>8.2000000000000003E-2</v>
      </c>
    </row>
    <row r="513" spans="1:6" x14ac:dyDescent="0.25">
      <c r="A513" t="str">
        <f>institutions_spss!A515</f>
        <v>Leibniz University Hannover</v>
      </c>
      <c r="B513">
        <f>VLOOKUP(A513,institutions_spss!A:M,9,0)</f>
        <v>0.17199999999999999</v>
      </c>
      <c r="C513">
        <f>VLOOKUP(A513,institutions_spss!A:M,10,0)</f>
        <v>0.28299999999999997</v>
      </c>
      <c r="D513">
        <f>VLOOKUP(A513,institutions_spss!A:M,11,0)</f>
        <v>0.32800000000000001</v>
      </c>
      <c r="E513">
        <f>VLOOKUP(A513,institutions_spss!A:M,12,0)</f>
        <v>0.52500000000000002</v>
      </c>
      <c r="F513">
        <f>VLOOKUP(A513,institutions_spss!A:M,13,0)</f>
        <v>0.53</v>
      </c>
    </row>
    <row r="514" spans="1:6" x14ac:dyDescent="0.25">
      <c r="A514" t="str">
        <f>institutions_spss!A516</f>
        <v>Sungkyunkwan University (SKKU)</v>
      </c>
      <c r="B514">
        <f>VLOOKUP(A514,institutions_spss!A:M,9,0)</f>
        <v>0.16300000000000001</v>
      </c>
      <c r="C514">
        <f>VLOOKUP(A514,institutions_spss!A:M,10,0)</f>
        <v>0.24199999999999999</v>
      </c>
      <c r="D514">
        <f>VLOOKUP(A514,institutions_spss!A:M,11,0)</f>
        <v>0.498</v>
      </c>
      <c r="E514">
        <f>VLOOKUP(A514,institutions_spss!A:M,12,0)</f>
        <v>0.13500000000000001</v>
      </c>
      <c r="F514">
        <f>VLOOKUP(A514,institutions_spss!A:M,13,0)</f>
        <v>0.35799999999999998</v>
      </c>
    </row>
    <row r="515" spans="1:6" x14ac:dyDescent="0.25">
      <c r="A515" t="str">
        <f>institutions_spss!A517</f>
        <v>Universite Paris Saclay</v>
      </c>
      <c r="B515">
        <f>VLOOKUP(A515,institutions_spss!A:M,9,0)</f>
        <v>0.17199999999999999</v>
      </c>
      <c r="C515">
        <f>VLOOKUP(A515,institutions_spss!A:M,10,0)</f>
        <v>0.442</v>
      </c>
      <c r="D515">
        <f>VLOOKUP(A515,institutions_spss!A:M,11,0)</f>
        <v>0.42699999999999999</v>
      </c>
      <c r="E515">
        <f>VLOOKUP(A515,institutions_spss!A:M,12,0)</f>
        <v>0.19800000000000001</v>
      </c>
      <c r="F515">
        <f>VLOOKUP(A515,institutions_spss!A:M,13,0)</f>
        <v>0.36299999999999999</v>
      </c>
    </row>
    <row r="516" spans="1:6" x14ac:dyDescent="0.25">
      <c r="A516" t="str">
        <f>institutions_spss!A518</f>
        <v>University of Guelph</v>
      </c>
      <c r="B516">
        <f>VLOOKUP(A516,institutions_spss!A:M,9,0)</f>
        <v>0.14699999999999999</v>
      </c>
      <c r="C516">
        <f>VLOOKUP(A516,institutions_spss!A:M,10,0)</f>
        <v>0.39200000000000002</v>
      </c>
      <c r="D516">
        <f>VLOOKUP(A516,institutions_spss!A:M,11,0)</f>
        <v>0.27800000000000002</v>
      </c>
      <c r="E516">
        <f>VLOOKUP(A516,institutions_spss!A:M,12,0)</f>
        <v>0.20499999999999999</v>
      </c>
      <c r="F516">
        <f>VLOOKUP(A516,institutions_spss!A:M,13,0)</f>
        <v>0.27200000000000002</v>
      </c>
    </row>
    <row r="517" spans="1:6" x14ac:dyDescent="0.25">
      <c r="A517" t="str">
        <f>institutions_spss!A519</f>
        <v>University of Macau</v>
      </c>
      <c r="B517">
        <f>VLOOKUP(A517,institutions_spss!A:M,9,0)</f>
        <v>0.113</v>
      </c>
      <c r="C517">
        <f>VLOOKUP(A517,institutions_spss!A:M,10,0)</f>
        <v>0.1</v>
      </c>
      <c r="D517">
        <f>VLOOKUP(A517,institutions_spss!A:M,11,0)</f>
        <v>0.193</v>
      </c>
      <c r="E517">
        <f>VLOOKUP(A517,institutions_spss!A:M,12,0)</f>
        <v>0.39200000000000002</v>
      </c>
      <c r="F517">
        <f>VLOOKUP(A517,institutions_spss!A:M,13,0)</f>
        <v>0.372</v>
      </c>
    </row>
    <row r="518" spans="1:6" x14ac:dyDescent="0.25">
      <c r="A518" t="str">
        <f>institutions_spss!A520</f>
        <v>University of Trento</v>
      </c>
      <c r="B518">
        <f>VLOOKUP(A518,institutions_spss!A:M,9,0)</f>
        <v>0.14699999999999999</v>
      </c>
      <c r="C518">
        <f>VLOOKUP(A518,institutions_spss!A:M,10,0)</f>
        <v>0.253</v>
      </c>
      <c r="D518">
        <f>VLOOKUP(A518,institutions_spss!A:M,11,0)</f>
        <v>0.39</v>
      </c>
      <c r="E518">
        <f>VLOOKUP(A518,institutions_spss!A:M,12,0)</f>
        <v>0</v>
      </c>
      <c r="F518">
        <f>VLOOKUP(A518,institutions_spss!A:M,13,0)</f>
        <v>0.502</v>
      </c>
    </row>
    <row r="519" spans="1:6" x14ac:dyDescent="0.25">
      <c r="A519" t="str">
        <f>institutions_spss!A521</f>
        <v>Korea Advanced Institute of Science &amp; Technology (KAIST)</v>
      </c>
      <c r="B519">
        <f>VLOOKUP(A519,institutions_spss!A:M,9,0)</f>
        <v>0.14699999999999999</v>
      </c>
      <c r="C519">
        <f>VLOOKUP(A519,institutions_spss!A:M,10,0)</f>
        <v>0.34200000000000003</v>
      </c>
      <c r="D519">
        <f>VLOOKUP(A519,institutions_spss!A:M,11,0)</f>
        <v>0.65500000000000003</v>
      </c>
      <c r="E519">
        <f>VLOOKUP(A519,institutions_spss!A:M,12,0)</f>
        <v>0.10299999999999999</v>
      </c>
      <c r="F519">
        <f>VLOOKUP(A519,institutions_spss!A:M,13,0)</f>
        <v>0.08</v>
      </c>
    </row>
    <row r="520" spans="1:6" x14ac:dyDescent="0.25">
      <c r="A520" t="str">
        <f>institutions_spss!A522</f>
        <v>Universidade de Santiago de Compostela</v>
      </c>
      <c r="B520">
        <f>VLOOKUP(A520,institutions_spss!A:M,9,0)</f>
        <v>0.19500000000000001</v>
      </c>
      <c r="C520">
        <f>VLOOKUP(A520,institutions_spss!A:M,10,0)</f>
        <v>0.34200000000000003</v>
      </c>
      <c r="D520">
        <f>VLOOKUP(A520,institutions_spss!A:M,11,0)</f>
        <v>0.08</v>
      </c>
      <c r="E520">
        <f>VLOOKUP(A520,institutions_spss!A:M,12,0)</f>
        <v>0.21</v>
      </c>
      <c r="F520">
        <f>VLOOKUP(A520,institutions_spss!A:M,13,0)</f>
        <v>0.33500000000000002</v>
      </c>
    </row>
    <row r="521" spans="1:6" x14ac:dyDescent="0.25">
      <c r="A521" t="str">
        <f>institutions_spss!A523</f>
        <v>University of Bielefeld</v>
      </c>
      <c r="B521">
        <f>VLOOKUP(A521,institutions_spss!A:M,9,0)</f>
        <v>0.14699999999999999</v>
      </c>
      <c r="C521">
        <f>VLOOKUP(A521,institutions_spss!A:M,10,0)</f>
        <v>0.46800000000000003</v>
      </c>
      <c r="D521">
        <f>VLOOKUP(A521,institutions_spss!A:M,11,0)</f>
        <v>0</v>
      </c>
      <c r="E521">
        <f>VLOOKUP(A521,institutions_spss!A:M,12,0)</f>
        <v>0.13200000000000001</v>
      </c>
      <c r="F521">
        <f>VLOOKUP(A521,institutions_spss!A:M,13,0)</f>
        <v>8.6999999999999994E-2</v>
      </c>
    </row>
    <row r="522" spans="1:6" x14ac:dyDescent="0.25">
      <c r="A522" t="str">
        <f>institutions_spss!A524</f>
        <v>Harbin Institute of Technology</v>
      </c>
      <c r="B522">
        <f>VLOOKUP(A522,institutions_spss!A:M,9,0)</f>
        <v>0.17199999999999999</v>
      </c>
      <c r="C522">
        <f>VLOOKUP(A522,institutions_spss!A:M,10,0)</f>
        <v>4.4999999999999998E-2</v>
      </c>
      <c r="D522">
        <f>VLOOKUP(A522,institutions_spss!A:M,11,0)</f>
        <v>0.11799999999999999</v>
      </c>
      <c r="E522">
        <f>VLOOKUP(A522,institutions_spss!A:M,12,0)</f>
        <v>0.33700000000000002</v>
      </c>
      <c r="F522">
        <f>VLOOKUP(A522,institutions_spss!A:M,13,0)</f>
        <v>0.377</v>
      </c>
    </row>
    <row r="523" spans="1:6" x14ac:dyDescent="0.25">
      <c r="A523" t="str">
        <f>institutions_spss!A525</f>
        <v>HSE University (National Research University Higher School of Economics)</v>
      </c>
      <c r="B523">
        <f>VLOOKUP(A523,institutions_spss!A:M,9,0)</f>
        <v>0.13200000000000001</v>
      </c>
      <c r="C523">
        <f>VLOOKUP(A523,institutions_spss!A:M,10,0)</f>
        <v>0.18</v>
      </c>
      <c r="D523">
        <f>VLOOKUP(A523,institutions_spss!A:M,11,0)</f>
        <v>0.74</v>
      </c>
      <c r="E523">
        <f>VLOOKUP(A523,institutions_spss!A:M,12,0)</f>
        <v>0.22</v>
      </c>
      <c r="F523">
        <f>VLOOKUP(A523,institutions_spss!A:M,13,0)</f>
        <v>7.6999999999999999E-2</v>
      </c>
    </row>
    <row r="524" spans="1:6" x14ac:dyDescent="0.25">
      <c r="A524" t="str">
        <f>institutions_spss!A526</f>
        <v>University of Pretoria</v>
      </c>
      <c r="B524">
        <f>VLOOKUP(A524,institutions_spss!A:M,9,0)</f>
        <v>0.13200000000000001</v>
      </c>
      <c r="C524">
        <f>VLOOKUP(A524,institutions_spss!A:M,10,0)</f>
        <v>0.22800000000000001</v>
      </c>
      <c r="D524">
        <f>VLOOKUP(A524,institutions_spss!A:M,11,0)</f>
        <v>0.33800000000000002</v>
      </c>
      <c r="E524">
        <f>VLOOKUP(A524,institutions_spss!A:M,12,0)</f>
        <v>0.22</v>
      </c>
      <c r="F524">
        <f>VLOOKUP(A524,institutions_spss!A:M,13,0)</f>
        <v>0.125</v>
      </c>
    </row>
    <row r="525" spans="1:6" x14ac:dyDescent="0.25">
      <c r="A525" t="str">
        <f>institutions_spss!A527</f>
        <v>University of Quebec Montreal</v>
      </c>
      <c r="B525">
        <f>VLOOKUP(A525,institutions_spss!A:M,9,0)</f>
        <v>0.12</v>
      </c>
      <c r="C525">
        <f>VLOOKUP(A525,institutions_spss!A:M,10,0)</f>
        <v>0.59199999999999997</v>
      </c>
      <c r="D525">
        <f>VLOOKUP(A525,institutions_spss!A:M,11,0)</f>
        <v>0.09</v>
      </c>
      <c r="E525">
        <f>VLOOKUP(A525,institutions_spss!A:M,12,0)</f>
        <v>7.0000000000000007E-2</v>
      </c>
      <c r="F525">
        <f>VLOOKUP(A525,institutions_spss!A:M,13,0)</f>
        <v>0.11799999999999999</v>
      </c>
    </row>
    <row r="526" spans="1:6" x14ac:dyDescent="0.25">
      <c r="A526" t="str">
        <f>institutions_spss!A528</f>
        <v>Waseda University</v>
      </c>
      <c r="B526">
        <f>VLOOKUP(A526,institutions_spss!A:M,9,0)</f>
        <v>0.13200000000000001</v>
      </c>
      <c r="C526">
        <f>VLOOKUP(A526,institutions_spss!A:M,10,0)</f>
        <v>0.34200000000000003</v>
      </c>
      <c r="D526">
        <f>VLOOKUP(A526,institutions_spss!A:M,11,0)</f>
        <v>0.13500000000000001</v>
      </c>
      <c r="E526">
        <f>VLOOKUP(A526,institutions_spss!A:M,12,0)</f>
        <v>0.46700000000000003</v>
      </c>
      <c r="F526">
        <f>VLOOKUP(A526,institutions_spss!A:M,13,0)</f>
        <v>0.22500000000000001</v>
      </c>
    </row>
    <row r="527" spans="1:6" x14ac:dyDescent="0.25">
      <c r="A527" t="str">
        <f>institutions_spss!A529</f>
        <v>Chongqing University</v>
      </c>
      <c r="B527">
        <f>VLOOKUP(A527,institutions_spss!A:M,9,0)</f>
        <v>0.13200000000000001</v>
      </c>
      <c r="C527">
        <f>VLOOKUP(A527,institutions_spss!A:M,10,0)</f>
        <v>7.6999999999999999E-2</v>
      </c>
      <c r="D527">
        <f>VLOOKUP(A527,institutions_spss!A:M,11,0)</f>
        <v>0.54300000000000004</v>
      </c>
      <c r="E527">
        <f>VLOOKUP(A527,institutions_spss!A:M,12,0)</f>
        <v>7.6999999999999999E-2</v>
      </c>
      <c r="F527">
        <f>VLOOKUP(A527,institutions_spss!A:M,13,0)</f>
        <v>0.23</v>
      </c>
    </row>
    <row r="528" spans="1:6" x14ac:dyDescent="0.25">
      <c r="A528" t="str">
        <f>institutions_spss!A530</f>
        <v>East China University of Science &amp; Technology</v>
      </c>
      <c r="B528">
        <f>VLOOKUP(A528,institutions_spss!A:M,9,0)</f>
        <v>0.123</v>
      </c>
      <c r="C528">
        <f>VLOOKUP(A528,institutions_spss!A:M,10,0)</f>
        <v>0.22800000000000001</v>
      </c>
      <c r="D528">
        <f>VLOOKUP(A528,institutions_spss!A:M,11,0)</f>
        <v>0.157</v>
      </c>
      <c r="E528">
        <f>VLOOKUP(A528,institutions_spss!A:M,12,0)</f>
        <v>0.14799999999999999</v>
      </c>
      <c r="F528">
        <f>VLOOKUP(A528,institutions_spss!A:M,13,0)</f>
        <v>0.19</v>
      </c>
    </row>
    <row r="529" spans="1:6" x14ac:dyDescent="0.25">
      <c r="A529" t="str">
        <f>institutions_spss!A531</f>
        <v>Hang Seng University of Hong Kong</v>
      </c>
      <c r="B529">
        <f>VLOOKUP(A529,institutions_spss!A:M,9,0)</f>
        <v>0.16300000000000001</v>
      </c>
      <c r="C529">
        <f>VLOOKUP(A529,institutions_spss!A:M,10,0)</f>
        <v>0.14499999999999999</v>
      </c>
      <c r="D529">
        <f>VLOOKUP(A529,institutions_spss!A:M,11,0)</f>
        <v>0.32800000000000001</v>
      </c>
      <c r="E529">
        <f>VLOOKUP(A529,institutions_spss!A:M,12,0)</f>
        <v>0.27200000000000002</v>
      </c>
      <c r="F529">
        <f>VLOOKUP(A529,institutions_spss!A:M,13,0)</f>
        <v>0.317</v>
      </c>
    </row>
    <row r="530" spans="1:6" x14ac:dyDescent="0.25">
      <c r="A530" t="str">
        <f>institutions_spss!A532</f>
        <v>University of Sevilla</v>
      </c>
      <c r="B530">
        <f>VLOOKUP(A530,institutions_spss!A:M,9,0)</f>
        <v>0.16300000000000001</v>
      </c>
      <c r="C530">
        <f>VLOOKUP(A530,institutions_spss!A:M,10,0)</f>
        <v>0.16500000000000001</v>
      </c>
      <c r="D530">
        <f>VLOOKUP(A530,institutions_spss!A:M,11,0)</f>
        <v>0.17</v>
      </c>
      <c r="E530">
        <f>VLOOKUP(A530,institutions_spss!A:M,12,0)</f>
        <v>0.26200000000000001</v>
      </c>
      <c r="F530">
        <f>VLOOKUP(A530,institutions_spss!A:M,13,0)</f>
        <v>0.317</v>
      </c>
    </row>
    <row r="531" spans="1:6" x14ac:dyDescent="0.25">
      <c r="A531" t="str">
        <f>institutions_spss!A533</f>
        <v>Academia Sinica - Taiwan</v>
      </c>
      <c r="B531">
        <f>VLOOKUP(A531,institutions_spss!A:M,9,0)</f>
        <v>0.113</v>
      </c>
      <c r="C531">
        <f>VLOOKUP(A531,institutions_spss!A:M,10,0)</f>
        <v>0.432</v>
      </c>
      <c r="D531">
        <f>VLOOKUP(A531,institutions_spss!A:M,11,0)</f>
        <v>0.157</v>
      </c>
      <c r="E531">
        <f>VLOOKUP(A531,institutions_spss!A:M,12,0)</f>
        <v>0</v>
      </c>
      <c r="F531">
        <f>VLOOKUP(A531,institutions_spss!A:M,13,0)</f>
        <v>0</v>
      </c>
    </row>
    <row r="532" spans="1:6" x14ac:dyDescent="0.25">
      <c r="A532" t="str">
        <f>institutions_spss!A534</f>
        <v>Universidade do Minho</v>
      </c>
      <c r="B532">
        <f>VLOOKUP(A532,institutions_spss!A:M,9,0)</f>
        <v>0.1</v>
      </c>
      <c r="C532">
        <f>VLOOKUP(A532,institutions_spss!A:M,10,0)</f>
        <v>0.125</v>
      </c>
      <c r="D532">
        <f>VLOOKUP(A532,institutions_spss!A:M,11,0)</f>
        <v>0.187</v>
      </c>
      <c r="E532">
        <f>VLOOKUP(A532,institutions_spss!A:M,12,0)</f>
        <v>0.39700000000000002</v>
      </c>
      <c r="F532">
        <f>VLOOKUP(A532,institutions_spss!A:M,13,0)</f>
        <v>8.6999999999999994E-2</v>
      </c>
    </row>
    <row r="533" spans="1:6" x14ac:dyDescent="0.25">
      <c r="A533" t="str">
        <f>institutions_spss!A535</f>
        <v>Delft University of Technology</v>
      </c>
      <c r="B533">
        <f>VLOOKUP(A533,institutions_spss!A:M,9,0)</f>
        <v>0.10299999999999999</v>
      </c>
      <c r="C533">
        <f>VLOOKUP(A533,institutions_spss!A:M,10,0)</f>
        <v>0.06</v>
      </c>
      <c r="D533">
        <f>VLOOKUP(A533,institutions_spss!A:M,11,0)</f>
        <v>0.08</v>
      </c>
      <c r="E533">
        <f>VLOOKUP(A533,institutions_spss!A:M,12,0)</f>
        <v>0.315</v>
      </c>
      <c r="F533">
        <f>VLOOKUP(A533,institutions_spss!A:M,13,0)</f>
        <v>0.255</v>
      </c>
    </row>
    <row r="534" spans="1:6" x14ac:dyDescent="0.25">
      <c r="A534" t="str">
        <f>institutions_spss!A536</f>
        <v>National Sun Yat Sen University</v>
      </c>
      <c r="B534">
        <f>VLOOKUP(A534,institutions_spss!A:M,9,0)</f>
        <v>0.113</v>
      </c>
      <c r="C534">
        <f>VLOOKUP(A534,institutions_spss!A:M,10,0)</f>
        <v>0.18</v>
      </c>
      <c r="D534">
        <f>VLOOKUP(A534,institutions_spss!A:M,11,0)</f>
        <v>0.17</v>
      </c>
      <c r="E534">
        <f>VLOOKUP(A534,institutions_spss!A:M,12,0)</f>
        <v>0.378</v>
      </c>
      <c r="F534">
        <f>VLOOKUP(A534,institutions_spss!A:M,13,0)</f>
        <v>0.16200000000000001</v>
      </c>
    </row>
    <row r="535" spans="1:6" x14ac:dyDescent="0.25">
      <c r="A535" t="str">
        <f>institutions_spss!A537</f>
        <v>Tianjin University</v>
      </c>
      <c r="B535">
        <f>VLOOKUP(A535,institutions_spss!A:M,9,0)</f>
        <v>0.12</v>
      </c>
      <c r="C535">
        <f>VLOOKUP(A535,institutions_spss!A:M,10,0)</f>
        <v>0.06</v>
      </c>
      <c r="D535">
        <f>VLOOKUP(A535,institutions_spss!A:M,11,0)</f>
        <v>0.32800000000000001</v>
      </c>
      <c r="E535">
        <f>VLOOKUP(A535,institutions_spss!A:M,12,0)</f>
        <v>0.22</v>
      </c>
      <c r="F535">
        <f>VLOOKUP(A535,institutions_spss!A:M,13,0)</f>
        <v>0.247</v>
      </c>
    </row>
    <row r="536" spans="1:6" x14ac:dyDescent="0.25">
      <c r="A536" t="str">
        <f>institutions_spss!A538</f>
        <v>Universitat Politecnica de Valencia</v>
      </c>
      <c r="B536">
        <f>VLOOKUP(A536,institutions_spss!A:M,9,0)</f>
        <v>0.13300000000000001</v>
      </c>
      <c r="C536">
        <f>VLOOKUP(A536,institutions_spss!A:M,10,0)</f>
        <v>0.04</v>
      </c>
      <c r="D536">
        <f>VLOOKUP(A536,institutions_spss!A:M,11,0)</f>
        <v>0</v>
      </c>
      <c r="E536">
        <f>VLOOKUP(A536,institutions_spss!A:M,12,0)</f>
        <v>0.28199999999999997</v>
      </c>
      <c r="F536">
        <f>VLOOKUP(A536,institutions_spss!A:M,13,0)</f>
        <v>0.27800000000000002</v>
      </c>
    </row>
    <row r="537" spans="1:6" x14ac:dyDescent="0.25">
      <c r="A537" t="str">
        <f>institutions_spss!A539</f>
        <v>Universite de Lorraine</v>
      </c>
      <c r="B537">
        <f>VLOOKUP(A537,institutions_spss!A:M,9,0)</f>
        <v>0.113</v>
      </c>
      <c r="C537">
        <f>VLOOKUP(A537,institutions_spss!A:M,10,0)</f>
        <v>0.28299999999999997</v>
      </c>
      <c r="D537">
        <f>VLOOKUP(A537,institutions_spss!A:M,11,0)</f>
        <v>0.26800000000000002</v>
      </c>
      <c r="E537">
        <f>VLOOKUP(A537,institutions_spss!A:M,12,0)</f>
        <v>0.41699999999999998</v>
      </c>
      <c r="F537">
        <f>VLOOKUP(A537,institutions_spss!A:M,13,0)</f>
        <v>0.19</v>
      </c>
    </row>
    <row r="538" spans="1:6" x14ac:dyDescent="0.25">
      <c r="A538" t="str">
        <f>institutions_spss!A540</f>
        <v>Jiangxi University of Finance &amp; Economics</v>
      </c>
      <c r="B538">
        <f>VLOOKUP(A538,institutions_spss!A:M,9,0)</f>
        <v>0.113</v>
      </c>
      <c r="C538">
        <f>VLOOKUP(A538,institutions_spss!A:M,10,0)</f>
        <v>0.18</v>
      </c>
      <c r="D538">
        <f>VLOOKUP(A538,institutions_spss!A:M,11,0)</f>
        <v>0.42199999999999999</v>
      </c>
      <c r="E538">
        <f>VLOOKUP(A538,institutions_spss!A:M,12,0)</f>
        <v>6.3E-2</v>
      </c>
      <c r="F538">
        <f>VLOOKUP(A538,institutions_spss!A:M,13,0)</f>
        <v>0.11</v>
      </c>
    </row>
    <row r="539" spans="1:6" x14ac:dyDescent="0.25">
      <c r="A539" t="str">
        <f>institutions_spss!A541</f>
        <v>Poznan University of Economics &amp; Business</v>
      </c>
      <c r="B539">
        <f>VLOOKUP(A539,institutions_spss!A:M,9,0)</f>
        <v>0.10299999999999999</v>
      </c>
      <c r="C539">
        <f>VLOOKUP(A539,institutions_spss!A:M,10,0)</f>
        <v>0.13500000000000001</v>
      </c>
      <c r="D539">
        <f>VLOOKUP(A539,institutions_spss!A:M,11,0)</f>
        <v>0.51800000000000002</v>
      </c>
      <c r="E539">
        <f>VLOOKUP(A539,institutions_spss!A:M,12,0)</f>
        <v>0.10199999999999999</v>
      </c>
      <c r="F539">
        <f>VLOOKUP(A539,institutions_spss!A:M,13,0)</f>
        <v>5.7000000000000002E-2</v>
      </c>
    </row>
    <row r="540" spans="1:6" x14ac:dyDescent="0.25">
      <c r="A540" t="str">
        <f>institutions_spss!A542</f>
        <v>Universiti Malaya</v>
      </c>
      <c r="B540">
        <f>VLOOKUP(A540,institutions_spss!A:M,9,0)</f>
        <v>0.113</v>
      </c>
      <c r="C540">
        <f>VLOOKUP(A540,institutions_spss!A:M,10,0)</f>
        <v>0.108</v>
      </c>
      <c r="D540">
        <f>VLOOKUP(A540,institutions_spss!A:M,11,0)</f>
        <v>0.17</v>
      </c>
      <c r="E540">
        <f>VLOOKUP(A540,institutions_spss!A:M,12,0)</f>
        <v>0.192</v>
      </c>
      <c r="F540">
        <f>VLOOKUP(A540,institutions_spss!A:M,13,0)</f>
        <v>0.28999999999999998</v>
      </c>
    </row>
    <row r="541" spans="1:6" x14ac:dyDescent="0.25">
      <c r="A541" t="str">
        <f>institutions_spss!A543</f>
        <v>University of Tokyo</v>
      </c>
      <c r="B541">
        <f>VLOOKUP(A541,institutions_spss!A:M,9,0)</f>
        <v>7.2999999999999995E-2</v>
      </c>
      <c r="C541">
        <f>VLOOKUP(A541,institutions_spss!A:M,10,0)</f>
        <v>0.33</v>
      </c>
      <c r="D541">
        <f>VLOOKUP(A541,institutions_spss!A:M,11,0)</f>
        <v>0.245</v>
      </c>
      <c r="E541">
        <f>VLOOKUP(A541,institutions_spss!A:M,12,0)</f>
        <v>8.6999999999999994E-2</v>
      </c>
      <c r="F541">
        <f>VLOOKUP(A541,institutions_spss!A:M,13,0)</f>
        <v>9.5000000000000001E-2</v>
      </c>
    </row>
    <row r="542" spans="1:6" x14ac:dyDescent="0.25">
      <c r="A542" t="str">
        <f>institutions_spss!A544</f>
        <v>COMSATS University Islamabad (CUI)</v>
      </c>
      <c r="B542">
        <f>VLOOKUP(A542,institutions_spss!A:M,9,0)</f>
        <v>0.123</v>
      </c>
      <c r="C542">
        <f>VLOOKUP(A542,institutions_spss!A:M,10,0)</f>
        <v>0.188</v>
      </c>
      <c r="D542">
        <f>VLOOKUP(A542,institutions_spss!A:M,11,0)</f>
        <v>0.13500000000000001</v>
      </c>
      <c r="E542">
        <f>VLOOKUP(A542,institutions_spss!A:M,12,0)</f>
        <v>0.183</v>
      </c>
      <c r="F542">
        <f>VLOOKUP(A542,institutions_spss!A:M,13,0)</f>
        <v>0.317</v>
      </c>
    </row>
    <row r="543" spans="1:6" x14ac:dyDescent="0.25">
      <c r="A543" t="str">
        <f>institutions_spss!A545</f>
        <v>Kyoto University</v>
      </c>
      <c r="B543">
        <f>VLOOKUP(A543,institutions_spss!A:M,9,0)</f>
        <v>7.2999999999999995E-2</v>
      </c>
      <c r="C543">
        <f>VLOOKUP(A543,institutions_spss!A:M,10,0)</f>
        <v>0.253</v>
      </c>
      <c r="D543">
        <f>VLOOKUP(A543,institutions_spss!A:M,11,0)</f>
        <v>6.3E-2</v>
      </c>
      <c r="E543">
        <f>VLOOKUP(A543,institutions_spss!A:M,12,0)</f>
        <v>7.2999999999999995E-2</v>
      </c>
      <c r="F543">
        <f>VLOOKUP(A543,institutions_spss!A:M,13,0)</f>
        <v>0.21199999999999999</v>
      </c>
    </row>
    <row r="544" spans="1:6" x14ac:dyDescent="0.25">
      <c r="A544" t="str">
        <f>institutions_spss!A546</f>
        <v>National Taipei University</v>
      </c>
      <c r="B544">
        <f>VLOOKUP(A544,institutions_spss!A:M,9,0)</f>
        <v>0.12</v>
      </c>
      <c r="C544">
        <f>VLOOKUP(A544,institutions_spss!A:M,10,0)</f>
        <v>0.06</v>
      </c>
      <c r="D544">
        <f>VLOOKUP(A544,institutions_spss!A:M,11,0)</f>
        <v>0.245</v>
      </c>
      <c r="E544">
        <f>VLOOKUP(A544,institutions_spss!A:M,12,0)</f>
        <v>0.33700000000000002</v>
      </c>
      <c r="F544">
        <f>VLOOKUP(A544,institutions_spss!A:M,13,0)</f>
        <v>0.28699999999999998</v>
      </c>
    </row>
    <row r="545" spans="1:6" x14ac:dyDescent="0.25">
      <c r="A545" t="str">
        <f>institutions_spss!A547</f>
        <v>Athens University of Economics &amp; Business</v>
      </c>
      <c r="B545">
        <f>VLOOKUP(A545,institutions_spss!A:M,9,0)</f>
        <v>0.12</v>
      </c>
      <c r="C545">
        <f>VLOOKUP(A545,institutions_spss!A:M,10,0)</f>
        <v>0.14499999999999999</v>
      </c>
      <c r="D545">
        <f>VLOOKUP(A545,institutions_spss!A:M,11,0)</f>
        <v>0.312</v>
      </c>
      <c r="E545">
        <f>VLOOKUP(A545,institutions_spss!A:M,12,0)</f>
        <v>0.17699999999999999</v>
      </c>
      <c r="F545">
        <f>VLOOKUP(A545,institutions_spss!A:M,13,0)</f>
        <v>0.32</v>
      </c>
    </row>
    <row r="546" spans="1:6" x14ac:dyDescent="0.25">
      <c r="A546" t="str">
        <f>institutions_spss!A548</f>
        <v>Complutense University of Madrid</v>
      </c>
      <c r="B546">
        <f>VLOOKUP(A546,institutions_spss!A:M,9,0)</f>
        <v>9.1999999999999998E-2</v>
      </c>
      <c r="C546">
        <f>VLOOKUP(A546,institutions_spss!A:M,10,0)</f>
        <v>0.24199999999999999</v>
      </c>
      <c r="D546">
        <f>VLOOKUP(A546,institutions_spss!A:M,11,0)</f>
        <v>0.09</v>
      </c>
      <c r="E546">
        <f>VLOOKUP(A546,institutions_spss!A:M,12,0)</f>
        <v>0.22</v>
      </c>
      <c r="F546">
        <f>VLOOKUP(A546,institutions_spss!A:M,13,0)</f>
        <v>0.24199999999999999</v>
      </c>
    </row>
    <row r="547" spans="1:6" x14ac:dyDescent="0.25">
      <c r="A547" t="str">
        <f>institutions_spss!A549</f>
        <v>Kyung Hee University</v>
      </c>
      <c r="B547">
        <f>VLOOKUP(A547,institutions_spss!A:M,9,0)</f>
        <v>9.1999999999999998E-2</v>
      </c>
      <c r="C547">
        <f>VLOOKUP(A547,institutions_spss!A:M,10,0)</f>
        <v>8.7999999999999995E-2</v>
      </c>
      <c r="D547">
        <f>VLOOKUP(A547,institutions_spss!A:M,11,0)</f>
        <v>0.41199999999999998</v>
      </c>
      <c r="E547">
        <f>VLOOKUP(A547,institutions_spss!A:M,12,0)</f>
        <v>0.19800000000000001</v>
      </c>
      <c r="F547">
        <f>VLOOKUP(A547,institutions_spss!A:M,13,0)</f>
        <v>0.14699999999999999</v>
      </c>
    </row>
    <row r="548" spans="1:6" x14ac:dyDescent="0.25">
      <c r="A548" t="str">
        <f>institutions_spss!A550</f>
        <v>Korea University</v>
      </c>
      <c r="B548">
        <f>VLOOKUP(A548,institutions_spss!A:M,9,0)</f>
        <v>8.5000000000000006E-2</v>
      </c>
      <c r="C548">
        <f>VLOOKUP(A548,institutions_spss!A:M,10,0)</f>
        <v>0.125</v>
      </c>
      <c r="D548">
        <f>VLOOKUP(A548,institutions_spss!A:M,11,0)</f>
        <v>0.29699999999999999</v>
      </c>
      <c r="E548">
        <f>VLOOKUP(A548,institutions_spss!A:M,12,0)</f>
        <v>0.28199999999999997</v>
      </c>
      <c r="F548">
        <f>VLOOKUP(A548,institutions_spss!A:M,13,0)</f>
        <v>0.16800000000000001</v>
      </c>
    </row>
    <row r="549" spans="1:6" x14ac:dyDescent="0.25">
      <c r="A549" t="str">
        <f>institutions_spss!A551</f>
        <v>National Central University</v>
      </c>
      <c r="B549">
        <f>VLOOKUP(A549,institutions_spss!A:M,9,0)</f>
        <v>7.8E-2</v>
      </c>
      <c r="C549">
        <f>VLOOKUP(A549,institutions_spss!A:M,10,0)</f>
        <v>0.21</v>
      </c>
      <c r="D549">
        <f>VLOOKUP(A549,institutions_spss!A:M,11,0)</f>
        <v>0.253</v>
      </c>
      <c r="E549">
        <f>VLOOKUP(A549,institutions_spss!A:M,12,0)</f>
        <v>0.112</v>
      </c>
      <c r="F549">
        <f>VLOOKUP(A549,institutions_spss!A:M,13,0)</f>
        <v>7.4999999999999997E-2</v>
      </c>
    </row>
    <row r="550" spans="1:6" x14ac:dyDescent="0.25">
      <c r="A550" t="str">
        <f>institutions_spss!A552</f>
        <v>University of Warsaw</v>
      </c>
      <c r="B550">
        <f>VLOOKUP(A550,institutions_spss!A:M,9,0)</f>
        <v>0.1</v>
      </c>
      <c r="C550">
        <f>VLOOKUP(A550,institutions_spss!A:M,10,0)</f>
        <v>0.11700000000000001</v>
      </c>
      <c r="D550">
        <f>VLOOKUP(A550,institutions_spss!A:M,11,0)</f>
        <v>0.22</v>
      </c>
      <c r="E550">
        <f>VLOOKUP(A550,institutions_spss!A:M,12,0)</f>
        <v>0.433</v>
      </c>
      <c r="F550">
        <f>VLOOKUP(A550,institutions_spss!A:M,13,0)</f>
        <v>8.6999999999999994E-2</v>
      </c>
    </row>
    <row r="551" spans="1:6" x14ac:dyDescent="0.25">
      <c r="A551" t="str">
        <f>institutions_spss!A553</f>
        <v>Ben Gurion University</v>
      </c>
      <c r="B551">
        <f>VLOOKUP(A551,institutions_spss!A:M,9,0)</f>
        <v>0.1</v>
      </c>
      <c r="C551">
        <f>VLOOKUP(A551,institutions_spss!A:M,10,0)</f>
        <v>0.44800000000000001</v>
      </c>
      <c r="D551">
        <f>VLOOKUP(A551,institutions_spss!A:M,11,0)</f>
        <v>0.09</v>
      </c>
      <c r="E551">
        <f>VLOOKUP(A551,institutions_spss!A:M,12,0)</f>
        <v>0.17</v>
      </c>
      <c r="F551">
        <f>VLOOKUP(A551,institutions_spss!A:M,13,0)</f>
        <v>9.7000000000000003E-2</v>
      </c>
    </row>
    <row r="552" spans="1:6" x14ac:dyDescent="0.25">
      <c r="A552" t="str">
        <f>institutions_spss!A554</f>
        <v>Hefei University of Technology</v>
      </c>
      <c r="B552">
        <f>VLOOKUP(A552,institutions_spss!A:M,9,0)</f>
        <v>9.5000000000000001E-2</v>
      </c>
      <c r="C552">
        <f>VLOOKUP(A552,institutions_spss!A:M,10,0)</f>
        <v>0.14499999999999999</v>
      </c>
      <c r="D552">
        <f>VLOOKUP(A552,institutions_spss!A:M,11,0)</f>
        <v>0.17</v>
      </c>
      <c r="E552">
        <f>VLOOKUP(A552,institutions_spss!A:M,12,0)</f>
        <v>0.247</v>
      </c>
      <c r="F552">
        <f>VLOOKUP(A552,institutions_spss!A:M,13,0)</f>
        <v>0.11</v>
      </c>
    </row>
    <row r="553" spans="1:6" x14ac:dyDescent="0.25">
      <c r="A553" t="str">
        <f>institutions_spss!A555</f>
        <v>Southeast University - China</v>
      </c>
      <c r="B553">
        <f>VLOOKUP(A553,institutions_spss!A:M,9,0)</f>
        <v>8.5000000000000006E-2</v>
      </c>
      <c r="C553">
        <f>VLOOKUP(A553,institutions_spss!A:M,10,0)</f>
        <v>0.21</v>
      </c>
      <c r="D553">
        <f>VLOOKUP(A553,institutions_spss!A:M,11,0)</f>
        <v>0.26800000000000002</v>
      </c>
      <c r="E553">
        <f>VLOOKUP(A553,institutions_spss!A:M,12,0)</f>
        <v>0.152</v>
      </c>
      <c r="F553">
        <f>VLOOKUP(A553,institutions_spss!A:M,13,0)</f>
        <v>0.11</v>
      </c>
    </row>
    <row r="554" spans="1:6" x14ac:dyDescent="0.25">
      <c r="A554" t="str">
        <f>institutions_spss!A556</f>
        <v>University of Witwatersrand</v>
      </c>
      <c r="B554">
        <f>VLOOKUP(A554,institutions_spss!A:M,9,0)</f>
        <v>7.8E-2</v>
      </c>
      <c r="C554">
        <f>VLOOKUP(A554,institutions_spss!A:M,10,0)</f>
        <v>0.188</v>
      </c>
      <c r="D554">
        <f>VLOOKUP(A554,institutions_spss!A:M,11,0)</f>
        <v>0.22</v>
      </c>
      <c r="E554">
        <f>VLOOKUP(A554,institutions_spss!A:M,12,0)</f>
        <v>0.23799999999999999</v>
      </c>
      <c r="F554">
        <f>VLOOKUP(A554,institutions_spss!A:M,13,0)</f>
        <v>0.13200000000000001</v>
      </c>
    </row>
    <row r="555" spans="1:6" x14ac:dyDescent="0.25">
      <c r="A555" t="str">
        <f>institutions_spss!A557</f>
        <v>Shanghai Lixin University of Accounting &amp; Finance</v>
      </c>
      <c r="B555">
        <f>VLOOKUP(A555,institutions_spss!A:M,9,0)</f>
        <v>8.5000000000000006E-2</v>
      </c>
      <c r="C555">
        <f>VLOOKUP(A555,institutions_spss!A:M,10,0)</f>
        <v>0.28299999999999997</v>
      </c>
      <c r="D555">
        <f>VLOOKUP(A555,institutions_spss!A:M,11,0)</f>
        <v>0.1</v>
      </c>
      <c r="E555">
        <f>VLOOKUP(A555,institutions_spss!A:M,12,0)</f>
        <v>8.3000000000000004E-2</v>
      </c>
      <c r="F555">
        <f>VLOOKUP(A555,institutions_spss!A:M,13,0)</f>
        <v>0.182</v>
      </c>
    </row>
    <row r="556" spans="1:6" x14ac:dyDescent="0.25">
      <c r="A556" t="str">
        <f>institutions_spss!A558</f>
        <v>Universidade de Coimbra</v>
      </c>
      <c r="B556">
        <f>VLOOKUP(A556,institutions_spss!A:M,9,0)</f>
        <v>8.5000000000000006E-2</v>
      </c>
      <c r="C556">
        <f>VLOOKUP(A556,institutions_spss!A:M,10,0)</f>
        <v>0.16500000000000001</v>
      </c>
      <c r="D556">
        <f>VLOOKUP(A556,institutions_spss!A:M,11,0)</f>
        <v>0.157</v>
      </c>
      <c r="E556">
        <f>VLOOKUP(A556,institutions_spss!A:M,12,0)</f>
        <v>0.10199999999999999</v>
      </c>
      <c r="F556">
        <f>VLOOKUP(A556,institutions_spss!A:M,13,0)</f>
        <v>0.26700000000000002</v>
      </c>
    </row>
    <row r="557" spans="1:6" x14ac:dyDescent="0.25">
      <c r="A557" t="str">
        <f>institutions_spss!A559</f>
        <v>Universidade de Lisboa</v>
      </c>
      <c r="B557">
        <f>VLOOKUP(A557,institutions_spss!A:M,9,0)</f>
        <v>5.7000000000000002E-2</v>
      </c>
      <c r="C557">
        <f>VLOOKUP(A557,institutions_spss!A:M,10,0)</f>
        <v>0.2</v>
      </c>
      <c r="D557">
        <f>VLOOKUP(A557,institutions_spss!A:M,11,0)</f>
        <v>6.8000000000000005E-2</v>
      </c>
      <c r="E557">
        <f>VLOOKUP(A557,institutions_spss!A:M,12,0)</f>
        <v>0.17199999999999999</v>
      </c>
      <c r="F557">
        <f>VLOOKUP(A557,institutions_spss!A:M,13,0)</f>
        <v>0.13800000000000001</v>
      </c>
    </row>
    <row r="558" spans="1:6" x14ac:dyDescent="0.25">
      <c r="A558" t="str">
        <f>institutions_spss!A560</f>
        <v>Universiti Putra Malaysia</v>
      </c>
      <c r="B558">
        <f>VLOOKUP(A558,institutions_spss!A:M,9,0)</f>
        <v>9.1999999999999998E-2</v>
      </c>
      <c r="C558">
        <f>VLOOKUP(A558,institutions_spss!A:M,10,0)</f>
        <v>0.18</v>
      </c>
      <c r="D558">
        <f>VLOOKUP(A558,institutions_spss!A:M,11,0)</f>
        <v>0.11799999999999999</v>
      </c>
      <c r="E558">
        <f>VLOOKUP(A558,institutions_spss!A:M,12,0)</f>
        <v>0.192</v>
      </c>
      <c r="F558">
        <f>VLOOKUP(A558,institutions_spss!A:M,13,0)</f>
        <v>0.115</v>
      </c>
    </row>
    <row r="559" spans="1:6" x14ac:dyDescent="0.25">
      <c r="A559" t="str">
        <f>institutions_spss!A561</f>
        <v>Universidad de Castilla-La Mancha</v>
      </c>
      <c r="B559">
        <f>VLOOKUP(A559,institutions_spss!A:M,9,0)</f>
        <v>7.2999999999999995E-2</v>
      </c>
      <c r="C559">
        <f>VLOOKUP(A559,institutions_spss!A:M,10,0)</f>
        <v>0.18</v>
      </c>
      <c r="D559">
        <f>VLOOKUP(A559,institutions_spss!A:M,11,0)</f>
        <v>0.23</v>
      </c>
      <c r="E559">
        <f>VLOOKUP(A559,institutions_spss!A:M,12,0)</f>
        <v>0.17</v>
      </c>
      <c r="F559">
        <f>VLOOKUP(A559,institutions_spss!A:M,13,0)</f>
        <v>0.16800000000000001</v>
      </c>
    </row>
    <row r="560" spans="1:6" x14ac:dyDescent="0.25">
      <c r="A560" t="str">
        <f>institutions_spss!A562</f>
        <v>Universidad de Malaga</v>
      </c>
      <c r="B560">
        <f>VLOOKUP(A560,institutions_spss!A:M,9,0)</f>
        <v>6.7000000000000004E-2</v>
      </c>
      <c r="C560">
        <f>VLOOKUP(A560,institutions_spss!A:M,10,0)</f>
        <v>0.108</v>
      </c>
      <c r="D560">
        <f>VLOOKUP(A560,institutions_spss!A:M,11,0)</f>
        <v>0</v>
      </c>
      <c r="E560">
        <f>VLOOKUP(A560,institutions_spss!A:M,12,0)</f>
        <v>0.11799999999999999</v>
      </c>
      <c r="F560">
        <f>VLOOKUP(A560,institutions_spss!A:M,13,0)</f>
        <v>0.14199999999999999</v>
      </c>
    </row>
    <row r="561" spans="1:6" x14ac:dyDescent="0.25">
      <c r="A561" t="str">
        <f>institutions_spss!A563</f>
        <v>Universidad Publica de Navarra</v>
      </c>
      <c r="B561">
        <f>VLOOKUP(A561,institutions_spss!A:M,9,0)</f>
        <v>9.5000000000000001E-2</v>
      </c>
      <c r="C561">
        <f>VLOOKUP(A561,institutions_spss!A:M,10,0)</f>
        <v>0.13500000000000001</v>
      </c>
      <c r="D561">
        <f>VLOOKUP(A561,institutions_spss!A:M,11,0)</f>
        <v>0.22</v>
      </c>
      <c r="E561">
        <f>VLOOKUP(A561,institutions_spss!A:M,12,0)</f>
        <v>0.22</v>
      </c>
      <c r="F561">
        <f>VLOOKUP(A561,institutions_spss!A:M,13,0)</f>
        <v>0.27800000000000002</v>
      </c>
    </row>
    <row r="562" spans="1:6" x14ac:dyDescent="0.25">
      <c r="A562" t="str">
        <f>institutions_spss!A564</f>
        <v>Universidade da Beira Interior</v>
      </c>
      <c r="B562">
        <f>VLOOKUP(A562,institutions_spss!A:M,9,0)</f>
        <v>7.2999999999999995E-2</v>
      </c>
      <c r="C562">
        <f>VLOOKUP(A562,institutions_spss!A:M,10,0)</f>
        <v>0.11700000000000001</v>
      </c>
      <c r="D562">
        <f>VLOOKUP(A562,institutions_spss!A:M,11,0)</f>
        <v>0</v>
      </c>
      <c r="E562">
        <f>VLOOKUP(A562,institutions_spss!A:M,12,0)</f>
        <v>0.13800000000000001</v>
      </c>
      <c r="F562">
        <f>VLOOKUP(A562,institutions_spss!A:M,13,0)</f>
        <v>0.16800000000000001</v>
      </c>
    </row>
    <row r="563" spans="1:6" x14ac:dyDescent="0.25">
      <c r="A563" t="str">
        <f>institutions_spss!A565</f>
        <v>University of Haifa</v>
      </c>
      <c r="B563">
        <f>VLOOKUP(A563,institutions_spss!A:M,9,0)</f>
        <v>6.7000000000000004E-2</v>
      </c>
      <c r="C563">
        <f>VLOOKUP(A563,institutions_spss!A:M,10,0)</f>
        <v>0.21</v>
      </c>
      <c r="D563">
        <f>VLOOKUP(A563,institutions_spss!A:M,11,0)</f>
        <v>0.107</v>
      </c>
      <c r="E563">
        <f>VLOOKUP(A563,institutions_spss!A:M,12,0)</f>
        <v>7.6999999999999999E-2</v>
      </c>
      <c r="F563">
        <f>VLOOKUP(A563,institutions_spss!A:M,13,0)</f>
        <v>0.2</v>
      </c>
    </row>
    <row r="564" spans="1:6" x14ac:dyDescent="0.25">
      <c r="A564" t="str">
        <f>institutions_spss!A566</f>
        <v>Zhejiang University of Finance &amp; Economics</v>
      </c>
      <c r="B564">
        <f>VLOOKUP(A564,institutions_spss!A:M,9,0)</f>
        <v>9.1999999999999998E-2</v>
      </c>
      <c r="C564">
        <f>VLOOKUP(A564,institutions_spss!A:M,10,0)</f>
        <v>0.1</v>
      </c>
      <c r="D564">
        <f>VLOOKUP(A564,institutions_spss!A:M,11,0)</f>
        <v>0.187</v>
      </c>
      <c r="E564">
        <f>VLOOKUP(A564,institutions_spss!A:M,12,0)</f>
        <v>0.14799999999999999</v>
      </c>
      <c r="F564">
        <f>VLOOKUP(A564,institutions_spss!A:M,13,0)</f>
        <v>0.29499999999999998</v>
      </c>
    </row>
    <row r="565" spans="1:6" x14ac:dyDescent="0.25">
      <c r="A565" t="str">
        <f>institutions_spss!A567</f>
        <v>Nanjing University of Finance &amp; Economics</v>
      </c>
      <c r="B565">
        <f>VLOOKUP(A565,institutions_spss!A:M,9,0)</f>
        <v>7.8E-2</v>
      </c>
      <c r="C565">
        <f>VLOOKUP(A565,institutions_spss!A:M,10,0)</f>
        <v>0.26800000000000002</v>
      </c>
      <c r="D565">
        <f>VLOOKUP(A565,institutions_spss!A:M,11,0)</f>
        <v>0.22</v>
      </c>
      <c r="E565">
        <f>VLOOKUP(A565,institutions_spss!A:M,12,0)</f>
        <v>0.11799999999999999</v>
      </c>
      <c r="F565">
        <f>VLOOKUP(A565,institutions_spss!A:M,13,0)</f>
        <v>0.14699999999999999</v>
      </c>
    </row>
    <row r="566" spans="1:6" x14ac:dyDescent="0.25">
      <c r="A566" t="str">
        <f>institutions_spss!A568</f>
        <v>National Cheng Kung University</v>
      </c>
      <c r="B566">
        <f>VLOOKUP(A566,institutions_spss!A:M,9,0)</f>
        <v>6.7000000000000004E-2</v>
      </c>
      <c r="C566">
        <f>VLOOKUP(A566,institutions_spss!A:M,10,0)</f>
        <v>0.03</v>
      </c>
      <c r="D566">
        <f>VLOOKUP(A566,institutions_spss!A:M,11,0)</f>
        <v>0.08</v>
      </c>
      <c r="E566">
        <f>VLOOKUP(A566,institutions_spss!A:M,12,0)</f>
        <v>0.17699999999999999</v>
      </c>
      <c r="F566">
        <f>VLOOKUP(A566,institutions_spss!A:M,13,0)</f>
        <v>0.20300000000000001</v>
      </c>
    </row>
    <row r="567" spans="1:6" x14ac:dyDescent="0.25">
      <c r="A567" t="str">
        <f>institutions_spss!A569</f>
        <v>Kobe University</v>
      </c>
      <c r="B567">
        <f>VLOOKUP(A567,institutions_spss!A:M,9,0)</f>
        <v>4.4999999999999998E-2</v>
      </c>
      <c r="C567">
        <f>VLOOKUP(A567,institutions_spss!A:M,10,0)</f>
        <v>0.253</v>
      </c>
      <c r="D567">
        <f>VLOOKUP(A567,institutions_spss!A:M,11,0)</f>
        <v>0.1</v>
      </c>
      <c r="E567">
        <f>VLOOKUP(A567,institutions_spss!A:M,12,0)</f>
        <v>0.06</v>
      </c>
      <c r="F567">
        <f>VLOOKUP(A567,institutions_spss!A:M,13,0)</f>
        <v>5.5E-2</v>
      </c>
    </row>
    <row r="568" spans="1:6" x14ac:dyDescent="0.25">
      <c r="A568" t="str">
        <f>institutions_spss!A570</f>
        <v>Pusan National University</v>
      </c>
      <c r="B568">
        <f>VLOOKUP(A568,institutions_spss!A:M,9,0)</f>
        <v>6.2E-2</v>
      </c>
      <c r="C568">
        <f>VLOOKUP(A568,institutions_spss!A:M,10,0)</f>
        <v>0.16500000000000001</v>
      </c>
      <c r="D568">
        <f>VLOOKUP(A568,institutions_spss!A:M,11,0)</f>
        <v>0.34699999999999998</v>
      </c>
      <c r="E568">
        <f>VLOOKUP(A568,institutions_spss!A:M,12,0)</f>
        <v>0.17699999999999999</v>
      </c>
      <c r="F568">
        <f>VLOOKUP(A568,institutions_spss!A:M,13,0)</f>
        <v>7.0000000000000007E-2</v>
      </c>
    </row>
    <row r="569" spans="1:6" x14ac:dyDescent="0.25">
      <c r="A569" t="str">
        <f>institutions_spss!A571</f>
        <v>Ton Duc Thang University</v>
      </c>
      <c r="B569">
        <f>VLOOKUP(A569,institutions_spss!A:M,9,0)</f>
        <v>5.7000000000000002E-2</v>
      </c>
      <c r="C569">
        <f>VLOOKUP(A569,institutions_spss!A:M,10,0)</f>
        <v>0.11700000000000001</v>
      </c>
      <c r="D569">
        <f>VLOOKUP(A569,institutions_spss!A:M,11,0)</f>
        <v>0.193</v>
      </c>
      <c r="E569">
        <f>VLOOKUP(A569,institutions_spss!A:M,12,0)</f>
        <v>0.17</v>
      </c>
      <c r="F569">
        <f>VLOOKUP(A569,institutions_spss!A:M,13,0)</f>
        <v>0.1</v>
      </c>
    </row>
    <row r="570" spans="1:6" x14ac:dyDescent="0.25">
      <c r="A570" t="str">
        <f>institutions_spss!A572</f>
        <v>Universitat d'Alacant</v>
      </c>
      <c r="B570">
        <f>VLOOKUP(A570,institutions_spss!A:M,9,0)</f>
        <v>5.7000000000000002E-2</v>
      </c>
      <c r="C570">
        <f>VLOOKUP(A570,institutions_spss!A:M,10,0)</f>
        <v>0.13500000000000001</v>
      </c>
      <c r="D570">
        <f>VLOOKUP(A570,institutions_spss!A:M,11,0)</f>
        <v>0.312</v>
      </c>
      <c r="E570">
        <f>VLOOKUP(A570,institutions_spss!A:M,12,0)</f>
        <v>0.14799999999999999</v>
      </c>
      <c r="F570">
        <f>VLOOKUP(A570,institutions_spss!A:M,13,0)</f>
        <v>0.11</v>
      </c>
    </row>
    <row r="571" spans="1:6" x14ac:dyDescent="0.25">
      <c r="A571" t="str">
        <f>institutions_spss!A573</f>
        <v>Dalian University of Technology</v>
      </c>
      <c r="B571">
        <f>VLOOKUP(A571,institutions_spss!A:M,9,0)</f>
        <v>6.2E-2</v>
      </c>
      <c r="C571">
        <f>VLOOKUP(A571,institutions_spss!A:M,10,0)</f>
        <v>6.8000000000000005E-2</v>
      </c>
      <c r="D571">
        <f>VLOOKUP(A571,institutions_spss!A:M,11,0)</f>
        <v>0.20200000000000001</v>
      </c>
      <c r="E571">
        <f>VLOOKUP(A571,institutions_spss!A:M,12,0)</f>
        <v>9.1999999999999998E-2</v>
      </c>
      <c r="F571">
        <f>VLOOKUP(A571,institutions_spss!A:M,13,0)</f>
        <v>0.14799999999999999</v>
      </c>
    </row>
    <row r="572" spans="1:6" x14ac:dyDescent="0.25">
      <c r="A572" t="str">
        <f>institutions_spss!A574</f>
        <v>Universidad Rey Juan Carlos</v>
      </c>
      <c r="B572">
        <f>VLOOKUP(A572,institutions_spss!A:M,9,0)</f>
        <v>4.4999999999999998E-2</v>
      </c>
      <c r="C572">
        <f>VLOOKUP(A572,institutions_spss!A:M,10,0)</f>
        <v>0.06</v>
      </c>
      <c r="D572">
        <f>VLOOKUP(A572,institutions_spss!A:M,11,0)</f>
        <v>6.8000000000000005E-2</v>
      </c>
      <c r="E572">
        <f>VLOOKUP(A572,institutions_spss!A:M,12,0)</f>
        <v>0.13</v>
      </c>
      <c r="F572">
        <f>VLOOKUP(A572,institutions_spss!A:M,13,0)</f>
        <v>0.113</v>
      </c>
    </row>
    <row r="573" spans="1:6" x14ac:dyDescent="0.25">
      <c r="A573" t="str">
        <f>institutions_spss!A575</f>
        <v>Guangdong University of Finance &amp; Economics</v>
      </c>
      <c r="B573">
        <f>VLOOKUP(A573,institutions_spss!A:M,9,0)</f>
        <v>5.7000000000000002E-2</v>
      </c>
      <c r="C573">
        <f>VLOOKUP(A573,institutions_spss!A:M,10,0)</f>
        <v>8.7999999999999995E-2</v>
      </c>
      <c r="D573">
        <f>VLOOKUP(A573,institutions_spss!A:M,11,0)</f>
        <v>0.318</v>
      </c>
      <c r="E573">
        <f>VLOOKUP(A573,institutions_spss!A:M,12,0)</f>
        <v>0.158</v>
      </c>
      <c r="F573">
        <f>VLOOKUP(A573,institutions_spss!A:M,13,0)</f>
        <v>0.113</v>
      </c>
    </row>
    <row r="574" spans="1:6" x14ac:dyDescent="0.25">
      <c r="A574" t="str">
        <f>institutions_spss!A576</f>
        <v>Jilin University</v>
      </c>
      <c r="B574">
        <f>VLOOKUP(A574,institutions_spss!A:M,9,0)</f>
        <v>0.04</v>
      </c>
      <c r="C574">
        <f>VLOOKUP(A574,institutions_spss!A:M,10,0)</f>
        <v>0.108</v>
      </c>
      <c r="D574">
        <f>VLOOKUP(A574,institutions_spss!A:M,11,0)</f>
        <v>0.14299999999999999</v>
      </c>
      <c r="E574">
        <f>VLOOKUP(A574,institutions_spss!A:M,12,0)</f>
        <v>0.14799999999999999</v>
      </c>
      <c r="F574">
        <f>VLOOKUP(A574,institutions_spss!A:M,13,0)</f>
        <v>0.13800000000000001</v>
      </c>
    </row>
    <row r="575" spans="1:6" x14ac:dyDescent="0.25">
      <c r="A575" t="str">
        <f>institutions_spss!A577</f>
        <v>Keio University</v>
      </c>
      <c r="B575">
        <f>VLOOKUP(A575,institutions_spss!A:M,9,0)</f>
        <v>4.4999999999999998E-2</v>
      </c>
      <c r="C575">
        <f>VLOOKUP(A575,institutions_spss!A:M,10,0)</f>
        <v>0.28299999999999997</v>
      </c>
      <c r="D575">
        <f>VLOOKUP(A575,institutions_spss!A:M,11,0)</f>
        <v>0.08</v>
      </c>
      <c r="E575">
        <f>VLOOKUP(A575,institutions_spss!A:M,12,0)</f>
        <v>9.1999999999999998E-2</v>
      </c>
      <c r="F575">
        <f>VLOOKUP(A575,institutions_spss!A:M,13,0)</f>
        <v>6.3E-2</v>
      </c>
    </row>
    <row r="576" spans="1:6" x14ac:dyDescent="0.25">
      <c r="A576" t="str">
        <f>institutions_spss!A578</f>
        <v>National Yang Ming Chiao Tung University</v>
      </c>
      <c r="B576">
        <f>VLOOKUP(A576,institutions_spss!A:M,9,0)</f>
        <v>3.3000000000000002E-2</v>
      </c>
      <c r="C576">
        <f>VLOOKUP(A576,institutions_spss!A:M,10,0)</f>
        <v>0.02</v>
      </c>
      <c r="D576">
        <f>VLOOKUP(A576,institutions_spss!A:M,11,0)</f>
        <v>0.245</v>
      </c>
      <c r="E576">
        <f>VLOOKUP(A576,institutions_spss!A:M,12,0)</f>
        <v>0.13300000000000001</v>
      </c>
      <c r="F576">
        <f>VLOOKUP(A576,institutions_spss!A:M,13,0)</f>
        <v>0.11</v>
      </c>
    </row>
    <row r="577" spans="1:6" x14ac:dyDescent="0.25">
      <c r="A577" t="str">
        <f>institutions_spss!A579</f>
        <v>Prague University of Economics &amp; Business</v>
      </c>
      <c r="B577">
        <f>VLOOKUP(A577,institutions_spss!A:M,9,0)</f>
        <v>0.03</v>
      </c>
      <c r="C577">
        <f>VLOOKUP(A577,institutions_spss!A:M,10,0)</f>
        <v>0.06</v>
      </c>
      <c r="D577">
        <f>VLOOKUP(A577,institutions_spss!A:M,11,0)</f>
        <v>0.33800000000000002</v>
      </c>
      <c r="E577">
        <f>VLOOKUP(A577,institutions_spss!A:M,12,0)</f>
        <v>0.13</v>
      </c>
      <c r="F577">
        <f>VLOOKUP(A577,institutions_spss!A:M,13,0)</f>
        <v>6.2E-2</v>
      </c>
    </row>
    <row r="578" spans="1:6" x14ac:dyDescent="0.25">
      <c r="A578" t="str">
        <f>institutions_spss!A580</f>
        <v>Universiti Sains Malaysia</v>
      </c>
      <c r="B578">
        <f>VLOOKUP(A578,institutions_spss!A:M,9,0)</f>
        <v>5.7000000000000002E-2</v>
      </c>
      <c r="C578">
        <f>VLOOKUP(A578,institutions_spss!A:M,10,0)</f>
        <v>7.6999999999999999E-2</v>
      </c>
      <c r="D578">
        <f>VLOOKUP(A578,institutions_spss!A:M,11,0)</f>
        <v>0.1</v>
      </c>
      <c r="E578">
        <f>VLOOKUP(A578,institutions_spss!A:M,12,0)</f>
        <v>0.11799999999999999</v>
      </c>
      <c r="F578">
        <f>VLOOKUP(A578,institutions_spss!A:M,13,0)</f>
        <v>0.17</v>
      </c>
    </row>
    <row r="579" spans="1:6" x14ac:dyDescent="0.25">
      <c r="A579" t="str">
        <f>institutions_spss!A581</f>
        <v>Zhejiang Gongshang University</v>
      </c>
      <c r="B579">
        <f>VLOOKUP(A579,institutions_spss!A:M,9,0)</f>
        <v>0.04</v>
      </c>
      <c r="C579">
        <f>VLOOKUP(A579,institutions_spss!A:M,10,0)</f>
        <v>4.8000000000000001E-2</v>
      </c>
      <c r="D579">
        <f>VLOOKUP(A579,institutions_spss!A:M,11,0)</f>
        <v>0.22</v>
      </c>
      <c r="E579">
        <f>VLOOKUP(A579,institutions_spss!A:M,12,0)</f>
        <v>0.158</v>
      </c>
      <c r="F579">
        <f>VLOOKUP(A579,institutions_spss!A:M,13,0)</f>
        <v>0.13200000000000001</v>
      </c>
    </row>
    <row r="580" spans="1:6" x14ac:dyDescent="0.25">
      <c r="A580" t="str">
        <f>institutions_spss!A582</f>
        <v>National Kaohsiung University of Science &amp; Technology</v>
      </c>
      <c r="B580">
        <f>VLOOKUP(A580,institutions_spss!A:M,9,0)</f>
        <v>0.04</v>
      </c>
      <c r="C580">
        <f>VLOOKUP(A580,institutions_spss!A:M,10,0)</f>
        <v>6.8000000000000005E-2</v>
      </c>
      <c r="D580">
        <f>VLOOKUP(A580,institutions_spss!A:M,11,0)</f>
        <v>0.20200000000000001</v>
      </c>
      <c r="E580">
        <f>VLOOKUP(A580,institutions_spss!A:M,12,0)</f>
        <v>0.125</v>
      </c>
      <c r="F580">
        <f>VLOOKUP(A580,institutions_spss!A:M,13,0)</f>
        <v>9.5000000000000001E-2</v>
      </c>
    </row>
    <row r="581" spans="1:6" x14ac:dyDescent="0.25">
      <c r="A581" t="str">
        <f>institutions_spss!A583</f>
        <v>Universidade de Sao Paulo</v>
      </c>
      <c r="B581">
        <f>VLOOKUP(A581,institutions_spss!A:M,9,0)</f>
        <v>3.3000000000000002E-2</v>
      </c>
      <c r="C581">
        <f>VLOOKUP(A581,institutions_spss!A:M,10,0)</f>
        <v>0.13500000000000001</v>
      </c>
      <c r="D581">
        <f>VLOOKUP(A581,institutions_spss!A:M,11,0)</f>
        <v>0.09</v>
      </c>
      <c r="E581">
        <f>VLOOKUP(A581,institutions_spss!A:M,12,0)</f>
        <v>9.5000000000000001E-2</v>
      </c>
      <c r="F581">
        <f>VLOOKUP(A581,institutions_spss!A:M,13,0)</f>
        <v>0.182</v>
      </c>
    </row>
    <row r="582" spans="1:6" x14ac:dyDescent="0.25">
      <c r="A582" t="str">
        <f>institutions_spss!A584</f>
        <v>Universidade de Vigo</v>
      </c>
      <c r="B582">
        <f>VLOOKUP(A582,institutions_spss!A:M,9,0)</f>
        <v>0.03</v>
      </c>
      <c r="C582">
        <f>VLOOKUP(A582,institutions_spss!A:M,10,0)</f>
        <v>8.7999999999999995E-2</v>
      </c>
      <c r="D582">
        <f>VLOOKUP(A582,institutions_spss!A:M,11,0)</f>
        <v>0</v>
      </c>
      <c r="E582">
        <f>VLOOKUP(A582,institutions_spss!A:M,12,0)</f>
        <v>7.1999999999999995E-2</v>
      </c>
      <c r="F582">
        <f>VLOOKUP(A582,institutions_spss!A:M,13,0)</f>
        <v>0.19700000000000001</v>
      </c>
    </row>
    <row r="583" spans="1:6" x14ac:dyDescent="0.25">
      <c r="A583" t="str">
        <f>institutions_spss!A585</f>
        <v>University of Tehran</v>
      </c>
      <c r="B583">
        <f>VLOOKUP(A583,institutions_spss!A:M,9,0)</f>
        <v>0.03</v>
      </c>
      <c r="C583">
        <f>VLOOKUP(A583,institutions_spss!A:M,10,0)</f>
        <v>0.04</v>
      </c>
      <c r="D583">
        <f>VLOOKUP(A583,institutions_spss!A:M,11,0)</f>
        <v>0.13500000000000001</v>
      </c>
      <c r="E583">
        <f>VLOOKUP(A583,institutions_spss!A:M,12,0)</f>
        <v>0.10199999999999999</v>
      </c>
      <c r="F583">
        <f>VLOOKUP(A583,institutions_spss!A:M,13,0)</f>
        <v>0.157</v>
      </c>
    </row>
    <row r="584" spans="1:6" x14ac:dyDescent="0.25">
      <c r="A584" t="str">
        <f>institutions_spss!A586</f>
        <v>Eastern Mediterranean University</v>
      </c>
      <c r="B584">
        <f>VLOOKUP(A584,institutions_spss!A:M,9,0)</f>
        <v>4.8000000000000001E-2</v>
      </c>
      <c r="C584">
        <f>VLOOKUP(A584,institutions_spss!A:M,10,0)</f>
        <v>0.1</v>
      </c>
      <c r="D584">
        <f>VLOOKUP(A584,institutions_spss!A:M,11,0)</f>
        <v>0.127</v>
      </c>
      <c r="E584">
        <f>VLOOKUP(A584,institutions_spss!A:M,12,0)</f>
        <v>0.223</v>
      </c>
      <c r="F584">
        <f>VLOOKUP(A584,institutions_spss!A:M,13,0)</f>
        <v>0.19700000000000001</v>
      </c>
    </row>
    <row r="585" spans="1:6" x14ac:dyDescent="0.25">
      <c r="A585" t="str">
        <f>institutions_spss!A587</f>
        <v>University of Murcia</v>
      </c>
      <c r="B585">
        <f>VLOOKUP(A585,institutions_spss!A:M,9,0)</f>
        <v>0.04</v>
      </c>
      <c r="C585">
        <f>VLOOKUP(A585,institutions_spss!A:M,10,0)</f>
        <v>0.11700000000000001</v>
      </c>
      <c r="D585">
        <f>VLOOKUP(A585,institutions_spss!A:M,11,0)</f>
        <v>0</v>
      </c>
      <c r="E585">
        <f>VLOOKUP(A585,institutions_spss!A:M,12,0)</f>
        <v>9.5000000000000001E-2</v>
      </c>
      <c r="F585">
        <f>VLOOKUP(A585,institutions_spss!A:M,13,0)</f>
        <v>0.13200000000000001</v>
      </c>
    </row>
    <row r="586" spans="1:6" x14ac:dyDescent="0.25">
      <c r="A586" t="str">
        <f>institutions_spss!A588</f>
        <v>Chung Ang University</v>
      </c>
      <c r="B586">
        <f>VLOOKUP(A586,institutions_spss!A:M,9,0)</f>
        <v>0.03</v>
      </c>
      <c r="C586">
        <f>VLOOKUP(A586,institutions_spss!A:M,10,0)</f>
        <v>0.02</v>
      </c>
      <c r="D586">
        <f>VLOOKUP(A586,institutions_spss!A:M,11,0)</f>
        <v>0.23</v>
      </c>
      <c r="E586">
        <f>VLOOKUP(A586,institutions_spss!A:M,12,0)</f>
        <v>0.51500000000000001</v>
      </c>
      <c r="F586">
        <f>VLOOKUP(A586,institutions_spss!A:M,13,0)</f>
        <v>0.09</v>
      </c>
    </row>
    <row r="587" spans="1:6" x14ac:dyDescent="0.25">
      <c r="A587" t="str">
        <f>institutions_spss!A589</f>
        <v>Universitat Jaume I</v>
      </c>
      <c r="B587">
        <f>VLOOKUP(A587,institutions_spss!A:M,9,0)</f>
        <v>2.1999999999999999E-2</v>
      </c>
      <c r="C587">
        <f>VLOOKUP(A587,institutions_spss!A:M,10,0)</f>
        <v>0.14499999999999999</v>
      </c>
      <c r="D587">
        <f>VLOOKUP(A587,institutions_spss!A:M,11,0)</f>
        <v>7.1999999999999995E-2</v>
      </c>
      <c r="E587">
        <f>VLOOKUP(A587,institutions_spss!A:M,12,0)</f>
        <v>9.7000000000000003E-2</v>
      </c>
      <c r="F587">
        <f>VLOOKUP(A587,institutions_spss!A:M,13,0)</f>
        <v>0.13800000000000001</v>
      </c>
    </row>
    <row r="588" spans="1:6" x14ac:dyDescent="0.25">
      <c r="A588" t="str">
        <f>institutions_spss!A590</f>
        <v>Warsaw School of Economics</v>
      </c>
      <c r="B588">
        <f>VLOOKUP(A588,institutions_spss!A:M,9,0)</f>
        <v>4.8000000000000001E-2</v>
      </c>
      <c r="C588">
        <f>VLOOKUP(A588,institutions_spss!A:M,10,0)</f>
        <v>0.188</v>
      </c>
      <c r="D588">
        <f>VLOOKUP(A588,institutions_spss!A:M,11,0)</f>
        <v>0.11799999999999999</v>
      </c>
      <c r="E588">
        <f>VLOOKUP(A588,institutions_spss!A:M,12,0)</f>
        <v>0</v>
      </c>
      <c r="F588">
        <f>VLOOKUP(A588,institutions_spss!A:M,13,0)</f>
        <v>0.36299999999999999</v>
      </c>
    </row>
    <row r="589" spans="1:6" x14ac:dyDescent="0.25">
      <c r="A589" t="str">
        <f>institutions_spss!A591</f>
        <v>Ming Chuan University</v>
      </c>
      <c r="B589">
        <f>VLOOKUP(A589,institutions_spss!A:M,9,0)</f>
        <v>0.03</v>
      </c>
      <c r="C589">
        <f>VLOOKUP(A589,institutions_spss!A:M,10,0)</f>
        <v>7.0000000000000001E-3</v>
      </c>
      <c r="D589">
        <f>VLOOKUP(A589,institutions_spss!A:M,11,0)</f>
        <v>6.8000000000000005E-2</v>
      </c>
      <c r="E589">
        <f>VLOOKUP(A589,institutions_spss!A:M,12,0)</f>
        <v>0.16500000000000001</v>
      </c>
      <c r="F589">
        <f>VLOOKUP(A589,institutions_spss!A:M,13,0)</f>
        <v>9.5000000000000001E-2</v>
      </c>
    </row>
    <row r="590" spans="1:6" x14ac:dyDescent="0.25">
      <c r="A590" t="str">
        <f>institutions_spss!A592</f>
        <v>University of Economics Bratislava</v>
      </c>
      <c r="B590">
        <f>VLOOKUP(A590,institutions_spss!A:M,9,0)</f>
        <v>1.7000000000000001E-2</v>
      </c>
      <c r="C590">
        <f>VLOOKUP(A590,institutions_spss!A:M,10,0)</f>
        <v>0.06</v>
      </c>
      <c r="D590">
        <f>VLOOKUP(A590,institutions_spss!A:M,11,0)</f>
        <v>0.29699999999999999</v>
      </c>
      <c r="E590">
        <f>VLOOKUP(A590,institutions_spss!A:M,12,0)</f>
        <v>5.7000000000000002E-2</v>
      </c>
      <c r="F590">
        <f>VLOOKUP(A590,institutions_spss!A:M,13,0)</f>
        <v>4.2000000000000003E-2</v>
      </c>
    </row>
    <row r="591" spans="1:6" x14ac:dyDescent="0.25">
      <c r="A591" t="str">
        <f>institutions_spss!A593</f>
        <v>Tamkang University</v>
      </c>
      <c r="B591">
        <f>VLOOKUP(A591,institutions_spss!A:M,9,0)</f>
        <v>1.7999999999999999E-2</v>
      </c>
      <c r="C591">
        <f>VLOOKUP(A591,institutions_spss!A:M,10,0)</f>
        <v>0.1</v>
      </c>
      <c r="D591">
        <f>VLOOKUP(A591,institutions_spss!A:M,11,0)</f>
        <v>0.08</v>
      </c>
      <c r="E591">
        <f>VLOOKUP(A591,institutions_spss!A:M,12,0)</f>
        <v>0.13800000000000001</v>
      </c>
      <c r="F591">
        <f>VLOOKUP(A591,institutions_spss!A:M,13,0)</f>
        <v>6.8000000000000005E-2</v>
      </c>
    </row>
    <row r="592" spans="1:6" x14ac:dyDescent="0.25">
      <c r="A592" t="str">
        <f>institutions_spss!A594</f>
        <v>Universite de Sfax</v>
      </c>
      <c r="B592">
        <f>VLOOKUP(A592,institutions_spss!A:M,9,0)</f>
        <v>0.02</v>
      </c>
      <c r="C592">
        <f>VLOOKUP(A592,institutions_spss!A:M,10,0)</f>
        <v>8.7999999999999995E-2</v>
      </c>
      <c r="D592">
        <f>VLOOKUP(A592,institutions_spss!A:M,11,0)</f>
        <v>0.27800000000000002</v>
      </c>
      <c r="E592">
        <f>VLOOKUP(A592,institutions_spss!A:M,12,0)</f>
        <v>8.3000000000000004E-2</v>
      </c>
      <c r="F592">
        <f>VLOOKUP(A592,institutions_spss!A:M,13,0)</f>
        <v>7.1999999999999995E-2</v>
      </c>
    </row>
    <row r="593" spans="1:6" x14ac:dyDescent="0.25">
      <c r="A593" t="str">
        <f>institutions_spss!A595</f>
        <v>Corvinus University Budapest</v>
      </c>
      <c r="B593">
        <f>VLOOKUP(A593,institutions_spss!A:M,9,0)</f>
        <v>1.7000000000000001E-2</v>
      </c>
      <c r="C593">
        <f>VLOOKUP(A593,institutions_spss!A:M,10,0)</f>
        <v>4.4999999999999998E-2</v>
      </c>
      <c r="D593">
        <f>VLOOKUP(A593,institutions_spss!A:M,11,0)</f>
        <v>0</v>
      </c>
      <c r="E593">
        <f>VLOOKUP(A593,institutions_spss!A:M,12,0)</f>
        <v>0.21</v>
      </c>
      <c r="F593">
        <f>VLOOKUP(A593,institutions_spss!A:M,13,0)</f>
        <v>0.11799999999999999</v>
      </c>
    </row>
    <row r="594" spans="1:6" x14ac:dyDescent="0.25">
      <c r="A594" t="str">
        <f>institutions_spss!A596</f>
        <v>Universidade Federal do Rio Grande do Sul</v>
      </c>
      <c r="B594">
        <f>VLOOKUP(A594,institutions_spss!A:M,9,0)</f>
        <v>1.2999999999999999E-2</v>
      </c>
      <c r="C594">
        <f>VLOOKUP(A594,institutions_spss!A:M,10,0)</f>
        <v>0.02</v>
      </c>
      <c r="D594">
        <f>VLOOKUP(A594,institutions_spss!A:M,11,0)</f>
        <v>0.11799999999999999</v>
      </c>
      <c r="E594">
        <f>VLOOKUP(A594,institutions_spss!A:M,12,0)</f>
        <v>8.3000000000000004E-2</v>
      </c>
      <c r="F594">
        <f>VLOOKUP(A594,institutions_spss!A:M,13,0)</f>
        <v>0.125</v>
      </c>
    </row>
    <row r="595" spans="1:6" x14ac:dyDescent="0.25">
      <c r="A595" t="str">
        <f>institutions_spss!A597</f>
        <v>University of Piraeus</v>
      </c>
      <c r="B595">
        <f>VLOOKUP(A595,institutions_spss!A:M,9,0)</f>
        <v>1.2E-2</v>
      </c>
      <c r="C595">
        <f>VLOOKUP(A595,institutions_spss!A:M,10,0)</f>
        <v>6.8000000000000005E-2</v>
      </c>
      <c r="D595">
        <f>VLOOKUP(A595,institutions_spss!A:M,11,0)</f>
        <v>0.127</v>
      </c>
      <c r="E595">
        <f>VLOOKUP(A595,institutions_spss!A:M,12,0)</f>
        <v>6.8000000000000005E-2</v>
      </c>
      <c r="F595">
        <f>VLOOKUP(A595,institutions_spss!A:M,13,0)</f>
        <v>5.5E-2</v>
      </c>
    </row>
    <row r="596" spans="1:6" x14ac:dyDescent="0.25">
      <c r="A596" t="str">
        <f>institutions_spss!A598</f>
        <v>Feng Chia University</v>
      </c>
      <c r="B596">
        <f>VLOOKUP(A596,institutions_spss!A:M,9,0)</f>
        <v>0.01</v>
      </c>
      <c r="C596">
        <f>VLOOKUP(A596,institutions_spss!A:M,10,0)</f>
        <v>0.06</v>
      </c>
      <c r="D596">
        <f>VLOOKUP(A596,institutions_spss!A:M,11,0)</f>
        <v>0.1</v>
      </c>
      <c r="E596">
        <f>VLOOKUP(A596,institutions_spss!A:M,12,0)</f>
        <v>8.6999999999999994E-2</v>
      </c>
      <c r="F596">
        <f>VLOOKUP(A596,institutions_spss!A:M,13,0)</f>
        <v>6.2E-2</v>
      </c>
    </row>
    <row r="597" spans="1:6" x14ac:dyDescent="0.25">
      <c r="A597" t="str">
        <f>institutions_spss!A599</f>
        <v>Islamic Azad University</v>
      </c>
      <c r="B597">
        <f>VLOOKUP(A597,institutions_spss!A:M,9,0)</f>
        <v>0.01</v>
      </c>
      <c r="C597">
        <f>VLOOKUP(A597,institutions_spss!A:M,10,0)</f>
        <v>4.4999999999999998E-2</v>
      </c>
      <c r="D597">
        <f>VLOOKUP(A597,institutions_spss!A:M,11,0)</f>
        <v>0.1</v>
      </c>
      <c r="E597">
        <f>VLOOKUP(A597,institutions_spss!A:M,12,0)</f>
        <v>9.1999999999999998E-2</v>
      </c>
      <c r="F597">
        <f>VLOOKUP(A597,institutions_spss!A:M,13,0)</f>
        <v>0.11</v>
      </c>
    </row>
    <row r="598" spans="1:6" x14ac:dyDescent="0.25">
      <c r="A598" t="str">
        <f>institutions_spss!A600</f>
        <v>Bucharest University of Economic Studies</v>
      </c>
      <c r="B598">
        <f>VLOOKUP(A598,institutions_spss!A:M,9,0)</f>
        <v>7.0000000000000001E-3</v>
      </c>
      <c r="C598">
        <f>VLOOKUP(A598,institutions_spss!A:M,10,0)</f>
        <v>0.02</v>
      </c>
      <c r="D598">
        <f>VLOOKUP(A598,institutions_spss!A:M,11,0)</f>
        <v>0.53300000000000003</v>
      </c>
      <c r="E598">
        <f>VLOOKUP(A598,institutions_spss!A:M,12,0)</f>
        <v>5.2999999999999999E-2</v>
      </c>
      <c r="F598">
        <f>VLOOKUP(A598,institutions_spss!A:M,13,0)</f>
        <v>4.4999999999999998E-2</v>
      </c>
    </row>
    <row r="599" spans="1:6" x14ac:dyDescent="0.25">
      <c r="A599" t="str">
        <f>institutions_spss!A601</f>
        <v>University of Novi Sad</v>
      </c>
      <c r="B599">
        <f>VLOOKUP(A599,institutions_spss!A:M,9,0)</f>
        <v>5.0000000000000001E-3</v>
      </c>
      <c r="C599">
        <f>VLOOKUP(A599,institutions_spss!A:M,10,0)</f>
        <v>2.3E-2</v>
      </c>
      <c r="D599">
        <f>VLOOKUP(A599,institutions_spss!A:M,11,0)</f>
        <v>0.09</v>
      </c>
      <c r="E599">
        <f>VLOOKUP(A599,institutions_spss!A:M,12,0)</f>
        <v>0.107</v>
      </c>
      <c r="F599">
        <f>VLOOKUP(A599,institutions_spss!A:M,13,0)</f>
        <v>4.2999999999999997E-2</v>
      </c>
    </row>
    <row r="600" spans="1:6" x14ac:dyDescent="0.25">
      <c r="A600" t="str">
        <f>institutions_spss!A602</f>
        <v>University of Belgrade</v>
      </c>
      <c r="B600">
        <f>VLOOKUP(A600,institutions_spss!A:M,9,0)</f>
        <v>3.0000000000000001E-3</v>
      </c>
      <c r="C600">
        <f>VLOOKUP(A600,institutions_spss!A:M,10,0)</f>
        <v>0.02</v>
      </c>
      <c r="D600">
        <f>VLOOKUP(A600,institutions_spss!A:M,11,0)</f>
        <v>0.29699999999999999</v>
      </c>
      <c r="E600">
        <f>VLOOKUP(A600,institutions_spss!A:M,12,0)</f>
        <v>0.06</v>
      </c>
      <c r="F600">
        <f>VLOOKUP(A600,institutions_spss!A:M,13,0)</f>
        <v>0.08</v>
      </c>
    </row>
    <row r="601" spans="1:6" x14ac:dyDescent="0.25">
      <c r="A601" t="str">
        <f>institutions_spss!A603</f>
        <v>Vilnius Gediminas Technical University</v>
      </c>
      <c r="B601">
        <f>VLOOKUP(A601,institutions_spss!A:M,9,0)</f>
        <v>2E-3</v>
      </c>
      <c r="C601">
        <f>VLOOKUP(A601,institutions_spss!A:M,10,0)</f>
        <v>8.0000000000000002E-3</v>
      </c>
      <c r="D601">
        <f>VLOOKUP(A601,institutions_spss!A:M,11,0)</f>
        <v>0</v>
      </c>
      <c r="E601">
        <f>VLOOKUP(A601,institutions_spss!A:M,12,0)</f>
        <v>5.2999999999999999E-2</v>
      </c>
      <c r="F601">
        <f>VLOOKUP(A601,institutions_spss!A:M,13,0)</f>
        <v>4.8000000000000001E-2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journals</vt:lpstr>
      <vt:lpstr>institutions</vt:lpstr>
      <vt:lpstr>institutions_spss</vt:lpstr>
      <vt:lpstr>forspss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 de Windows</cp:lastModifiedBy>
  <dcterms:created xsi:type="dcterms:W3CDTF">2025-05-26T13:21:32Z</dcterms:created>
  <dcterms:modified xsi:type="dcterms:W3CDTF">2025-07-16T14:30:58Z</dcterms:modified>
</cp:coreProperties>
</file>