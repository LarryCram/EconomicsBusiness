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ropbox\ECONOMICS_BUSINESS\RESULTS\"/>
    </mc:Choice>
  </mc:AlternateContent>
  <bookViews>
    <workbookView xWindow="0" yWindow="0" windowWidth="28800" windowHeight="11730" activeTab="1"/>
  </bookViews>
  <sheets>
    <sheet name="average_influence" sheetId="1" r:id="rId1"/>
    <sheet name="total_influence" sheetId="2" r:id="rId2"/>
  </sheets>
  <calcPr calcId="162913"/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" i="2"/>
  <c r="G4" i="2"/>
  <c r="G5" i="2"/>
  <c r="G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2" i="1"/>
  <c r="H61" i="1"/>
  <c r="H63" i="1"/>
  <c r="H64" i="1"/>
  <c r="H65" i="1"/>
  <c r="H67" i="1"/>
  <c r="H66" i="1"/>
  <c r="H68" i="1"/>
  <c r="H69" i="1"/>
  <c r="H70" i="1"/>
  <c r="H71" i="1"/>
  <c r="H72" i="1"/>
  <c r="H73" i="1"/>
  <c r="H75" i="1"/>
  <c r="H74" i="1"/>
  <c r="H76" i="1"/>
  <c r="H77" i="1"/>
  <c r="H78" i="1"/>
  <c r="H79" i="1"/>
  <c r="H80" i="1"/>
  <c r="H81" i="1"/>
  <c r="H82" i="1"/>
  <c r="H83" i="1"/>
  <c r="H84" i="1"/>
  <c r="H86" i="1"/>
  <c r="H85" i="1"/>
  <c r="H87" i="1"/>
  <c r="H88" i="1"/>
  <c r="H89" i="1"/>
  <c r="H90" i="1"/>
  <c r="H92" i="1"/>
  <c r="H91" i="1"/>
  <c r="H93" i="1"/>
  <c r="H94" i="1"/>
  <c r="H96" i="1"/>
  <c r="H95" i="1"/>
  <c r="H97" i="1"/>
  <c r="H98" i="1"/>
  <c r="H99" i="1"/>
  <c r="H100" i="1"/>
  <c r="H102" i="1"/>
  <c r="H101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20" i="1"/>
  <c r="H119" i="1"/>
  <c r="H121" i="1"/>
  <c r="H122" i="1"/>
  <c r="H123" i="1"/>
  <c r="H124" i="1"/>
  <c r="H125" i="1"/>
  <c r="H126" i="1"/>
  <c r="H127" i="1"/>
  <c r="H128" i="1"/>
  <c r="H129" i="1"/>
  <c r="H131" i="1"/>
  <c r="H130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1" i="1"/>
  <c r="H150" i="1"/>
  <c r="H152" i="1"/>
  <c r="H153" i="1"/>
  <c r="H154" i="1"/>
  <c r="H155" i="1"/>
  <c r="H156" i="1"/>
  <c r="H157" i="1"/>
  <c r="H158" i="1"/>
  <c r="H159" i="1"/>
  <c r="H160" i="1"/>
  <c r="H161" i="1"/>
  <c r="H163" i="1"/>
  <c r="H162" i="1"/>
  <c r="H164" i="1"/>
  <c r="H165" i="1"/>
  <c r="H166" i="1"/>
  <c r="H169" i="1"/>
  <c r="H167" i="1"/>
  <c r="H168" i="1"/>
  <c r="H170" i="1"/>
  <c r="H171" i="1"/>
  <c r="H172" i="1"/>
  <c r="H173" i="1"/>
  <c r="H174" i="1"/>
  <c r="H175" i="1"/>
  <c r="H176" i="1"/>
  <c r="H177" i="1"/>
  <c r="H179" i="1"/>
  <c r="H178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1" i="1"/>
  <c r="H202" i="1"/>
  <c r="H200" i="1"/>
  <c r="H203" i="1"/>
  <c r="H204" i="1"/>
  <c r="H205" i="1"/>
  <c r="H206" i="1"/>
  <c r="H208" i="1"/>
  <c r="H207" i="1"/>
  <c r="H209" i="1"/>
  <c r="H210" i="1"/>
  <c r="H211" i="1"/>
  <c r="H212" i="1"/>
  <c r="H213" i="1"/>
  <c r="H214" i="1"/>
  <c r="H215" i="1"/>
  <c r="H216" i="1"/>
  <c r="H217" i="1"/>
  <c r="H218" i="1"/>
  <c r="H219" i="1"/>
  <c r="H221" i="1"/>
  <c r="H220" i="1"/>
  <c r="H222" i="1"/>
  <c r="H223" i="1"/>
  <c r="H224" i="1"/>
  <c r="H226" i="1"/>
  <c r="H225" i="1"/>
  <c r="H228" i="1"/>
  <c r="H227" i="1"/>
  <c r="H230" i="1"/>
  <c r="H229" i="1"/>
  <c r="H231" i="1"/>
  <c r="H232" i="1"/>
  <c r="H234" i="1"/>
  <c r="H233" i="1"/>
  <c r="H235" i="1"/>
  <c r="H236" i="1"/>
  <c r="H237" i="1"/>
  <c r="H239" i="1"/>
  <c r="H238" i="1"/>
  <c r="H240" i="1"/>
  <c r="H241" i="1"/>
  <c r="H242" i="1"/>
  <c r="H243" i="1"/>
  <c r="H244" i="1"/>
  <c r="H245" i="1"/>
  <c r="H249" i="1"/>
  <c r="H248" i="1"/>
  <c r="H247" i="1"/>
  <c r="H246" i="1"/>
  <c r="H251" i="1"/>
  <c r="H250" i="1"/>
  <c r="H252" i="1"/>
  <c r="H253" i="1"/>
  <c r="H256" i="1"/>
  <c r="H254" i="1"/>
  <c r="H255" i="1"/>
  <c r="H257" i="1"/>
  <c r="H258" i="1"/>
  <c r="H259" i="1"/>
  <c r="H260" i="1"/>
  <c r="H262" i="1"/>
  <c r="H261" i="1"/>
  <c r="H263" i="1"/>
  <c r="H264" i="1"/>
  <c r="H265" i="1"/>
  <c r="H266" i="1"/>
  <c r="H267" i="1"/>
  <c r="H269" i="1"/>
  <c r="H268" i="1"/>
  <c r="H270" i="1"/>
  <c r="H271" i="1"/>
  <c r="H272" i="1"/>
  <c r="H273" i="1"/>
  <c r="H274" i="1"/>
  <c r="H275" i="1"/>
  <c r="H276" i="1"/>
  <c r="H277" i="1"/>
  <c r="H278" i="1"/>
  <c r="H279" i="1"/>
  <c r="H282" i="1"/>
  <c r="H280" i="1"/>
  <c r="H281" i="1"/>
  <c r="H283" i="1"/>
  <c r="H284" i="1"/>
  <c r="H285" i="1"/>
  <c r="H286" i="1"/>
  <c r="H287" i="1"/>
  <c r="H288" i="1"/>
  <c r="H291" i="1"/>
  <c r="H290" i="1"/>
  <c r="H293" i="1"/>
  <c r="H292" i="1"/>
  <c r="H289" i="1"/>
  <c r="H296" i="1"/>
  <c r="H295" i="1"/>
  <c r="H294" i="1"/>
  <c r="H297" i="1"/>
  <c r="H298" i="1"/>
  <c r="H299" i="1"/>
  <c r="H300" i="1"/>
  <c r="H302" i="1"/>
  <c r="H301" i="1"/>
  <c r="H303" i="1"/>
  <c r="H304" i="1"/>
  <c r="H305" i="1"/>
  <c r="H307" i="1"/>
  <c r="H306" i="1"/>
  <c r="H308" i="1"/>
  <c r="H309" i="1"/>
  <c r="H310" i="1"/>
  <c r="H311" i="1"/>
  <c r="H313" i="1"/>
  <c r="H312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2" i="1"/>
  <c r="I16" i="2"/>
  <c r="H16" i="2"/>
  <c r="S4" i="2" l="1"/>
  <c r="R4" i="2"/>
  <c r="Q4" i="2"/>
  <c r="P4" i="2"/>
  <c r="O4" i="2"/>
  <c r="N4" i="2"/>
  <c r="S3" i="2"/>
  <c r="R3" i="2"/>
  <c r="Q3" i="2"/>
  <c r="P3" i="2"/>
  <c r="O8" i="2" s="1"/>
  <c r="O3" i="2"/>
  <c r="N3" i="2"/>
  <c r="T4" i="1"/>
  <c r="T3" i="1"/>
  <c r="S4" i="1"/>
  <c r="S3" i="1"/>
  <c r="R4" i="1"/>
  <c r="R3" i="1"/>
  <c r="Q4" i="1"/>
  <c r="Q3" i="1"/>
  <c r="N9" i="2" l="1"/>
  <c r="N8" i="2"/>
  <c r="P8" i="1"/>
  <c r="P8" i="2"/>
  <c r="O9" i="2"/>
  <c r="P9" i="2"/>
  <c r="Q8" i="1"/>
  <c r="Q9" i="1"/>
  <c r="P9" i="1"/>
  <c r="P4" i="1"/>
  <c r="P3" i="1"/>
  <c r="O4" i="1"/>
  <c r="O3" i="1"/>
  <c r="O8" i="1" l="1"/>
  <c r="O9" i="1"/>
</calcChain>
</file>

<file path=xl/sharedStrings.xml><?xml version="1.0" encoding="utf-8"?>
<sst xmlns="http://schemas.openxmlformats.org/spreadsheetml/2006/main" count="2675" uniqueCount="709">
  <si>
    <t>Research_Profile</t>
  </si>
  <si>
    <t>ACR</t>
  </si>
  <si>
    <t>PUB</t>
  </si>
  <si>
    <t>CIT</t>
  </si>
  <si>
    <t>HCP</t>
  </si>
  <si>
    <t>score</t>
  </si>
  <si>
    <t>Group</t>
  </si>
  <si>
    <t>Class</t>
  </si>
  <si>
    <t>Guerrieri, Veronica</t>
  </si>
  <si>
    <t>A58</t>
  </si>
  <si>
    <t>C</t>
  </si>
  <si>
    <t>German_Bernacer_Prize</t>
  </si>
  <si>
    <t>Gabaix, Xavier</t>
  </si>
  <si>
    <t>A105</t>
  </si>
  <si>
    <t>Fischer Black Prize</t>
  </si>
  <si>
    <t>Dorn, David</t>
  </si>
  <si>
    <t>A49</t>
  </si>
  <si>
    <t>Gossen_Prize</t>
  </si>
  <si>
    <t>Holmstrom, Bengt</t>
  </si>
  <si>
    <t>A14</t>
  </si>
  <si>
    <t>Nobel Prize</t>
  </si>
  <si>
    <t>Nakamura, Emi</t>
  </si>
  <si>
    <t>A32</t>
  </si>
  <si>
    <t>John_Bates_Clark_Medal</t>
  </si>
  <si>
    <t>Taylor, Lucian A.</t>
  </si>
  <si>
    <t>MP4</t>
  </si>
  <si>
    <t>Moskowitz Prize</t>
  </si>
  <si>
    <t>Fama, Eugene F.</t>
  </si>
  <si>
    <t>A17</t>
  </si>
  <si>
    <t>Kline, Patrick</t>
  </si>
  <si>
    <t>H09</t>
  </si>
  <si>
    <t>Sherwin Rosen Prize</t>
  </si>
  <si>
    <t>Vissing-Jorgensen, Annette</t>
  </si>
  <si>
    <t>S11</t>
  </si>
  <si>
    <t>SFI BEST PAPER AWARD</t>
  </si>
  <si>
    <t>Stambaugh, Robert F.</t>
  </si>
  <si>
    <t>Y57</t>
  </si>
  <si>
    <t>Fama–DFA Prize</t>
  </si>
  <si>
    <t>Gennaioli, Nicola</t>
  </si>
  <si>
    <t>A99</t>
  </si>
  <si>
    <t>ERC</t>
  </si>
  <si>
    <t>Hendren, Nathaniel</t>
  </si>
  <si>
    <t>H05</t>
  </si>
  <si>
    <t>Presidential Early Career Award for Scientists and Engineers</t>
  </si>
  <si>
    <t>Chetty, Raj</t>
  </si>
  <si>
    <t>A26</t>
  </si>
  <si>
    <t>Muir, Tyler</t>
  </si>
  <si>
    <t>A02</t>
  </si>
  <si>
    <t>Maggiori, Matteo</t>
  </si>
  <si>
    <t>A65</t>
  </si>
  <si>
    <t>Autor, David</t>
  </si>
  <si>
    <t>H06</t>
  </si>
  <si>
    <t>Karabarbounis, Loukas</t>
  </si>
  <si>
    <t>A63</t>
  </si>
  <si>
    <t>Ljungqvist, Alexander</t>
  </si>
  <si>
    <t>A91</t>
  </si>
  <si>
    <t>Allcott, Hunt</t>
  </si>
  <si>
    <t>H07</t>
  </si>
  <si>
    <t>Shleifer, Andrei</t>
  </si>
  <si>
    <t>H08</t>
  </si>
  <si>
    <t>Yang, Cunyi</t>
  </si>
  <si>
    <t>Y56</t>
  </si>
  <si>
    <t>T</t>
  </si>
  <si>
    <t>Krueger, Philipp</t>
  </si>
  <si>
    <t>Y58</t>
  </si>
  <si>
    <t>Gentzkow, Matthew</t>
  </si>
  <si>
    <t>A27</t>
  </si>
  <si>
    <t>Greenwood, Robin</t>
  </si>
  <si>
    <t>S10</t>
  </si>
  <si>
    <t>Moll, Benjamin</t>
  </si>
  <si>
    <t>A80</t>
  </si>
  <si>
    <t>A61</t>
  </si>
  <si>
    <t>Duflo, Esther</t>
  </si>
  <si>
    <t>A11</t>
  </si>
  <si>
    <t>Van Reenen, John</t>
  </si>
  <si>
    <t>H03</t>
  </si>
  <si>
    <t>Arrow Prize</t>
  </si>
  <si>
    <t>Sufi, Amir</t>
  </si>
  <si>
    <t>A30</t>
  </si>
  <si>
    <t>Schmalz, Martin C.</t>
  </si>
  <si>
    <t>A83</t>
  </si>
  <si>
    <t>Bloom, Nicholas</t>
  </si>
  <si>
    <t>A56</t>
  </si>
  <si>
    <t>Saez, Emmanuel</t>
  </si>
  <si>
    <t>A23</t>
  </si>
  <si>
    <t>Kelly, Bryan</t>
  </si>
  <si>
    <t>H01</t>
  </si>
  <si>
    <t>Fama-DFA Prize </t>
  </si>
  <si>
    <t>Flammer, Caroline</t>
  </si>
  <si>
    <t>Y22</t>
  </si>
  <si>
    <t>Imbens, Guido W.</t>
  </si>
  <si>
    <t>Y21</t>
  </si>
  <si>
    <t>Vayanos, Dimitri</t>
  </si>
  <si>
    <t>S06</t>
  </si>
  <si>
    <t>Starks, Laura T.</t>
  </si>
  <si>
    <t>Y51</t>
  </si>
  <si>
    <t>Swedish Skandia Award and Moskowitz Prize</t>
  </si>
  <si>
    <t>He, Zhiguo</t>
  </si>
  <si>
    <t>S02</t>
  </si>
  <si>
    <t>Hanson, Gordon</t>
  </si>
  <si>
    <t>H11</t>
  </si>
  <si>
    <t>NBER and SLI fellow</t>
  </si>
  <si>
    <t>Eeckhout, Jan</t>
  </si>
  <si>
    <t>D02</t>
  </si>
  <si>
    <t>Mitman, Kurt</t>
  </si>
  <si>
    <t>A79</t>
  </si>
  <si>
    <t>Card, David</t>
  </si>
  <si>
    <t>A09</t>
  </si>
  <si>
    <t>Giglio, Stefano</t>
  </si>
  <si>
    <t>MP1</t>
  </si>
  <si>
    <t>Philippon, Thomas</t>
  </si>
  <si>
    <t>A57</t>
  </si>
  <si>
    <t>Pastor, Lubos</t>
  </si>
  <si>
    <t>MP5</t>
  </si>
  <si>
    <t>Yogo, Motohiro</t>
  </si>
  <si>
    <t>S18</t>
  </si>
  <si>
    <t>Burgess, Robin</t>
  </si>
  <si>
    <t>A92</t>
  </si>
  <si>
    <t>Restrepo, Pascual</t>
  </si>
  <si>
    <t>D03</t>
  </si>
  <si>
    <t>Nobel Prize major coauthor</t>
  </si>
  <si>
    <t>Itskhoki, Oleg</t>
  </si>
  <si>
    <t>A34</t>
  </si>
  <si>
    <t>Koijen, Ralph S. J.</t>
  </si>
  <si>
    <t>A64</t>
  </si>
  <si>
    <t>Krishnamurthy, Arvin</t>
  </si>
  <si>
    <t>S17</t>
  </si>
  <si>
    <t>Smith, Wendy K.</t>
  </si>
  <si>
    <t>B20</t>
  </si>
  <si>
    <t>Marquis, Christopher</t>
  </si>
  <si>
    <t>B14</t>
  </si>
  <si>
    <t>Several book and paper awards</t>
  </si>
  <si>
    <t>Andrews, Isaiah</t>
  </si>
  <si>
    <t>A33</t>
  </si>
  <si>
    <t>Malmendier, Ulrike</t>
  </si>
  <si>
    <t>A89</t>
  </si>
  <si>
    <t>Bansal, Pratima</t>
  </si>
  <si>
    <t>Y48</t>
  </si>
  <si>
    <t>Hartzmark, Samuel M.</t>
  </si>
  <si>
    <t>MP7</t>
  </si>
  <si>
    <t>Ioannou, Ioannis</t>
  </si>
  <si>
    <t>Z96</t>
  </si>
  <si>
    <t>Acemoglu, Daron</t>
  </si>
  <si>
    <t>A01</t>
  </si>
  <si>
    <t>Banerjee, Abhijit</t>
  </si>
  <si>
    <t>A10</t>
  </si>
  <si>
    <t>Stroebel, Johannes</t>
  </si>
  <si>
    <t>A28</t>
  </si>
  <si>
    <t>Kuchler, Theresa</t>
  </si>
  <si>
    <t>MP3</t>
  </si>
  <si>
    <t>Van Nieuwerburgh, Stijn</t>
  </si>
  <si>
    <t>A59</t>
  </si>
  <si>
    <t>Greenstone, Michael</t>
  </si>
  <si>
    <t>H04</t>
  </si>
  <si>
    <t>Wooldridge, Jeffrey M.</t>
  </si>
  <si>
    <t>Y43</t>
  </si>
  <si>
    <t>Zucman, Gabriel</t>
  </si>
  <si>
    <t>A35</t>
  </si>
  <si>
    <t>Hombert, Johan</t>
  </si>
  <si>
    <t>A100</t>
  </si>
  <si>
    <t>Cantoni, Davide</t>
  </si>
  <si>
    <t>A74</t>
  </si>
  <si>
    <t>Kondor, Peter</t>
  </si>
  <si>
    <t>S03</t>
  </si>
  <si>
    <t>Haddad, Valentin</t>
  </si>
  <si>
    <t>S01</t>
  </si>
  <si>
    <t>Bolton, Patrick</t>
  </si>
  <si>
    <t>A41</t>
  </si>
  <si>
    <t>Coibion, Olivier</t>
  </si>
  <si>
    <t>Y18</t>
  </si>
  <si>
    <t>Sautner, Zacharias</t>
  </si>
  <si>
    <t>Y52</t>
  </si>
  <si>
    <t>Barber, Brad M.</t>
  </si>
  <si>
    <t>MP10</t>
  </si>
  <si>
    <t>Finkelstein, Amy</t>
  </si>
  <si>
    <t>A25</t>
  </si>
  <si>
    <t>Murphy, Kevin M.</t>
  </si>
  <si>
    <t>B09</t>
  </si>
  <si>
    <t>John Von Neumann Award</t>
  </si>
  <si>
    <t>Koren, Miklos</t>
  </si>
  <si>
    <t>A52</t>
  </si>
  <si>
    <t>Rabin, Matthew</t>
  </si>
  <si>
    <t>B13</t>
  </si>
  <si>
    <t>Morse, Adair</t>
  </si>
  <si>
    <t>MP11</t>
  </si>
  <si>
    <t>Biais, Bruno</t>
  </si>
  <si>
    <t>D04</t>
  </si>
  <si>
    <t>Venkateswaran, Venky</t>
  </si>
  <si>
    <t>S09</t>
  </si>
  <si>
    <t>Puga, Diego</t>
  </si>
  <si>
    <t>A86</t>
  </si>
  <si>
    <t>Casamatta, Catherine</t>
  </si>
  <si>
    <t>S14</t>
  </si>
  <si>
    <t>Athey, Susan</t>
  </si>
  <si>
    <t>H16</t>
  </si>
  <si>
    <t>Chaney, Thomas</t>
  </si>
  <si>
    <t>D01</t>
  </si>
  <si>
    <t>Robin, Jean-Marc</t>
  </si>
  <si>
    <t>Y34</t>
  </si>
  <si>
    <t>Foss, Nicolai J.</t>
  </si>
  <si>
    <t>B06</t>
  </si>
  <si>
    <t>Aguilera, Ruth V.</t>
  </si>
  <si>
    <t>B01</t>
  </si>
  <si>
    <t>Gawer, Annabelle</t>
  </si>
  <si>
    <t>B08</t>
  </si>
  <si>
    <t>Kostova, Tatiana</t>
  </si>
  <si>
    <t>B12</t>
  </si>
  <si>
    <t>Gorodnichenko, Yuriy</t>
  </si>
  <si>
    <t>A45</t>
  </si>
  <si>
    <t>R._K._Cho_Economics_Prize</t>
  </si>
  <si>
    <t>Taylor, Alan M.</t>
  </si>
  <si>
    <t>B22</t>
  </si>
  <si>
    <t>Sanwa Prize in International Economics and Financial Markets</t>
  </si>
  <si>
    <t>Veldkamp, Laura</t>
  </si>
  <si>
    <t>S08</t>
  </si>
  <si>
    <t>Burke, Marshall</t>
  </si>
  <si>
    <t>H13</t>
  </si>
  <si>
    <t>bet paper awards</t>
  </si>
  <si>
    <t>Moxnes, Andreas</t>
  </si>
  <si>
    <t>A90</t>
  </si>
  <si>
    <t>Schularick, Moritz</t>
  </si>
  <si>
    <t>A73</t>
  </si>
  <si>
    <t>Johnson, Simon</t>
  </si>
  <si>
    <t>A03</t>
  </si>
  <si>
    <t>Levin, Jonathan</t>
  </si>
  <si>
    <t>A24</t>
  </si>
  <si>
    <t>Goldin, Claudia</t>
  </si>
  <si>
    <t>A05</t>
  </si>
  <si>
    <t>Jackson, Matthew O.</t>
  </si>
  <si>
    <t>A07</t>
  </si>
  <si>
    <t>Miguel, Edward</t>
  </si>
  <si>
    <t>H10</t>
  </si>
  <si>
    <t>Frisch Medal </t>
  </si>
  <si>
    <t>Hsiang, Solomon</t>
  </si>
  <si>
    <t>H14</t>
  </si>
  <si>
    <t>Nekoei, Arash</t>
  </si>
  <si>
    <t>A84</t>
  </si>
  <si>
    <t>Thaler, Richard H.</t>
  </si>
  <si>
    <t>B03</t>
  </si>
  <si>
    <t>Foucault, Thierry</t>
  </si>
  <si>
    <t>A97</t>
  </si>
  <si>
    <t>Pedersen, Lasse Heje</t>
  </si>
  <si>
    <t>A55</t>
  </si>
  <si>
    <t>Kremer, Michael</t>
  </si>
  <si>
    <t>A12</t>
  </si>
  <si>
    <t>Doepke, Matthias</t>
  </si>
  <si>
    <t>A102</t>
  </si>
  <si>
    <t>Bouvard, Matthieu</t>
  </si>
  <si>
    <t>S13</t>
  </si>
  <si>
    <t>Deschenes, Olivier</t>
  </si>
  <si>
    <t>H19</t>
  </si>
  <si>
    <t>Hong, Bryan</t>
  </si>
  <si>
    <t>MP8</t>
  </si>
  <si>
    <t>Huang, Ming-Hui</t>
  </si>
  <si>
    <t>Y10</t>
  </si>
  <si>
    <t>Nanda, Ramana</t>
  </si>
  <si>
    <t>A53</t>
  </si>
  <si>
    <t>Rust, Roland T.</t>
  </si>
  <si>
    <t>Y45</t>
  </si>
  <si>
    <t>Sarstedt, Marko</t>
  </si>
  <si>
    <t>A75</t>
  </si>
  <si>
    <t>Several paper's awards</t>
  </si>
  <si>
    <t>Le Barbanchon, Thomas</t>
  </si>
  <si>
    <t>A82</t>
  </si>
  <si>
    <t>Reis, Ricardo</t>
  </si>
  <si>
    <t>A60</t>
  </si>
  <si>
    <t>Tenreyro, Silvana</t>
  </si>
  <si>
    <t>A94</t>
  </si>
  <si>
    <t>Shin, Hyun Song</t>
  </si>
  <si>
    <t>A38</t>
  </si>
  <si>
    <t>Angrist, Joshua</t>
  </si>
  <si>
    <t>A08</t>
  </si>
  <si>
    <t>Robinson, James A.</t>
  </si>
  <si>
    <t>A04</t>
  </si>
  <si>
    <t>Gambardella, Alfonso</t>
  </si>
  <si>
    <t>A76</t>
  </si>
  <si>
    <t>Tirole, Jean</t>
  </si>
  <si>
    <t>A16</t>
  </si>
  <si>
    <t>Sims, Christopher A.</t>
  </si>
  <si>
    <t>A22</t>
  </si>
  <si>
    <t>Kannan, P. K.</t>
  </si>
  <si>
    <t>B02</t>
  </si>
  <si>
    <t>Pathak, Parag A.</t>
  </si>
  <si>
    <t>A31</t>
  </si>
  <si>
    <t>Fisher, Greg</t>
  </si>
  <si>
    <t>B05</t>
  </si>
  <si>
    <t>Dimson, Elroy</t>
  </si>
  <si>
    <t>MP12</t>
  </si>
  <si>
    <t>Ringle, Christian M.</t>
  </si>
  <si>
    <t>H15</t>
  </si>
  <si>
    <t>Manova, Kalina</t>
  </si>
  <si>
    <t>A93</t>
  </si>
  <si>
    <t>Gormsen, Niels</t>
  </si>
  <si>
    <t>MP2</t>
  </si>
  <si>
    <t>Asher, Sam</t>
  </si>
  <si>
    <t>A85</t>
  </si>
  <si>
    <t>Nambisan, Satish</t>
  </si>
  <si>
    <t>B15</t>
  </si>
  <si>
    <t>Jiang, Hao</t>
  </si>
  <si>
    <t>S05</t>
  </si>
  <si>
    <t>Aghion, Philippe</t>
  </si>
  <si>
    <t>B04</t>
  </si>
  <si>
    <t>Hjort, Jonas</t>
  </si>
  <si>
    <t>A67</t>
  </si>
  <si>
    <t>Xiu, Dacheng</t>
  </si>
  <si>
    <t>S12</t>
  </si>
  <si>
    <t>Farboodi, Maryan</t>
  </si>
  <si>
    <t>S07</t>
  </si>
  <si>
    <t>Sussman, Abigail B.</t>
  </si>
  <si>
    <t>MP6</t>
  </si>
  <si>
    <t>Blanchard, Olivier</t>
  </si>
  <si>
    <t>B10</t>
  </si>
  <si>
    <t>Tian, Xuan</t>
  </si>
  <si>
    <t>H02</t>
  </si>
  <si>
    <t>Strack, Philipp</t>
  </si>
  <si>
    <t>A36</t>
  </si>
  <si>
    <t>Rogerson, Richard</t>
  </si>
  <si>
    <t>A43</t>
  </si>
  <si>
    <t>Aguinis, Herman</t>
  </si>
  <si>
    <t>Y15</t>
  </si>
  <si>
    <t>Teece, David J.</t>
  </si>
  <si>
    <t>B23</t>
  </si>
  <si>
    <t>Serafeim, George</t>
  </si>
  <si>
    <t>B18</t>
  </si>
  <si>
    <t>Martin, Alberto</t>
  </si>
  <si>
    <t>A103</t>
  </si>
  <si>
    <t>List, John A.</t>
  </si>
  <si>
    <t>A46</t>
  </si>
  <si>
    <t>Shepherd, Dean A.</t>
  </si>
  <si>
    <t>B19</t>
  </si>
  <si>
    <t>A62</t>
  </si>
  <si>
    <t>Several awards</t>
  </si>
  <si>
    <t>Mukoyama, Toshihiko</t>
  </si>
  <si>
    <t>A51</t>
  </si>
  <si>
    <t>Nakahara_Prize</t>
  </si>
  <si>
    <t>Tertilt, Michele</t>
  </si>
  <si>
    <t>A69</t>
  </si>
  <si>
    <t>Roth, Alvin E.</t>
  </si>
  <si>
    <t>A20</t>
  </si>
  <si>
    <t>Minor, Dylan</t>
  </si>
  <si>
    <t>MP9</t>
  </si>
  <si>
    <t>Klingler, Sven</t>
  </si>
  <si>
    <t>S15</t>
  </si>
  <si>
    <t>Palmatier, Robert W.</t>
  </si>
  <si>
    <t>Y07</t>
  </si>
  <si>
    <t>Sundaresan, Suresh</t>
  </si>
  <si>
    <t>S16</t>
  </si>
  <si>
    <t>Haenlein, Michael</t>
  </si>
  <si>
    <t>Y42</t>
  </si>
  <si>
    <t>He, Guojun</t>
  </si>
  <si>
    <t>Z84</t>
  </si>
  <si>
    <t>Loualiche, Erik</t>
  </si>
  <si>
    <t>S04</t>
  </si>
  <si>
    <t>Kumar, V.</t>
  </si>
  <si>
    <t>Y14</t>
  </si>
  <si>
    <t>HVP</t>
  </si>
  <si>
    <t>Bhalotra, Sonia</t>
  </si>
  <si>
    <t>A21</t>
  </si>
  <si>
    <t>Wright, Mike</t>
  </si>
  <si>
    <t>B26</t>
  </si>
  <si>
    <t>Che, Yeon-Koo</t>
  </si>
  <si>
    <t>A37</t>
  </si>
  <si>
    <t>Lu, Yi</t>
  </si>
  <si>
    <t>Z95</t>
  </si>
  <si>
    <t>Bauer, Rob</t>
  </si>
  <si>
    <t>MP17</t>
  </si>
  <si>
    <t>Obstfeld, Maurice</t>
  </si>
  <si>
    <t>B17</t>
  </si>
  <si>
    <t>Childe, Stephen J.</t>
  </si>
  <si>
    <t>Y53</t>
  </si>
  <si>
    <t>Gali, Jordi</t>
  </si>
  <si>
    <t>A42</t>
  </si>
  <si>
    <t>Fuchs-Schuendeln, Nicola</t>
  </si>
  <si>
    <t>A71</t>
  </si>
  <si>
    <t>Kojima, Fuhito</t>
  </si>
  <si>
    <t>A54</t>
  </si>
  <si>
    <t>Lundborg, Petter</t>
  </si>
  <si>
    <t>A39</t>
  </si>
  <si>
    <t>Assar_Lindbeck_Medal</t>
  </si>
  <si>
    <t>Kunz, Werner H.</t>
  </si>
  <si>
    <t>Y49</t>
  </si>
  <si>
    <t>Dubois, Pierre</t>
  </si>
  <si>
    <t>A87</t>
  </si>
  <si>
    <t>Rodrik, DanI</t>
  </si>
  <si>
    <t>Z60</t>
  </si>
  <si>
    <t>Hart, Oliver</t>
  </si>
  <si>
    <t>A13</t>
  </si>
  <si>
    <t>Deaton, Angus</t>
  </si>
  <si>
    <t>A15</t>
  </si>
  <si>
    <t>Besley, Timothy</t>
  </si>
  <si>
    <t>B28</t>
  </si>
  <si>
    <t>Calvano, Emilio</t>
  </si>
  <si>
    <t>A98</t>
  </si>
  <si>
    <t>Grewal, Dhruv</t>
  </si>
  <si>
    <t>Y03</t>
  </si>
  <si>
    <t>Hansen, Lars Peter</t>
  </si>
  <si>
    <t>A18</t>
  </si>
  <si>
    <t>Casalo, Luis, V</t>
  </si>
  <si>
    <t>Y02</t>
  </si>
  <si>
    <t>Frattini, Federico</t>
  </si>
  <si>
    <t>Y38</t>
  </si>
  <si>
    <t>Svensson, Jakob</t>
  </si>
  <si>
    <t>A101</t>
  </si>
  <si>
    <t>Sunde, Uwe</t>
  </si>
  <si>
    <t>A70</t>
  </si>
  <si>
    <t>Shiller, Robert J.</t>
  </si>
  <si>
    <t>A19</t>
  </si>
  <si>
    <t>Zhou, Guofu</t>
  </si>
  <si>
    <t>B27</t>
  </si>
  <si>
    <t>Zhou, Kevin Zheng</t>
  </si>
  <si>
    <t>Z94</t>
  </si>
  <si>
    <t>Hair, Joseph F.</t>
  </si>
  <si>
    <t>Y11</t>
  </si>
  <si>
    <t>Zhang, Bohui</t>
  </si>
  <si>
    <t>Y44</t>
  </si>
  <si>
    <t>Gaechter, Simon</t>
  </si>
  <si>
    <t>A104</t>
  </si>
  <si>
    <t>Kwok, Chuck C. Y.</t>
  </si>
  <si>
    <t>MP15</t>
  </si>
  <si>
    <t>Harstad, Bard</t>
  </si>
  <si>
    <t>A06</t>
  </si>
  <si>
    <t>Strausz, Roland</t>
  </si>
  <si>
    <t>A95</t>
  </si>
  <si>
    <t>Donthu, Naveen</t>
  </si>
  <si>
    <t>Y37</t>
  </si>
  <si>
    <t>Flavian, Carlos</t>
  </si>
  <si>
    <t>A72</t>
  </si>
  <si>
    <t>Belanche, Daniel</t>
  </si>
  <si>
    <t>A48</t>
  </si>
  <si>
    <t>Vismara, Silvio</t>
  </si>
  <si>
    <t>Y31</t>
  </si>
  <si>
    <t>Mikalef, Patrick</t>
  </si>
  <si>
    <t>Z100</t>
  </si>
  <si>
    <t>Kowalkowski, Christian</t>
  </si>
  <si>
    <t>Y40</t>
  </si>
  <si>
    <t>Wincent, Joakim</t>
  </si>
  <si>
    <t>Y30</t>
  </si>
  <si>
    <t>De Massis, Alfredo</t>
  </si>
  <si>
    <t>A29</t>
  </si>
  <si>
    <t>Wirtz, Jochen</t>
  </si>
  <si>
    <t>Y08</t>
  </si>
  <si>
    <t>Chesbrough, Henry</t>
  </si>
  <si>
    <t>Y41</t>
  </si>
  <si>
    <t>Berg, Tobias</t>
  </si>
  <si>
    <t>A68</t>
  </si>
  <si>
    <t>Moon, Hyungsik Roger</t>
  </si>
  <si>
    <t>A44</t>
  </si>
  <si>
    <t>El Ghoul, Sadok</t>
  </si>
  <si>
    <t>MP13</t>
  </si>
  <si>
    <t>Inoue, Atsushi</t>
  </si>
  <si>
    <t>A47</t>
  </si>
  <si>
    <t>Guedhami, Omrane</t>
  </si>
  <si>
    <t>MP14</t>
  </si>
  <si>
    <t>Rossi, Barbara</t>
  </si>
  <si>
    <t>A96</t>
  </si>
  <si>
    <t>Z87</t>
  </si>
  <si>
    <t>Petruzzelli, Antonio Messeni</t>
  </si>
  <si>
    <t>B16</t>
  </si>
  <si>
    <t>Kasahara, Hiroyuki</t>
  </si>
  <si>
    <t>A50</t>
  </si>
  <si>
    <t>Bresciani, Stefano</t>
  </si>
  <si>
    <t>Y16</t>
  </si>
  <si>
    <t>Mishra, Dev R.</t>
  </si>
  <si>
    <t>MP16</t>
  </si>
  <si>
    <t>Hollebeek, Linda D.</t>
  </si>
  <si>
    <t>B11</t>
  </si>
  <si>
    <t>Parida, Vinit</t>
  </si>
  <si>
    <t>A81</t>
  </si>
  <si>
    <t>Bouncken, Ricarda B.</t>
  </si>
  <si>
    <t>B29</t>
  </si>
  <si>
    <t>Ribeiro-Soriano, Domingo</t>
  </si>
  <si>
    <t>Z78</t>
  </si>
  <si>
    <t>Kraus, Sascha</t>
  </si>
  <si>
    <t>Y29</t>
  </si>
  <si>
    <t>Yue, Pengpeng</t>
  </si>
  <si>
    <t>Y20</t>
  </si>
  <si>
    <t>Del Giudice, Manlio</t>
  </si>
  <si>
    <t>Y32</t>
  </si>
  <si>
    <t>Zhang, Bing</t>
  </si>
  <si>
    <t>Z81</t>
  </si>
  <si>
    <t>Audretsch, David B.</t>
  </si>
  <si>
    <t>Y24</t>
  </si>
  <si>
    <t>Yarovaya, Larisa</t>
  </si>
  <si>
    <t>Z69</t>
  </si>
  <si>
    <t>Kaur, Puneet</t>
  </si>
  <si>
    <t>Y17</t>
  </si>
  <si>
    <t>Ntim, Collins G.</t>
  </si>
  <si>
    <t>Y33</t>
  </si>
  <si>
    <t>Paul, Justin</t>
  </si>
  <si>
    <t>Y05</t>
  </si>
  <si>
    <t>Reboredo, Juan C.</t>
  </si>
  <si>
    <t>Y36</t>
  </si>
  <si>
    <t>Zhang, Dayong</t>
  </si>
  <si>
    <t>Z82</t>
  </si>
  <si>
    <t>Kristoufek, Ladislav</t>
  </si>
  <si>
    <t>Z75</t>
  </si>
  <si>
    <t>Budhwar, Pawan</t>
  </si>
  <si>
    <t>Z80</t>
  </si>
  <si>
    <t>Roubaud, David</t>
  </si>
  <si>
    <t>Z29</t>
  </si>
  <si>
    <t>Lim, Weng Marc</t>
  </si>
  <si>
    <t>Y01</t>
  </si>
  <si>
    <t>Ren, Siyu</t>
  </si>
  <si>
    <t>Z03</t>
  </si>
  <si>
    <t>Mazzucato, Mariana</t>
  </si>
  <si>
    <t>H18</t>
  </si>
  <si>
    <t>Dhir, Amandeep</t>
  </si>
  <si>
    <t>Z52</t>
  </si>
  <si>
    <t>Dwivedi, Yogesh K.</t>
  </si>
  <si>
    <t>A77</t>
  </si>
  <si>
    <t>Kumar, Satish</t>
  </si>
  <si>
    <t>Y13</t>
  </si>
  <si>
    <t>Lucey, Brian M.</t>
  </si>
  <si>
    <t>A88</t>
  </si>
  <si>
    <t>Boubaker, Sabri</t>
  </si>
  <si>
    <t>Z66</t>
  </si>
  <si>
    <t>Gabauer, David</t>
  </si>
  <si>
    <t>Z42</t>
  </si>
  <si>
    <t>Demir, Ender</t>
  </si>
  <si>
    <t>Y35</t>
  </si>
  <si>
    <t>Wen, Huwei</t>
  </si>
  <si>
    <t>Z64</t>
  </si>
  <si>
    <t>Li, Zhenghui</t>
  </si>
  <si>
    <t>Y50</t>
  </si>
  <si>
    <t>Urquhart, Andrew</t>
  </si>
  <si>
    <t>B24</t>
  </si>
  <si>
    <t>He, Feng</t>
  </si>
  <si>
    <t>Z92</t>
  </si>
  <si>
    <t>Lau, Chi Keung</t>
  </si>
  <si>
    <t>Z97</t>
  </si>
  <si>
    <t>Yu, Zhang</t>
  </si>
  <si>
    <t>Y19</t>
  </si>
  <si>
    <t>Spiliotis, Evangelos</t>
  </si>
  <si>
    <t>Z43</t>
  </si>
  <si>
    <t>Yang, Lili</t>
  </si>
  <si>
    <t>Z77</t>
  </si>
  <si>
    <t>Zhang, Dongyang</t>
  </si>
  <si>
    <t>Z32</t>
  </si>
  <si>
    <t>Lee, Chi-Chuan</t>
  </si>
  <si>
    <t>Z26</t>
  </si>
  <si>
    <t>Ji, Qiang</t>
  </si>
  <si>
    <t>Z83</t>
  </si>
  <si>
    <t>Kong, Dongmin</t>
  </si>
  <si>
    <t>Y12</t>
  </si>
  <si>
    <t>Sensoy, Ahmet</t>
  </si>
  <si>
    <t>Y27</t>
  </si>
  <si>
    <t>Shahzad, Syed Jawad Hussain</t>
  </si>
  <si>
    <t>Z70</t>
  </si>
  <si>
    <t>Ren, Xiaohang</t>
  </si>
  <si>
    <t>Z37</t>
  </si>
  <si>
    <t>Gozgor, Giray</t>
  </si>
  <si>
    <t>Z31</t>
  </si>
  <si>
    <t>Makridakis, Spyros</t>
  </si>
  <si>
    <t>Z86</t>
  </si>
  <si>
    <t>Razzaq, Asif</t>
  </si>
  <si>
    <t>Z65</t>
  </si>
  <si>
    <t>Vrontis, Demetris</t>
  </si>
  <si>
    <t>Z98</t>
  </si>
  <si>
    <t>Corbet, Shaen</t>
  </si>
  <si>
    <t>Y23</t>
  </si>
  <si>
    <t>Bouri, Elie</t>
  </si>
  <si>
    <t>Z33</t>
  </si>
  <si>
    <t>Sun, Guanglin</t>
  </si>
  <si>
    <t>Y09</t>
  </si>
  <si>
    <t>Dogan, Eyup</t>
  </si>
  <si>
    <t>Z54</t>
  </si>
  <si>
    <t>Naeem, Muhammad Abubakr</t>
  </si>
  <si>
    <t>Z17</t>
  </si>
  <si>
    <t>Liu, Xiaoqian</t>
  </si>
  <si>
    <t>Z63</t>
  </si>
  <si>
    <t>Shao, Shuai</t>
  </si>
  <si>
    <t>Z57</t>
  </si>
  <si>
    <t>Gong, Xu</t>
  </si>
  <si>
    <t>Z88</t>
  </si>
  <si>
    <t>Goodell, John W.</t>
  </si>
  <si>
    <t>Z71</t>
  </si>
  <si>
    <t>Du, Kerui</t>
  </si>
  <si>
    <t>Z44</t>
  </si>
  <si>
    <t>Wu, Haitao</t>
  </si>
  <si>
    <t>Z02</t>
  </si>
  <si>
    <t>Wen, Fenghua</t>
  </si>
  <si>
    <t>Y04</t>
  </si>
  <si>
    <t>Irfan, Muhammad</t>
  </si>
  <si>
    <t>Z04</t>
  </si>
  <si>
    <t>Hammoudeh, Shawkat</t>
  </si>
  <si>
    <t>Z79</t>
  </si>
  <si>
    <t>Rizvi, Syed Kumail Abbas</t>
  </si>
  <si>
    <t>Z11</t>
  </si>
  <si>
    <t>Mensi, Walid</t>
  </si>
  <si>
    <t>Z73</t>
  </si>
  <si>
    <t>Dabic, Marina</t>
  </si>
  <si>
    <t>B25</t>
  </si>
  <si>
    <t>Shao, Xuefeng</t>
  </si>
  <si>
    <t>Z67</t>
  </si>
  <si>
    <t>Smyth, Russell</t>
  </si>
  <si>
    <t>Z59</t>
  </si>
  <si>
    <t>Hao, Yu</t>
  </si>
  <si>
    <t>Z01</t>
  </si>
  <si>
    <t>Uddin, Gazi Salah</t>
  </si>
  <si>
    <t>Z55</t>
  </si>
  <si>
    <t>Zhao, Shikuan</t>
  </si>
  <si>
    <t>Y54</t>
  </si>
  <si>
    <t>Wang, Chih-Wei</t>
  </si>
  <si>
    <t>Z28</t>
  </si>
  <si>
    <t>Yan, Cheng</t>
  </si>
  <si>
    <t>Z49</t>
  </si>
  <si>
    <t>Feng, Gen-Fu</t>
  </si>
  <si>
    <t>Z22</t>
  </si>
  <si>
    <t>Khan, Zeeshan</t>
  </si>
  <si>
    <t>Z41</t>
  </si>
  <si>
    <t>Zhang, Weike</t>
  </si>
  <si>
    <t>Z61</t>
  </si>
  <si>
    <t>Kang, Sang Hoon</t>
  </si>
  <si>
    <t>Z19</t>
  </si>
  <si>
    <t>Karim, Sitara</t>
  </si>
  <si>
    <t>Z18</t>
  </si>
  <si>
    <t>Lee, Chien-Chiang</t>
  </si>
  <si>
    <t>Z25</t>
  </si>
  <si>
    <t>Shahbaz, Muhammad</t>
  </si>
  <si>
    <t>Z48</t>
  </si>
  <si>
    <t>Yousaf, Imran</t>
  </si>
  <si>
    <t>Z50</t>
  </si>
  <si>
    <t>Hossain, Mohammad Razib</t>
  </si>
  <si>
    <t>Z62</t>
  </si>
  <si>
    <t>Umar, Zaghum</t>
  </si>
  <si>
    <t>Y26</t>
  </si>
  <si>
    <t>Ma, Feng</t>
  </si>
  <si>
    <t>Z12</t>
  </si>
  <si>
    <t>Tiwari, Aviral Kumar</t>
  </si>
  <si>
    <t>Z27</t>
  </si>
  <si>
    <t>Mohsin, Muhammad</t>
  </si>
  <si>
    <t>Z16</t>
  </si>
  <si>
    <t>Mirza, Nawazish</t>
  </si>
  <si>
    <t>Z09</t>
  </si>
  <si>
    <t>Sun, Chuanwang</t>
  </si>
  <si>
    <t>Z39</t>
  </si>
  <si>
    <t>Jiang, Qingzhe</t>
  </si>
  <si>
    <t>Z45</t>
  </si>
  <si>
    <t>Zhao, Jun</t>
  </si>
  <si>
    <t>Z47</t>
  </si>
  <si>
    <t>Nepal, Rabindra</t>
  </si>
  <si>
    <t>Z20</t>
  </si>
  <si>
    <t>Xuan Vinh Vo</t>
  </si>
  <si>
    <t>Z51</t>
  </si>
  <si>
    <t>Churchill, Sefa Awaworyi</t>
  </si>
  <si>
    <t>Z93</t>
  </si>
  <si>
    <t>Taghizadeh-Hesary, Farhad</t>
  </si>
  <si>
    <t>Z14</t>
  </si>
  <si>
    <t>Managi, Shunsuke</t>
  </si>
  <si>
    <t>Z91</t>
  </si>
  <si>
    <t>Lin, Boqiang</t>
  </si>
  <si>
    <t>Z36</t>
  </si>
  <si>
    <t>Zhao, Xin</t>
  </si>
  <si>
    <t>Y39</t>
  </si>
  <si>
    <t>Dong, Xiucheng</t>
  </si>
  <si>
    <t>Z30</t>
  </si>
  <si>
    <t>Wang, Shouyang</t>
  </si>
  <si>
    <t>Z24</t>
  </si>
  <si>
    <t>Gubareva, Mariya</t>
  </si>
  <si>
    <t>Z35</t>
  </si>
  <si>
    <t>Su, Bin</t>
  </si>
  <si>
    <t>B21</t>
  </si>
  <si>
    <t>Gupta, Rangan</t>
  </si>
  <si>
    <t>Z85</t>
  </si>
  <si>
    <t>Umar, Muhammad</t>
  </si>
  <si>
    <t>Z06</t>
  </si>
  <si>
    <t>Feng, Chao</t>
  </si>
  <si>
    <t>Z46</t>
  </si>
  <si>
    <t>Chang, Chun-Ping</t>
  </si>
  <si>
    <t>Z21</t>
  </si>
  <si>
    <t>Song, Malin</t>
  </si>
  <si>
    <t>Z34</t>
  </si>
  <si>
    <t>Apergis, Nicholas</t>
  </si>
  <si>
    <t>Y25</t>
  </si>
  <si>
    <t>Dong, Kangyin</t>
  </si>
  <si>
    <t>Z15</t>
  </si>
  <si>
    <t>Yang, Xiaodong</t>
  </si>
  <si>
    <t>Z05</t>
  </si>
  <si>
    <t>Sadiq, Muhammad</t>
  </si>
  <si>
    <t>Z56</t>
  </si>
  <si>
    <t>Zhang, Ning</t>
  </si>
  <si>
    <t>Z90</t>
  </si>
  <si>
    <t>Qin, Meng</t>
  </si>
  <si>
    <t>Z10</t>
  </si>
  <si>
    <t>Abedin, Mohammad Zoynul</t>
  </si>
  <si>
    <t>Y06</t>
  </si>
  <si>
    <t>Dagar, Vishal</t>
  </si>
  <si>
    <t>Y55</t>
  </si>
  <si>
    <t>Cifuentes-Faura, Javier</t>
  </si>
  <si>
    <t>Z72</t>
  </si>
  <si>
    <t>Su, Chi-Wei</t>
  </si>
  <si>
    <t>Y28</t>
  </si>
  <si>
    <t>51-100</t>
  </si>
  <si>
    <t>251-330</t>
  </si>
  <si>
    <t>Special Heinz Award</t>
  </si>
  <si>
    <t>Atkinson Award</t>
  </si>
  <si>
    <t>Andrew Carnegie Fellow Award</t>
  </si>
  <si>
    <t>first 50</t>
  </si>
  <si>
    <t>101-150</t>
  </si>
  <si>
    <t>151-200</t>
  </si>
  <si>
    <t>201-250</t>
  </si>
  <si>
    <t>first 100</t>
  </si>
  <si>
    <t>101-200</t>
  </si>
  <si>
    <t>201-330</t>
  </si>
  <si>
    <t>suma</t>
  </si>
  <si>
    <t>coc</t>
  </si>
  <si>
    <t>Sen, Ananya</t>
  </si>
  <si>
    <t>Ritala, Paavo</t>
  </si>
  <si>
    <t>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</si>
</sst>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1"/>
  <sheetViews>
    <sheetView workbookViewId="0">
      <selection activeCell="H2" sqref="H2"/>
    </sheetView>
  </sheetViews>
  <sheetFormatPr baseColWidth="10" defaultColWidth="9.140625" defaultRowHeight="15" x14ac:dyDescent="0.25"/>
  <cols>
    <col min="1" max="1" width="29.85546875" customWidth="1"/>
    <col min="18" max="18" width="10.28515625" bestFit="1" customWidth="1"/>
    <col min="19" max="19" width="10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704</v>
      </c>
      <c r="G1" s="1" t="s">
        <v>705</v>
      </c>
      <c r="H1" s="1" t="s">
        <v>5</v>
      </c>
      <c r="I1" s="1" t="s">
        <v>6</v>
      </c>
      <c r="J1" s="1" t="s">
        <v>7</v>
      </c>
    </row>
    <row r="2" spans="1:20" x14ac:dyDescent="0.25">
      <c r="A2" t="s">
        <v>15</v>
      </c>
      <c r="B2" t="s">
        <v>16</v>
      </c>
      <c r="C2">
        <v>10</v>
      </c>
      <c r="D2">
        <v>2820</v>
      </c>
      <c r="E2">
        <v>6</v>
      </c>
      <c r="F2">
        <v>7144.884933173892</v>
      </c>
      <c r="G2">
        <v>714.48849331738916</v>
      </c>
      <c r="H2">
        <f>ROUND(100*SQRT(G2/G$2),2)</f>
        <v>100</v>
      </c>
      <c r="I2" t="s">
        <v>10</v>
      </c>
      <c r="J2" t="s">
        <v>17</v>
      </c>
      <c r="O2" s="2" t="s">
        <v>697</v>
      </c>
      <c r="P2" s="2" t="s">
        <v>692</v>
      </c>
      <c r="Q2" s="2" t="s">
        <v>698</v>
      </c>
      <c r="R2" s="2" t="s">
        <v>699</v>
      </c>
      <c r="S2" s="2" t="s">
        <v>700</v>
      </c>
      <c r="T2" s="2" t="s">
        <v>693</v>
      </c>
    </row>
    <row r="3" spans="1:20" x14ac:dyDescent="0.25">
      <c r="A3" t="s">
        <v>12</v>
      </c>
      <c r="B3" t="s">
        <v>13</v>
      </c>
      <c r="C3">
        <v>10</v>
      </c>
      <c r="D3">
        <v>1293</v>
      </c>
      <c r="E3">
        <v>1</v>
      </c>
      <c r="F3">
        <v>6897.5643309078096</v>
      </c>
      <c r="G3">
        <v>689.756433090781</v>
      </c>
      <c r="H3">
        <f>ROUND(100*SQRT(G3/G$2),1)</f>
        <v>98.3</v>
      </c>
      <c r="I3" t="s">
        <v>10</v>
      </c>
      <c r="J3" t="s">
        <v>14</v>
      </c>
      <c r="O3" s="2">
        <f>COUNTIF(I$2:I$51,"C")</f>
        <v>48</v>
      </c>
      <c r="P3" s="2">
        <f>COUNTIF(I$52:I$101,"C")</f>
        <v>43</v>
      </c>
      <c r="Q3" s="2">
        <f>COUNTIF(I$102:I$151,"C")</f>
        <v>38</v>
      </c>
      <c r="R3" s="2">
        <f>COUNTIF(I$152:I$201,"C")</f>
        <v>31</v>
      </c>
      <c r="S3" s="2">
        <f>COUNTIF(I$202:I$251,"C")</f>
        <v>5</v>
      </c>
      <c r="T3" s="2">
        <f>COUNTIF(I$252:I$331,"C")</f>
        <v>0</v>
      </c>
    </row>
    <row r="4" spans="1:20" x14ac:dyDescent="0.25">
      <c r="A4" t="s">
        <v>8</v>
      </c>
      <c r="B4" t="s">
        <v>9</v>
      </c>
      <c r="C4">
        <v>6</v>
      </c>
      <c r="D4">
        <v>575</v>
      </c>
      <c r="E4">
        <v>1</v>
      </c>
      <c r="F4">
        <v>3991.7710722931661</v>
      </c>
      <c r="G4">
        <v>665.29517871552764</v>
      </c>
      <c r="H4">
        <f>ROUND(100*SQRT(G4/G$2),1)</f>
        <v>96.5</v>
      </c>
      <c r="I4" t="s">
        <v>10</v>
      </c>
      <c r="J4" t="s">
        <v>11</v>
      </c>
      <c r="O4" s="2">
        <f>COUNTIF(I$2:I$51,"T")</f>
        <v>2</v>
      </c>
      <c r="P4" s="2">
        <f>COUNTIF(I$52:I$101,"T")</f>
        <v>7</v>
      </c>
      <c r="Q4" s="2">
        <f>COUNTIF(I$102:I$151,"T")</f>
        <v>12</v>
      </c>
      <c r="R4" s="2">
        <f>COUNTIF(I$152:I$201,"T")</f>
        <v>19</v>
      </c>
      <c r="S4" s="2">
        <f>COUNTIF(I$202:I$251,"T")</f>
        <v>45</v>
      </c>
      <c r="T4" s="2">
        <f>COUNTIF(I$252:I$331,"T")</f>
        <v>80</v>
      </c>
    </row>
    <row r="5" spans="1:20" x14ac:dyDescent="0.25">
      <c r="A5" t="s">
        <v>21</v>
      </c>
      <c r="B5" t="s">
        <v>22</v>
      </c>
      <c r="C5">
        <v>14</v>
      </c>
      <c r="D5">
        <v>842</v>
      </c>
      <c r="E5">
        <v>1</v>
      </c>
      <c r="F5">
        <v>8344.1744761556638</v>
      </c>
      <c r="G5">
        <v>596.01246258254741</v>
      </c>
      <c r="H5">
        <f>ROUND(100*SQRT(G5/G$2),1)</f>
        <v>91.3</v>
      </c>
      <c r="I5" t="s">
        <v>10</v>
      </c>
      <c r="J5" t="s">
        <v>23</v>
      </c>
    </row>
    <row r="6" spans="1:20" x14ac:dyDescent="0.25">
      <c r="A6" t="s">
        <v>29</v>
      </c>
      <c r="B6" t="s">
        <v>30</v>
      </c>
      <c r="C6">
        <v>11</v>
      </c>
      <c r="D6">
        <v>694</v>
      </c>
      <c r="E6">
        <v>1</v>
      </c>
      <c r="F6">
        <v>6031.3093922623157</v>
      </c>
      <c r="G6">
        <v>548.30085384202869</v>
      </c>
      <c r="H6">
        <f>ROUND(100*SQRT(G6/G$2),1)</f>
        <v>87.6</v>
      </c>
      <c r="I6" t="s">
        <v>10</v>
      </c>
      <c r="J6" t="s">
        <v>31</v>
      </c>
    </row>
    <row r="7" spans="1:20" x14ac:dyDescent="0.25">
      <c r="A7" t="s">
        <v>27</v>
      </c>
      <c r="B7" t="s">
        <v>28</v>
      </c>
      <c r="C7">
        <v>12</v>
      </c>
      <c r="D7">
        <v>4873</v>
      </c>
      <c r="E7">
        <v>4</v>
      </c>
      <c r="F7">
        <v>6343.9597067211926</v>
      </c>
      <c r="G7">
        <v>528.66330889343271</v>
      </c>
      <c r="H7">
        <f>ROUND(100*SQRT(G7/G$2),1)</f>
        <v>86</v>
      </c>
      <c r="I7" t="s">
        <v>10</v>
      </c>
      <c r="J7" t="s">
        <v>20</v>
      </c>
      <c r="O7" s="3" t="s">
        <v>701</v>
      </c>
      <c r="P7" s="3" t="s">
        <v>702</v>
      </c>
      <c r="Q7" s="3" t="s">
        <v>703</v>
      </c>
    </row>
    <row r="8" spans="1:20" x14ac:dyDescent="0.25">
      <c r="A8" t="s">
        <v>18</v>
      </c>
      <c r="B8" t="s">
        <v>19</v>
      </c>
      <c r="C8">
        <v>2</v>
      </c>
      <c r="D8">
        <v>89</v>
      </c>
      <c r="E8">
        <v>0</v>
      </c>
      <c r="F8">
        <v>1042.61205177233</v>
      </c>
      <c r="G8">
        <v>521.30602588616489</v>
      </c>
      <c r="H8">
        <f>ROUND(100*SQRT(G8/G$2),1)</f>
        <v>85.4</v>
      </c>
      <c r="I8" t="s">
        <v>10</v>
      </c>
      <c r="J8" t="s">
        <v>20</v>
      </c>
      <c r="O8" s="3">
        <f>SUM(O3:P3)</f>
        <v>91</v>
      </c>
      <c r="P8" s="3">
        <f>SUM(Q3:R3)</f>
        <v>69</v>
      </c>
      <c r="Q8" s="3">
        <f>SUM(S3:T3)</f>
        <v>5</v>
      </c>
    </row>
    <row r="9" spans="1:20" x14ac:dyDescent="0.25">
      <c r="A9" t="s">
        <v>41</v>
      </c>
      <c r="B9" t="s">
        <v>42</v>
      </c>
      <c r="C9">
        <v>18</v>
      </c>
      <c r="D9">
        <v>3871</v>
      </c>
      <c r="E9">
        <v>7</v>
      </c>
      <c r="F9">
        <v>9168.7583290011844</v>
      </c>
      <c r="G9">
        <v>509.37546272228798</v>
      </c>
      <c r="H9">
        <f>ROUND(100*SQRT(G9/G$2),1)</f>
        <v>84.4</v>
      </c>
      <c r="I9" t="s">
        <v>10</v>
      </c>
      <c r="J9" t="s">
        <v>43</v>
      </c>
      <c r="O9" s="3">
        <f>SUM(O4:P4)</f>
        <v>9</v>
      </c>
      <c r="P9" s="3">
        <f>SUM(Q4:R4)</f>
        <v>31</v>
      </c>
      <c r="Q9" s="3">
        <f>SUM(S4:T4)</f>
        <v>125</v>
      </c>
    </row>
    <row r="10" spans="1:20" x14ac:dyDescent="0.25">
      <c r="A10" t="s">
        <v>35</v>
      </c>
      <c r="B10" t="s">
        <v>36</v>
      </c>
      <c r="C10">
        <v>9</v>
      </c>
      <c r="D10">
        <v>2553</v>
      </c>
      <c r="E10">
        <v>5</v>
      </c>
      <c r="F10">
        <v>4547.3439335172479</v>
      </c>
      <c r="G10">
        <v>505.26043705747202</v>
      </c>
      <c r="H10">
        <f>ROUND(100*SQRT(G10/G$2),1)</f>
        <v>84.1</v>
      </c>
      <c r="I10" t="s">
        <v>10</v>
      </c>
      <c r="J10" t="s">
        <v>37</v>
      </c>
    </row>
    <row r="11" spans="1:20" x14ac:dyDescent="0.25">
      <c r="A11" t="s">
        <v>44</v>
      </c>
      <c r="B11" t="s">
        <v>45</v>
      </c>
      <c r="C11">
        <v>18</v>
      </c>
      <c r="D11">
        <v>4388</v>
      </c>
      <c r="E11">
        <v>7</v>
      </c>
      <c r="F11">
        <v>9026.3231028249829</v>
      </c>
      <c r="G11">
        <v>501.46239460138793</v>
      </c>
      <c r="H11">
        <f>ROUND(100*SQRT(G11/G$2),1)</f>
        <v>83.8</v>
      </c>
      <c r="I11" t="s">
        <v>10</v>
      </c>
      <c r="J11" t="s">
        <v>23</v>
      </c>
    </row>
    <row r="12" spans="1:20" x14ac:dyDescent="0.25">
      <c r="A12" t="s">
        <v>38</v>
      </c>
      <c r="B12" t="s">
        <v>39</v>
      </c>
      <c r="C12">
        <v>21</v>
      </c>
      <c r="D12">
        <v>2062</v>
      </c>
      <c r="E12">
        <v>1</v>
      </c>
      <c r="F12">
        <v>10359.434408923729</v>
      </c>
      <c r="G12">
        <v>493.30640042493951</v>
      </c>
      <c r="H12">
        <f>ROUND(100*SQRT(G12/G$2),1)</f>
        <v>83.1</v>
      </c>
      <c r="I12" t="s">
        <v>10</v>
      </c>
      <c r="J12" t="s">
        <v>40</v>
      </c>
    </row>
    <row r="13" spans="1:20" x14ac:dyDescent="0.25">
      <c r="A13" t="s">
        <v>24</v>
      </c>
      <c r="B13" t="s">
        <v>25</v>
      </c>
      <c r="C13">
        <v>9</v>
      </c>
      <c r="D13">
        <v>1896</v>
      </c>
      <c r="E13">
        <v>3</v>
      </c>
      <c r="F13">
        <v>4435.8635846775942</v>
      </c>
      <c r="G13">
        <v>492.87373163084379</v>
      </c>
      <c r="H13">
        <f>ROUND(100*SQRT(G13/G$2),1)</f>
        <v>83.1</v>
      </c>
      <c r="I13" t="s">
        <v>10</v>
      </c>
      <c r="J13" t="s">
        <v>26</v>
      </c>
    </row>
    <row r="14" spans="1:20" x14ac:dyDescent="0.25">
      <c r="A14" t="s">
        <v>46</v>
      </c>
      <c r="B14" t="s">
        <v>47</v>
      </c>
      <c r="C14">
        <v>9</v>
      </c>
      <c r="D14">
        <v>468</v>
      </c>
      <c r="E14">
        <v>0</v>
      </c>
      <c r="F14">
        <v>4097.9770000385543</v>
      </c>
      <c r="G14">
        <v>455.3307777820616</v>
      </c>
      <c r="H14">
        <f>ROUND(100*SQRT(G14/G$2),1)</f>
        <v>79.8</v>
      </c>
      <c r="I14" t="s">
        <v>10</v>
      </c>
      <c r="J14" t="s">
        <v>14</v>
      </c>
    </row>
    <row r="15" spans="1:20" x14ac:dyDescent="0.25">
      <c r="A15" t="s">
        <v>56</v>
      </c>
      <c r="B15" t="s">
        <v>57</v>
      </c>
      <c r="C15">
        <v>15</v>
      </c>
      <c r="D15">
        <v>5175</v>
      </c>
      <c r="E15">
        <v>6</v>
      </c>
      <c r="F15">
        <v>6577.7032321339957</v>
      </c>
      <c r="G15">
        <v>438.51354880893302</v>
      </c>
      <c r="H15">
        <f>ROUND(100*SQRT(G15/G$2),1)</f>
        <v>78.3</v>
      </c>
      <c r="I15" t="s">
        <v>10</v>
      </c>
      <c r="J15" t="s">
        <v>695</v>
      </c>
    </row>
    <row r="16" spans="1:20" x14ac:dyDescent="0.25">
      <c r="A16" t="s">
        <v>48</v>
      </c>
      <c r="B16" t="s">
        <v>49</v>
      </c>
      <c r="C16">
        <v>14</v>
      </c>
      <c r="D16">
        <v>1113</v>
      </c>
      <c r="E16">
        <v>0</v>
      </c>
      <c r="F16">
        <v>6123.5818309152146</v>
      </c>
      <c r="G16">
        <v>437.39870220822962</v>
      </c>
      <c r="H16">
        <f>ROUND(100*SQRT(G16/G$2),1)</f>
        <v>78.2</v>
      </c>
      <c r="I16" t="s">
        <v>10</v>
      </c>
      <c r="J16" t="s">
        <v>11</v>
      </c>
    </row>
    <row r="17" spans="1:10" x14ac:dyDescent="0.25">
      <c r="A17" t="s">
        <v>50</v>
      </c>
      <c r="B17" t="s">
        <v>51</v>
      </c>
      <c r="C17">
        <v>24</v>
      </c>
      <c r="D17">
        <v>5620</v>
      </c>
      <c r="E17">
        <v>8</v>
      </c>
      <c r="F17">
        <v>10450.51447429088</v>
      </c>
      <c r="G17">
        <v>435.43810309545341</v>
      </c>
      <c r="H17">
        <f>ROUND(100*SQRT(G17/G$2),1)</f>
        <v>78.099999999999994</v>
      </c>
      <c r="I17" t="s">
        <v>10</v>
      </c>
      <c r="J17" t="s">
        <v>694</v>
      </c>
    </row>
    <row r="18" spans="1:10" x14ac:dyDescent="0.25">
      <c r="A18" t="s">
        <v>58</v>
      </c>
      <c r="B18" t="s">
        <v>59</v>
      </c>
      <c r="C18">
        <v>27</v>
      </c>
      <c r="D18">
        <v>2461</v>
      </c>
      <c r="E18">
        <v>3</v>
      </c>
      <c r="F18">
        <v>11391.1793482872</v>
      </c>
      <c r="G18">
        <v>421.89553141804458</v>
      </c>
      <c r="H18">
        <f>ROUND(100*SQRT(G18/G$2),1)</f>
        <v>76.8</v>
      </c>
      <c r="I18" t="s">
        <v>10</v>
      </c>
      <c r="J18" t="s">
        <v>23</v>
      </c>
    </row>
    <row r="19" spans="1:10" x14ac:dyDescent="0.25">
      <c r="A19" t="s">
        <v>32</v>
      </c>
      <c r="B19" t="s">
        <v>33</v>
      </c>
      <c r="C19">
        <v>5</v>
      </c>
      <c r="D19">
        <v>369</v>
      </c>
      <c r="E19">
        <v>0</v>
      </c>
      <c r="F19">
        <v>2099.3001320090698</v>
      </c>
      <c r="G19">
        <v>419.86002640181403</v>
      </c>
      <c r="H19">
        <f>ROUND(100*SQRT(G19/G$2),1)</f>
        <v>76.7</v>
      </c>
      <c r="I19" t="s">
        <v>10</v>
      </c>
      <c r="J19" t="s">
        <v>34</v>
      </c>
    </row>
    <row r="20" spans="1:10" x14ac:dyDescent="0.25">
      <c r="A20" t="s">
        <v>65</v>
      </c>
      <c r="B20" t="s">
        <v>66</v>
      </c>
      <c r="C20">
        <v>17</v>
      </c>
      <c r="D20">
        <v>4615</v>
      </c>
      <c r="E20">
        <v>6</v>
      </c>
      <c r="F20">
        <v>7035.2287143124104</v>
      </c>
      <c r="G20">
        <v>413.83698319484768</v>
      </c>
      <c r="H20">
        <f>ROUND(100*SQRT(G20/G$2),1)</f>
        <v>76.099999999999994</v>
      </c>
      <c r="I20" t="s">
        <v>10</v>
      </c>
      <c r="J20" t="s">
        <v>23</v>
      </c>
    </row>
    <row r="21" spans="1:10" x14ac:dyDescent="0.25">
      <c r="A21" t="s">
        <v>54</v>
      </c>
      <c r="B21" t="s">
        <v>55</v>
      </c>
      <c r="C21">
        <v>11</v>
      </c>
      <c r="D21">
        <v>1357</v>
      </c>
      <c r="E21">
        <v>2</v>
      </c>
      <c r="F21">
        <v>4267.3936481267428</v>
      </c>
      <c r="G21">
        <v>387.94487710243118</v>
      </c>
      <c r="H21">
        <f>ROUND(100*SQRT(G21/G$2),1)</f>
        <v>73.7</v>
      </c>
      <c r="I21" t="s">
        <v>10</v>
      </c>
      <c r="J21" t="s">
        <v>40</v>
      </c>
    </row>
    <row r="22" spans="1:10" x14ac:dyDescent="0.25">
      <c r="A22" t="s">
        <v>67</v>
      </c>
      <c r="B22" t="s">
        <v>68</v>
      </c>
      <c r="C22">
        <v>14</v>
      </c>
      <c r="D22">
        <v>1074</v>
      </c>
      <c r="E22">
        <v>1</v>
      </c>
      <c r="F22">
        <v>5283.3915259421456</v>
      </c>
      <c r="G22">
        <v>377.3851089958676</v>
      </c>
      <c r="H22">
        <f>ROUND(100*SQRT(G22/G$2),1)</f>
        <v>72.7</v>
      </c>
      <c r="I22" t="s">
        <v>10</v>
      </c>
      <c r="J22" t="s">
        <v>34</v>
      </c>
    </row>
    <row r="23" spans="1:10" x14ac:dyDescent="0.25">
      <c r="A23" t="s">
        <v>69</v>
      </c>
      <c r="B23" t="s">
        <v>70</v>
      </c>
      <c r="C23">
        <v>15</v>
      </c>
      <c r="D23">
        <v>1157</v>
      </c>
      <c r="E23">
        <v>1</v>
      </c>
      <c r="F23">
        <v>5627.6501683245424</v>
      </c>
      <c r="G23">
        <v>375.17667788830278</v>
      </c>
      <c r="H23">
        <f>ROUND(100*SQRT(G23/G$2),1)</f>
        <v>72.5</v>
      </c>
      <c r="I23" t="s">
        <v>10</v>
      </c>
      <c r="J23" t="s">
        <v>40</v>
      </c>
    </row>
    <row r="24" spans="1:10" x14ac:dyDescent="0.25">
      <c r="A24" t="s">
        <v>69</v>
      </c>
      <c r="B24" t="s">
        <v>71</v>
      </c>
      <c r="C24">
        <v>15</v>
      </c>
      <c r="D24">
        <v>868</v>
      </c>
      <c r="E24">
        <v>1</v>
      </c>
      <c r="F24">
        <v>5612.0348393212726</v>
      </c>
      <c r="G24">
        <v>374.13565595475148</v>
      </c>
      <c r="H24">
        <f>ROUND(100*SQRT(G24/G$2),1)</f>
        <v>72.400000000000006</v>
      </c>
      <c r="I24" t="s">
        <v>10</v>
      </c>
      <c r="J24" t="s">
        <v>11</v>
      </c>
    </row>
    <row r="25" spans="1:10" x14ac:dyDescent="0.25">
      <c r="A25" t="s">
        <v>60</v>
      </c>
      <c r="B25" t="s">
        <v>61</v>
      </c>
      <c r="C25">
        <v>9</v>
      </c>
      <c r="D25">
        <v>359</v>
      </c>
      <c r="E25">
        <v>5</v>
      </c>
      <c r="F25">
        <v>3358.6437884523302</v>
      </c>
      <c r="G25">
        <v>373.18264316136998</v>
      </c>
      <c r="H25">
        <f>ROUND(100*SQRT(G25/G$2),1)</f>
        <v>72.3</v>
      </c>
      <c r="I25" t="s">
        <v>62</v>
      </c>
      <c r="J25" t="s">
        <v>4</v>
      </c>
    </row>
    <row r="26" spans="1:10" x14ac:dyDescent="0.25">
      <c r="A26" t="s">
        <v>63</v>
      </c>
      <c r="B26" t="s">
        <v>64</v>
      </c>
      <c r="C26">
        <v>8</v>
      </c>
      <c r="D26">
        <v>2326</v>
      </c>
      <c r="E26">
        <v>5</v>
      </c>
      <c r="F26">
        <v>2981.1855269117091</v>
      </c>
      <c r="G26">
        <v>372.64819086396358</v>
      </c>
      <c r="H26">
        <f>ROUND(100*SQRT(G26/G$2),1)</f>
        <v>72.2</v>
      </c>
      <c r="I26" t="s">
        <v>62</v>
      </c>
      <c r="J26" t="s">
        <v>4</v>
      </c>
    </row>
    <row r="27" spans="1:10" x14ac:dyDescent="0.25">
      <c r="A27" t="s">
        <v>72</v>
      </c>
      <c r="B27" t="s">
        <v>73</v>
      </c>
      <c r="C27">
        <v>22</v>
      </c>
      <c r="D27">
        <v>4570</v>
      </c>
      <c r="E27">
        <v>4</v>
      </c>
      <c r="F27">
        <v>8064.7399822815169</v>
      </c>
      <c r="G27">
        <v>366.57909010370531</v>
      </c>
      <c r="H27">
        <f>ROUND(100*SQRT(G27/G$2),1)</f>
        <v>71.599999999999994</v>
      </c>
      <c r="I27" t="s">
        <v>10</v>
      </c>
      <c r="J27" t="s">
        <v>20</v>
      </c>
    </row>
    <row r="28" spans="1:10" x14ac:dyDescent="0.25">
      <c r="A28" t="s">
        <v>74</v>
      </c>
      <c r="B28" t="s">
        <v>75</v>
      </c>
      <c r="C28">
        <v>28</v>
      </c>
      <c r="D28">
        <v>2605</v>
      </c>
      <c r="E28">
        <v>4</v>
      </c>
      <c r="F28">
        <v>10064.74175132874</v>
      </c>
      <c r="G28">
        <v>359.45506254745487</v>
      </c>
      <c r="H28">
        <f>ROUND(100*SQRT(G28/G$2),1)</f>
        <v>70.900000000000006</v>
      </c>
      <c r="I28" t="s">
        <v>10</v>
      </c>
      <c r="J28" t="s">
        <v>76</v>
      </c>
    </row>
    <row r="29" spans="1:10" x14ac:dyDescent="0.25">
      <c r="A29" t="s">
        <v>83</v>
      </c>
      <c r="B29" t="s">
        <v>84</v>
      </c>
      <c r="C29">
        <v>26</v>
      </c>
      <c r="D29">
        <v>2281</v>
      </c>
      <c r="E29">
        <v>3</v>
      </c>
      <c r="F29">
        <v>9228.0688907807817</v>
      </c>
      <c r="G29">
        <v>354.9257265684916</v>
      </c>
      <c r="H29">
        <f>ROUND(100*SQRT(G29/G$2),1)</f>
        <v>70.5</v>
      </c>
      <c r="I29" t="s">
        <v>10</v>
      </c>
      <c r="J29" t="s">
        <v>23</v>
      </c>
    </row>
    <row r="30" spans="1:10" x14ac:dyDescent="0.25">
      <c r="A30" t="s">
        <v>77</v>
      </c>
      <c r="B30" t="s">
        <v>78</v>
      </c>
      <c r="C30">
        <v>10</v>
      </c>
      <c r="D30">
        <v>828</v>
      </c>
      <c r="E30">
        <v>1</v>
      </c>
      <c r="F30">
        <v>3502.1600631337501</v>
      </c>
      <c r="G30">
        <v>350.21600631337498</v>
      </c>
      <c r="H30">
        <f>ROUND(100*SQRT(G30/G$2),1)</f>
        <v>70</v>
      </c>
      <c r="I30" t="s">
        <v>10</v>
      </c>
      <c r="J30" t="s">
        <v>14</v>
      </c>
    </row>
    <row r="31" spans="1:10" x14ac:dyDescent="0.25">
      <c r="A31" t="s">
        <v>81</v>
      </c>
      <c r="B31" t="s">
        <v>82</v>
      </c>
      <c r="C31">
        <v>33</v>
      </c>
      <c r="D31">
        <v>4807</v>
      </c>
      <c r="E31">
        <v>8</v>
      </c>
      <c r="F31">
        <v>11274.47005073227</v>
      </c>
      <c r="G31">
        <v>341.65060759794773</v>
      </c>
      <c r="H31">
        <f>ROUND(100*SQRT(G31/G$2),1)</f>
        <v>69.2</v>
      </c>
      <c r="I31" t="s">
        <v>10</v>
      </c>
      <c r="J31" t="s">
        <v>11</v>
      </c>
    </row>
    <row r="32" spans="1:10" x14ac:dyDescent="0.25">
      <c r="A32" t="s">
        <v>79</v>
      </c>
      <c r="B32" t="s">
        <v>80</v>
      </c>
      <c r="C32">
        <v>7</v>
      </c>
      <c r="D32">
        <v>865</v>
      </c>
      <c r="E32">
        <v>1</v>
      </c>
      <c r="F32">
        <v>2380.079794072853</v>
      </c>
      <c r="G32">
        <v>340.01139915326479</v>
      </c>
      <c r="H32">
        <f>ROUND(100*SQRT(G32/G$2),1)</f>
        <v>69</v>
      </c>
      <c r="I32" t="s">
        <v>10</v>
      </c>
      <c r="J32" t="s">
        <v>40</v>
      </c>
    </row>
    <row r="33" spans="1:10" x14ac:dyDescent="0.25">
      <c r="A33" t="s">
        <v>52</v>
      </c>
      <c r="B33" t="s">
        <v>53</v>
      </c>
      <c r="C33">
        <v>10</v>
      </c>
      <c r="D33">
        <v>601</v>
      </c>
      <c r="E33">
        <v>1</v>
      </c>
      <c r="F33">
        <v>3381.7042408664579</v>
      </c>
      <c r="G33">
        <v>338.17042408664582</v>
      </c>
      <c r="H33">
        <f>ROUND(100*SQRT(G33/G$2),1)</f>
        <v>68.8</v>
      </c>
      <c r="I33" t="s">
        <v>10</v>
      </c>
      <c r="J33" t="s">
        <v>11</v>
      </c>
    </row>
    <row r="34" spans="1:10" x14ac:dyDescent="0.25">
      <c r="A34" t="s">
        <v>90</v>
      </c>
      <c r="B34" t="s">
        <v>91</v>
      </c>
      <c r="C34">
        <v>19</v>
      </c>
      <c r="D34">
        <v>4047</v>
      </c>
      <c r="E34">
        <v>6</v>
      </c>
      <c r="F34">
        <v>6154.0063050207964</v>
      </c>
      <c r="G34">
        <v>323.89506868530509</v>
      </c>
      <c r="H34">
        <f>ROUND(100*SQRT(G34/G$2),1)</f>
        <v>67.3</v>
      </c>
      <c r="I34" t="s">
        <v>10</v>
      </c>
      <c r="J34" t="s">
        <v>20</v>
      </c>
    </row>
    <row r="35" spans="1:10" x14ac:dyDescent="0.25">
      <c r="A35" t="s">
        <v>85</v>
      </c>
      <c r="B35" t="s">
        <v>86</v>
      </c>
      <c r="C35">
        <v>30</v>
      </c>
      <c r="D35">
        <v>4150</v>
      </c>
      <c r="E35">
        <v>6</v>
      </c>
      <c r="F35">
        <v>9512.9067456983557</v>
      </c>
      <c r="G35">
        <v>317.09689152327849</v>
      </c>
      <c r="H35">
        <f>ROUND(100*SQRT(G35/G$2),1)</f>
        <v>66.599999999999994</v>
      </c>
      <c r="I35" t="s">
        <v>10</v>
      </c>
      <c r="J35" t="s">
        <v>87</v>
      </c>
    </row>
    <row r="36" spans="1:10" x14ac:dyDescent="0.25">
      <c r="A36" t="s">
        <v>99</v>
      </c>
      <c r="B36" t="s">
        <v>100</v>
      </c>
      <c r="C36">
        <v>16</v>
      </c>
      <c r="D36">
        <v>2268</v>
      </c>
      <c r="E36">
        <v>4</v>
      </c>
      <c r="F36">
        <v>4762.2774517086127</v>
      </c>
      <c r="G36">
        <v>297.64234073178829</v>
      </c>
      <c r="H36">
        <f>ROUND(100*SQRT(G36/G$2),1)</f>
        <v>64.5</v>
      </c>
      <c r="I36" t="s">
        <v>10</v>
      </c>
      <c r="J36" t="s">
        <v>101</v>
      </c>
    </row>
    <row r="37" spans="1:10" x14ac:dyDescent="0.25">
      <c r="A37" t="s">
        <v>97</v>
      </c>
      <c r="B37" t="s">
        <v>98</v>
      </c>
      <c r="C37">
        <v>21</v>
      </c>
      <c r="D37">
        <v>1794</v>
      </c>
      <c r="E37">
        <v>3</v>
      </c>
      <c r="F37">
        <v>6134.8993698937848</v>
      </c>
      <c r="G37">
        <v>292.13806523303742</v>
      </c>
      <c r="H37">
        <f>ROUND(100*SQRT(G37/G$2),1)</f>
        <v>63.9</v>
      </c>
      <c r="I37" t="s">
        <v>10</v>
      </c>
      <c r="J37" t="s">
        <v>34</v>
      </c>
    </row>
    <row r="38" spans="1:10" x14ac:dyDescent="0.25">
      <c r="A38" t="s">
        <v>94</v>
      </c>
      <c r="B38" t="s">
        <v>95</v>
      </c>
      <c r="C38">
        <v>12</v>
      </c>
      <c r="D38">
        <v>2122</v>
      </c>
      <c r="E38">
        <v>5</v>
      </c>
      <c r="F38">
        <v>3415.4753304696028</v>
      </c>
      <c r="G38">
        <v>284.62294420580031</v>
      </c>
      <c r="H38">
        <f>ROUND(100*SQRT(G38/G$2),1)</f>
        <v>63.1</v>
      </c>
      <c r="I38" t="s">
        <v>10</v>
      </c>
      <c r="J38" t="s">
        <v>96</v>
      </c>
    </row>
    <row r="39" spans="1:10" x14ac:dyDescent="0.25">
      <c r="A39" t="s">
        <v>106</v>
      </c>
      <c r="B39" t="s">
        <v>107</v>
      </c>
      <c r="C39">
        <v>25</v>
      </c>
      <c r="D39">
        <v>1567</v>
      </c>
      <c r="E39">
        <v>3</v>
      </c>
      <c r="F39">
        <v>7058.5014565591964</v>
      </c>
      <c r="G39">
        <v>282.34005826236779</v>
      </c>
      <c r="H39">
        <f>ROUND(100*SQRT(G39/G$2),1)</f>
        <v>62.9</v>
      </c>
      <c r="I39" t="s">
        <v>10</v>
      </c>
      <c r="J39" t="s">
        <v>20</v>
      </c>
    </row>
    <row r="40" spans="1:10" x14ac:dyDescent="0.25">
      <c r="A40" t="s">
        <v>116</v>
      </c>
      <c r="B40" t="s">
        <v>117</v>
      </c>
      <c r="C40">
        <v>10</v>
      </c>
      <c r="D40">
        <v>857</v>
      </c>
      <c r="E40">
        <v>1</v>
      </c>
      <c r="F40">
        <v>2746.089434645859</v>
      </c>
      <c r="G40">
        <v>274.60894346458588</v>
      </c>
      <c r="H40">
        <f>ROUND(100*SQRT(G40/G$2),1)</f>
        <v>62</v>
      </c>
      <c r="I40" t="s">
        <v>10</v>
      </c>
      <c r="J40" t="s">
        <v>40</v>
      </c>
    </row>
    <row r="41" spans="1:10" x14ac:dyDescent="0.25">
      <c r="A41" t="s">
        <v>110</v>
      </c>
      <c r="B41" t="s">
        <v>111</v>
      </c>
      <c r="C41">
        <v>20</v>
      </c>
      <c r="D41">
        <v>1889</v>
      </c>
      <c r="E41">
        <v>1</v>
      </c>
      <c r="F41">
        <v>5485.8283542359804</v>
      </c>
      <c r="G41">
        <v>274.291417711799</v>
      </c>
      <c r="H41">
        <f>ROUND(100*SQRT(G41/G$2),1)</f>
        <v>62</v>
      </c>
      <c r="I41" t="s">
        <v>10</v>
      </c>
      <c r="J41" t="s">
        <v>11</v>
      </c>
    </row>
    <row r="42" spans="1:10" x14ac:dyDescent="0.25">
      <c r="A42" t="s">
        <v>108</v>
      </c>
      <c r="B42" t="s">
        <v>109</v>
      </c>
      <c r="C42">
        <v>24</v>
      </c>
      <c r="D42">
        <v>2439</v>
      </c>
      <c r="E42">
        <v>4</v>
      </c>
      <c r="F42">
        <v>6562.8007995969356</v>
      </c>
      <c r="G42">
        <v>273.45003331653902</v>
      </c>
      <c r="H42">
        <f>ROUND(100*SQRT(G42/G$2),1)</f>
        <v>61.9</v>
      </c>
      <c r="I42" t="s">
        <v>10</v>
      </c>
      <c r="J42" t="s">
        <v>26</v>
      </c>
    </row>
    <row r="43" spans="1:10" x14ac:dyDescent="0.25">
      <c r="A43" t="s">
        <v>102</v>
      </c>
      <c r="B43" t="s">
        <v>103</v>
      </c>
      <c r="C43">
        <v>14</v>
      </c>
      <c r="D43">
        <v>859</v>
      </c>
      <c r="E43">
        <v>1</v>
      </c>
      <c r="F43">
        <v>3810.0275185378509</v>
      </c>
      <c r="G43">
        <v>272.14482275270359</v>
      </c>
      <c r="H43">
        <f>ROUND(100*SQRT(G43/G$2),1)</f>
        <v>61.7</v>
      </c>
      <c r="I43" t="s">
        <v>10</v>
      </c>
      <c r="J43" t="s">
        <v>40</v>
      </c>
    </row>
    <row r="44" spans="1:10" x14ac:dyDescent="0.25">
      <c r="A44" t="s">
        <v>121</v>
      </c>
      <c r="B44" t="s">
        <v>122</v>
      </c>
      <c r="C44">
        <v>11</v>
      </c>
      <c r="D44">
        <v>567</v>
      </c>
      <c r="E44">
        <v>0</v>
      </c>
      <c r="F44">
        <v>2958.4676276970708</v>
      </c>
      <c r="G44">
        <v>268.95160251791549</v>
      </c>
      <c r="H44">
        <f>ROUND(100*SQRT(G44/G$2),1)</f>
        <v>61.4</v>
      </c>
      <c r="I44" t="s">
        <v>10</v>
      </c>
      <c r="J44" t="s">
        <v>23</v>
      </c>
    </row>
    <row r="45" spans="1:10" x14ac:dyDescent="0.25">
      <c r="A45" t="s">
        <v>112</v>
      </c>
      <c r="B45" t="s">
        <v>113</v>
      </c>
      <c r="C45">
        <v>11</v>
      </c>
      <c r="D45">
        <v>1199</v>
      </c>
      <c r="E45">
        <v>3</v>
      </c>
      <c r="F45">
        <v>2917.9798630735659</v>
      </c>
      <c r="G45">
        <v>265.27089664305151</v>
      </c>
      <c r="H45">
        <f>ROUND(100*SQRT(G45/G$2),1)</f>
        <v>60.9</v>
      </c>
      <c r="I45" t="s">
        <v>10</v>
      </c>
      <c r="J45" t="s">
        <v>26</v>
      </c>
    </row>
    <row r="46" spans="1:10" x14ac:dyDescent="0.25">
      <c r="A46" t="s">
        <v>152</v>
      </c>
      <c r="B46" t="s">
        <v>153</v>
      </c>
      <c r="C46">
        <v>21</v>
      </c>
      <c r="D46">
        <v>3376</v>
      </c>
      <c r="E46">
        <v>8</v>
      </c>
      <c r="F46">
        <v>5544.6962460806426</v>
      </c>
      <c r="G46">
        <v>264.03315457526872</v>
      </c>
      <c r="H46">
        <f>ROUND(100*SQRT(G46/G$2),1)</f>
        <v>60.8</v>
      </c>
      <c r="I46" t="s">
        <v>10</v>
      </c>
      <c r="J46" t="s">
        <v>696</v>
      </c>
    </row>
    <row r="47" spans="1:10" x14ac:dyDescent="0.25">
      <c r="A47" t="s">
        <v>92</v>
      </c>
      <c r="B47" t="s">
        <v>93</v>
      </c>
      <c r="C47">
        <v>9</v>
      </c>
      <c r="D47">
        <v>467</v>
      </c>
      <c r="E47">
        <v>0</v>
      </c>
      <c r="F47">
        <v>2372.457069804419</v>
      </c>
      <c r="G47">
        <v>263.60634108937978</v>
      </c>
      <c r="H47">
        <f>ROUND(100*SQRT(G47/G$2),1)</f>
        <v>60.7</v>
      </c>
      <c r="I47" t="s">
        <v>10</v>
      </c>
      <c r="J47" t="s">
        <v>34</v>
      </c>
    </row>
    <row r="48" spans="1:10" x14ac:dyDescent="0.25">
      <c r="A48" t="s">
        <v>104</v>
      </c>
      <c r="B48" t="s">
        <v>105</v>
      </c>
      <c r="C48">
        <v>10</v>
      </c>
      <c r="D48">
        <v>374</v>
      </c>
      <c r="E48">
        <v>0</v>
      </c>
      <c r="F48">
        <v>2615.7657257529559</v>
      </c>
      <c r="G48">
        <v>261.57657257529559</v>
      </c>
      <c r="H48">
        <f>ROUND(100*SQRT(G48/G$2),1)</f>
        <v>60.5</v>
      </c>
      <c r="I48" t="s">
        <v>10</v>
      </c>
      <c r="J48" t="s">
        <v>40</v>
      </c>
    </row>
    <row r="49" spans="1:10" x14ac:dyDescent="0.25">
      <c r="A49" t="s">
        <v>118</v>
      </c>
      <c r="B49" t="s">
        <v>119</v>
      </c>
      <c r="C49">
        <v>17</v>
      </c>
      <c r="D49">
        <v>5346</v>
      </c>
      <c r="E49">
        <v>8</v>
      </c>
      <c r="F49">
        <v>4354.1020235273427</v>
      </c>
      <c r="G49">
        <v>256.12364844278488</v>
      </c>
      <c r="H49">
        <f>ROUND(100*SQRT(G49/G$2),1)</f>
        <v>59.9</v>
      </c>
      <c r="I49" t="s">
        <v>10</v>
      </c>
      <c r="J49" t="s">
        <v>120</v>
      </c>
    </row>
    <row r="50" spans="1:10" x14ac:dyDescent="0.25">
      <c r="A50" t="s">
        <v>132</v>
      </c>
      <c r="B50" t="s">
        <v>133</v>
      </c>
      <c r="C50">
        <v>19</v>
      </c>
      <c r="D50">
        <v>950</v>
      </c>
      <c r="E50">
        <v>2</v>
      </c>
      <c r="F50">
        <v>4862.5333626319907</v>
      </c>
      <c r="G50">
        <v>255.9228085595785</v>
      </c>
      <c r="H50">
        <f>ROUND(100*SQRT(G50/G$2),1)</f>
        <v>59.8</v>
      </c>
      <c r="I50" t="s">
        <v>10</v>
      </c>
      <c r="J50" t="s">
        <v>23</v>
      </c>
    </row>
    <row r="51" spans="1:10" x14ac:dyDescent="0.25">
      <c r="A51" t="s">
        <v>88</v>
      </c>
      <c r="B51" t="s">
        <v>89</v>
      </c>
      <c r="C51">
        <v>16</v>
      </c>
      <c r="D51">
        <v>4106</v>
      </c>
      <c r="E51">
        <v>9</v>
      </c>
      <c r="F51">
        <v>4087.201905064424</v>
      </c>
      <c r="G51">
        <v>255.4501190665265</v>
      </c>
      <c r="H51">
        <f>ROUND(100*SQRT(G51/G$2),1)</f>
        <v>59.8</v>
      </c>
      <c r="I51" t="s">
        <v>10</v>
      </c>
      <c r="J51" t="s">
        <v>26</v>
      </c>
    </row>
    <row r="52" spans="1:10" x14ac:dyDescent="0.25">
      <c r="A52" t="s">
        <v>114</v>
      </c>
      <c r="B52" t="s">
        <v>115</v>
      </c>
      <c r="C52">
        <v>14</v>
      </c>
      <c r="D52">
        <v>627</v>
      </c>
      <c r="E52">
        <v>0</v>
      </c>
      <c r="F52">
        <v>3572.6353519777958</v>
      </c>
      <c r="G52">
        <v>255.1882394269854</v>
      </c>
      <c r="H52">
        <f>ROUND(100*SQRT(G52/G$2),1)</f>
        <v>59.8</v>
      </c>
      <c r="I52" t="s">
        <v>10</v>
      </c>
      <c r="J52" t="s">
        <v>34</v>
      </c>
    </row>
    <row r="53" spans="1:10" x14ac:dyDescent="0.25">
      <c r="A53" t="s">
        <v>123</v>
      </c>
      <c r="B53" t="s">
        <v>124</v>
      </c>
      <c r="C53">
        <v>20</v>
      </c>
      <c r="D53">
        <v>936</v>
      </c>
      <c r="E53">
        <v>0</v>
      </c>
      <c r="F53">
        <v>5018.0233746947051</v>
      </c>
      <c r="G53">
        <v>250.90116873473531</v>
      </c>
      <c r="H53">
        <f>ROUND(100*SQRT(G53/G$2),1)</f>
        <v>59.3</v>
      </c>
      <c r="I53" t="s">
        <v>10</v>
      </c>
      <c r="J53" t="s">
        <v>11</v>
      </c>
    </row>
    <row r="54" spans="1:10" x14ac:dyDescent="0.25">
      <c r="A54" t="s">
        <v>138</v>
      </c>
      <c r="B54" t="s">
        <v>139</v>
      </c>
      <c r="C54">
        <v>10</v>
      </c>
      <c r="D54">
        <v>890</v>
      </c>
      <c r="E54">
        <v>1</v>
      </c>
      <c r="F54">
        <v>2483.716011380202</v>
      </c>
      <c r="G54">
        <v>248.3716011380202</v>
      </c>
      <c r="H54">
        <f>ROUND(100*SQRT(G54/G$2),1)</f>
        <v>59</v>
      </c>
      <c r="I54" t="s">
        <v>10</v>
      </c>
      <c r="J54" t="s">
        <v>26</v>
      </c>
    </row>
    <row r="55" spans="1:10" x14ac:dyDescent="0.25">
      <c r="A55" t="s">
        <v>134</v>
      </c>
      <c r="B55" t="s">
        <v>135</v>
      </c>
      <c r="C55">
        <v>21</v>
      </c>
      <c r="D55">
        <v>1322</v>
      </c>
      <c r="E55">
        <v>1</v>
      </c>
      <c r="F55">
        <v>5193.6475070712531</v>
      </c>
      <c r="G55">
        <v>247.31654795577401</v>
      </c>
      <c r="H55">
        <f>ROUND(100*SQRT(G55/G$2),1)</f>
        <v>58.8</v>
      </c>
      <c r="I55" t="s">
        <v>10</v>
      </c>
      <c r="J55" t="s">
        <v>14</v>
      </c>
    </row>
    <row r="56" spans="1:10" x14ac:dyDescent="0.25">
      <c r="A56" t="s">
        <v>156</v>
      </c>
      <c r="B56" t="s">
        <v>157</v>
      </c>
      <c r="C56">
        <v>20</v>
      </c>
      <c r="D56">
        <v>1381</v>
      </c>
      <c r="E56">
        <v>4</v>
      </c>
      <c r="F56">
        <v>4909.0567057116941</v>
      </c>
      <c r="G56">
        <v>245.45283528558471</v>
      </c>
      <c r="H56">
        <f>ROUND(100*SQRT(G56/G$2),1)</f>
        <v>58.6</v>
      </c>
      <c r="I56" t="s">
        <v>10</v>
      </c>
      <c r="J56" t="s">
        <v>11</v>
      </c>
    </row>
    <row r="57" spans="1:10" x14ac:dyDescent="0.25">
      <c r="A57" t="s">
        <v>142</v>
      </c>
      <c r="B57" t="s">
        <v>143</v>
      </c>
      <c r="C57">
        <v>63</v>
      </c>
      <c r="D57">
        <v>10018</v>
      </c>
      <c r="E57">
        <v>14</v>
      </c>
      <c r="F57">
        <v>15004.720752714969</v>
      </c>
      <c r="G57">
        <v>238.17017067801541</v>
      </c>
      <c r="H57">
        <f>ROUND(100*SQRT(G57/G$2),1)</f>
        <v>57.7</v>
      </c>
      <c r="I57" t="s">
        <v>10</v>
      </c>
      <c r="J57" t="s">
        <v>20</v>
      </c>
    </row>
    <row r="58" spans="1:10" x14ac:dyDescent="0.25">
      <c r="A58" t="s">
        <v>144</v>
      </c>
      <c r="B58" t="s">
        <v>145</v>
      </c>
      <c r="C58">
        <v>28</v>
      </c>
      <c r="D58">
        <v>2735</v>
      </c>
      <c r="E58">
        <v>4</v>
      </c>
      <c r="F58">
        <v>6583.3275189054066</v>
      </c>
      <c r="G58">
        <v>235.11883996090739</v>
      </c>
      <c r="H58">
        <f>ROUND(100*SQRT(G58/G$2),1)</f>
        <v>57.4</v>
      </c>
      <c r="I58" t="s">
        <v>10</v>
      </c>
      <c r="J58" t="s">
        <v>20</v>
      </c>
    </row>
    <row r="59" spans="1:10" x14ac:dyDescent="0.25">
      <c r="A59" t="s">
        <v>125</v>
      </c>
      <c r="B59" t="s">
        <v>126</v>
      </c>
      <c r="C59">
        <v>16</v>
      </c>
      <c r="D59">
        <v>624</v>
      </c>
      <c r="E59">
        <v>0</v>
      </c>
      <c r="F59">
        <v>3760.3691102336129</v>
      </c>
      <c r="G59">
        <v>235.02306938960081</v>
      </c>
      <c r="H59">
        <f>ROUND(100*SQRT(G59/G$2),1)</f>
        <v>57.4</v>
      </c>
      <c r="I59" t="s">
        <v>10</v>
      </c>
      <c r="J59" t="s">
        <v>34</v>
      </c>
    </row>
    <row r="60" spans="1:10" x14ac:dyDescent="0.25">
      <c r="A60" t="s">
        <v>148</v>
      </c>
      <c r="B60" t="s">
        <v>149</v>
      </c>
      <c r="C60">
        <v>15</v>
      </c>
      <c r="D60">
        <v>1355</v>
      </c>
      <c r="E60">
        <v>2</v>
      </c>
      <c r="F60">
        <v>3498.0730992169301</v>
      </c>
      <c r="G60">
        <v>233.2048732811287</v>
      </c>
      <c r="H60">
        <f>ROUND(100*SQRT(G60/G$2),1)</f>
        <v>57.1</v>
      </c>
      <c r="I60" t="s">
        <v>10</v>
      </c>
      <c r="J60" t="s">
        <v>26</v>
      </c>
    </row>
    <row r="61" spans="1:10" x14ac:dyDescent="0.25">
      <c r="A61" t="s">
        <v>146</v>
      </c>
      <c r="B61" t="s">
        <v>147</v>
      </c>
      <c r="C61">
        <v>23</v>
      </c>
      <c r="D61">
        <v>2085</v>
      </c>
      <c r="E61">
        <v>4</v>
      </c>
      <c r="F61">
        <v>5319.1237519244214</v>
      </c>
      <c r="G61">
        <v>231.26625008367051</v>
      </c>
      <c r="H61">
        <f>ROUND(100*SQRT(G61/G$2),1)</f>
        <v>56.9</v>
      </c>
      <c r="I61" t="s">
        <v>10</v>
      </c>
      <c r="J61" t="s">
        <v>14</v>
      </c>
    </row>
    <row r="62" spans="1:10" x14ac:dyDescent="0.25">
      <c r="A62" t="s">
        <v>154</v>
      </c>
      <c r="B62" t="s">
        <v>155</v>
      </c>
      <c r="C62">
        <v>24</v>
      </c>
      <c r="D62">
        <v>3496</v>
      </c>
      <c r="E62">
        <v>5</v>
      </c>
      <c r="F62">
        <v>5558.9282825760583</v>
      </c>
      <c r="G62">
        <v>231.6220117740024</v>
      </c>
      <c r="H62">
        <f>ROUND(100*SQRT(G62/G$2),1)</f>
        <v>56.9</v>
      </c>
      <c r="I62" t="s">
        <v>62</v>
      </c>
      <c r="J62" t="s">
        <v>4</v>
      </c>
    </row>
    <row r="63" spans="1:10" x14ac:dyDescent="0.25">
      <c r="A63" t="s">
        <v>176</v>
      </c>
      <c r="B63" t="s">
        <v>177</v>
      </c>
      <c r="C63">
        <v>13</v>
      </c>
      <c r="D63">
        <v>849</v>
      </c>
      <c r="E63">
        <v>0</v>
      </c>
      <c r="F63">
        <v>2959.436266295113</v>
      </c>
      <c r="G63">
        <v>227.6489435611625</v>
      </c>
      <c r="H63">
        <f>ROUND(100*SQRT(G63/G$2),1)</f>
        <v>56.4</v>
      </c>
      <c r="I63" t="s">
        <v>10</v>
      </c>
      <c r="J63" t="s">
        <v>178</v>
      </c>
    </row>
    <row r="64" spans="1:10" x14ac:dyDescent="0.25">
      <c r="A64" t="s">
        <v>168</v>
      </c>
      <c r="B64" t="s">
        <v>169</v>
      </c>
      <c r="C64">
        <v>30</v>
      </c>
      <c r="D64">
        <v>2371</v>
      </c>
      <c r="E64">
        <v>6</v>
      </c>
      <c r="F64">
        <v>6680.7310455604766</v>
      </c>
      <c r="G64">
        <v>222.69103485201589</v>
      </c>
      <c r="H64">
        <f>ROUND(100*SQRT(G64/G$2),1)</f>
        <v>55.8</v>
      </c>
      <c r="I64" t="s">
        <v>62</v>
      </c>
      <c r="J64" t="s">
        <v>4</v>
      </c>
    </row>
    <row r="65" spans="1:10" x14ac:dyDescent="0.25">
      <c r="A65" t="s">
        <v>174</v>
      </c>
      <c r="B65" t="s">
        <v>175</v>
      </c>
      <c r="C65">
        <v>31</v>
      </c>
      <c r="D65">
        <v>1512</v>
      </c>
      <c r="E65">
        <v>1</v>
      </c>
      <c r="F65">
        <v>6889.825296305803</v>
      </c>
      <c r="G65">
        <v>222.2524289130904</v>
      </c>
      <c r="H65">
        <f>ROUND(100*SQRT(G65/G$2),1)</f>
        <v>55.8</v>
      </c>
      <c r="I65" t="s">
        <v>10</v>
      </c>
      <c r="J65" t="s">
        <v>23</v>
      </c>
    </row>
    <row r="66" spans="1:10" x14ac:dyDescent="0.25">
      <c r="A66" t="s">
        <v>166</v>
      </c>
      <c r="B66" t="s">
        <v>167</v>
      </c>
      <c r="C66">
        <v>17</v>
      </c>
      <c r="D66">
        <v>1991</v>
      </c>
      <c r="E66">
        <v>2</v>
      </c>
      <c r="F66">
        <v>3766.3876621668801</v>
      </c>
      <c r="G66">
        <v>221.5522154215812</v>
      </c>
      <c r="H66">
        <f>ROUND(100*SQRT(G66/G$2),1)</f>
        <v>55.7</v>
      </c>
      <c r="I66" t="s">
        <v>10</v>
      </c>
      <c r="J66" t="s">
        <v>40</v>
      </c>
    </row>
    <row r="67" spans="1:10" x14ac:dyDescent="0.25">
      <c r="A67" t="s">
        <v>160</v>
      </c>
      <c r="B67" t="s">
        <v>161</v>
      </c>
      <c r="C67">
        <v>10</v>
      </c>
      <c r="D67">
        <v>626</v>
      </c>
      <c r="E67">
        <v>1</v>
      </c>
      <c r="F67">
        <v>2216.1634711861998</v>
      </c>
      <c r="G67">
        <v>221.61634711862001</v>
      </c>
      <c r="H67">
        <f>ROUND(100*SQRT(G67/G$2),1)</f>
        <v>55.7</v>
      </c>
      <c r="I67" t="s">
        <v>10</v>
      </c>
      <c r="J67" t="s">
        <v>17</v>
      </c>
    </row>
    <row r="68" spans="1:10" x14ac:dyDescent="0.25">
      <c r="A68" t="s">
        <v>164</v>
      </c>
      <c r="B68" t="s">
        <v>165</v>
      </c>
      <c r="C68">
        <v>8</v>
      </c>
      <c r="D68">
        <v>270</v>
      </c>
      <c r="E68">
        <v>0</v>
      </c>
      <c r="F68">
        <v>1754.752376493866</v>
      </c>
      <c r="G68">
        <v>219.34404706173331</v>
      </c>
      <c r="H68">
        <f>ROUND(100*SQRT(G68/G$2),1)</f>
        <v>55.4</v>
      </c>
      <c r="I68" t="s">
        <v>10</v>
      </c>
      <c r="J68" t="s">
        <v>34</v>
      </c>
    </row>
    <row r="69" spans="1:10" x14ac:dyDescent="0.25">
      <c r="A69" t="s">
        <v>150</v>
      </c>
      <c r="B69" t="s">
        <v>151</v>
      </c>
      <c r="C69">
        <v>33</v>
      </c>
      <c r="D69">
        <v>1496</v>
      </c>
      <c r="E69">
        <v>0</v>
      </c>
      <c r="F69">
        <v>7238.239353861959</v>
      </c>
      <c r="G69">
        <v>219.34058648066539</v>
      </c>
      <c r="H69">
        <f>ROUND(100*SQRT(G69/G$2),1)</f>
        <v>55.4</v>
      </c>
      <c r="I69" t="s">
        <v>10</v>
      </c>
      <c r="J69" t="s">
        <v>11</v>
      </c>
    </row>
    <row r="70" spans="1:10" x14ac:dyDescent="0.25">
      <c r="A70" t="s">
        <v>191</v>
      </c>
      <c r="B70" t="s">
        <v>192</v>
      </c>
      <c r="C70">
        <v>4</v>
      </c>
      <c r="D70">
        <v>266</v>
      </c>
      <c r="E70">
        <v>1</v>
      </c>
      <c r="F70">
        <v>863.60826704338672</v>
      </c>
      <c r="G70">
        <v>215.90206676084671</v>
      </c>
      <c r="H70">
        <f>ROUND(100*SQRT(G70/G$2),1)</f>
        <v>55</v>
      </c>
      <c r="I70" t="s">
        <v>10</v>
      </c>
      <c r="J70" t="s">
        <v>34</v>
      </c>
    </row>
    <row r="71" spans="1:10" x14ac:dyDescent="0.25">
      <c r="A71" t="s">
        <v>181</v>
      </c>
      <c r="B71" t="s">
        <v>182</v>
      </c>
      <c r="C71">
        <v>8</v>
      </c>
      <c r="D71">
        <v>390</v>
      </c>
      <c r="E71">
        <v>1</v>
      </c>
      <c r="F71">
        <v>1719.0467160035121</v>
      </c>
      <c r="G71">
        <v>214.88083950043901</v>
      </c>
      <c r="H71">
        <f>ROUND(100*SQRT(G71/G$2),1)</f>
        <v>54.8</v>
      </c>
      <c r="I71" t="s">
        <v>10</v>
      </c>
      <c r="J71" t="s">
        <v>178</v>
      </c>
    </row>
    <row r="72" spans="1:10" x14ac:dyDescent="0.25">
      <c r="A72" t="s">
        <v>172</v>
      </c>
      <c r="B72" t="s">
        <v>173</v>
      </c>
      <c r="C72">
        <v>9</v>
      </c>
      <c r="D72">
        <v>673</v>
      </c>
      <c r="E72">
        <v>2</v>
      </c>
      <c r="F72">
        <v>1927.1621740517</v>
      </c>
      <c r="G72">
        <v>214.12913045018891</v>
      </c>
      <c r="H72">
        <f>ROUND(100*SQRT(G72/G$2),1)</f>
        <v>54.7</v>
      </c>
      <c r="I72" t="s">
        <v>10</v>
      </c>
      <c r="J72" t="s">
        <v>26</v>
      </c>
    </row>
    <row r="73" spans="1:10" x14ac:dyDescent="0.25">
      <c r="A73" t="s">
        <v>183</v>
      </c>
      <c r="B73" t="s">
        <v>184</v>
      </c>
      <c r="C73">
        <v>12</v>
      </c>
      <c r="D73">
        <v>867</v>
      </c>
      <c r="E73">
        <v>1</v>
      </c>
      <c r="F73">
        <v>2568.0729770236171</v>
      </c>
      <c r="G73">
        <v>214.00608141863469</v>
      </c>
      <c r="H73">
        <f>ROUND(100*SQRT(G73/G$2),1)</f>
        <v>54.7</v>
      </c>
      <c r="I73" t="s">
        <v>10</v>
      </c>
      <c r="J73" t="s">
        <v>26</v>
      </c>
    </row>
    <row r="74" spans="1:10" x14ac:dyDescent="0.25">
      <c r="A74" t="s">
        <v>215</v>
      </c>
      <c r="B74" t="s">
        <v>216</v>
      </c>
      <c r="C74">
        <v>15</v>
      </c>
      <c r="D74">
        <v>4263</v>
      </c>
      <c r="E74">
        <v>5</v>
      </c>
      <c r="F74">
        <v>3192.0204075725269</v>
      </c>
      <c r="G74">
        <v>212.80136050483509</v>
      </c>
      <c r="H74">
        <f>ROUND(100*SQRT(G74/G$2),1)</f>
        <v>54.6</v>
      </c>
      <c r="I74" t="s">
        <v>10</v>
      </c>
      <c r="J74" t="s">
        <v>217</v>
      </c>
    </row>
    <row r="75" spans="1:10" x14ac:dyDescent="0.25">
      <c r="A75" t="s">
        <v>179</v>
      </c>
      <c r="B75" t="s">
        <v>180</v>
      </c>
      <c r="C75">
        <v>6</v>
      </c>
      <c r="D75">
        <v>574</v>
      </c>
      <c r="E75">
        <v>1</v>
      </c>
      <c r="F75">
        <v>1278.231202853993</v>
      </c>
      <c r="G75">
        <v>213.03853380899889</v>
      </c>
      <c r="H75">
        <f>ROUND(100*SQRT(G75/G$2),1)</f>
        <v>54.6</v>
      </c>
      <c r="I75" t="s">
        <v>10</v>
      </c>
      <c r="J75" t="s">
        <v>40</v>
      </c>
    </row>
    <row r="76" spans="1:10" x14ac:dyDescent="0.25">
      <c r="A76" t="s">
        <v>193</v>
      </c>
      <c r="B76" t="s">
        <v>194</v>
      </c>
      <c r="C76">
        <v>18</v>
      </c>
      <c r="D76">
        <v>2462</v>
      </c>
      <c r="E76">
        <v>5</v>
      </c>
      <c r="F76">
        <v>3816.2021899647661</v>
      </c>
      <c r="G76">
        <v>212.0112327758203</v>
      </c>
      <c r="H76">
        <f>ROUND(100*SQRT(G76/G$2),1)</f>
        <v>54.5</v>
      </c>
      <c r="I76" t="s">
        <v>10</v>
      </c>
      <c r="J76" t="s">
        <v>178</v>
      </c>
    </row>
    <row r="77" spans="1:10" x14ac:dyDescent="0.25">
      <c r="A77" t="s">
        <v>706</v>
      </c>
      <c r="B77" t="s">
        <v>452</v>
      </c>
      <c r="C77">
        <v>11</v>
      </c>
      <c r="D77">
        <v>146</v>
      </c>
      <c r="E77">
        <v>0</v>
      </c>
      <c r="F77">
        <v>2322.7340632529322</v>
      </c>
      <c r="G77">
        <v>211.15764211390291</v>
      </c>
      <c r="H77">
        <f>ROUND(100*SQRT(G77/G$2),1)</f>
        <v>54.4</v>
      </c>
      <c r="I77" t="s">
        <v>10</v>
      </c>
      <c r="J77" t="s">
        <v>696</v>
      </c>
    </row>
    <row r="78" spans="1:10" x14ac:dyDescent="0.25">
      <c r="A78" t="s">
        <v>185</v>
      </c>
      <c r="B78" t="s">
        <v>186</v>
      </c>
      <c r="C78">
        <v>10</v>
      </c>
      <c r="D78">
        <v>557</v>
      </c>
      <c r="E78">
        <v>1</v>
      </c>
      <c r="F78">
        <v>2071.005937084562</v>
      </c>
      <c r="G78">
        <v>207.10059370845619</v>
      </c>
      <c r="H78">
        <f>ROUND(100*SQRT(G78/G$2),1)</f>
        <v>53.8</v>
      </c>
      <c r="I78" t="s">
        <v>10</v>
      </c>
      <c r="J78" t="s">
        <v>40</v>
      </c>
    </row>
    <row r="79" spans="1:10" x14ac:dyDescent="0.25">
      <c r="A79" t="s">
        <v>158</v>
      </c>
      <c r="B79" t="s">
        <v>159</v>
      </c>
      <c r="C79">
        <v>8</v>
      </c>
      <c r="D79">
        <v>463</v>
      </c>
      <c r="E79">
        <v>0</v>
      </c>
      <c r="F79">
        <v>1628.5096761746111</v>
      </c>
      <c r="G79">
        <v>203.56370952182641</v>
      </c>
      <c r="H79">
        <f>ROUND(100*SQRT(G79/G$2),1)</f>
        <v>53.4</v>
      </c>
      <c r="I79" t="s">
        <v>10</v>
      </c>
      <c r="J79" t="s">
        <v>40</v>
      </c>
    </row>
    <row r="80" spans="1:10" x14ac:dyDescent="0.25">
      <c r="A80" t="s">
        <v>170</v>
      </c>
      <c r="B80" t="s">
        <v>171</v>
      </c>
      <c r="C80">
        <v>16</v>
      </c>
      <c r="D80">
        <v>2736</v>
      </c>
      <c r="E80">
        <v>8</v>
      </c>
      <c r="F80">
        <v>3217.7435316449391</v>
      </c>
      <c r="G80">
        <v>201.1089707278087</v>
      </c>
      <c r="H80">
        <f>ROUND(100*SQRT(G80/G$2),1)</f>
        <v>53.1</v>
      </c>
      <c r="I80" t="s">
        <v>62</v>
      </c>
      <c r="J80" t="s">
        <v>4</v>
      </c>
    </row>
    <row r="81" spans="1:10" x14ac:dyDescent="0.25">
      <c r="A81" t="s">
        <v>187</v>
      </c>
      <c r="B81" t="s">
        <v>188</v>
      </c>
      <c r="C81">
        <v>11</v>
      </c>
      <c r="D81">
        <v>412</v>
      </c>
      <c r="E81">
        <v>0</v>
      </c>
      <c r="F81">
        <v>2208.3739465708222</v>
      </c>
      <c r="G81">
        <v>200.76126787007479</v>
      </c>
      <c r="H81">
        <f>ROUND(100*SQRT(G81/G$2),1)</f>
        <v>53</v>
      </c>
      <c r="I81" t="s">
        <v>10</v>
      </c>
      <c r="J81" t="s">
        <v>34</v>
      </c>
    </row>
    <row r="82" spans="1:10" x14ac:dyDescent="0.25">
      <c r="A82" t="s">
        <v>233</v>
      </c>
      <c r="B82" t="s">
        <v>234</v>
      </c>
      <c r="C82">
        <v>13</v>
      </c>
      <c r="D82">
        <v>3341</v>
      </c>
      <c r="E82">
        <v>6</v>
      </c>
      <c r="F82">
        <v>2540.8398773671379</v>
      </c>
      <c r="G82">
        <v>195.44922133593369</v>
      </c>
      <c r="H82">
        <f>ROUND(100*SQRT(G82/G$2),1)</f>
        <v>52.3</v>
      </c>
      <c r="I82" t="s">
        <v>10</v>
      </c>
      <c r="J82" t="s">
        <v>696</v>
      </c>
    </row>
    <row r="83" spans="1:10" x14ac:dyDescent="0.25">
      <c r="A83" t="s">
        <v>207</v>
      </c>
      <c r="B83" t="s">
        <v>208</v>
      </c>
      <c r="C83">
        <v>46</v>
      </c>
      <c r="D83">
        <v>2852</v>
      </c>
      <c r="E83">
        <v>6</v>
      </c>
      <c r="F83">
        <v>8700.7600516286184</v>
      </c>
      <c r="G83">
        <v>189.14695764410041</v>
      </c>
      <c r="H83">
        <f>ROUND(100*SQRT(G83/G$2),1)</f>
        <v>51.5</v>
      </c>
      <c r="I83" t="s">
        <v>10</v>
      </c>
      <c r="J83" t="s">
        <v>209</v>
      </c>
    </row>
    <row r="84" spans="1:10" x14ac:dyDescent="0.25">
      <c r="A84" t="s">
        <v>210</v>
      </c>
      <c r="B84" t="s">
        <v>211</v>
      </c>
      <c r="C84">
        <v>23</v>
      </c>
      <c r="D84">
        <v>1592</v>
      </c>
      <c r="E84">
        <v>3</v>
      </c>
      <c r="F84">
        <v>4338.1833537240573</v>
      </c>
      <c r="G84">
        <v>188.61666755321991</v>
      </c>
      <c r="H84">
        <f>ROUND(100*SQRT(G84/G$2),1)</f>
        <v>51.4</v>
      </c>
      <c r="I84" t="s">
        <v>10</v>
      </c>
      <c r="J84" t="s">
        <v>212</v>
      </c>
    </row>
    <row r="85" spans="1:10" x14ac:dyDescent="0.25">
      <c r="A85" t="s">
        <v>249</v>
      </c>
      <c r="B85" t="s">
        <v>250</v>
      </c>
      <c r="C85">
        <v>12</v>
      </c>
      <c r="D85">
        <v>1888</v>
      </c>
      <c r="E85">
        <v>5</v>
      </c>
      <c r="F85">
        <v>2202.760315425614</v>
      </c>
      <c r="G85">
        <v>183.5633596188012</v>
      </c>
      <c r="H85">
        <f>ROUND(100*SQRT(G85/G$2),1)</f>
        <v>50.7</v>
      </c>
      <c r="I85" t="s">
        <v>62</v>
      </c>
      <c r="J85" t="s">
        <v>4</v>
      </c>
    </row>
    <row r="86" spans="1:10" x14ac:dyDescent="0.25">
      <c r="A86" t="s">
        <v>220</v>
      </c>
      <c r="B86" t="s">
        <v>221</v>
      </c>
      <c r="C86">
        <v>28</v>
      </c>
      <c r="D86">
        <v>1949</v>
      </c>
      <c r="E86">
        <v>2</v>
      </c>
      <c r="F86">
        <v>5140.9489614036984</v>
      </c>
      <c r="G86">
        <v>183.60532005013209</v>
      </c>
      <c r="H86">
        <f>ROUND(100*SQRT(G86/G$2),1)</f>
        <v>50.7</v>
      </c>
      <c r="I86" t="s">
        <v>10</v>
      </c>
      <c r="J86" t="s">
        <v>17</v>
      </c>
    </row>
    <row r="87" spans="1:10" x14ac:dyDescent="0.25">
      <c r="A87" t="s">
        <v>195</v>
      </c>
      <c r="B87" t="s">
        <v>196</v>
      </c>
      <c r="C87">
        <v>9</v>
      </c>
      <c r="D87">
        <v>518</v>
      </c>
      <c r="E87">
        <v>0</v>
      </c>
      <c r="F87">
        <v>1644.284179774992</v>
      </c>
      <c r="G87">
        <v>182.69824219722139</v>
      </c>
      <c r="H87">
        <f>ROUND(100*SQRT(G87/G$2),1)</f>
        <v>50.6</v>
      </c>
      <c r="I87" t="s">
        <v>10</v>
      </c>
      <c r="J87" t="s">
        <v>40</v>
      </c>
    </row>
    <row r="88" spans="1:10" x14ac:dyDescent="0.25">
      <c r="A88" t="s">
        <v>230</v>
      </c>
      <c r="B88" t="s">
        <v>231</v>
      </c>
      <c r="C88">
        <v>31</v>
      </c>
      <c r="D88">
        <v>3830</v>
      </c>
      <c r="E88">
        <v>6</v>
      </c>
      <c r="F88">
        <v>5653.8310983006386</v>
      </c>
      <c r="G88">
        <v>182.3816483322787</v>
      </c>
      <c r="H88">
        <f>ROUND(100*SQRT(G88/G$2),1)</f>
        <v>50.5</v>
      </c>
      <c r="I88" t="s">
        <v>10</v>
      </c>
      <c r="J88" t="s">
        <v>232</v>
      </c>
    </row>
    <row r="89" spans="1:10" x14ac:dyDescent="0.25">
      <c r="A89" t="s">
        <v>189</v>
      </c>
      <c r="B89" t="s">
        <v>190</v>
      </c>
      <c r="C89">
        <v>5</v>
      </c>
      <c r="D89">
        <v>489</v>
      </c>
      <c r="E89">
        <v>1</v>
      </c>
      <c r="F89">
        <v>905.45766976901541</v>
      </c>
      <c r="G89">
        <v>181.09153395380309</v>
      </c>
      <c r="H89">
        <f>ROUND(100*SQRT(G89/G$2),1)</f>
        <v>50.3</v>
      </c>
      <c r="I89" t="s">
        <v>10</v>
      </c>
      <c r="J89" t="s">
        <v>40</v>
      </c>
    </row>
    <row r="90" spans="1:10" x14ac:dyDescent="0.25">
      <c r="A90" t="s">
        <v>235</v>
      </c>
      <c r="B90" t="s">
        <v>236</v>
      </c>
      <c r="C90">
        <v>6</v>
      </c>
      <c r="D90">
        <v>147</v>
      </c>
      <c r="E90">
        <v>0</v>
      </c>
      <c r="F90">
        <v>1075.637353182738</v>
      </c>
      <c r="G90">
        <v>179.27289219712301</v>
      </c>
      <c r="H90">
        <f>ROUND(100*SQRT(G90/G$2),1)</f>
        <v>50.1</v>
      </c>
      <c r="I90" t="s">
        <v>10</v>
      </c>
      <c r="J90" t="s">
        <v>40</v>
      </c>
    </row>
    <row r="91" spans="1:10" x14ac:dyDescent="0.25">
      <c r="A91" t="s">
        <v>224</v>
      </c>
      <c r="B91" t="s">
        <v>225</v>
      </c>
      <c r="C91">
        <v>11</v>
      </c>
      <c r="D91">
        <v>704</v>
      </c>
      <c r="E91">
        <v>1</v>
      </c>
      <c r="F91">
        <v>1923.218631087306</v>
      </c>
      <c r="G91">
        <v>174.83805737157331</v>
      </c>
      <c r="H91">
        <f>ROUND(100*SQRT(G91/G$2),1)</f>
        <v>49.5</v>
      </c>
      <c r="I91" t="s">
        <v>10</v>
      </c>
      <c r="J91" t="s">
        <v>23</v>
      </c>
    </row>
    <row r="92" spans="1:10" x14ac:dyDescent="0.25">
      <c r="A92" t="s">
        <v>129</v>
      </c>
      <c r="B92" t="s">
        <v>130</v>
      </c>
      <c r="C92">
        <v>11</v>
      </c>
      <c r="D92">
        <v>1663</v>
      </c>
      <c r="E92">
        <v>3</v>
      </c>
      <c r="F92">
        <v>1926.654184023663</v>
      </c>
      <c r="G92">
        <v>175.1503803657875</v>
      </c>
      <c r="H92">
        <f>ROUND(100*SQRT(G92/G$2),1)</f>
        <v>49.5</v>
      </c>
      <c r="I92" t="s">
        <v>10</v>
      </c>
      <c r="J92" t="s">
        <v>131</v>
      </c>
    </row>
    <row r="93" spans="1:10" x14ac:dyDescent="0.25">
      <c r="A93" t="s">
        <v>218</v>
      </c>
      <c r="B93" t="s">
        <v>219</v>
      </c>
      <c r="C93">
        <v>9</v>
      </c>
      <c r="D93">
        <v>656</v>
      </c>
      <c r="E93">
        <v>1</v>
      </c>
      <c r="F93">
        <v>1568.961967017219</v>
      </c>
      <c r="G93">
        <v>174.3291074463576</v>
      </c>
      <c r="H93">
        <f>ROUND(100*SQRT(G93/G$2),1)</f>
        <v>49.4</v>
      </c>
      <c r="I93" t="s">
        <v>10</v>
      </c>
      <c r="J93" t="s">
        <v>40</v>
      </c>
    </row>
    <row r="94" spans="1:10" x14ac:dyDescent="0.25">
      <c r="A94" t="s">
        <v>239</v>
      </c>
      <c r="B94" t="s">
        <v>240</v>
      </c>
      <c r="C94">
        <v>11</v>
      </c>
      <c r="D94">
        <v>601</v>
      </c>
      <c r="E94">
        <v>1</v>
      </c>
      <c r="F94">
        <v>1908.9436752491581</v>
      </c>
      <c r="G94">
        <v>173.54033411355979</v>
      </c>
      <c r="H94">
        <f>ROUND(100*SQRT(G94/G$2),1)</f>
        <v>49.3</v>
      </c>
      <c r="I94" t="s">
        <v>10</v>
      </c>
      <c r="J94" t="s">
        <v>40</v>
      </c>
    </row>
    <row r="95" spans="1:10" x14ac:dyDescent="0.25">
      <c r="A95" t="s">
        <v>127</v>
      </c>
      <c r="B95" t="s">
        <v>128</v>
      </c>
      <c r="C95">
        <v>12</v>
      </c>
      <c r="D95">
        <v>2180</v>
      </c>
      <c r="E95">
        <v>3</v>
      </c>
      <c r="F95">
        <v>2074.281942015265</v>
      </c>
      <c r="G95">
        <v>172.8568285012721</v>
      </c>
      <c r="H95">
        <f>ROUND(100*SQRT(G95/G$2),1)</f>
        <v>49.2</v>
      </c>
      <c r="I95" t="s">
        <v>62</v>
      </c>
      <c r="J95" t="s">
        <v>4</v>
      </c>
    </row>
    <row r="96" spans="1:10" x14ac:dyDescent="0.25">
      <c r="A96" t="s">
        <v>213</v>
      </c>
      <c r="B96" t="s">
        <v>214</v>
      </c>
      <c r="C96">
        <v>16</v>
      </c>
      <c r="D96">
        <v>674</v>
      </c>
      <c r="E96">
        <v>0</v>
      </c>
      <c r="F96">
        <v>2767.5539947903671</v>
      </c>
      <c r="G96">
        <v>172.97212467439789</v>
      </c>
      <c r="H96">
        <f>ROUND(100*SQRT(G96/G$2),1)</f>
        <v>49.2</v>
      </c>
      <c r="I96" t="s">
        <v>10</v>
      </c>
      <c r="J96" t="s">
        <v>34</v>
      </c>
    </row>
    <row r="97" spans="1:10" x14ac:dyDescent="0.25">
      <c r="A97" t="s">
        <v>226</v>
      </c>
      <c r="B97" t="s">
        <v>227</v>
      </c>
      <c r="C97">
        <v>12</v>
      </c>
      <c r="D97">
        <v>773</v>
      </c>
      <c r="E97">
        <v>0</v>
      </c>
      <c r="F97">
        <v>2057.6668326756248</v>
      </c>
      <c r="G97">
        <v>171.47223605630211</v>
      </c>
      <c r="H97">
        <f>ROUND(100*SQRT(G97/G$2),1)</f>
        <v>49</v>
      </c>
      <c r="I97" t="s">
        <v>10</v>
      </c>
      <c r="J97" t="s">
        <v>20</v>
      </c>
    </row>
    <row r="98" spans="1:10" x14ac:dyDescent="0.25">
      <c r="A98" t="s">
        <v>136</v>
      </c>
      <c r="B98" t="s">
        <v>137</v>
      </c>
      <c r="C98">
        <v>15</v>
      </c>
      <c r="D98">
        <v>2664</v>
      </c>
      <c r="E98">
        <v>5</v>
      </c>
      <c r="F98">
        <v>2558.8744676970991</v>
      </c>
      <c r="G98">
        <v>170.5916311798066</v>
      </c>
      <c r="H98">
        <f>ROUND(100*SQRT(G98/G$2),1)</f>
        <v>48.9</v>
      </c>
      <c r="I98" t="s">
        <v>62</v>
      </c>
      <c r="J98" t="s">
        <v>4</v>
      </c>
    </row>
    <row r="99" spans="1:10" x14ac:dyDescent="0.25">
      <c r="A99" t="s">
        <v>140</v>
      </c>
      <c r="B99" t="s">
        <v>141</v>
      </c>
      <c r="C99">
        <v>7</v>
      </c>
      <c r="D99">
        <v>923</v>
      </c>
      <c r="E99">
        <v>3</v>
      </c>
      <c r="F99">
        <v>1192.871822510514</v>
      </c>
      <c r="G99">
        <v>170.4102603586449</v>
      </c>
      <c r="H99">
        <f>ROUND(100*SQRT(G99/G$2),1)</f>
        <v>48.8</v>
      </c>
      <c r="I99" t="s">
        <v>62</v>
      </c>
      <c r="J99" t="s">
        <v>4</v>
      </c>
    </row>
    <row r="100" spans="1:10" x14ac:dyDescent="0.25">
      <c r="A100" t="s">
        <v>162</v>
      </c>
      <c r="B100" t="s">
        <v>163</v>
      </c>
      <c r="C100">
        <v>7</v>
      </c>
      <c r="D100">
        <v>113</v>
      </c>
      <c r="E100">
        <v>0</v>
      </c>
      <c r="F100">
        <v>1192.6421129781229</v>
      </c>
      <c r="G100">
        <v>170.37744471116039</v>
      </c>
      <c r="H100">
        <f>ROUND(100*SQRT(G100/G$2),1)</f>
        <v>48.8</v>
      </c>
      <c r="I100" t="s">
        <v>10</v>
      </c>
      <c r="J100" t="s">
        <v>34</v>
      </c>
    </row>
    <row r="101" spans="1:10" x14ac:dyDescent="0.25">
      <c r="A101" t="s">
        <v>247</v>
      </c>
      <c r="B101" t="s">
        <v>248</v>
      </c>
      <c r="C101">
        <v>8</v>
      </c>
      <c r="D101">
        <v>386</v>
      </c>
      <c r="E101">
        <v>1</v>
      </c>
      <c r="F101">
        <v>1355.5246681724529</v>
      </c>
      <c r="G101">
        <v>169.4405835215567</v>
      </c>
      <c r="H101">
        <f>ROUND(100*SQRT(G101/G$2),1)</f>
        <v>48.7</v>
      </c>
      <c r="I101" t="s">
        <v>10</v>
      </c>
      <c r="J101" t="s">
        <v>34</v>
      </c>
    </row>
    <row r="102" spans="1:10" x14ac:dyDescent="0.25">
      <c r="A102" t="s">
        <v>197</v>
      </c>
      <c r="B102" t="s">
        <v>198</v>
      </c>
      <c r="C102">
        <v>10</v>
      </c>
      <c r="D102">
        <v>338</v>
      </c>
      <c r="E102">
        <v>0</v>
      </c>
      <c r="F102">
        <v>1695.0029207179221</v>
      </c>
      <c r="G102">
        <v>169.50029207179219</v>
      </c>
      <c r="H102">
        <f>ROUND(100*SQRT(G102/G$2),1)</f>
        <v>48.7</v>
      </c>
      <c r="I102" t="s">
        <v>10</v>
      </c>
      <c r="J102" t="s">
        <v>40</v>
      </c>
    </row>
    <row r="103" spans="1:10" x14ac:dyDescent="0.25">
      <c r="A103" t="s">
        <v>241</v>
      </c>
      <c r="B103" t="s">
        <v>242</v>
      </c>
      <c r="C103">
        <v>18</v>
      </c>
      <c r="D103">
        <v>1786</v>
      </c>
      <c r="E103">
        <v>4</v>
      </c>
      <c r="F103">
        <v>3029.8626316559689</v>
      </c>
      <c r="G103">
        <v>168.32570175866499</v>
      </c>
      <c r="H103">
        <f>ROUND(100*SQRT(G103/G$2),1)</f>
        <v>48.5</v>
      </c>
      <c r="I103" t="s">
        <v>10</v>
      </c>
      <c r="J103" t="s">
        <v>11</v>
      </c>
    </row>
    <row r="104" spans="1:10" x14ac:dyDescent="0.25">
      <c r="A104" t="s">
        <v>237</v>
      </c>
      <c r="B104" t="s">
        <v>238</v>
      </c>
      <c r="C104">
        <v>5</v>
      </c>
      <c r="D104">
        <v>1006</v>
      </c>
      <c r="E104">
        <v>2</v>
      </c>
      <c r="F104">
        <v>840.56037780423003</v>
      </c>
      <c r="G104">
        <v>168.11207556084599</v>
      </c>
      <c r="H104">
        <f>ROUND(100*SQRT(G104/G$2),1)</f>
        <v>48.5</v>
      </c>
      <c r="I104" t="s">
        <v>10</v>
      </c>
      <c r="J104" t="s">
        <v>178</v>
      </c>
    </row>
    <row r="105" spans="1:10" x14ac:dyDescent="0.25">
      <c r="A105" t="s">
        <v>243</v>
      </c>
      <c r="B105" t="s">
        <v>244</v>
      </c>
      <c r="C105">
        <v>19</v>
      </c>
      <c r="D105">
        <v>913</v>
      </c>
      <c r="E105">
        <v>0</v>
      </c>
      <c r="F105">
        <v>3167.3226237110271</v>
      </c>
      <c r="G105">
        <v>166.701190721633</v>
      </c>
      <c r="H105">
        <f>ROUND(100*SQRT(G105/G$2),1)</f>
        <v>48.3</v>
      </c>
      <c r="I105" t="s">
        <v>10</v>
      </c>
      <c r="J105" t="s">
        <v>20</v>
      </c>
    </row>
    <row r="106" spans="1:10" x14ac:dyDescent="0.25">
      <c r="A106" t="s">
        <v>228</v>
      </c>
      <c r="B106" t="s">
        <v>229</v>
      </c>
      <c r="C106">
        <v>19</v>
      </c>
      <c r="D106">
        <v>1184</v>
      </c>
      <c r="E106">
        <v>2</v>
      </c>
      <c r="F106">
        <v>3132.270416261103</v>
      </c>
      <c r="G106">
        <v>164.8563376979528</v>
      </c>
      <c r="H106">
        <f>ROUND(100*SQRT(G106/G$2),1)</f>
        <v>48</v>
      </c>
      <c r="I106" t="s">
        <v>10</v>
      </c>
      <c r="J106" t="s">
        <v>178</v>
      </c>
    </row>
    <row r="107" spans="1:10" x14ac:dyDescent="0.25">
      <c r="A107" t="s">
        <v>222</v>
      </c>
      <c r="B107" t="s">
        <v>223</v>
      </c>
      <c r="C107">
        <v>5</v>
      </c>
      <c r="D107">
        <v>334</v>
      </c>
      <c r="E107">
        <v>1</v>
      </c>
      <c r="F107">
        <v>789.09867964722275</v>
      </c>
      <c r="G107">
        <v>157.81973592944459</v>
      </c>
      <c r="H107">
        <f>ROUND(100*SQRT(G107/G$2),1)</f>
        <v>47</v>
      </c>
      <c r="I107" t="s">
        <v>10</v>
      </c>
      <c r="J107" t="s">
        <v>20</v>
      </c>
    </row>
    <row r="108" spans="1:10" x14ac:dyDescent="0.25">
      <c r="A108" t="s">
        <v>245</v>
      </c>
      <c r="B108" t="s">
        <v>246</v>
      </c>
      <c r="C108">
        <v>12</v>
      </c>
      <c r="D108">
        <v>762</v>
      </c>
      <c r="E108">
        <v>0</v>
      </c>
      <c r="F108">
        <v>1850.480283095126</v>
      </c>
      <c r="G108">
        <v>154.20669025792719</v>
      </c>
      <c r="H108">
        <f>ROUND(100*SQRT(G108/G$2),1)</f>
        <v>46.5</v>
      </c>
      <c r="I108" t="s">
        <v>10</v>
      </c>
      <c r="J108" t="s">
        <v>40</v>
      </c>
    </row>
    <row r="109" spans="1:10" x14ac:dyDescent="0.25">
      <c r="A109" t="s">
        <v>262</v>
      </c>
      <c r="B109" t="s">
        <v>263</v>
      </c>
      <c r="C109">
        <v>11</v>
      </c>
      <c r="D109">
        <v>350</v>
      </c>
      <c r="E109">
        <v>1</v>
      </c>
      <c r="F109">
        <v>1608.158671320017</v>
      </c>
      <c r="G109">
        <v>146.19624284727419</v>
      </c>
      <c r="H109">
        <f>ROUND(100*SQRT(G109/G$2),1)</f>
        <v>45.2</v>
      </c>
      <c r="I109" t="s">
        <v>10</v>
      </c>
      <c r="J109" t="s">
        <v>40</v>
      </c>
    </row>
    <row r="110" spans="1:10" x14ac:dyDescent="0.25">
      <c r="A110" t="s">
        <v>266</v>
      </c>
      <c r="B110" t="s">
        <v>267</v>
      </c>
      <c r="C110">
        <v>13</v>
      </c>
      <c r="D110">
        <v>672</v>
      </c>
      <c r="E110">
        <v>0</v>
      </c>
      <c r="F110">
        <v>1879.112861513016</v>
      </c>
      <c r="G110">
        <v>144.5471431933089</v>
      </c>
      <c r="H110">
        <f>ROUND(100*SQRT(G110/G$2),1)</f>
        <v>45</v>
      </c>
      <c r="I110" t="s">
        <v>10</v>
      </c>
      <c r="J110" t="s">
        <v>40</v>
      </c>
    </row>
    <row r="111" spans="1:10" x14ac:dyDescent="0.25">
      <c r="A111" t="s">
        <v>264</v>
      </c>
      <c r="B111" t="s">
        <v>265</v>
      </c>
      <c r="C111">
        <v>15</v>
      </c>
      <c r="D111">
        <v>294</v>
      </c>
      <c r="E111">
        <v>0</v>
      </c>
      <c r="F111">
        <v>2165.398755895239</v>
      </c>
      <c r="G111">
        <v>144.3599170596826</v>
      </c>
      <c r="H111">
        <f>ROUND(100*SQRT(G111/G$2),1)</f>
        <v>44.9</v>
      </c>
      <c r="I111" t="s">
        <v>10</v>
      </c>
      <c r="J111" t="s">
        <v>11</v>
      </c>
    </row>
    <row r="112" spans="1:10" x14ac:dyDescent="0.25">
      <c r="A112" t="s">
        <v>203</v>
      </c>
      <c r="B112" t="s">
        <v>204</v>
      </c>
      <c r="C112">
        <v>13</v>
      </c>
      <c r="D112">
        <v>3261</v>
      </c>
      <c r="E112">
        <v>4</v>
      </c>
      <c r="F112">
        <v>1850.9423888944971</v>
      </c>
      <c r="G112">
        <v>142.38018376111509</v>
      </c>
      <c r="H112">
        <f>ROUND(100*SQRT(G112/G$2),1)</f>
        <v>44.6</v>
      </c>
      <c r="I112" t="s">
        <v>62</v>
      </c>
      <c r="J112" t="s">
        <v>4</v>
      </c>
    </row>
    <row r="113" spans="1:10" x14ac:dyDescent="0.25">
      <c r="A113" t="s">
        <v>270</v>
      </c>
      <c r="B113" t="s">
        <v>271</v>
      </c>
      <c r="C113">
        <v>20</v>
      </c>
      <c r="D113">
        <v>708</v>
      </c>
      <c r="E113">
        <v>0</v>
      </c>
      <c r="F113">
        <v>2752.663719164128</v>
      </c>
      <c r="G113">
        <v>137.63318595820641</v>
      </c>
      <c r="H113">
        <f>ROUND(100*SQRT(G113/G$2),1)</f>
        <v>43.9</v>
      </c>
      <c r="I113" t="s">
        <v>10</v>
      </c>
      <c r="J113" t="s">
        <v>20</v>
      </c>
    </row>
    <row r="114" spans="1:10" x14ac:dyDescent="0.25">
      <c r="A114" t="s">
        <v>268</v>
      </c>
      <c r="B114" t="s">
        <v>269</v>
      </c>
      <c r="C114">
        <v>28</v>
      </c>
      <c r="D114">
        <v>1902</v>
      </c>
      <c r="E114">
        <v>2</v>
      </c>
      <c r="F114">
        <v>3783.3233688652622</v>
      </c>
      <c r="G114">
        <v>135.1186917451879</v>
      </c>
      <c r="H114">
        <f>ROUND(100*SQRT(G114/G$2),1)</f>
        <v>43.5</v>
      </c>
      <c r="I114" t="s">
        <v>10</v>
      </c>
      <c r="J114" t="s">
        <v>209</v>
      </c>
    </row>
    <row r="115" spans="1:10" x14ac:dyDescent="0.25">
      <c r="A115" t="s">
        <v>272</v>
      </c>
      <c r="B115" t="s">
        <v>273</v>
      </c>
      <c r="C115">
        <v>22</v>
      </c>
      <c r="D115">
        <v>1645</v>
      </c>
      <c r="E115">
        <v>1</v>
      </c>
      <c r="F115">
        <v>2932.609754467011</v>
      </c>
      <c r="G115">
        <v>133.30044338486411</v>
      </c>
      <c r="H115">
        <f>ROUND(100*SQRT(G115/G$2),1)</f>
        <v>43.2</v>
      </c>
      <c r="I115" t="s">
        <v>10</v>
      </c>
      <c r="J115" t="s">
        <v>20</v>
      </c>
    </row>
    <row r="116" spans="1:10" x14ac:dyDescent="0.25">
      <c r="A116" t="s">
        <v>201</v>
      </c>
      <c r="B116" t="s">
        <v>202</v>
      </c>
      <c r="C116">
        <v>33</v>
      </c>
      <c r="D116">
        <v>4648</v>
      </c>
      <c r="E116">
        <v>5</v>
      </c>
      <c r="F116">
        <v>4331.5444506755994</v>
      </c>
      <c r="G116">
        <v>131.2589227477454</v>
      </c>
      <c r="H116">
        <f>ROUND(100*SQRT(G116/G$2),1)</f>
        <v>42.9</v>
      </c>
      <c r="I116" t="s">
        <v>62</v>
      </c>
      <c r="J116" t="s">
        <v>4</v>
      </c>
    </row>
    <row r="117" spans="1:10" x14ac:dyDescent="0.25">
      <c r="A117" t="s">
        <v>199</v>
      </c>
      <c r="B117" t="s">
        <v>200</v>
      </c>
      <c r="C117">
        <v>16</v>
      </c>
      <c r="D117">
        <v>3222</v>
      </c>
      <c r="E117">
        <v>4</v>
      </c>
      <c r="F117">
        <v>2066.3006588109001</v>
      </c>
      <c r="G117">
        <v>129.14379117568129</v>
      </c>
      <c r="H117">
        <f>ROUND(100*SQRT(G117/G$2),1)</f>
        <v>42.5</v>
      </c>
      <c r="I117" t="s">
        <v>62</v>
      </c>
      <c r="J117" t="s">
        <v>4</v>
      </c>
    </row>
    <row r="118" spans="1:10" x14ac:dyDescent="0.25">
      <c r="A118" t="s">
        <v>276</v>
      </c>
      <c r="B118" t="s">
        <v>277</v>
      </c>
      <c r="C118">
        <v>21</v>
      </c>
      <c r="D118">
        <v>852</v>
      </c>
      <c r="E118">
        <v>1</v>
      </c>
      <c r="F118">
        <v>2706.6847442403091</v>
      </c>
      <c r="G118">
        <v>128.88974972572899</v>
      </c>
      <c r="H118">
        <f>ROUND(100*SQRT(G118/G$2),1)</f>
        <v>42.5</v>
      </c>
      <c r="I118" t="s">
        <v>10</v>
      </c>
      <c r="J118" t="s">
        <v>20</v>
      </c>
    </row>
    <row r="119" spans="1:10" x14ac:dyDescent="0.25">
      <c r="A119" t="s">
        <v>205</v>
      </c>
      <c r="B119" t="s">
        <v>206</v>
      </c>
      <c r="C119">
        <v>15</v>
      </c>
      <c r="D119">
        <v>1980</v>
      </c>
      <c r="E119">
        <v>3</v>
      </c>
      <c r="F119">
        <v>1895.672833852886</v>
      </c>
      <c r="G119">
        <v>126.3781889235257</v>
      </c>
      <c r="H119">
        <f>ROUND(100*SQRT(G119/G$2),1)</f>
        <v>42.1</v>
      </c>
      <c r="I119" t="s">
        <v>62</v>
      </c>
      <c r="J119" t="s">
        <v>4</v>
      </c>
    </row>
    <row r="120" spans="1:10" x14ac:dyDescent="0.25">
      <c r="A120" t="s">
        <v>304</v>
      </c>
      <c r="B120" t="s">
        <v>305</v>
      </c>
      <c r="C120">
        <v>21</v>
      </c>
      <c r="D120">
        <v>1934</v>
      </c>
      <c r="E120">
        <v>3</v>
      </c>
      <c r="F120">
        <v>2663.2990338297341</v>
      </c>
      <c r="G120">
        <v>126.8237635157016</v>
      </c>
      <c r="H120">
        <f>ROUND(100*SQRT(G120/G$2),1)</f>
        <v>42.1</v>
      </c>
      <c r="I120" t="s">
        <v>10</v>
      </c>
      <c r="J120" t="s">
        <v>34</v>
      </c>
    </row>
    <row r="121" spans="1:10" x14ac:dyDescent="0.25">
      <c r="A121" t="s">
        <v>282</v>
      </c>
      <c r="B121" t="s">
        <v>283</v>
      </c>
      <c r="C121">
        <v>26</v>
      </c>
      <c r="D121">
        <v>818</v>
      </c>
      <c r="E121">
        <v>0</v>
      </c>
      <c r="F121">
        <v>3279.021946347345</v>
      </c>
      <c r="G121">
        <v>126.1162287056671</v>
      </c>
      <c r="H121">
        <f>ROUND(100*SQRT(G121/G$2),1)</f>
        <v>42</v>
      </c>
      <c r="I121" t="s">
        <v>10</v>
      </c>
      <c r="J121" t="s">
        <v>23</v>
      </c>
    </row>
    <row r="122" spans="1:10" x14ac:dyDescent="0.25">
      <c r="A122" t="s">
        <v>286</v>
      </c>
      <c r="B122" t="s">
        <v>287</v>
      </c>
      <c r="C122">
        <v>10</v>
      </c>
      <c r="D122">
        <v>886</v>
      </c>
      <c r="E122">
        <v>1</v>
      </c>
      <c r="F122">
        <v>1240.224233367579</v>
      </c>
      <c r="G122">
        <v>124.022423336758</v>
      </c>
      <c r="H122">
        <f>ROUND(100*SQRT(G122/G$2),1)</f>
        <v>41.7</v>
      </c>
      <c r="I122" t="s">
        <v>10</v>
      </c>
      <c r="J122" t="s">
        <v>26</v>
      </c>
    </row>
    <row r="123" spans="1:10" x14ac:dyDescent="0.25">
      <c r="A123" t="s">
        <v>255</v>
      </c>
      <c r="B123" t="s">
        <v>256</v>
      </c>
      <c r="C123">
        <v>15</v>
      </c>
      <c r="D123">
        <v>850</v>
      </c>
      <c r="E123">
        <v>1</v>
      </c>
      <c r="F123">
        <v>1854.872469323177</v>
      </c>
      <c r="G123">
        <v>123.6581646215451</v>
      </c>
      <c r="H123">
        <f>ROUND(100*SQRT(G123/G$2),1)</f>
        <v>41.6</v>
      </c>
      <c r="I123" t="s">
        <v>10</v>
      </c>
      <c r="J123" t="s">
        <v>40</v>
      </c>
    </row>
    <row r="124" spans="1:10" x14ac:dyDescent="0.25">
      <c r="A124" t="s">
        <v>294</v>
      </c>
      <c r="B124" t="s">
        <v>295</v>
      </c>
      <c r="C124">
        <v>9</v>
      </c>
      <c r="D124">
        <v>544</v>
      </c>
      <c r="E124">
        <v>1</v>
      </c>
      <c r="F124">
        <v>1099.5873092798249</v>
      </c>
      <c r="G124">
        <v>122.17636769775839</v>
      </c>
      <c r="H124">
        <f>ROUND(100*SQRT(G124/G$2),1)</f>
        <v>41.4</v>
      </c>
      <c r="I124" t="s">
        <v>10</v>
      </c>
      <c r="J124" t="s">
        <v>40</v>
      </c>
    </row>
    <row r="125" spans="1:10" x14ac:dyDescent="0.25">
      <c r="A125" t="s">
        <v>290</v>
      </c>
      <c r="B125" t="s">
        <v>291</v>
      </c>
      <c r="C125">
        <v>9</v>
      </c>
      <c r="D125">
        <v>830</v>
      </c>
      <c r="E125">
        <v>0</v>
      </c>
      <c r="F125">
        <v>1089.2762426622439</v>
      </c>
      <c r="G125">
        <v>121.0306936291382</v>
      </c>
      <c r="H125">
        <f>ROUND(100*SQRT(G125/G$2),1)</f>
        <v>41.2</v>
      </c>
      <c r="I125" t="s">
        <v>10</v>
      </c>
      <c r="J125" t="s">
        <v>40</v>
      </c>
    </row>
    <row r="126" spans="1:10" x14ac:dyDescent="0.25">
      <c r="A126" t="s">
        <v>302</v>
      </c>
      <c r="B126" t="s">
        <v>303</v>
      </c>
      <c r="C126">
        <v>8</v>
      </c>
      <c r="D126">
        <v>399</v>
      </c>
      <c r="E126">
        <v>1</v>
      </c>
      <c r="F126">
        <v>953.99669612364653</v>
      </c>
      <c r="G126">
        <v>119.2495870154558</v>
      </c>
      <c r="H126">
        <f>ROUND(100*SQRT(G126/G$2),1)</f>
        <v>40.9</v>
      </c>
      <c r="I126" t="s">
        <v>10</v>
      </c>
      <c r="J126" t="s">
        <v>40</v>
      </c>
    </row>
    <row r="127" spans="1:10" x14ac:dyDescent="0.25">
      <c r="A127" t="s">
        <v>253</v>
      </c>
      <c r="B127" t="s">
        <v>254</v>
      </c>
      <c r="C127">
        <v>15</v>
      </c>
      <c r="D127">
        <v>3690</v>
      </c>
      <c r="E127">
        <v>7</v>
      </c>
      <c r="F127">
        <v>1764.090582385184</v>
      </c>
      <c r="G127">
        <v>117.60603882567899</v>
      </c>
      <c r="H127">
        <f>ROUND(100*SQRT(G127/G$2),1)</f>
        <v>40.6</v>
      </c>
      <c r="I127" t="s">
        <v>62</v>
      </c>
      <c r="J127" t="s">
        <v>4</v>
      </c>
    </row>
    <row r="128" spans="1:10" x14ac:dyDescent="0.25">
      <c r="A128" t="s">
        <v>310</v>
      </c>
      <c r="B128" t="s">
        <v>311</v>
      </c>
      <c r="C128">
        <v>14</v>
      </c>
      <c r="D128">
        <v>916</v>
      </c>
      <c r="E128">
        <v>0</v>
      </c>
      <c r="F128">
        <v>1640.8366360405389</v>
      </c>
      <c r="G128">
        <v>117.2026168600385</v>
      </c>
      <c r="H128">
        <f>ROUND(100*SQRT(G128/G$2),1)</f>
        <v>40.5</v>
      </c>
      <c r="I128" t="s">
        <v>10</v>
      </c>
      <c r="J128" t="s">
        <v>178</v>
      </c>
    </row>
    <row r="129" spans="1:10" x14ac:dyDescent="0.25">
      <c r="A129" t="s">
        <v>298</v>
      </c>
      <c r="B129" t="s">
        <v>299</v>
      </c>
      <c r="C129">
        <v>9</v>
      </c>
      <c r="D129">
        <v>390</v>
      </c>
      <c r="E129">
        <v>0</v>
      </c>
      <c r="F129">
        <v>1052.9562288305531</v>
      </c>
      <c r="G129">
        <v>116.9951365367281</v>
      </c>
      <c r="H129">
        <f>ROUND(100*SQRT(G129/G$2),1)</f>
        <v>40.5</v>
      </c>
      <c r="I129" t="s">
        <v>10</v>
      </c>
      <c r="J129" t="s">
        <v>34</v>
      </c>
    </row>
    <row r="130" spans="1:10" x14ac:dyDescent="0.25">
      <c r="A130" t="s">
        <v>306</v>
      </c>
      <c r="B130" t="s">
        <v>307</v>
      </c>
      <c r="C130">
        <v>8</v>
      </c>
      <c r="D130">
        <v>183</v>
      </c>
      <c r="E130">
        <v>0</v>
      </c>
      <c r="F130">
        <v>934.5864756653425</v>
      </c>
      <c r="G130">
        <v>116.8233094581678</v>
      </c>
      <c r="H130">
        <f>ROUND(100*SQRT(G130/G$2),1)</f>
        <v>40.4</v>
      </c>
      <c r="I130" t="s">
        <v>10</v>
      </c>
      <c r="J130" t="s">
        <v>34</v>
      </c>
    </row>
    <row r="131" spans="1:10" x14ac:dyDescent="0.25">
      <c r="A131" t="s">
        <v>257</v>
      </c>
      <c r="B131" t="s">
        <v>258</v>
      </c>
      <c r="C131">
        <v>17</v>
      </c>
      <c r="D131">
        <v>3366</v>
      </c>
      <c r="E131">
        <v>5</v>
      </c>
      <c r="F131">
        <v>1986.2448428466871</v>
      </c>
      <c r="G131">
        <v>116.8379319321581</v>
      </c>
      <c r="H131">
        <f>ROUND(100*SQRT(G131/G$2),1)</f>
        <v>40.4</v>
      </c>
      <c r="I131" t="s">
        <v>62</v>
      </c>
      <c r="J131" t="s">
        <v>4</v>
      </c>
    </row>
    <row r="132" spans="1:10" x14ac:dyDescent="0.25">
      <c r="A132" t="s">
        <v>308</v>
      </c>
      <c r="B132" t="s">
        <v>309</v>
      </c>
      <c r="C132">
        <v>11</v>
      </c>
      <c r="D132">
        <v>689</v>
      </c>
      <c r="E132">
        <v>1</v>
      </c>
      <c r="F132">
        <v>1277.7506102313309</v>
      </c>
      <c r="G132">
        <v>116.1591463846665</v>
      </c>
      <c r="H132">
        <f>ROUND(100*SQRT(G132/G$2),1)</f>
        <v>40.299999999999997</v>
      </c>
      <c r="I132" t="s">
        <v>10</v>
      </c>
      <c r="J132" t="s">
        <v>26</v>
      </c>
    </row>
    <row r="133" spans="1:10" x14ac:dyDescent="0.25">
      <c r="A133" t="s">
        <v>251</v>
      </c>
      <c r="B133" t="s">
        <v>252</v>
      </c>
      <c r="C133">
        <v>5</v>
      </c>
      <c r="D133">
        <v>693</v>
      </c>
      <c r="E133">
        <v>2</v>
      </c>
      <c r="F133">
        <v>567.91167326097809</v>
      </c>
      <c r="G133">
        <v>113.5823346521956</v>
      </c>
      <c r="H133">
        <f>ROUND(100*SQRT(G133/G$2),1)</f>
        <v>39.9</v>
      </c>
      <c r="I133" t="s">
        <v>10</v>
      </c>
      <c r="J133" t="s">
        <v>26</v>
      </c>
    </row>
    <row r="134" spans="1:10" x14ac:dyDescent="0.25">
      <c r="A134" t="s">
        <v>300</v>
      </c>
      <c r="B134" t="s">
        <v>301</v>
      </c>
      <c r="C134">
        <v>30</v>
      </c>
      <c r="D134">
        <v>2298</v>
      </c>
      <c r="E134">
        <v>4</v>
      </c>
      <c r="F134">
        <v>3382.4149597698561</v>
      </c>
      <c r="G134">
        <v>112.7471653256619</v>
      </c>
      <c r="H134">
        <f>ROUND(100*SQRT(G134/G$2),1)</f>
        <v>39.700000000000003</v>
      </c>
      <c r="I134" t="s">
        <v>10</v>
      </c>
      <c r="J134" t="s">
        <v>178</v>
      </c>
    </row>
    <row r="135" spans="1:10" x14ac:dyDescent="0.25">
      <c r="A135" t="s">
        <v>280</v>
      </c>
      <c r="B135" t="s">
        <v>281</v>
      </c>
      <c r="C135">
        <v>26</v>
      </c>
      <c r="D135">
        <v>3533</v>
      </c>
      <c r="E135">
        <v>5</v>
      </c>
      <c r="F135">
        <v>2860.4435730327241</v>
      </c>
      <c r="G135">
        <v>110.0170605012586</v>
      </c>
      <c r="H135">
        <f>ROUND(100*SQRT(G135/G$2),1)</f>
        <v>39.200000000000003</v>
      </c>
      <c r="I135" t="s">
        <v>62</v>
      </c>
      <c r="J135" t="s">
        <v>4</v>
      </c>
    </row>
    <row r="136" spans="1:10" x14ac:dyDescent="0.25">
      <c r="A136" t="s">
        <v>278</v>
      </c>
      <c r="B136" t="s">
        <v>279</v>
      </c>
      <c r="C136">
        <v>3</v>
      </c>
      <c r="D136">
        <v>114</v>
      </c>
      <c r="E136">
        <v>0</v>
      </c>
      <c r="F136">
        <v>320.95278672865709</v>
      </c>
      <c r="G136">
        <v>106.98426224288571</v>
      </c>
      <c r="H136">
        <f>ROUND(100*SQRT(G136/G$2),1)</f>
        <v>38.700000000000003</v>
      </c>
      <c r="I136" t="s">
        <v>10</v>
      </c>
      <c r="J136" t="s">
        <v>20</v>
      </c>
    </row>
    <row r="137" spans="1:10" x14ac:dyDescent="0.25">
      <c r="A137" t="s">
        <v>326</v>
      </c>
      <c r="B137" t="s">
        <v>327</v>
      </c>
      <c r="C137">
        <v>61</v>
      </c>
      <c r="D137">
        <v>2414</v>
      </c>
      <c r="E137">
        <v>2</v>
      </c>
      <c r="F137">
        <v>6384.38256906889</v>
      </c>
      <c r="G137">
        <v>104.6620093289982</v>
      </c>
      <c r="H137">
        <f>ROUND(100*SQRT(G137/G$2),1)</f>
        <v>38.299999999999997</v>
      </c>
      <c r="I137" t="s">
        <v>10</v>
      </c>
      <c r="J137" t="s">
        <v>209</v>
      </c>
    </row>
    <row r="138" spans="1:10" x14ac:dyDescent="0.25">
      <c r="A138" t="s">
        <v>312</v>
      </c>
      <c r="B138" t="s">
        <v>313</v>
      </c>
      <c r="C138">
        <v>26</v>
      </c>
      <c r="D138">
        <v>3163</v>
      </c>
      <c r="E138">
        <v>7</v>
      </c>
      <c r="F138">
        <v>2649.6138700261422</v>
      </c>
      <c r="G138">
        <v>101.9082257702362</v>
      </c>
      <c r="H138">
        <f>ROUND(100*SQRT(G138/G$2),1)</f>
        <v>37.799999999999997</v>
      </c>
      <c r="I138" t="s">
        <v>62</v>
      </c>
      <c r="J138" t="s">
        <v>4</v>
      </c>
    </row>
    <row r="139" spans="1:10" x14ac:dyDescent="0.25">
      <c r="A139" t="s">
        <v>274</v>
      </c>
      <c r="B139" t="s">
        <v>275</v>
      </c>
      <c r="C139">
        <v>16</v>
      </c>
      <c r="D139">
        <v>799</v>
      </c>
      <c r="E139">
        <v>1</v>
      </c>
      <c r="F139">
        <v>1606.9214815624989</v>
      </c>
      <c r="G139">
        <v>100.4325925976562</v>
      </c>
      <c r="H139">
        <f>ROUND(100*SQRT(G139/G$2),1)</f>
        <v>37.5</v>
      </c>
      <c r="I139" t="s">
        <v>10</v>
      </c>
      <c r="J139" t="s">
        <v>40</v>
      </c>
    </row>
    <row r="140" spans="1:10" x14ac:dyDescent="0.25">
      <c r="A140" t="s">
        <v>259</v>
      </c>
      <c r="B140" t="s">
        <v>260</v>
      </c>
      <c r="C140">
        <v>28</v>
      </c>
      <c r="D140">
        <v>28583</v>
      </c>
      <c r="E140">
        <v>10</v>
      </c>
      <c r="F140">
        <v>2692.89169784565</v>
      </c>
      <c r="G140">
        <v>96.174703494487488</v>
      </c>
      <c r="H140">
        <f>ROUND(100*SQRT(G140/G$2),1)</f>
        <v>36.700000000000003</v>
      </c>
      <c r="I140" t="s">
        <v>10</v>
      </c>
      <c r="J140" t="s">
        <v>261</v>
      </c>
    </row>
    <row r="141" spans="1:10" x14ac:dyDescent="0.25">
      <c r="A141" t="s">
        <v>322</v>
      </c>
      <c r="B141" t="s">
        <v>323</v>
      </c>
      <c r="C141">
        <v>25</v>
      </c>
      <c r="D141">
        <v>3184</v>
      </c>
      <c r="E141">
        <v>4</v>
      </c>
      <c r="F141">
        <v>2397.9141785602528</v>
      </c>
      <c r="G141">
        <v>95.91656714241013</v>
      </c>
      <c r="H141">
        <f>ROUND(100*SQRT(G141/G$2),1)</f>
        <v>36.6</v>
      </c>
      <c r="I141" t="s">
        <v>62</v>
      </c>
      <c r="J141" t="s">
        <v>4</v>
      </c>
    </row>
    <row r="142" spans="1:10" x14ac:dyDescent="0.25">
      <c r="A142" t="s">
        <v>314</v>
      </c>
      <c r="B142" t="s">
        <v>315</v>
      </c>
      <c r="C142">
        <v>34</v>
      </c>
      <c r="D142">
        <v>574</v>
      </c>
      <c r="E142">
        <v>0</v>
      </c>
      <c r="F142">
        <v>3190.634777123164</v>
      </c>
      <c r="G142">
        <v>93.842199327151889</v>
      </c>
      <c r="H142">
        <f>ROUND(100*SQRT(G142/G$2),1)</f>
        <v>36.200000000000003</v>
      </c>
      <c r="I142" t="s">
        <v>10</v>
      </c>
      <c r="J142" t="s">
        <v>23</v>
      </c>
    </row>
    <row r="143" spans="1:10" x14ac:dyDescent="0.25">
      <c r="A143" t="s">
        <v>337</v>
      </c>
      <c r="B143" t="s">
        <v>338</v>
      </c>
      <c r="C143">
        <v>9</v>
      </c>
      <c r="D143">
        <v>264</v>
      </c>
      <c r="E143">
        <v>0</v>
      </c>
      <c r="F143">
        <v>829.37431909412089</v>
      </c>
      <c r="G143">
        <v>92.152702121568993</v>
      </c>
      <c r="H143">
        <f>ROUND(100*SQRT(G143/G$2),1)</f>
        <v>35.9</v>
      </c>
      <c r="I143" t="s">
        <v>10</v>
      </c>
      <c r="J143" t="s">
        <v>20</v>
      </c>
    </row>
    <row r="144" spans="1:10" x14ac:dyDescent="0.25">
      <c r="A144" t="s">
        <v>292</v>
      </c>
      <c r="B144" t="s">
        <v>293</v>
      </c>
      <c r="C144">
        <v>5</v>
      </c>
      <c r="D144">
        <v>110</v>
      </c>
      <c r="E144">
        <v>0</v>
      </c>
      <c r="F144">
        <v>456.78498205283228</v>
      </c>
      <c r="G144">
        <v>91.356996410566467</v>
      </c>
      <c r="H144">
        <f>ROUND(100*SQRT(G144/G$2),1)</f>
        <v>35.799999999999997</v>
      </c>
      <c r="I144" t="s">
        <v>10</v>
      </c>
      <c r="J144" t="s">
        <v>26</v>
      </c>
    </row>
    <row r="145" spans="1:10" x14ac:dyDescent="0.25">
      <c r="A145" t="s">
        <v>316</v>
      </c>
      <c r="B145" t="s">
        <v>317</v>
      </c>
      <c r="C145">
        <v>19</v>
      </c>
      <c r="D145">
        <v>405</v>
      </c>
      <c r="E145">
        <v>0</v>
      </c>
      <c r="F145">
        <v>1707.952231228712</v>
      </c>
      <c r="G145">
        <v>89.892222696247998</v>
      </c>
      <c r="H145">
        <f>ROUND(100*SQRT(G145/G$2),1)</f>
        <v>35.5</v>
      </c>
      <c r="I145" t="s">
        <v>10</v>
      </c>
      <c r="J145" t="s">
        <v>209</v>
      </c>
    </row>
    <row r="146" spans="1:10" x14ac:dyDescent="0.25">
      <c r="A146" t="s">
        <v>335</v>
      </c>
      <c r="B146" t="s">
        <v>336</v>
      </c>
      <c r="C146">
        <v>9</v>
      </c>
      <c r="D146">
        <v>288</v>
      </c>
      <c r="E146">
        <v>0</v>
      </c>
      <c r="F146">
        <v>802.87376864276484</v>
      </c>
      <c r="G146">
        <v>89.208196515862767</v>
      </c>
      <c r="H146">
        <f>ROUND(100*SQRT(G146/G$2),1)</f>
        <v>35.299999999999997</v>
      </c>
      <c r="I146" t="s">
        <v>10</v>
      </c>
      <c r="J146" t="s">
        <v>17</v>
      </c>
    </row>
    <row r="147" spans="1:10" x14ac:dyDescent="0.25">
      <c r="A147" t="s">
        <v>349</v>
      </c>
      <c r="B147" t="s">
        <v>350</v>
      </c>
      <c r="C147">
        <v>18</v>
      </c>
      <c r="D147">
        <v>2548</v>
      </c>
      <c r="E147">
        <v>8</v>
      </c>
      <c r="F147">
        <v>1582.869237363979</v>
      </c>
      <c r="G147">
        <v>87.937179853554369</v>
      </c>
      <c r="H147">
        <f>ROUND(100*SQRT(G147/G$2),1)</f>
        <v>35.1</v>
      </c>
      <c r="I147" t="s">
        <v>62</v>
      </c>
      <c r="J147" t="s">
        <v>4</v>
      </c>
    </row>
    <row r="148" spans="1:10" x14ac:dyDescent="0.25">
      <c r="A148" t="s">
        <v>324</v>
      </c>
      <c r="B148" t="s">
        <v>325</v>
      </c>
      <c r="C148">
        <v>11</v>
      </c>
      <c r="D148">
        <v>255</v>
      </c>
      <c r="E148">
        <v>0</v>
      </c>
      <c r="F148">
        <v>938.3743158196844</v>
      </c>
      <c r="G148">
        <v>85.306755983607673</v>
      </c>
      <c r="H148">
        <f>ROUND(100*SQRT(G148/G$2),1)</f>
        <v>34.6</v>
      </c>
      <c r="I148" t="s">
        <v>10</v>
      </c>
      <c r="J148" t="s">
        <v>40</v>
      </c>
    </row>
    <row r="149" spans="1:10" x14ac:dyDescent="0.25">
      <c r="A149" t="s">
        <v>345</v>
      </c>
      <c r="B149" t="s">
        <v>346</v>
      </c>
      <c r="C149">
        <v>7</v>
      </c>
      <c r="D149">
        <v>145</v>
      </c>
      <c r="E149">
        <v>0</v>
      </c>
      <c r="F149">
        <v>576.60339474708849</v>
      </c>
      <c r="G149">
        <v>82.371913535298361</v>
      </c>
      <c r="H149">
        <f>ROUND(100*SQRT(G149/G$2),1)</f>
        <v>34</v>
      </c>
      <c r="I149" t="s">
        <v>10</v>
      </c>
      <c r="J149" t="s">
        <v>34</v>
      </c>
    </row>
    <row r="150" spans="1:10" x14ac:dyDescent="0.25">
      <c r="A150" t="s">
        <v>296</v>
      </c>
      <c r="B150" t="s">
        <v>297</v>
      </c>
      <c r="C150">
        <v>13</v>
      </c>
      <c r="D150">
        <v>1780</v>
      </c>
      <c r="E150">
        <v>4</v>
      </c>
      <c r="F150">
        <v>1066.145385825813</v>
      </c>
      <c r="G150">
        <v>82.011183525062521</v>
      </c>
      <c r="H150">
        <f>ROUND(100*SQRT(G150/G$2),1)</f>
        <v>33.9</v>
      </c>
      <c r="I150" t="s">
        <v>62</v>
      </c>
      <c r="J150" t="s">
        <v>4</v>
      </c>
    </row>
    <row r="151" spans="1:10" x14ac:dyDescent="0.25">
      <c r="A151" t="s">
        <v>288</v>
      </c>
      <c r="B151" t="s">
        <v>289</v>
      </c>
      <c r="C151">
        <v>34</v>
      </c>
      <c r="D151">
        <v>29054</v>
      </c>
      <c r="E151">
        <v>17</v>
      </c>
      <c r="F151">
        <v>2789.1570020991171</v>
      </c>
      <c r="G151">
        <v>82.034029473503438</v>
      </c>
      <c r="H151">
        <f>ROUND(100*SQRT(G151/G$2),1)</f>
        <v>33.9</v>
      </c>
      <c r="I151" t="s">
        <v>62</v>
      </c>
      <c r="J151" t="s">
        <v>4</v>
      </c>
    </row>
    <row r="152" spans="1:10" x14ac:dyDescent="0.25">
      <c r="A152" t="s">
        <v>284</v>
      </c>
      <c r="B152" t="s">
        <v>285</v>
      </c>
      <c r="C152">
        <v>34</v>
      </c>
      <c r="D152">
        <v>2041</v>
      </c>
      <c r="E152">
        <v>3</v>
      </c>
      <c r="F152">
        <v>2760.8456211166022</v>
      </c>
      <c r="G152">
        <v>81.201341797547116</v>
      </c>
      <c r="H152">
        <f>ROUND(100*SQRT(G152/G$2),1)</f>
        <v>33.700000000000003</v>
      </c>
      <c r="I152" t="s">
        <v>62</v>
      </c>
      <c r="J152" t="s">
        <v>4</v>
      </c>
    </row>
    <row r="153" spans="1:10" x14ac:dyDescent="0.25">
      <c r="A153" t="s">
        <v>341</v>
      </c>
      <c r="B153" t="s">
        <v>342</v>
      </c>
      <c r="C153">
        <v>6</v>
      </c>
      <c r="D153">
        <v>94</v>
      </c>
      <c r="E153">
        <v>0</v>
      </c>
      <c r="F153">
        <v>481.55729235071868</v>
      </c>
      <c r="G153">
        <v>80.259548725119785</v>
      </c>
      <c r="H153">
        <f>ROUND(100*SQRT(G153/G$2),1)</f>
        <v>33.5</v>
      </c>
      <c r="I153" t="s">
        <v>10</v>
      </c>
      <c r="J153" t="s">
        <v>34</v>
      </c>
    </row>
    <row r="154" spans="1:10" x14ac:dyDescent="0.25">
      <c r="A154" t="s">
        <v>366</v>
      </c>
      <c r="B154" t="s">
        <v>367</v>
      </c>
      <c r="C154">
        <v>15</v>
      </c>
      <c r="D154">
        <v>369</v>
      </c>
      <c r="E154">
        <v>1</v>
      </c>
      <c r="F154">
        <v>1181.618416877448</v>
      </c>
      <c r="G154">
        <v>78.774561125163203</v>
      </c>
      <c r="H154">
        <f>ROUND(100*SQRT(G154/G$2),1)</f>
        <v>33.200000000000003</v>
      </c>
      <c r="I154" t="s">
        <v>10</v>
      </c>
      <c r="J154" t="s">
        <v>178</v>
      </c>
    </row>
    <row r="155" spans="1:10" x14ac:dyDescent="0.25">
      <c r="A155" t="s">
        <v>387</v>
      </c>
      <c r="B155" t="s">
        <v>388</v>
      </c>
      <c r="C155">
        <v>13</v>
      </c>
      <c r="D155">
        <v>1048</v>
      </c>
      <c r="E155">
        <v>1</v>
      </c>
      <c r="F155">
        <v>1006.3333576876061</v>
      </c>
      <c r="G155">
        <v>77.410258283662017</v>
      </c>
      <c r="H155">
        <f>ROUND(100*SQRT(G155/G$2),1)</f>
        <v>32.9</v>
      </c>
      <c r="I155" t="s">
        <v>10</v>
      </c>
      <c r="J155" t="s">
        <v>20</v>
      </c>
    </row>
    <row r="156" spans="1:10" x14ac:dyDescent="0.25">
      <c r="A156" t="s">
        <v>360</v>
      </c>
      <c r="B156" t="s">
        <v>361</v>
      </c>
      <c r="C156">
        <v>20</v>
      </c>
      <c r="D156">
        <v>391</v>
      </c>
      <c r="E156">
        <v>0</v>
      </c>
      <c r="F156">
        <v>1505.8067896367049</v>
      </c>
      <c r="G156">
        <v>75.290339481835275</v>
      </c>
      <c r="H156">
        <f>ROUND(100*SQRT(G156/G$2),1)</f>
        <v>32.5</v>
      </c>
      <c r="I156" t="s">
        <v>10</v>
      </c>
      <c r="J156" t="s">
        <v>209</v>
      </c>
    </row>
    <row r="157" spans="1:10" x14ac:dyDescent="0.25">
      <c r="A157" t="s">
        <v>356</v>
      </c>
      <c r="B157" t="s">
        <v>357</v>
      </c>
      <c r="C157">
        <v>20</v>
      </c>
      <c r="D157">
        <v>464</v>
      </c>
      <c r="E157">
        <v>0</v>
      </c>
      <c r="F157">
        <v>1500.1399956677601</v>
      </c>
      <c r="G157">
        <v>75.006999783388011</v>
      </c>
      <c r="H157">
        <f>ROUND(100*SQRT(G157/G$2),1)</f>
        <v>32.4</v>
      </c>
      <c r="I157" t="s">
        <v>10</v>
      </c>
      <c r="J157" t="s">
        <v>40</v>
      </c>
    </row>
    <row r="158" spans="1:10" x14ac:dyDescent="0.25">
      <c r="A158" t="s">
        <v>362</v>
      </c>
      <c r="B158" t="s">
        <v>363</v>
      </c>
      <c r="C158">
        <v>16</v>
      </c>
      <c r="D158">
        <v>3275</v>
      </c>
      <c r="E158">
        <v>6</v>
      </c>
      <c r="F158">
        <v>1199.465015040018</v>
      </c>
      <c r="G158">
        <v>74.966563440001153</v>
      </c>
      <c r="H158">
        <f>ROUND(100*SQRT(G158/G$2),1)</f>
        <v>32.4</v>
      </c>
      <c r="I158" t="s">
        <v>62</v>
      </c>
      <c r="J158" t="s">
        <v>4</v>
      </c>
    </row>
    <row r="159" spans="1:10" x14ac:dyDescent="0.25">
      <c r="A159" t="s">
        <v>372</v>
      </c>
      <c r="B159" t="s">
        <v>373</v>
      </c>
      <c r="C159">
        <v>13</v>
      </c>
      <c r="D159">
        <v>380</v>
      </c>
      <c r="E159">
        <v>0</v>
      </c>
      <c r="F159">
        <v>971.85046210140058</v>
      </c>
      <c r="G159">
        <v>74.757727853953895</v>
      </c>
      <c r="H159">
        <f>ROUND(100*SQRT(G159/G$2),1)</f>
        <v>32.299999999999997</v>
      </c>
      <c r="I159" t="s">
        <v>10</v>
      </c>
      <c r="J159" t="s">
        <v>17</v>
      </c>
    </row>
    <row r="160" spans="1:10" x14ac:dyDescent="0.25">
      <c r="A160" t="s">
        <v>370</v>
      </c>
      <c r="B160" t="s">
        <v>371</v>
      </c>
      <c r="C160">
        <v>17</v>
      </c>
      <c r="D160">
        <v>471</v>
      </c>
      <c r="E160">
        <v>0</v>
      </c>
      <c r="F160">
        <v>1254.69040593932</v>
      </c>
      <c r="G160">
        <v>73.80531799643056</v>
      </c>
      <c r="H160">
        <f>ROUND(100*SQRT(G160/G$2),1)</f>
        <v>32.1</v>
      </c>
      <c r="I160" t="s">
        <v>10</v>
      </c>
      <c r="J160" t="s">
        <v>40</v>
      </c>
    </row>
    <row r="161" spans="1:10" x14ac:dyDescent="0.25">
      <c r="A161" t="s">
        <v>320</v>
      </c>
      <c r="B161" t="s">
        <v>321</v>
      </c>
      <c r="C161">
        <v>26</v>
      </c>
      <c r="D161">
        <v>4974</v>
      </c>
      <c r="E161">
        <v>6</v>
      </c>
      <c r="F161">
        <v>1918.223309599718</v>
      </c>
      <c r="G161">
        <v>73.777819599989158</v>
      </c>
      <c r="H161">
        <f>ROUND(100*SQRT(G161/G$2),1)</f>
        <v>32.1</v>
      </c>
      <c r="I161" t="s">
        <v>62</v>
      </c>
      <c r="J161" t="s">
        <v>4</v>
      </c>
    </row>
    <row r="162" spans="1:10" x14ac:dyDescent="0.25">
      <c r="A162" t="s">
        <v>318</v>
      </c>
      <c r="B162" t="s">
        <v>319</v>
      </c>
      <c r="C162">
        <v>54</v>
      </c>
      <c r="D162">
        <v>4634</v>
      </c>
      <c r="E162">
        <v>6</v>
      </c>
      <c r="F162">
        <v>3840.5804923644769</v>
      </c>
      <c r="G162">
        <v>71.121860969712543</v>
      </c>
      <c r="H162">
        <f>ROUND(100*SQRT(G162/G$2),1)</f>
        <v>31.6</v>
      </c>
      <c r="I162" t="s">
        <v>62</v>
      </c>
      <c r="J162" t="s">
        <v>4</v>
      </c>
    </row>
    <row r="163" spans="1:10" x14ac:dyDescent="0.25">
      <c r="A163" t="s">
        <v>376</v>
      </c>
      <c r="B163" t="s">
        <v>377</v>
      </c>
      <c r="C163">
        <v>19</v>
      </c>
      <c r="D163">
        <v>570</v>
      </c>
      <c r="E163">
        <v>0</v>
      </c>
      <c r="F163">
        <v>1357.790227845614</v>
      </c>
      <c r="G163">
        <v>71.462643570821768</v>
      </c>
      <c r="H163">
        <f>ROUND(100*SQRT(G163/G$2),1)</f>
        <v>31.6</v>
      </c>
      <c r="I163" t="s">
        <v>10</v>
      </c>
      <c r="J163" t="s">
        <v>378</v>
      </c>
    </row>
    <row r="164" spans="1:10" x14ac:dyDescent="0.25">
      <c r="A164" t="s">
        <v>332</v>
      </c>
      <c r="B164" t="s">
        <v>333</v>
      </c>
      <c r="C164">
        <v>15</v>
      </c>
      <c r="D164">
        <v>236</v>
      </c>
      <c r="E164">
        <v>0</v>
      </c>
      <c r="F164">
        <v>1053.559365422029</v>
      </c>
      <c r="G164">
        <v>70.237291028135232</v>
      </c>
      <c r="H164">
        <f>ROUND(100*SQRT(G164/G$2),1)</f>
        <v>31.4</v>
      </c>
      <c r="I164" t="s">
        <v>10</v>
      </c>
      <c r="J164" t="s">
        <v>334</v>
      </c>
    </row>
    <row r="165" spans="1:10" x14ac:dyDescent="0.25">
      <c r="A165" t="s">
        <v>391</v>
      </c>
      <c r="B165" t="s">
        <v>392</v>
      </c>
      <c r="C165">
        <v>11</v>
      </c>
      <c r="D165">
        <v>506</v>
      </c>
      <c r="E165">
        <v>0</v>
      </c>
      <c r="F165">
        <v>766.52915635440479</v>
      </c>
      <c r="G165">
        <v>69.684468759491338</v>
      </c>
      <c r="H165">
        <f>ROUND(100*SQRT(G165/G$2),1)</f>
        <v>31.2</v>
      </c>
      <c r="I165" t="s">
        <v>10</v>
      </c>
      <c r="J165" t="s">
        <v>40</v>
      </c>
    </row>
    <row r="166" spans="1:10" x14ac:dyDescent="0.25">
      <c r="A166" t="s">
        <v>364</v>
      </c>
      <c r="B166" t="s">
        <v>365</v>
      </c>
      <c r="C166">
        <v>11</v>
      </c>
      <c r="D166">
        <v>788</v>
      </c>
      <c r="E166">
        <v>1</v>
      </c>
      <c r="F166">
        <v>760.10370122467248</v>
      </c>
      <c r="G166">
        <v>69.10033647497022</v>
      </c>
      <c r="H166">
        <f>ROUND(100*SQRT(G166/G$2),1)</f>
        <v>31.1</v>
      </c>
      <c r="I166" t="s">
        <v>10</v>
      </c>
      <c r="J166" t="s">
        <v>26</v>
      </c>
    </row>
    <row r="167" spans="1:10" x14ac:dyDescent="0.25">
      <c r="A167" t="s">
        <v>385</v>
      </c>
      <c r="B167" t="s">
        <v>386</v>
      </c>
      <c r="C167">
        <v>7</v>
      </c>
      <c r="D167">
        <v>145</v>
      </c>
      <c r="E167">
        <v>0</v>
      </c>
      <c r="F167">
        <v>468.23285097809259</v>
      </c>
      <c r="G167">
        <v>66.890407282584661</v>
      </c>
      <c r="H167">
        <f>ROUND(100*SQRT(G167/G$2),1)</f>
        <v>30.6</v>
      </c>
      <c r="I167" t="s">
        <v>10</v>
      </c>
      <c r="J167" t="s">
        <v>20</v>
      </c>
    </row>
    <row r="168" spans="1:10" x14ac:dyDescent="0.25">
      <c r="A168" t="s">
        <v>351</v>
      </c>
      <c r="B168" t="s">
        <v>352</v>
      </c>
      <c r="C168">
        <v>6</v>
      </c>
      <c r="D168">
        <v>110</v>
      </c>
      <c r="E168">
        <v>0</v>
      </c>
      <c r="F168">
        <v>401.30073958462998</v>
      </c>
      <c r="G168">
        <v>66.883456597438339</v>
      </c>
      <c r="H168">
        <f>ROUND(100*SQRT(G168/G$2),1)</f>
        <v>30.6</v>
      </c>
      <c r="I168" t="s">
        <v>10</v>
      </c>
      <c r="J168" t="s">
        <v>34</v>
      </c>
    </row>
    <row r="169" spans="1:10" x14ac:dyDescent="0.25">
      <c r="A169" t="s">
        <v>343</v>
      </c>
      <c r="B169" t="s">
        <v>344</v>
      </c>
      <c r="C169">
        <v>41</v>
      </c>
      <c r="D169">
        <v>3436</v>
      </c>
      <c r="E169">
        <v>7</v>
      </c>
      <c r="F169">
        <v>2746.9494667360668</v>
      </c>
      <c r="G169">
        <v>66.99876748136748</v>
      </c>
      <c r="H169">
        <f>ROUND(100*SQRT(G169/G$2),1)</f>
        <v>30.6</v>
      </c>
      <c r="I169" t="s">
        <v>62</v>
      </c>
      <c r="J169" t="s">
        <v>4</v>
      </c>
    </row>
    <row r="170" spans="1:10" x14ac:dyDescent="0.25">
      <c r="A170" t="s">
        <v>381</v>
      </c>
      <c r="B170" t="s">
        <v>382</v>
      </c>
      <c r="C170">
        <v>13</v>
      </c>
      <c r="D170">
        <v>431</v>
      </c>
      <c r="E170">
        <v>0</v>
      </c>
      <c r="F170">
        <v>863.86516334650787</v>
      </c>
      <c r="G170">
        <v>66.451166411269838</v>
      </c>
      <c r="H170">
        <f>ROUND(100*SQRT(G170/G$2),1)</f>
        <v>30.5</v>
      </c>
      <c r="I170" t="s">
        <v>10</v>
      </c>
      <c r="J170" t="s">
        <v>40</v>
      </c>
    </row>
    <row r="171" spans="1:10" x14ac:dyDescent="0.25">
      <c r="A171" t="s">
        <v>395</v>
      </c>
      <c r="B171" t="s">
        <v>396</v>
      </c>
      <c r="C171">
        <v>16</v>
      </c>
      <c r="D171">
        <v>410</v>
      </c>
      <c r="E171">
        <v>0</v>
      </c>
      <c r="F171">
        <v>1062.726400346342</v>
      </c>
      <c r="G171">
        <v>66.420400021646401</v>
      </c>
      <c r="H171">
        <f>ROUND(100*SQRT(G171/G$2),1)</f>
        <v>30.5</v>
      </c>
      <c r="I171" t="s">
        <v>10</v>
      </c>
      <c r="J171" t="s">
        <v>20</v>
      </c>
    </row>
    <row r="172" spans="1:10" x14ac:dyDescent="0.25">
      <c r="A172" t="s">
        <v>383</v>
      </c>
      <c r="B172" t="s">
        <v>384</v>
      </c>
      <c r="C172">
        <v>14</v>
      </c>
      <c r="D172">
        <v>1498</v>
      </c>
      <c r="E172">
        <v>0</v>
      </c>
      <c r="F172">
        <v>926.96905725176453</v>
      </c>
      <c r="G172">
        <v>66.21207551798318</v>
      </c>
      <c r="H172">
        <f>ROUND(100*SQRT(G172/G$2),1)</f>
        <v>30.4</v>
      </c>
      <c r="I172" t="s">
        <v>10</v>
      </c>
      <c r="J172" t="s">
        <v>178</v>
      </c>
    </row>
    <row r="173" spans="1:10" x14ac:dyDescent="0.25">
      <c r="A173" t="s">
        <v>389</v>
      </c>
      <c r="B173" t="s">
        <v>390</v>
      </c>
      <c r="C173">
        <v>28</v>
      </c>
      <c r="D173">
        <v>878</v>
      </c>
      <c r="E173">
        <v>0</v>
      </c>
      <c r="F173">
        <v>1839.1758523180449</v>
      </c>
      <c r="G173">
        <v>65.684851868501596</v>
      </c>
      <c r="H173">
        <f>ROUND(100*SQRT(G173/G$2),1)</f>
        <v>30.3</v>
      </c>
      <c r="I173" t="s">
        <v>10</v>
      </c>
      <c r="J173" t="s">
        <v>178</v>
      </c>
    </row>
    <row r="174" spans="1:10" x14ac:dyDescent="0.25">
      <c r="A174" t="s">
        <v>328</v>
      </c>
      <c r="B174" t="s">
        <v>329</v>
      </c>
      <c r="C174">
        <v>63</v>
      </c>
      <c r="D174">
        <v>4679</v>
      </c>
      <c r="E174">
        <v>2</v>
      </c>
      <c r="F174">
        <v>4111.8836484454596</v>
      </c>
      <c r="G174">
        <v>65.267994419769195</v>
      </c>
      <c r="H174">
        <f>ROUND(100*SQRT(G174/G$2),1)</f>
        <v>30.2</v>
      </c>
      <c r="I174" t="s">
        <v>62</v>
      </c>
      <c r="J174" t="s">
        <v>4</v>
      </c>
    </row>
    <row r="175" spans="1:10" x14ac:dyDescent="0.25">
      <c r="A175" t="s">
        <v>401</v>
      </c>
      <c r="B175" t="s">
        <v>402</v>
      </c>
      <c r="C175">
        <v>9</v>
      </c>
      <c r="D175">
        <v>342</v>
      </c>
      <c r="E175">
        <v>0</v>
      </c>
      <c r="F175">
        <v>586.73893432148304</v>
      </c>
      <c r="G175">
        <v>65.193214924609222</v>
      </c>
      <c r="H175">
        <f>ROUND(100*SQRT(G175/G$2),1)</f>
        <v>30.2</v>
      </c>
      <c r="I175" t="s">
        <v>10</v>
      </c>
      <c r="J175" t="s">
        <v>40</v>
      </c>
    </row>
    <row r="176" spans="1:10" x14ac:dyDescent="0.25">
      <c r="A176" t="s">
        <v>328</v>
      </c>
      <c r="B176" t="s">
        <v>330</v>
      </c>
      <c r="C176">
        <v>67</v>
      </c>
      <c r="D176">
        <v>4850</v>
      </c>
      <c r="E176">
        <v>4</v>
      </c>
      <c r="F176">
        <v>4304.2975408413186</v>
      </c>
      <c r="G176">
        <v>64.243246878228632</v>
      </c>
      <c r="H176">
        <f>ROUND(100*SQRT(G176/G$2),1)</f>
        <v>30</v>
      </c>
      <c r="I176" t="s">
        <v>10</v>
      </c>
      <c r="J176" t="s">
        <v>331</v>
      </c>
    </row>
    <row r="177" spans="1:10" x14ac:dyDescent="0.25">
      <c r="A177" t="s">
        <v>339</v>
      </c>
      <c r="B177" t="s">
        <v>340</v>
      </c>
      <c r="C177">
        <v>7</v>
      </c>
      <c r="D177">
        <v>654</v>
      </c>
      <c r="E177">
        <v>2</v>
      </c>
      <c r="F177">
        <v>444.74397415993781</v>
      </c>
      <c r="G177">
        <v>63.534853451419693</v>
      </c>
      <c r="H177">
        <f>ROUND(100*SQRT(G177/G$2),1)</f>
        <v>29.8</v>
      </c>
      <c r="I177" t="s">
        <v>10</v>
      </c>
      <c r="J177" t="s">
        <v>26</v>
      </c>
    </row>
    <row r="178" spans="1:10" x14ac:dyDescent="0.25">
      <c r="A178" t="s">
        <v>353</v>
      </c>
      <c r="B178" t="s">
        <v>354</v>
      </c>
      <c r="C178">
        <v>58</v>
      </c>
      <c r="D178">
        <v>5782</v>
      </c>
      <c r="E178">
        <v>6</v>
      </c>
      <c r="F178">
        <v>3626.967343974597</v>
      </c>
      <c r="G178">
        <v>62.533919723699938</v>
      </c>
      <c r="H178">
        <f>ROUND(100*SQRT(G178/G$2),1)</f>
        <v>29.6</v>
      </c>
      <c r="I178" t="s">
        <v>62</v>
      </c>
      <c r="J178" t="s">
        <v>355</v>
      </c>
    </row>
    <row r="179" spans="1:10" x14ac:dyDescent="0.25">
      <c r="A179" t="s">
        <v>405</v>
      </c>
      <c r="B179" t="s">
        <v>406</v>
      </c>
      <c r="C179">
        <v>12</v>
      </c>
      <c r="D179">
        <v>434</v>
      </c>
      <c r="E179">
        <v>1</v>
      </c>
      <c r="F179">
        <v>750.83606421182913</v>
      </c>
      <c r="G179">
        <v>62.569672017652429</v>
      </c>
      <c r="H179">
        <f>ROUND(100*SQRT(G179/G$2),1)</f>
        <v>29.6</v>
      </c>
      <c r="I179" t="s">
        <v>10</v>
      </c>
      <c r="J179" t="s">
        <v>20</v>
      </c>
    </row>
    <row r="180" spans="1:10" x14ac:dyDescent="0.25">
      <c r="A180" t="s">
        <v>374</v>
      </c>
      <c r="B180" t="s">
        <v>375</v>
      </c>
      <c r="C180">
        <v>13</v>
      </c>
      <c r="D180">
        <v>546</v>
      </c>
      <c r="E180">
        <v>0</v>
      </c>
      <c r="F180">
        <v>805.37156453015518</v>
      </c>
      <c r="G180">
        <v>61.951658810011928</v>
      </c>
      <c r="H180">
        <f>ROUND(100*SQRT(G180/G$2),1)</f>
        <v>29.4</v>
      </c>
      <c r="I180" t="s">
        <v>10</v>
      </c>
      <c r="J180" t="s">
        <v>334</v>
      </c>
    </row>
    <row r="181" spans="1:10" x14ac:dyDescent="0.25">
      <c r="A181" t="s">
        <v>347</v>
      </c>
      <c r="B181" t="s">
        <v>348</v>
      </c>
      <c r="C181">
        <v>24</v>
      </c>
      <c r="D181">
        <v>5214</v>
      </c>
      <c r="E181">
        <v>5</v>
      </c>
      <c r="F181">
        <v>1475.5469565350329</v>
      </c>
      <c r="G181">
        <v>61.481123188959693</v>
      </c>
      <c r="H181">
        <f>ROUND(100*SQRT(G181/G$2),1)</f>
        <v>29.3</v>
      </c>
      <c r="I181" t="s">
        <v>62</v>
      </c>
      <c r="J181" t="s">
        <v>4</v>
      </c>
    </row>
    <row r="182" spans="1:10" x14ac:dyDescent="0.25">
      <c r="A182" t="s">
        <v>419</v>
      </c>
      <c r="B182" t="s">
        <v>420</v>
      </c>
      <c r="C182">
        <v>13</v>
      </c>
      <c r="D182">
        <v>322</v>
      </c>
      <c r="E182">
        <v>0</v>
      </c>
      <c r="F182">
        <v>785.46096207546111</v>
      </c>
      <c r="G182">
        <v>60.4200740058047</v>
      </c>
      <c r="H182">
        <f>ROUND(100*SQRT(G182/G$2),1)</f>
        <v>29.1</v>
      </c>
      <c r="I182" t="s">
        <v>10</v>
      </c>
      <c r="J182" t="s">
        <v>40</v>
      </c>
    </row>
    <row r="183" spans="1:10" x14ac:dyDescent="0.25">
      <c r="A183" t="s">
        <v>403</v>
      </c>
      <c r="B183" t="s">
        <v>404</v>
      </c>
      <c r="C183">
        <v>36</v>
      </c>
      <c r="D183">
        <v>1561</v>
      </c>
      <c r="E183">
        <v>1</v>
      </c>
      <c r="F183">
        <v>2124.105886415558</v>
      </c>
      <c r="G183">
        <v>59.002941289321058</v>
      </c>
      <c r="H183">
        <f>ROUND(100*SQRT(G183/G$2),1)</f>
        <v>28.7</v>
      </c>
      <c r="I183" t="s">
        <v>10</v>
      </c>
      <c r="J183" t="s">
        <v>17</v>
      </c>
    </row>
    <row r="184" spans="1:10" x14ac:dyDescent="0.25">
      <c r="A184" t="s">
        <v>407</v>
      </c>
      <c r="B184" t="s">
        <v>408</v>
      </c>
      <c r="C184">
        <v>35</v>
      </c>
      <c r="D184">
        <v>2215</v>
      </c>
      <c r="E184">
        <v>4</v>
      </c>
      <c r="F184">
        <v>2026.658898870171</v>
      </c>
      <c r="G184">
        <v>57.90453996771916</v>
      </c>
      <c r="H184">
        <f>ROUND(100*SQRT(G184/G$2),1)</f>
        <v>28.5</v>
      </c>
      <c r="I184" t="s">
        <v>62</v>
      </c>
      <c r="J184" t="s">
        <v>4</v>
      </c>
    </row>
    <row r="185" spans="1:10" x14ac:dyDescent="0.25">
      <c r="A185" t="s">
        <v>415</v>
      </c>
      <c r="B185" t="s">
        <v>416</v>
      </c>
      <c r="C185">
        <v>14</v>
      </c>
      <c r="D185">
        <v>907</v>
      </c>
      <c r="E185">
        <v>2</v>
      </c>
      <c r="F185">
        <v>764.81956978293863</v>
      </c>
      <c r="G185">
        <v>54.629969270209912</v>
      </c>
      <c r="H185">
        <f>ROUND(100*SQRT(G185/G$2),1)</f>
        <v>27.7</v>
      </c>
      <c r="I185" t="s">
        <v>10</v>
      </c>
      <c r="J185" t="s">
        <v>40</v>
      </c>
    </row>
    <row r="186" spans="1:10" x14ac:dyDescent="0.25">
      <c r="A186" t="s">
        <v>368</v>
      </c>
      <c r="B186" t="s">
        <v>369</v>
      </c>
      <c r="C186">
        <v>10</v>
      </c>
      <c r="D186">
        <v>3398</v>
      </c>
      <c r="E186">
        <v>5</v>
      </c>
      <c r="F186">
        <v>542.52509959714939</v>
      </c>
      <c r="G186">
        <v>54.252509959714942</v>
      </c>
      <c r="H186">
        <f>ROUND(100*SQRT(G186/G$2),1)</f>
        <v>27.6</v>
      </c>
      <c r="I186" t="s">
        <v>62</v>
      </c>
      <c r="J186" t="s">
        <v>4</v>
      </c>
    </row>
    <row r="187" spans="1:10" x14ac:dyDescent="0.25">
      <c r="A187" t="s">
        <v>379</v>
      </c>
      <c r="B187" t="s">
        <v>380</v>
      </c>
      <c r="C187">
        <v>14</v>
      </c>
      <c r="D187">
        <v>2047</v>
      </c>
      <c r="E187">
        <v>5</v>
      </c>
      <c r="F187">
        <v>749.45757008148962</v>
      </c>
      <c r="G187">
        <v>53.532683577249259</v>
      </c>
      <c r="H187">
        <f>ROUND(100*SQRT(G187/G$2),1)</f>
        <v>27.4</v>
      </c>
      <c r="I187" t="s">
        <v>62</v>
      </c>
      <c r="J187" t="s">
        <v>4</v>
      </c>
    </row>
    <row r="188" spans="1:10" x14ac:dyDescent="0.25">
      <c r="A188" t="s">
        <v>393</v>
      </c>
      <c r="B188" t="s">
        <v>394</v>
      </c>
      <c r="C188">
        <v>74</v>
      </c>
      <c r="D188">
        <v>6924</v>
      </c>
      <c r="E188">
        <v>8</v>
      </c>
      <c r="F188">
        <v>3880.75432318408</v>
      </c>
      <c r="G188">
        <v>52.442625988974051</v>
      </c>
      <c r="H188">
        <f>ROUND(100*SQRT(G188/G$2),1)</f>
        <v>27.1</v>
      </c>
      <c r="I188" t="s">
        <v>62</v>
      </c>
      <c r="J188" t="s">
        <v>4</v>
      </c>
    </row>
    <row r="189" spans="1:10" x14ac:dyDescent="0.25">
      <c r="A189" t="s">
        <v>358</v>
      </c>
      <c r="B189" t="s">
        <v>359</v>
      </c>
      <c r="C189">
        <v>69</v>
      </c>
      <c r="D189">
        <v>5409</v>
      </c>
      <c r="E189">
        <v>4</v>
      </c>
      <c r="F189">
        <v>3576.7194390829632</v>
      </c>
      <c r="G189">
        <v>51.83651360989802</v>
      </c>
      <c r="H189">
        <f>ROUND(100*SQRT(G189/G$2),1)</f>
        <v>26.9</v>
      </c>
      <c r="I189" t="s">
        <v>62</v>
      </c>
      <c r="J189" t="s">
        <v>4</v>
      </c>
    </row>
    <row r="190" spans="1:10" x14ac:dyDescent="0.25">
      <c r="A190" t="s">
        <v>421</v>
      </c>
      <c r="B190" t="s">
        <v>422</v>
      </c>
      <c r="C190">
        <v>18</v>
      </c>
      <c r="D190">
        <v>311</v>
      </c>
      <c r="E190">
        <v>0</v>
      </c>
      <c r="F190">
        <v>842.22787090575594</v>
      </c>
      <c r="G190">
        <v>46.790437272541993</v>
      </c>
      <c r="H190">
        <f>ROUND(100*SQRT(G190/G$2),1)</f>
        <v>25.6</v>
      </c>
      <c r="I190" t="s">
        <v>10</v>
      </c>
      <c r="J190" t="s">
        <v>40</v>
      </c>
    </row>
    <row r="191" spans="1:10" x14ac:dyDescent="0.25">
      <c r="A191" t="s">
        <v>397</v>
      </c>
      <c r="B191" t="s">
        <v>398</v>
      </c>
      <c r="C191">
        <v>11</v>
      </c>
      <c r="D191">
        <v>2031</v>
      </c>
      <c r="E191">
        <v>9</v>
      </c>
      <c r="F191">
        <v>488.38465507956852</v>
      </c>
      <c r="G191">
        <v>44.398605007233499</v>
      </c>
      <c r="H191">
        <f>ROUND(100*SQRT(G191/G$2),1)</f>
        <v>24.9</v>
      </c>
      <c r="I191" t="s">
        <v>62</v>
      </c>
      <c r="J191" t="s">
        <v>4</v>
      </c>
    </row>
    <row r="192" spans="1:10" x14ac:dyDescent="0.25">
      <c r="A192" t="s">
        <v>413</v>
      </c>
      <c r="B192" t="s">
        <v>414</v>
      </c>
      <c r="C192">
        <v>21</v>
      </c>
      <c r="D192">
        <v>1319</v>
      </c>
      <c r="E192">
        <v>5</v>
      </c>
      <c r="F192">
        <v>932.05215924107085</v>
      </c>
      <c r="G192">
        <v>44.383436154336707</v>
      </c>
      <c r="H192">
        <f>ROUND(100*SQRT(G192/G$2),1)</f>
        <v>24.9</v>
      </c>
      <c r="I192" t="s">
        <v>62</v>
      </c>
      <c r="J192" t="s">
        <v>4</v>
      </c>
    </row>
    <row r="193" spans="1:10" x14ac:dyDescent="0.25">
      <c r="A193" t="s">
        <v>417</v>
      </c>
      <c r="B193" t="s">
        <v>418</v>
      </c>
      <c r="C193">
        <v>12</v>
      </c>
      <c r="D193">
        <v>910</v>
      </c>
      <c r="E193">
        <v>0</v>
      </c>
      <c r="F193">
        <v>506.96861018087219</v>
      </c>
      <c r="G193">
        <v>42.247384181739363</v>
      </c>
      <c r="H193">
        <f>ROUND(100*SQRT(G193/G$2),1)</f>
        <v>24.3</v>
      </c>
      <c r="I193" t="s">
        <v>10</v>
      </c>
      <c r="J193" t="s">
        <v>26</v>
      </c>
    </row>
    <row r="194" spans="1:10" x14ac:dyDescent="0.25">
      <c r="A194" t="s">
        <v>399</v>
      </c>
      <c r="B194" t="s">
        <v>400</v>
      </c>
      <c r="C194">
        <v>36</v>
      </c>
      <c r="D194">
        <v>2689</v>
      </c>
      <c r="E194">
        <v>5</v>
      </c>
      <c r="F194">
        <v>1497.369509597333</v>
      </c>
      <c r="G194">
        <v>41.593597488814801</v>
      </c>
      <c r="H194">
        <f>ROUND(100*SQRT(G194/G$2),1)</f>
        <v>24.1</v>
      </c>
      <c r="I194" t="s">
        <v>62</v>
      </c>
      <c r="J194" t="s">
        <v>4</v>
      </c>
    </row>
    <row r="195" spans="1:10" x14ac:dyDescent="0.25">
      <c r="A195" t="s">
        <v>409</v>
      </c>
      <c r="B195" t="s">
        <v>410</v>
      </c>
      <c r="C195">
        <v>48</v>
      </c>
      <c r="D195">
        <v>3264</v>
      </c>
      <c r="E195">
        <v>4</v>
      </c>
      <c r="F195">
        <v>1944.635696497965</v>
      </c>
      <c r="G195">
        <v>40.51324367704094</v>
      </c>
      <c r="H195">
        <f>ROUND(100*SQRT(G195/G$2),1)</f>
        <v>23.8</v>
      </c>
      <c r="I195" t="s">
        <v>62</v>
      </c>
      <c r="J195" t="s">
        <v>4</v>
      </c>
    </row>
    <row r="196" spans="1:10" x14ac:dyDescent="0.25">
      <c r="A196" t="s">
        <v>449</v>
      </c>
      <c r="B196" t="s">
        <v>450</v>
      </c>
      <c r="C196">
        <v>18</v>
      </c>
      <c r="D196">
        <v>494</v>
      </c>
      <c r="E196">
        <v>0</v>
      </c>
      <c r="F196">
        <v>682.27016297002979</v>
      </c>
      <c r="G196">
        <v>37.90389794277943</v>
      </c>
      <c r="H196">
        <f>ROUND(100*SQRT(G196/G$2),1)</f>
        <v>23</v>
      </c>
      <c r="I196" t="s">
        <v>10</v>
      </c>
      <c r="J196" t="s">
        <v>334</v>
      </c>
    </row>
    <row r="197" spans="1:10" x14ac:dyDescent="0.25">
      <c r="A197" t="s">
        <v>445</v>
      </c>
      <c r="B197" t="s">
        <v>446</v>
      </c>
      <c r="C197">
        <v>18</v>
      </c>
      <c r="D197">
        <v>408</v>
      </c>
      <c r="E197">
        <v>0</v>
      </c>
      <c r="F197">
        <v>672.71686961483056</v>
      </c>
      <c r="G197">
        <v>37.37315942304614</v>
      </c>
      <c r="H197">
        <f>ROUND(100*SQRT(G197/G$2),1)</f>
        <v>22.9</v>
      </c>
      <c r="I197" t="s">
        <v>10</v>
      </c>
      <c r="J197" t="s">
        <v>209</v>
      </c>
    </row>
    <row r="198" spans="1:10" x14ac:dyDescent="0.25">
      <c r="A198" t="s">
        <v>411</v>
      </c>
      <c r="B198" t="s">
        <v>412</v>
      </c>
      <c r="C198">
        <v>33</v>
      </c>
      <c r="D198">
        <v>11387</v>
      </c>
      <c r="E198">
        <v>11</v>
      </c>
      <c r="F198">
        <v>1218.69745733638</v>
      </c>
      <c r="G198">
        <v>36.930225979890288</v>
      </c>
      <c r="H198">
        <f>ROUND(100*SQRT(G198/G$2),1)</f>
        <v>22.7</v>
      </c>
      <c r="I198" t="s">
        <v>62</v>
      </c>
      <c r="J198" t="s">
        <v>4</v>
      </c>
    </row>
    <row r="199" spans="1:10" x14ac:dyDescent="0.25">
      <c r="A199" t="s">
        <v>453</v>
      </c>
      <c r="B199" t="s">
        <v>454</v>
      </c>
      <c r="C199">
        <v>23</v>
      </c>
      <c r="D199">
        <v>884</v>
      </c>
      <c r="E199">
        <v>0</v>
      </c>
      <c r="F199">
        <v>827.10316801283534</v>
      </c>
      <c r="G199">
        <v>35.961007304905877</v>
      </c>
      <c r="H199">
        <f>ROUND(100*SQRT(G199/G$2),1)</f>
        <v>22.4</v>
      </c>
      <c r="I199" t="s">
        <v>10</v>
      </c>
      <c r="J199" t="s">
        <v>40</v>
      </c>
    </row>
    <row r="200" spans="1:10" x14ac:dyDescent="0.25">
      <c r="A200" t="s">
        <v>427</v>
      </c>
      <c r="B200" t="s">
        <v>428</v>
      </c>
      <c r="C200">
        <v>16</v>
      </c>
      <c r="D200">
        <v>1855</v>
      </c>
      <c r="E200">
        <v>9</v>
      </c>
      <c r="F200">
        <v>538.72234945114553</v>
      </c>
      <c r="G200">
        <v>33.670146840696603</v>
      </c>
      <c r="H200">
        <f>ROUND(100*SQRT(G200/G$2),1)</f>
        <v>21.7</v>
      </c>
      <c r="I200" t="s">
        <v>62</v>
      </c>
      <c r="J200" t="s">
        <v>4</v>
      </c>
    </row>
    <row r="201" spans="1:10" x14ac:dyDescent="0.25">
      <c r="A201" t="s">
        <v>443</v>
      </c>
      <c r="B201" t="s">
        <v>444</v>
      </c>
      <c r="C201">
        <v>12</v>
      </c>
      <c r="D201">
        <v>786</v>
      </c>
      <c r="E201">
        <v>1</v>
      </c>
      <c r="F201">
        <v>405.34308235040447</v>
      </c>
      <c r="G201">
        <v>33.778590195867039</v>
      </c>
      <c r="H201">
        <f>ROUND(100*SQRT(G201/G$2),1)</f>
        <v>21.7</v>
      </c>
      <c r="I201" t="s">
        <v>10</v>
      </c>
      <c r="J201" t="s">
        <v>40</v>
      </c>
    </row>
    <row r="202" spans="1:10" x14ac:dyDescent="0.25">
      <c r="A202" t="s">
        <v>423</v>
      </c>
      <c r="B202" t="s">
        <v>424</v>
      </c>
      <c r="C202">
        <v>30</v>
      </c>
      <c r="D202">
        <v>7445</v>
      </c>
      <c r="E202">
        <v>5</v>
      </c>
      <c r="F202">
        <v>1010.558275221903</v>
      </c>
      <c r="G202">
        <v>33.6852758407301</v>
      </c>
      <c r="H202">
        <f>ROUND(100*SQRT(G202/G$2),1)</f>
        <v>21.7</v>
      </c>
      <c r="I202" t="s">
        <v>62</v>
      </c>
      <c r="J202" t="s">
        <v>4</v>
      </c>
    </row>
    <row r="203" spans="1:10" x14ac:dyDescent="0.25">
      <c r="A203" t="s">
        <v>425</v>
      </c>
      <c r="B203" t="s">
        <v>426</v>
      </c>
      <c r="C203">
        <v>25</v>
      </c>
      <c r="D203">
        <v>3737</v>
      </c>
      <c r="E203">
        <v>9</v>
      </c>
      <c r="F203">
        <v>834.77402328888138</v>
      </c>
      <c r="G203">
        <v>33.390960931555263</v>
      </c>
      <c r="H203">
        <f>ROUND(100*SQRT(G203/G$2),1)</f>
        <v>21.6</v>
      </c>
      <c r="I203" t="s">
        <v>62</v>
      </c>
      <c r="J203" t="s">
        <v>4</v>
      </c>
    </row>
    <row r="204" spans="1:10" x14ac:dyDescent="0.25">
      <c r="A204" t="s">
        <v>433</v>
      </c>
      <c r="B204" t="s">
        <v>434</v>
      </c>
      <c r="C204">
        <v>25</v>
      </c>
      <c r="D204">
        <v>2631</v>
      </c>
      <c r="E204">
        <v>5</v>
      </c>
      <c r="F204">
        <v>825.41911078118756</v>
      </c>
      <c r="G204">
        <v>33.016764431247502</v>
      </c>
      <c r="H204">
        <f>ROUND(100*SQRT(G204/G$2),1)</f>
        <v>21.5</v>
      </c>
      <c r="I204" t="s">
        <v>62</v>
      </c>
      <c r="J204" t="s">
        <v>4</v>
      </c>
    </row>
    <row r="205" spans="1:10" x14ac:dyDescent="0.25">
      <c r="A205" t="s">
        <v>439</v>
      </c>
      <c r="B205" t="s">
        <v>440</v>
      </c>
      <c r="C205">
        <v>40</v>
      </c>
      <c r="D205">
        <v>3619</v>
      </c>
      <c r="E205">
        <v>7</v>
      </c>
      <c r="F205">
        <v>1277.360004105283</v>
      </c>
      <c r="G205">
        <v>31.934000102632069</v>
      </c>
      <c r="H205">
        <f>ROUND(100*SQRT(G205/G$2),1)</f>
        <v>21.1</v>
      </c>
      <c r="I205" t="s">
        <v>62</v>
      </c>
      <c r="J205" t="s">
        <v>4</v>
      </c>
    </row>
    <row r="206" spans="1:10" x14ac:dyDescent="0.25">
      <c r="A206" t="s">
        <v>441</v>
      </c>
      <c r="B206" t="s">
        <v>442</v>
      </c>
      <c r="C206">
        <v>25</v>
      </c>
      <c r="D206">
        <v>2402</v>
      </c>
      <c r="E206">
        <v>5</v>
      </c>
      <c r="F206">
        <v>786.91597713537249</v>
      </c>
      <c r="G206">
        <v>31.476639085414899</v>
      </c>
      <c r="H206">
        <f>ROUND(100*SQRT(G206/G$2),1)</f>
        <v>21</v>
      </c>
      <c r="I206" t="s">
        <v>62</v>
      </c>
      <c r="J206" t="s">
        <v>4</v>
      </c>
    </row>
    <row r="207" spans="1:10" x14ac:dyDescent="0.25">
      <c r="A207" t="s">
        <v>458</v>
      </c>
      <c r="B207" t="s">
        <v>459</v>
      </c>
      <c r="C207">
        <v>10</v>
      </c>
      <c r="D207">
        <v>334</v>
      </c>
      <c r="E207">
        <v>1</v>
      </c>
      <c r="F207">
        <v>304.68603249974819</v>
      </c>
      <c r="G207">
        <v>30.468603249974819</v>
      </c>
      <c r="H207">
        <f>ROUND(100*SQRT(G207/G$2),1)</f>
        <v>20.7</v>
      </c>
      <c r="I207" t="s">
        <v>10</v>
      </c>
      <c r="J207" t="s">
        <v>334</v>
      </c>
    </row>
    <row r="208" spans="1:10" x14ac:dyDescent="0.25">
      <c r="A208" t="s">
        <v>431</v>
      </c>
      <c r="B208" t="s">
        <v>432</v>
      </c>
      <c r="C208">
        <v>13</v>
      </c>
      <c r="D208">
        <v>1930</v>
      </c>
      <c r="E208">
        <v>5</v>
      </c>
      <c r="F208">
        <v>396.96418935611359</v>
      </c>
      <c r="G208">
        <v>30.535706873547198</v>
      </c>
      <c r="H208">
        <f>ROUND(100*SQRT(G208/G$2),1)</f>
        <v>20.7</v>
      </c>
      <c r="I208" t="s">
        <v>62</v>
      </c>
      <c r="J208" t="s">
        <v>4</v>
      </c>
    </row>
    <row r="209" spans="1:10" x14ac:dyDescent="0.25">
      <c r="A209" t="s">
        <v>429</v>
      </c>
      <c r="B209" t="s">
        <v>430</v>
      </c>
      <c r="C209">
        <v>66</v>
      </c>
      <c r="D209">
        <v>4398</v>
      </c>
      <c r="E209">
        <v>5</v>
      </c>
      <c r="F209">
        <v>1994.2706370219739</v>
      </c>
      <c r="G209">
        <v>30.216221773060219</v>
      </c>
      <c r="H209">
        <f>ROUND(100*SQRT(G209/G$2),1)</f>
        <v>20.6</v>
      </c>
      <c r="I209" t="s">
        <v>62</v>
      </c>
      <c r="J209" t="s">
        <v>4</v>
      </c>
    </row>
    <row r="210" spans="1:10" x14ac:dyDescent="0.25">
      <c r="A210" t="s">
        <v>447</v>
      </c>
      <c r="B210" t="s">
        <v>448</v>
      </c>
      <c r="C210">
        <v>74</v>
      </c>
      <c r="D210">
        <v>4713</v>
      </c>
      <c r="E210">
        <v>3</v>
      </c>
      <c r="F210">
        <v>2206.7721244555878</v>
      </c>
      <c r="G210">
        <v>29.821244925075511</v>
      </c>
      <c r="H210">
        <f>ROUND(100*SQRT(G210/G$2),1)</f>
        <v>20.399999999999999</v>
      </c>
      <c r="I210" t="s">
        <v>10</v>
      </c>
      <c r="J210" t="s">
        <v>26</v>
      </c>
    </row>
    <row r="211" spans="1:10" x14ac:dyDescent="0.25">
      <c r="A211" t="s">
        <v>435</v>
      </c>
      <c r="B211" t="s">
        <v>436</v>
      </c>
      <c r="C211">
        <v>76</v>
      </c>
      <c r="D211">
        <v>3760</v>
      </c>
      <c r="E211">
        <v>5</v>
      </c>
      <c r="F211">
        <v>2217.8775913037621</v>
      </c>
      <c r="G211">
        <v>29.182599885575812</v>
      </c>
      <c r="H211">
        <f>ROUND(100*SQRT(G211/G$2),1)</f>
        <v>20.2</v>
      </c>
      <c r="I211" t="s">
        <v>62</v>
      </c>
      <c r="J211" t="s">
        <v>4</v>
      </c>
    </row>
    <row r="212" spans="1:10" x14ac:dyDescent="0.25">
      <c r="A212" t="s">
        <v>437</v>
      </c>
      <c r="B212" t="s">
        <v>438</v>
      </c>
      <c r="C212">
        <v>85</v>
      </c>
      <c r="D212">
        <v>6651</v>
      </c>
      <c r="E212">
        <v>9</v>
      </c>
      <c r="F212">
        <v>2371.8426376982438</v>
      </c>
      <c r="G212">
        <v>27.90403103174404</v>
      </c>
      <c r="H212">
        <f>ROUND(100*SQRT(G212/G$2),1)</f>
        <v>19.8</v>
      </c>
      <c r="I212" t="s">
        <v>62</v>
      </c>
      <c r="J212" t="s">
        <v>4</v>
      </c>
    </row>
    <row r="213" spans="1:10" x14ac:dyDescent="0.25">
      <c r="A213" t="s">
        <v>451</v>
      </c>
      <c r="B213" t="s">
        <v>455</v>
      </c>
      <c r="C213">
        <v>85</v>
      </c>
      <c r="D213">
        <v>4759</v>
      </c>
      <c r="E213">
        <v>4</v>
      </c>
      <c r="F213">
        <v>2297.5903661547359</v>
      </c>
      <c r="G213">
        <v>27.03047489593807</v>
      </c>
      <c r="H213">
        <f>ROUND(100*SQRT(G213/G$2),1)</f>
        <v>19.5</v>
      </c>
      <c r="I213" t="s">
        <v>62</v>
      </c>
      <c r="J213" t="s">
        <v>4</v>
      </c>
    </row>
    <row r="214" spans="1:10" x14ac:dyDescent="0.25">
      <c r="A214" t="s">
        <v>478</v>
      </c>
      <c r="B214" t="s">
        <v>479</v>
      </c>
      <c r="C214">
        <v>46</v>
      </c>
      <c r="D214">
        <v>2827</v>
      </c>
      <c r="E214">
        <v>9</v>
      </c>
      <c r="F214">
        <v>1061.2770063291321</v>
      </c>
      <c r="G214">
        <v>23.071239268024598</v>
      </c>
      <c r="H214">
        <f>ROUND(100*SQRT(G214/G$2),1)</f>
        <v>18</v>
      </c>
      <c r="I214" t="s">
        <v>62</v>
      </c>
      <c r="J214" t="s">
        <v>4</v>
      </c>
    </row>
    <row r="215" spans="1:10" x14ac:dyDescent="0.25">
      <c r="A215" t="s">
        <v>456</v>
      </c>
      <c r="B215" t="s">
        <v>457</v>
      </c>
      <c r="C215">
        <v>47</v>
      </c>
      <c r="D215">
        <v>2970</v>
      </c>
      <c r="E215">
        <v>3</v>
      </c>
      <c r="F215">
        <v>1001.798152159113</v>
      </c>
      <c r="G215">
        <v>21.314854301257721</v>
      </c>
      <c r="H215">
        <f>ROUND(100*SQRT(G215/G$2),1)</f>
        <v>17.3</v>
      </c>
      <c r="I215" t="s">
        <v>62</v>
      </c>
      <c r="J215" t="s">
        <v>4</v>
      </c>
    </row>
    <row r="216" spans="1:10" x14ac:dyDescent="0.25">
      <c r="A216" t="s">
        <v>462</v>
      </c>
      <c r="B216" t="s">
        <v>463</v>
      </c>
      <c r="C216">
        <v>7</v>
      </c>
      <c r="D216">
        <v>324</v>
      </c>
      <c r="E216">
        <v>0</v>
      </c>
      <c r="F216">
        <v>137.54458851552309</v>
      </c>
      <c r="G216">
        <v>19.649226930789009</v>
      </c>
      <c r="H216">
        <f>ROUND(100*SQRT(G216/G$2),1)</f>
        <v>16.600000000000001</v>
      </c>
      <c r="I216" t="s">
        <v>10</v>
      </c>
      <c r="J216" t="s">
        <v>26</v>
      </c>
    </row>
    <row r="217" spans="1:10" x14ac:dyDescent="0.25">
      <c r="A217" t="s">
        <v>460</v>
      </c>
      <c r="B217" t="s">
        <v>461</v>
      </c>
      <c r="C217">
        <v>42</v>
      </c>
      <c r="D217">
        <v>3551</v>
      </c>
      <c r="E217">
        <v>6</v>
      </c>
      <c r="F217">
        <v>813.33575051153662</v>
      </c>
      <c r="G217">
        <v>19.365136916941349</v>
      </c>
      <c r="H217">
        <f>ROUND(100*SQRT(G217/G$2),1)</f>
        <v>16.5</v>
      </c>
      <c r="I217" t="s">
        <v>62</v>
      </c>
      <c r="J217" t="s">
        <v>4</v>
      </c>
    </row>
    <row r="218" spans="1:10" x14ac:dyDescent="0.25">
      <c r="A218" t="s">
        <v>464</v>
      </c>
      <c r="B218" t="s">
        <v>465</v>
      </c>
      <c r="C218">
        <v>49</v>
      </c>
      <c r="D218">
        <v>4033</v>
      </c>
      <c r="E218">
        <v>2</v>
      </c>
      <c r="F218">
        <v>940.3902326604599</v>
      </c>
      <c r="G218">
        <v>19.19163740123388</v>
      </c>
      <c r="H218">
        <f>ROUND(100*SQRT(G218/G$2),1)</f>
        <v>16.399999999999999</v>
      </c>
      <c r="I218" t="s">
        <v>62</v>
      </c>
      <c r="J218" t="s">
        <v>4</v>
      </c>
    </row>
    <row r="219" spans="1:10" x14ac:dyDescent="0.25">
      <c r="A219" t="s">
        <v>466</v>
      </c>
      <c r="B219" t="s">
        <v>467</v>
      </c>
      <c r="C219">
        <v>89</v>
      </c>
      <c r="D219">
        <v>5946</v>
      </c>
      <c r="E219">
        <v>9</v>
      </c>
      <c r="F219">
        <v>1700.299659214897</v>
      </c>
      <c r="G219">
        <v>19.104490552976369</v>
      </c>
      <c r="H219">
        <f>ROUND(100*SQRT(G219/G$2),1)</f>
        <v>16.399999999999999</v>
      </c>
      <c r="I219" t="s">
        <v>62</v>
      </c>
      <c r="J219" t="s">
        <v>4</v>
      </c>
    </row>
    <row r="220" spans="1:10" x14ac:dyDescent="0.25">
      <c r="A220" t="s">
        <v>707</v>
      </c>
      <c r="B220" t="s">
        <v>708</v>
      </c>
      <c r="C220">
        <v>45</v>
      </c>
      <c r="D220">
        <v>1953</v>
      </c>
      <c r="E220">
        <v>4</v>
      </c>
      <c r="F220">
        <v>818.80633773621548</v>
      </c>
      <c r="G220">
        <v>18.195696394138121</v>
      </c>
      <c r="H220">
        <f>ROUND(100*SQRT(G220/G$2),1)</f>
        <v>16</v>
      </c>
      <c r="I220" t="s">
        <v>62</v>
      </c>
      <c r="J220" t="s">
        <v>4</v>
      </c>
    </row>
    <row r="221" spans="1:10" x14ac:dyDescent="0.25">
      <c r="A221" t="s">
        <v>474</v>
      </c>
      <c r="B221" t="s">
        <v>475</v>
      </c>
      <c r="C221">
        <v>19</v>
      </c>
      <c r="D221">
        <v>1153</v>
      </c>
      <c r="E221">
        <v>6</v>
      </c>
      <c r="F221">
        <v>349.27742090960982</v>
      </c>
      <c r="G221">
        <v>18.383022153137361</v>
      </c>
      <c r="H221">
        <f>ROUND(100*SQRT(G221/G$2),1)</f>
        <v>16</v>
      </c>
      <c r="I221" t="s">
        <v>62</v>
      </c>
      <c r="J221" t="s">
        <v>4</v>
      </c>
    </row>
    <row r="222" spans="1:10" x14ac:dyDescent="0.25">
      <c r="A222" t="s">
        <v>468</v>
      </c>
      <c r="B222" t="s">
        <v>469</v>
      </c>
      <c r="C222">
        <v>53</v>
      </c>
      <c r="D222">
        <v>2835</v>
      </c>
      <c r="E222">
        <v>5</v>
      </c>
      <c r="F222">
        <v>941.39135950654872</v>
      </c>
      <c r="G222">
        <v>17.76210112276507</v>
      </c>
      <c r="H222">
        <f>ROUND(100*SQRT(G222/G$2),1)</f>
        <v>15.8</v>
      </c>
      <c r="I222" t="s">
        <v>62</v>
      </c>
      <c r="J222" t="s">
        <v>4</v>
      </c>
    </row>
    <row r="223" spans="1:10" x14ac:dyDescent="0.25">
      <c r="A223" t="s">
        <v>482</v>
      </c>
      <c r="B223" t="s">
        <v>483</v>
      </c>
      <c r="C223">
        <v>56</v>
      </c>
      <c r="D223">
        <v>5275</v>
      </c>
      <c r="E223">
        <v>6</v>
      </c>
      <c r="F223">
        <v>993.8398838691262</v>
      </c>
      <c r="G223">
        <v>17.747140783377251</v>
      </c>
      <c r="H223">
        <f>ROUND(100*SQRT(G223/G$2),1)</f>
        <v>15.8</v>
      </c>
      <c r="I223" t="s">
        <v>62</v>
      </c>
      <c r="J223" t="s">
        <v>4</v>
      </c>
    </row>
    <row r="224" spans="1:10" x14ac:dyDescent="0.25">
      <c r="A224" t="s">
        <v>470</v>
      </c>
      <c r="B224" t="s">
        <v>471</v>
      </c>
      <c r="C224">
        <v>42</v>
      </c>
      <c r="D224">
        <v>3028</v>
      </c>
      <c r="E224">
        <v>5</v>
      </c>
      <c r="F224">
        <v>708.49281479113074</v>
      </c>
      <c r="G224">
        <v>16.868876542645971</v>
      </c>
      <c r="H224">
        <f>ROUND(100*SQRT(G224/G$2),1)</f>
        <v>15.4</v>
      </c>
      <c r="I224" t="s">
        <v>62</v>
      </c>
      <c r="J224" t="s">
        <v>4</v>
      </c>
    </row>
    <row r="225" spans="1:10" x14ac:dyDescent="0.25">
      <c r="A225" t="s">
        <v>476</v>
      </c>
      <c r="B225" t="s">
        <v>477</v>
      </c>
      <c r="C225">
        <v>51</v>
      </c>
      <c r="D225">
        <v>3352</v>
      </c>
      <c r="E225">
        <v>5</v>
      </c>
      <c r="F225">
        <v>828.29192419064816</v>
      </c>
      <c r="G225">
        <v>16.24101812138526</v>
      </c>
      <c r="H225">
        <f>ROUND(100*SQRT(G225/G$2),1)</f>
        <v>15.1</v>
      </c>
      <c r="I225" t="s">
        <v>62</v>
      </c>
      <c r="J225" t="s">
        <v>4</v>
      </c>
    </row>
    <row r="226" spans="1:10" x14ac:dyDescent="0.25">
      <c r="A226" t="s">
        <v>472</v>
      </c>
      <c r="B226" t="s">
        <v>473</v>
      </c>
      <c r="C226">
        <v>151</v>
      </c>
      <c r="D226">
        <v>9147</v>
      </c>
      <c r="E226">
        <v>5</v>
      </c>
      <c r="F226">
        <v>2473.3444569915309</v>
      </c>
      <c r="G226">
        <v>16.37976461583796</v>
      </c>
      <c r="H226">
        <f>ROUND(100*SQRT(G226/G$2),1)</f>
        <v>15.1</v>
      </c>
      <c r="I226" t="s">
        <v>62</v>
      </c>
      <c r="J226" t="s">
        <v>4</v>
      </c>
    </row>
    <row r="227" spans="1:10" x14ac:dyDescent="0.25">
      <c r="A227" t="s">
        <v>480</v>
      </c>
      <c r="B227" t="s">
        <v>481</v>
      </c>
      <c r="C227">
        <v>98</v>
      </c>
      <c r="D227">
        <v>5681</v>
      </c>
      <c r="E227">
        <v>5</v>
      </c>
      <c r="F227">
        <v>1565.0499560663461</v>
      </c>
      <c r="G227">
        <v>15.969897510881079</v>
      </c>
      <c r="H227">
        <f>ROUND(100*SQRT(G227/G$2),1)</f>
        <v>15</v>
      </c>
      <c r="I227" t="s">
        <v>62</v>
      </c>
      <c r="J227" t="s">
        <v>4</v>
      </c>
    </row>
    <row r="228" spans="1:10" x14ac:dyDescent="0.25">
      <c r="A228" t="s">
        <v>490</v>
      </c>
      <c r="B228" t="s">
        <v>491</v>
      </c>
      <c r="C228">
        <v>31</v>
      </c>
      <c r="D228">
        <v>2950</v>
      </c>
      <c r="E228">
        <v>5</v>
      </c>
      <c r="F228">
        <v>499.08098988568219</v>
      </c>
      <c r="G228">
        <v>16.09938677050588</v>
      </c>
      <c r="H228">
        <f>ROUND(100*SQRT(G228/G$2),1)</f>
        <v>15</v>
      </c>
      <c r="I228" t="s">
        <v>62</v>
      </c>
      <c r="J228" t="s">
        <v>4</v>
      </c>
    </row>
    <row r="229" spans="1:10" x14ac:dyDescent="0.25">
      <c r="A229" t="s">
        <v>494</v>
      </c>
      <c r="B229" t="s">
        <v>495</v>
      </c>
      <c r="C229">
        <v>22</v>
      </c>
      <c r="D229">
        <v>1910</v>
      </c>
      <c r="E229">
        <v>5</v>
      </c>
      <c r="F229">
        <v>338.72483112625213</v>
      </c>
      <c r="G229">
        <v>15.39658323301146</v>
      </c>
      <c r="H229">
        <f>ROUND(100*SQRT(G229/G$2),1)</f>
        <v>14.7</v>
      </c>
      <c r="I229" t="s">
        <v>62</v>
      </c>
      <c r="J229" t="s">
        <v>4</v>
      </c>
    </row>
    <row r="230" spans="1:10" x14ac:dyDescent="0.25">
      <c r="A230" t="s">
        <v>504</v>
      </c>
      <c r="B230" t="s">
        <v>505</v>
      </c>
      <c r="C230">
        <v>18</v>
      </c>
      <c r="D230">
        <v>1782</v>
      </c>
      <c r="E230">
        <v>0</v>
      </c>
      <c r="F230">
        <v>277.29870985216462</v>
      </c>
      <c r="G230">
        <v>15.40548388067581</v>
      </c>
      <c r="H230">
        <f>ROUND(100*SQRT(G230/G$2),1)</f>
        <v>14.7</v>
      </c>
      <c r="I230" t="s">
        <v>10</v>
      </c>
      <c r="J230" t="s">
        <v>178</v>
      </c>
    </row>
    <row r="231" spans="1:10" x14ac:dyDescent="0.25">
      <c r="A231" t="s">
        <v>492</v>
      </c>
      <c r="B231" t="s">
        <v>493</v>
      </c>
      <c r="C231">
        <v>65</v>
      </c>
      <c r="D231">
        <v>5355</v>
      </c>
      <c r="E231">
        <v>9</v>
      </c>
      <c r="F231">
        <v>995.55333253725894</v>
      </c>
      <c r="G231">
        <v>15.31620511595783</v>
      </c>
      <c r="H231">
        <f>ROUND(100*SQRT(G231/G$2),1)</f>
        <v>14.6</v>
      </c>
      <c r="I231" t="s">
        <v>62</v>
      </c>
      <c r="J231" t="s">
        <v>4</v>
      </c>
    </row>
    <row r="232" spans="1:10" x14ac:dyDescent="0.25">
      <c r="A232" t="s">
        <v>498</v>
      </c>
      <c r="B232" t="s">
        <v>499</v>
      </c>
      <c r="C232">
        <v>74</v>
      </c>
      <c r="D232">
        <v>9126</v>
      </c>
      <c r="E232">
        <v>15</v>
      </c>
      <c r="F232">
        <v>1112.1941497083201</v>
      </c>
      <c r="G232">
        <v>15.02965067173405</v>
      </c>
      <c r="H232">
        <f>ROUND(100*SQRT(G232/G$2),1)</f>
        <v>14.5</v>
      </c>
      <c r="I232" t="s">
        <v>62</v>
      </c>
      <c r="J232" t="s">
        <v>4</v>
      </c>
    </row>
    <row r="233" spans="1:10" x14ac:dyDescent="0.25">
      <c r="A233" t="s">
        <v>486</v>
      </c>
      <c r="B233" t="s">
        <v>487</v>
      </c>
      <c r="C233">
        <v>46</v>
      </c>
      <c r="D233">
        <v>3358</v>
      </c>
      <c r="E233">
        <v>5</v>
      </c>
      <c r="F233">
        <v>661.80453469037479</v>
      </c>
      <c r="G233">
        <v>14.38705510196467</v>
      </c>
      <c r="H233">
        <f>ROUND(100*SQRT(G233/G$2),1)</f>
        <v>14.2</v>
      </c>
      <c r="I233" t="s">
        <v>62</v>
      </c>
      <c r="J233" t="s">
        <v>4</v>
      </c>
    </row>
    <row r="234" spans="1:10" x14ac:dyDescent="0.25">
      <c r="A234" t="s">
        <v>532</v>
      </c>
      <c r="B234" t="s">
        <v>533</v>
      </c>
      <c r="C234">
        <v>13</v>
      </c>
      <c r="D234">
        <v>1899</v>
      </c>
      <c r="E234">
        <v>4</v>
      </c>
      <c r="F234">
        <v>187.16064828352211</v>
      </c>
      <c r="G234">
        <v>14.39697294488631</v>
      </c>
      <c r="H234">
        <f>ROUND(100*SQRT(G234/G$2),1)</f>
        <v>14.2</v>
      </c>
      <c r="I234" t="s">
        <v>62</v>
      </c>
      <c r="J234" t="s">
        <v>4</v>
      </c>
    </row>
    <row r="235" spans="1:10" x14ac:dyDescent="0.25">
      <c r="A235" t="s">
        <v>484</v>
      </c>
      <c r="B235" t="s">
        <v>485</v>
      </c>
      <c r="C235">
        <v>33</v>
      </c>
      <c r="D235">
        <v>3405</v>
      </c>
      <c r="E235">
        <v>6</v>
      </c>
      <c r="F235">
        <v>453.58879137335032</v>
      </c>
      <c r="G235">
        <v>13.745114890101521</v>
      </c>
      <c r="H235">
        <f>ROUND(100*SQRT(G235/G$2),1)</f>
        <v>13.9</v>
      </c>
      <c r="I235" t="s">
        <v>62</v>
      </c>
      <c r="J235" t="s">
        <v>4</v>
      </c>
    </row>
    <row r="236" spans="1:10" x14ac:dyDescent="0.25">
      <c r="A236" t="s">
        <v>502</v>
      </c>
      <c r="B236" t="s">
        <v>503</v>
      </c>
      <c r="C236">
        <v>13</v>
      </c>
      <c r="D236">
        <v>2272</v>
      </c>
      <c r="E236">
        <v>7</v>
      </c>
      <c r="F236">
        <v>176.7339465303252</v>
      </c>
      <c r="G236">
        <v>13.594918963871169</v>
      </c>
      <c r="H236">
        <f>ROUND(100*SQRT(G236/G$2),1)</f>
        <v>13.8</v>
      </c>
      <c r="I236" t="s">
        <v>62</v>
      </c>
      <c r="J236" t="s">
        <v>4</v>
      </c>
    </row>
    <row r="237" spans="1:10" x14ac:dyDescent="0.25">
      <c r="A237" t="s">
        <v>552</v>
      </c>
      <c r="B237" t="s">
        <v>553</v>
      </c>
      <c r="C237">
        <v>13</v>
      </c>
      <c r="D237">
        <v>2312</v>
      </c>
      <c r="E237">
        <v>5</v>
      </c>
      <c r="F237">
        <v>166.6846140194568</v>
      </c>
      <c r="G237">
        <v>12.821893386112061</v>
      </c>
      <c r="H237">
        <f>ROUND(100*SQRT(G237/G$2),1)</f>
        <v>13.4</v>
      </c>
      <c r="I237" t="s">
        <v>62</v>
      </c>
      <c r="J237" t="s">
        <v>4</v>
      </c>
    </row>
    <row r="238" spans="1:10" x14ac:dyDescent="0.25">
      <c r="A238" t="s">
        <v>496</v>
      </c>
      <c r="B238" t="s">
        <v>497</v>
      </c>
      <c r="C238">
        <v>71</v>
      </c>
      <c r="D238">
        <v>2941</v>
      </c>
      <c r="E238">
        <v>4</v>
      </c>
      <c r="F238">
        <v>881.14260697208999</v>
      </c>
      <c r="G238">
        <v>12.41045925312803</v>
      </c>
      <c r="H238">
        <f>ROUND(100*SQRT(G238/G$2),1)</f>
        <v>13.2</v>
      </c>
      <c r="I238" t="s">
        <v>62</v>
      </c>
      <c r="J238" t="s">
        <v>4</v>
      </c>
    </row>
    <row r="239" spans="1:10" x14ac:dyDescent="0.25">
      <c r="A239" t="s">
        <v>488</v>
      </c>
      <c r="B239" t="s">
        <v>489</v>
      </c>
      <c r="C239">
        <v>77</v>
      </c>
      <c r="D239">
        <v>5831</v>
      </c>
      <c r="E239">
        <v>7</v>
      </c>
      <c r="F239">
        <v>958.50422239453212</v>
      </c>
      <c r="G239">
        <v>12.448106784344571</v>
      </c>
      <c r="H239">
        <f>ROUND(100*SQRT(G239/G$2),1)</f>
        <v>13.2</v>
      </c>
      <c r="I239" t="s">
        <v>62</v>
      </c>
      <c r="J239" t="s">
        <v>4</v>
      </c>
    </row>
    <row r="240" spans="1:10" x14ac:dyDescent="0.25">
      <c r="A240" t="s">
        <v>500</v>
      </c>
      <c r="B240" t="s">
        <v>501</v>
      </c>
      <c r="C240">
        <v>70</v>
      </c>
      <c r="D240">
        <v>9123</v>
      </c>
      <c r="E240">
        <v>11</v>
      </c>
      <c r="F240">
        <v>838.2480806712415</v>
      </c>
      <c r="G240">
        <v>11.97497258101774</v>
      </c>
      <c r="H240">
        <f>ROUND(100*SQRT(G240/G$2),1)</f>
        <v>12.9</v>
      </c>
      <c r="I240" t="s">
        <v>62</v>
      </c>
      <c r="J240" t="s">
        <v>4</v>
      </c>
    </row>
    <row r="241" spans="1:10" x14ac:dyDescent="0.25">
      <c r="A241" t="s">
        <v>512</v>
      </c>
      <c r="B241" t="s">
        <v>513</v>
      </c>
      <c r="C241">
        <v>141</v>
      </c>
      <c r="D241">
        <v>9395</v>
      </c>
      <c r="E241">
        <v>11</v>
      </c>
      <c r="F241">
        <v>1668.8881275697991</v>
      </c>
      <c r="G241">
        <v>11.836086011133331</v>
      </c>
      <c r="H241">
        <f>ROUND(100*SQRT(G241/G$2),1)</f>
        <v>12.9</v>
      </c>
      <c r="I241" t="s">
        <v>10</v>
      </c>
      <c r="J241" t="s">
        <v>40</v>
      </c>
    </row>
    <row r="242" spans="1:10" x14ac:dyDescent="0.25">
      <c r="A242" t="s">
        <v>516</v>
      </c>
      <c r="B242" t="s">
        <v>517</v>
      </c>
      <c r="C242">
        <v>49</v>
      </c>
      <c r="D242">
        <v>3203</v>
      </c>
      <c r="E242">
        <v>7</v>
      </c>
      <c r="F242">
        <v>549.38215549476342</v>
      </c>
      <c r="G242">
        <v>11.211880724382929</v>
      </c>
      <c r="H242">
        <f>ROUND(100*SQRT(G242/G$2),1)</f>
        <v>12.5</v>
      </c>
      <c r="I242" t="s">
        <v>62</v>
      </c>
      <c r="J242" t="s">
        <v>4</v>
      </c>
    </row>
    <row r="243" spans="1:10" x14ac:dyDescent="0.25">
      <c r="A243" t="s">
        <v>514</v>
      </c>
      <c r="B243" t="s">
        <v>515</v>
      </c>
      <c r="C243">
        <v>58</v>
      </c>
      <c r="D243">
        <v>3978</v>
      </c>
      <c r="E243">
        <v>9</v>
      </c>
      <c r="F243">
        <v>630.40305252438623</v>
      </c>
      <c r="G243">
        <v>10.869018146972181</v>
      </c>
      <c r="H243">
        <f>ROUND(100*SQRT(G243/G$2),1)</f>
        <v>12.3</v>
      </c>
      <c r="I243" t="s">
        <v>62</v>
      </c>
      <c r="J243" t="s">
        <v>4</v>
      </c>
    </row>
    <row r="244" spans="1:10" x14ac:dyDescent="0.25">
      <c r="A244" t="s">
        <v>524</v>
      </c>
      <c r="B244" t="s">
        <v>525</v>
      </c>
      <c r="C244">
        <v>66</v>
      </c>
      <c r="D244">
        <v>3423</v>
      </c>
      <c r="E244">
        <v>5</v>
      </c>
      <c r="F244">
        <v>715.99672249005664</v>
      </c>
      <c r="G244">
        <v>10.848435189243281</v>
      </c>
      <c r="H244">
        <f>ROUND(100*SQRT(G244/G$2),1)</f>
        <v>12.3</v>
      </c>
      <c r="I244" t="s">
        <v>62</v>
      </c>
      <c r="J244" t="s">
        <v>4</v>
      </c>
    </row>
    <row r="245" spans="1:10" x14ac:dyDescent="0.25">
      <c r="A245" t="s">
        <v>518</v>
      </c>
      <c r="B245" t="s">
        <v>519</v>
      </c>
      <c r="C245">
        <v>60</v>
      </c>
      <c r="D245">
        <v>3474</v>
      </c>
      <c r="E245">
        <v>5</v>
      </c>
      <c r="F245">
        <v>640.2705186063838</v>
      </c>
      <c r="G245">
        <v>10.671175310106401</v>
      </c>
      <c r="H245">
        <f>ROUND(100*SQRT(G245/G$2),1)</f>
        <v>12.2</v>
      </c>
      <c r="I245" t="s">
        <v>62</v>
      </c>
      <c r="J245" t="s">
        <v>4</v>
      </c>
    </row>
    <row r="246" spans="1:10" x14ac:dyDescent="0.25">
      <c r="A246" t="s">
        <v>506</v>
      </c>
      <c r="B246" t="s">
        <v>507</v>
      </c>
      <c r="C246">
        <v>69</v>
      </c>
      <c r="D246">
        <v>5601</v>
      </c>
      <c r="E246">
        <v>10</v>
      </c>
      <c r="F246">
        <v>705.93157170594031</v>
      </c>
      <c r="G246">
        <v>10.230892343564349</v>
      </c>
      <c r="H246">
        <f>ROUND(100*SQRT(G246/G$2),1)</f>
        <v>12</v>
      </c>
      <c r="I246" t="s">
        <v>62</v>
      </c>
      <c r="J246" t="s">
        <v>4</v>
      </c>
    </row>
    <row r="247" spans="1:10" x14ac:dyDescent="0.25">
      <c r="A247" t="s">
        <v>508</v>
      </c>
      <c r="B247" t="s">
        <v>509</v>
      </c>
      <c r="C247">
        <v>81</v>
      </c>
      <c r="D247">
        <v>4900</v>
      </c>
      <c r="E247">
        <v>9</v>
      </c>
      <c r="F247">
        <v>830.45098377040586</v>
      </c>
      <c r="G247">
        <v>10.25248128111612</v>
      </c>
      <c r="H247">
        <f>ROUND(100*SQRT(G247/G$2),1)</f>
        <v>12</v>
      </c>
      <c r="I247" t="s">
        <v>62</v>
      </c>
      <c r="J247" t="s">
        <v>4</v>
      </c>
    </row>
    <row r="248" spans="1:10" x14ac:dyDescent="0.25">
      <c r="A248" t="s">
        <v>510</v>
      </c>
      <c r="B248" t="s">
        <v>511</v>
      </c>
      <c r="C248">
        <v>79</v>
      </c>
      <c r="D248">
        <v>8890</v>
      </c>
      <c r="E248">
        <v>6</v>
      </c>
      <c r="F248">
        <v>816.48403368794743</v>
      </c>
      <c r="G248">
        <v>10.335240932758831</v>
      </c>
      <c r="H248">
        <f>ROUND(100*SQRT(G248/G$2),1)</f>
        <v>12</v>
      </c>
      <c r="I248" t="s">
        <v>62</v>
      </c>
      <c r="J248" t="s">
        <v>4</v>
      </c>
    </row>
    <row r="249" spans="1:10" x14ac:dyDescent="0.25">
      <c r="A249" t="s">
        <v>528</v>
      </c>
      <c r="B249" t="s">
        <v>529</v>
      </c>
      <c r="C249">
        <v>67</v>
      </c>
      <c r="D249">
        <v>3524</v>
      </c>
      <c r="E249">
        <v>6</v>
      </c>
      <c r="F249">
        <v>694.19842419813813</v>
      </c>
      <c r="G249">
        <v>10.361170510419971</v>
      </c>
      <c r="H249">
        <f>ROUND(100*SQRT(G249/G$2),1)</f>
        <v>12</v>
      </c>
      <c r="I249" t="s">
        <v>62</v>
      </c>
      <c r="J249" t="s">
        <v>4</v>
      </c>
    </row>
    <row r="250" spans="1:10" x14ac:dyDescent="0.25">
      <c r="A250" t="s">
        <v>520</v>
      </c>
      <c r="B250" t="s">
        <v>521</v>
      </c>
      <c r="C250">
        <v>27</v>
      </c>
      <c r="D250">
        <v>1581</v>
      </c>
      <c r="E250">
        <v>6</v>
      </c>
      <c r="F250">
        <v>268.45058657795909</v>
      </c>
      <c r="G250">
        <v>9.9426143177021888</v>
      </c>
      <c r="H250">
        <f>ROUND(100*SQRT(G250/G$2),1)</f>
        <v>11.8</v>
      </c>
      <c r="I250" t="s">
        <v>62</v>
      </c>
      <c r="J250" t="s">
        <v>4</v>
      </c>
    </row>
    <row r="251" spans="1:10" x14ac:dyDescent="0.25">
      <c r="A251" t="s">
        <v>534</v>
      </c>
      <c r="B251" t="s">
        <v>535</v>
      </c>
      <c r="C251">
        <v>20</v>
      </c>
      <c r="D251">
        <v>2142</v>
      </c>
      <c r="E251">
        <v>5</v>
      </c>
      <c r="F251">
        <v>198.9844512822489</v>
      </c>
      <c r="G251">
        <v>9.9492225641124463</v>
      </c>
      <c r="H251">
        <f>ROUND(100*SQRT(G251/G$2),1)</f>
        <v>11.8</v>
      </c>
      <c r="I251" t="s">
        <v>62</v>
      </c>
      <c r="J251" t="s">
        <v>4</v>
      </c>
    </row>
    <row r="252" spans="1:10" x14ac:dyDescent="0.25">
      <c r="A252" t="s">
        <v>540</v>
      </c>
      <c r="B252" t="s">
        <v>541</v>
      </c>
      <c r="C252">
        <v>128</v>
      </c>
      <c r="D252">
        <v>7246</v>
      </c>
      <c r="E252">
        <v>9</v>
      </c>
      <c r="F252">
        <v>1251.770030989366</v>
      </c>
      <c r="G252">
        <v>9.7794533671044235</v>
      </c>
      <c r="H252">
        <f>ROUND(100*SQRT(G252/G$2),1)</f>
        <v>11.7</v>
      </c>
      <c r="I252" t="s">
        <v>62</v>
      </c>
      <c r="J252" t="s">
        <v>4</v>
      </c>
    </row>
    <row r="253" spans="1:10" x14ac:dyDescent="0.25">
      <c r="A253" t="s">
        <v>526</v>
      </c>
      <c r="B253" t="s">
        <v>527</v>
      </c>
      <c r="C253">
        <v>26</v>
      </c>
      <c r="D253">
        <v>781</v>
      </c>
      <c r="E253">
        <v>7</v>
      </c>
      <c r="F253">
        <v>245.89303259700819</v>
      </c>
      <c r="G253">
        <v>9.4574243306541614</v>
      </c>
      <c r="H253">
        <f>ROUND(100*SQRT(G253/G$2),1)</f>
        <v>11.5</v>
      </c>
      <c r="I253" t="s">
        <v>62</v>
      </c>
      <c r="J253" t="s">
        <v>4</v>
      </c>
    </row>
    <row r="254" spans="1:10" x14ac:dyDescent="0.25">
      <c r="A254" t="s">
        <v>542</v>
      </c>
      <c r="B254" t="s">
        <v>543</v>
      </c>
      <c r="C254">
        <v>152</v>
      </c>
      <c r="D254">
        <v>3446</v>
      </c>
      <c r="E254">
        <v>6</v>
      </c>
      <c r="F254">
        <v>1410.9294052583591</v>
      </c>
      <c r="G254">
        <v>9.2824302977523594</v>
      </c>
      <c r="H254">
        <f>ROUND(100*SQRT(G254/G$2),1)</f>
        <v>11.4</v>
      </c>
      <c r="I254" t="s">
        <v>62</v>
      </c>
      <c r="J254" t="s">
        <v>4</v>
      </c>
    </row>
    <row r="255" spans="1:10" x14ac:dyDescent="0.25">
      <c r="A255" t="s">
        <v>544</v>
      </c>
      <c r="B255" t="s">
        <v>545</v>
      </c>
      <c r="C255">
        <v>85</v>
      </c>
      <c r="D255">
        <v>3435</v>
      </c>
      <c r="E255">
        <v>5</v>
      </c>
      <c r="F255">
        <v>784.32491781604961</v>
      </c>
      <c r="G255">
        <v>9.2273519743064654</v>
      </c>
      <c r="H255">
        <f>ROUND(100*SQRT(G255/G$2),1)</f>
        <v>11.4</v>
      </c>
      <c r="I255" t="s">
        <v>62</v>
      </c>
      <c r="J255" t="s">
        <v>4</v>
      </c>
    </row>
    <row r="256" spans="1:10" x14ac:dyDescent="0.25">
      <c r="A256" t="s">
        <v>546</v>
      </c>
      <c r="B256" t="s">
        <v>547</v>
      </c>
      <c r="C256">
        <v>95</v>
      </c>
      <c r="D256">
        <v>5847</v>
      </c>
      <c r="E256">
        <v>7</v>
      </c>
      <c r="F256">
        <v>884.67512267865686</v>
      </c>
      <c r="G256">
        <v>9.3123697124069142</v>
      </c>
      <c r="H256">
        <f>ROUND(100*SQRT(G256/G$2),1)</f>
        <v>11.4</v>
      </c>
      <c r="I256" t="s">
        <v>62</v>
      </c>
      <c r="J256" t="s">
        <v>4</v>
      </c>
    </row>
    <row r="257" spans="1:10" x14ac:dyDescent="0.25">
      <c r="A257" t="s">
        <v>536</v>
      </c>
      <c r="B257" t="s">
        <v>537</v>
      </c>
      <c r="C257">
        <v>56</v>
      </c>
      <c r="D257">
        <v>2605</v>
      </c>
      <c r="E257">
        <v>17</v>
      </c>
      <c r="F257">
        <v>515.86980552203818</v>
      </c>
      <c r="G257">
        <v>9.2119608128935386</v>
      </c>
      <c r="H257">
        <f>ROUND(100*SQRT(G257/G$2),1)</f>
        <v>11.4</v>
      </c>
      <c r="I257" t="s">
        <v>62</v>
      </c>
      <c r="J257" t="s">
        <v>4</v>
      </c>
    </row>
    <row r="258" spans="1:10" x14ac:dyDescent="0.25">
      <c r="A258" t="s">
        <v>538</v>
      </c>
      <c r="B258" t="s">
        <v>539</v>
      </c>
      <c r="C258">
        <v>47</v>
      </c>
      <c r="D258">
        <v>2748</v>
      </c>
      <c r="E258">
        <v>10</v>
      </c>
      <c r="F258">
        <v>432.19482567593229</v>
      </c>
      <c r="G258">
        <v>9.1956345888496234</v>
      </c>
      <c r="H258">
        <f>ROUND(100*SQRT(G258/G$2),1)</f>
        <v>11.3</v>
      </c>
      <c r="I258" t="s">
        <v>62</v>
      </c>
      <c r="J258" t="s">
        <v>4</v>
      </c>
    </row>
    <row r="259" spans="1:10" x14ac:dyDescent="0.25">
      <c r="A259" t="s">
        <v>522</v>
      </c>
      <c r="B259" t="s">
        <v>523</v>
      </c>
      <c r="C259">
        <v>13</v>
      </c>
      <c r="D259">
        <v>1177</v>
      </c>
      <c r="E259">
        <v>5</v>
      </c>
      <c r="F259">
        <v>118.9684668829449</v>
      </c>
      <c r="G259">
        <v>9.1514205294572974</v>
      </c>
      <c r="H259">
        <f>ROUND(100*SQRT(G259/G$2),1)</f>
        <v>11.3</v>
      </c>
      <c r="I259" t="s">
        <v>62</v>
      </c>
      <c r="J259" t="s">
        <v>4</v>
      </c>
    </row>
    <row r="260" spans="1:10" x14ac:dyDescent="0.25">
      <c r="A260" t="s">
        <v>550</v>
      </c>
      <c r="B260" t="s">
        <v>551</v>
      </c>
      <c r="C260">
        <v>76</v>
      </c>
      <c r="D260">
        <v>4076</v>
      </c>
      <c r="E260">
        <v>10</v>
      </c>
      <c r="F260">
        <v>684.83554355639603</v>
      </c>
      <c r="G260">
        <v>9.0109939941631065</v>
      </c>
      <c r="H260">
        <f>ROUND(100*SQRT(G260/G$2),1)</f>
        <v>11.2</v>
      </c>
      <c r="I260" t="s">
        <v>62</v>
      </c>
      <c r="J260" t="s">
        <v>4</v>
      </c>
    </row>
    <row r="261" spans="1:10" x14ac:dyDescent="0.25">
      <c r="A261" t="s">
        <v>572</v>
      </c>
      <c r="B261" t="s">
        <v>573</v>
      </c>
      <c r="C261">
        <v>36</v>
      </c>
      <c r="D261">
        <v>1780</v>
      </c>
      <c r="E261">
        <v>4</v>
      </c>
      <c r="F261">
        <v>315.39053487906602</v>
      </c>
      <c r="G261">
        <v>8.7608481910851665</v>
      </c>
      <c r="H261">
        <f>ROUND(100*SQRT(G261/G$2),1)</f>
        <v>11.1</v>
      </c>
      <c r="I261" t="s">
        <v>62</v>
      </c>
      <c r="J261" t="s">
        <v>4</v>
      </c>
    </row>
    <row r="262" spans="1:10" x14ac:dyDescent="0.25">
      <c r="A262" t="s">
        <v>548</v>
      </c>
      <c r="B262" t="s">
        <v>549</v>
      </c>
      <c r="C262">
        <v>51</v>
      </c>
      <c r="D262">
        <v>2862</v>
      </c>
      <c r="E262">
        <v>20</v>
      </c>
      <c r="F262">
        <v>448.06581437757069</v>
      </c>
      <c r="G262">
        <v>8.7856042034817801</v>
      </c>
      <c r="H262">
        <f>ROUND(100*SQRT(G262/G$2),1)</f>
        <v>11.1</v>
      </c>
      <c r="I262" t="s">
        <v>62</v>
      </c>
      <c r="J262" t="s">
        <v>4</v>
      </c>
    </row>
    <row r="263" spans="1:10" x14ac:dyDescent="0.25">
      <c r="A263" t="s">
        <v>570</v>
      </c>
      <c r="B263" t="s">
        <v>571</v>
      </c>
      <c r="C263">
        <v>45</v>
      </c>
      <c r="D263">
        <v>4042</v>
      </c>
      <c r="E263">
        <v>10</v>
      </c>
      <c r="F263">
        <v>388.57932438663568</v>
      </c>
      <c r="G263">
        <v>8.635096097480794</v>
      </c>
      <c r="H263">
        <f>ROUND(100*SQRT(G263/G$2),1)</f>
        <v>11</v>
      </c>
      <c r="I263" t="s">
        <v>62</v>
      </c>
      <c r="J263" t="s">
        <v>4</v>
      </c>
    </row>
    <row r="264" spans="1:10" x14ac:dyDescent="0.25">
      <c r="A264" t="s">
        <v>530</v>
      </c>
      <c r="B264" t="s">
        <v>531</v>
      </c>
      <c r="C264">
        <v>20</v>
      </c>
      <c r="D264">
        <v>1693</v>
      </c>
      <c r="E264">
        <v>6</v>
      </c>
      <c r="F264">
        <v>171.78313399318461</v>
      </c>
      <c r="G264">
        <v>8.589156699659231</v>
      </c>
      <c r="H264">
        <f>ROUND(100*SQRT(G264/G$2),1)</f>
        <v>11</v>
      </c>
      <c r="I264" t="s">
        <v>62</v>
      </c>
      <c r="J264" t="s">
        <v>4</v>
      </c>
    </row>
    <row r="265" spans="1:10" x14ac:dyDescent="0.25">
      <c r="A265" t="s">
        <v>558</v>
      </c>
      <c r="B265" t="s">
        <v>559</v>
      </c>
      <c r="C265">
        <v>108</v>
      </c>
      <c r="D265">
        <v>5345</v>
      </c>
      <c r="E265">
        <v>5</v>
      </c>
      <c r="F265">
        <v>917.44954997768718</v>
      </c>
      <c r="G265">
        <v>8.4949032405341409</v>
      </c>
      <c r="H265">
        <f>ROUND(100*SQRT(G265/G$2),1)</f>
        <v>10.9</v>
      </c>
      <c r="I265" t="s">
        <v>62</v>
      </c>
      <c r="J265" t="s">
        <v>4</v>
      </c>
    </row>
    <row r="266" spans="1:10" x14ac:dyDescent="0.25">
      <c r="A266" t="s">
        <v>560</v>
      </c>
      <c r="B266" t="s">
        <v>561</v>
      </c>
      <c r="C266">
        <v>190</v>
      </c>
      <c r="D266">
        <v>12853</v>
      </c>
      <c r="E266">
        <v>12</v>
      </c>
      <c r="F266">
        <v>1580.4425368813629</v>
      </c>
      <c r="G266">
        <v>8.3181186151650692</v>
      </c>
      <c r="H266">
        <f>ROUND(100*SQRT(G266/G$2),1)</f>
        <v>10.8</v>
      </c>
      <c r="I266" t="s">
        <v>62</v>
      </c>
      <c r="J266" t="s">
        <v>4</v>
      </c>
    </row>
    <row r="267" spans="1:10" x14ac:dyDescent="0.25">
      <c r="A267" t="s">
        <v>576</v>
      </c>
      <c r="B267" t="s">
        <v>577</v>
      </c>
      <c r="C267">
        <v>24</v>
      </c>
      <c r="D267">
        <v>2094</v>
      </c>
      <c r="E267">
        <v>5</v>
      </c>
      <c r="F267">
        <v>192.93456890446231</v>
      </c>
      <c r="G267">
        <v>8.0389403710192635</v>
      </c>
      <c r="H267">
        <f>ROUND(100*SQRT(G267/G$2),1)</f>
        <v>10.6</v>
      </c>
      <c r="I267" t="s">
        <v>62</v>
      </c>
      <c r="J267" t="s">
        <v>4</v>
      </c>
    </row>
    <row r="268" spans="1:10" x14ac:dyDescent="0.25">
      <c r="A268" t="s">
        <v>564</v>
      </c>
      <c r="B268" t="s">
        <v>565</v>
      </c>
      <c r="C268">
        <v>12</v>
      </c>
      <c r="D268">
        <v>948</v>
      </c>
      <c r="E268">
        <v>5</v>
      </c>
      <c r="F268">
        <v>95.080443210269209</v>
      </c>
      <c r="G268">
        <v>7.9233702675224338</v>
      </c>
      <c r="H268">
        <f>ROUND(100*SQRT(G268/G$2),1)</f>
        <v>10.5</v>
      </c>
      <c r="I268" t="s">
        <v>62</v>
      </c>
      <c r="J268" t="s">
        <v>4</v>
      </c>
    </row>
    <row r="269" spans="1:10" x14ac:dyDescent="0.25">
      <c r="A269" t="s">
        <v>566</v>
      </c>
      <c r="B269" t="s">
        <v>567</v>
      </c>
      <c r="C269">
        <v>74</v>
      </c>
      <c r="D269">
        <v>4506</v>
      </c>
      <c r="E269">
        <v>12</v>
      </c>
      <c r="F269">
        <v>587.80138650917343</v>
      </c>
      <c r="G269">
        <v>7.9432619798536948</v>
      </c>
      <c r="H269">
        <f>ROUND(100*SQRT(G269/G$2),1)</f>
        <v>10.5</v>
      </c>
      <c r="I269" t="s">
        <v>62</v>
      </c>
      <c r="J269" t="s">
        <v>4</v>
      </c>
    </row>
    <row r="270" spans="1:10" x14ac:dyDescent="0.25">
      <c r="A270" t="s">
        <v>580</v>
      </c>
      <c r="B270" t="s">
        <v>581</v>
      </c>
      <c r="C270">
        <v>88</v>
      </c>
      <c r="D270">
        <v>4281</v>
      </c>
      <c r="E270">
        <v>7</v>
      </c>
      <c r="F270">
        <v>685.6905964832589</v>
      </c>
      <c r="G270">
        <v>7.7919385964006693</v>
      </c>
      <c r="H270">
        <f>ROUND(100*SQRT(G270/G$2),1)</f>
        <v>10.4</v>
      </c>
      <c r="I270" t="s">
        <v>62</v>
      </c>
      <c r="J270" t="s">
        <v>4</v>
      </c>
    </row>
    <row r="271" spans="1:10" x14ac:dyDescent="0.25">
      <c r="A271" t="s">
        <v>574</v>
      </c>
      <c r="B271" t="s">
        <v>575</v>
      </c>
      <c r="C271">
        <v>147</v>
      </c>
      <c r="D271">
        <v>5076</v>
      </c>
      <c r="E271">
        <v>14</v>
      </c>
      <c r="F271">
        <v>1119.0447036370031</v>
      </c>
      <c r="G271">
        <v>7.6125490043333546</v>
      </c>
      <c r="H271">
        <f>ROUND(100*SQRT(G271/G$2),1)</f>
        <v>10.3</v>
      </c>
      <c r="I271" t="s">
        <v>62</v>
      </c>
      <c r="J271" t="s">
        <v>4</v>
      </c>
    </row>
    <row r="272" spans="1:10" x14ac:dyDescent="0.25">
      <c r="A272" t="s">
        <v>554</v>
      </c>
      <c r="B272" t="s">
        <v>555</v>
      </c>
      <c r="C272">
        <v>11</v>
      </c>
      <c r="D272">
        <v>681</v>
      </c>
      <c r="E272">
        <v>4</v>
      </c>
      <c r="F272">
        <v>82.349390972226757</v>
      </c>
      <c r="G272">
        <v>7.4863082702024322</v>
      </c>
      <c r="H272">
        <f>ROUND(100*SQRT(G272/G$2),1)</f>
        <v>10.199999999999999</v>
      </c>
      <c r="I272" t="s">
        <v>62</v>
      </c>
      <c r="J272" t="s">
        <v>4</v>
      </c>
    </row>
    <row r="273" spans="1:10" x14ac:dyDescent="0.25">
      <c r="A273" t="s">
        <v>562</v>
      </c>
      <c r="B273" t="s">
        <v>563</v>
      </c>
      <c r="C273">
        <v>20</v>
      </c>
      <c r="D273">
        <v>604</v>
      </c>
      <c r="E273">
        <v>7</v>
      </c>
      <c r="F273">
        <v>146.63039900245761</v>
      </c>
      <c r="G273">
        <v>7.3315199501228774</v>
      </c>
      <c r="H273">
        <f>ROUND(100*SQRT(G273/G$2),1)</f>
        <v>10.1</v>
      </c>
      <c r="I273" t="s">
        <v>62</v>
      </c>
      <c r="J273" t="s">
        <v>4</v>
      </c>
    </row>
    <row r="274" spans="1:10" x14ac:dyDescent="0.25">
      <c r="A274" t="s">
        <v>584</v>
      </c>
      <c r="B274" t="s">
        <v>585</v>
      </c>
      <c r="C274">
        <v>135</v>
      </c>
      <c r="D274">
        <v>6900</v>
      </c>
      <c r="E274">
        <v>7</v>
      </c>
      <c r="F274">
        <v>971.9077692491154</v>
      </c>
      <c r="G274">
        <v>7.1993168092527071</v>
      </c>
      <c r="H274">
        <f>ROUND(100*SQRT(G274/G$2),1)</f>
        <v>10</v>
      </c>
      <c r="I274" t="s">
        <v>62</v>
      </c>
      <c r="J274" t="s">
        <v>4</v>
      </c>
    </row>
    <row r="275" spans="1:10" x14ac:dyDescent="0.25">
      <c r="A275" t="s">
        <v>594</v>
      </c>
      <c r="B275" t="s">
        <v>595</v>
      </c>
      <c r="C275">
        <v>113</v>
      </c>
      <c r="D275">
        <v>4734</v>
      </c>
      <c r="E275">
        <v>7</v>
      </c>
      <c r="F275">
        <v>804.01049275110176</v>
      </c>
      <c r="G275">
        <v>7.1151371039920512</v>
      </c>
      <c r="H275">
        <f>ROUND(100*SQRT(G275/G$2),1)</f>
        <v>10</v>
      </c>
      <c r="I275" t="s">
        <v>62</v>
      </c>
      <c r="J275" t="s">
        <v>4</v>
      </c>
    </row>
    <row r="276" spans="1:10" x14ac:dyDescent="0.25">
      <c r="A276" t="s">
        <v>578</v>
      </c>
      <c r="B276" t="s">
        <v>579</v>
      </c>
      <c r="C276">
        <v>44</v>
      </c>
      <c r="D276">
        <v>4242</v>
      </c>
      <c r="E276">
        <v>16</v>
      </c>
      <c r="F276">
        <v>312.54116066851128</v>
      </c>
      <c r="G276">
        <v>7.1032081970116216</v>
      </c>
      <c r="H276">
        <f>ROUND(100*SQRT(G276/G$2),1)</f>
        <v>10</v>
      </c>
      <c r="I276" t="s">
        <v>62</v>
      </c>
      <c r="J276" t="s">
        <v>4</v>
      </c>
    </row>
    <row r="277" spans="1:10" x14ac:dyDescent="0.25">
      <c r="A277" t="s">
        <v>556</v>
      </c>
      <c r="B277" t="s">
        <v>557</v>
      </c>
      <c r="C277">
        <v>93</v>
      </c>
      <c r="D277">
        <v>2915</v>
      </c>
      <c r="E277">
        <v>3</v>
      </c>
      <c r="F277">
        <v>640.29113599084394</v>
      </c>
      <c r="G277">
        <v>6.8848509246327314</v>
      </c>
      <c r="H277">
        <f>ROUND(100*SQRT(G277/G$2),1)</f>
        <v>9.8000000000000007</v>
      </c>
      <c r="I277" t="s">
        <v>62</v>
      </c>
      <c r="J277" t="s">
        <v>4</v>
      </c>
    </row>
    <row r="278" spans="1:10" x14ac:dyDescent="0.25">
      <c r="A278" t="s">
        <v>588</v>
      </c>
      <c r="B278" t="s">
        <v>589</v>
      </c>
      <c r="C278">
        <v>90</v>
      </c>
      <c r="D278">
        <v>3928</v>
      </c>
      <c r="E278">
        <v>4</v>
      </c>
      <c r="F278">
        <v>604.56047913379996</v>
      </c>
      <c r="G278">
        <v>6.7173386570422213</v>
      </c>
      <c r="H278">
        <f>ROUND(100*SQRT(G278/G$2),1)</f>
        <v>9.6999999999999993</v>
      </c>
      <c r="I278" t="s">
        <v>62</v>
      </c>
      <c r="J278" t="s">
        <v>4</v>
      </c>
    </row>
    <row r="279" spans="1:10" x14ac:dyDescent="0.25">
      <c r="A279" t="s">
        <v>598</v>
      </c>
      <c r="B279" t="s">
        <v>599</v>
      </c>
      <c r="C279">
        <v>113</v>
      </c>
      <c r="D279">
        <v>4013</v>
      </c>
      <c r="E279">
        <v>4</v>
      </c>
      <c r="F279">
        <v>753.29039918310639</v>
      </c>
      <c r="G279">
        <v>6.66628671843457</v>
      </c>
      <c r="H279">
        <f>ROUND(100*SQRT(G279/G$2),1)</f>
        <v>9.6999999999999993</v>
      </c>
      <c r="I279" t="s">
        <v>62</v>
      </c>
      <c r="J279" t="s">
        <v>4</v>
      </c>
    </row>
    <row r="280" spans="1:10" x14ac:dyDescent="0.25">
      <c r="A280" t="s">
        <v>582</v>
      </c>
      <c r="B280" t="s">
        <v>583</v>
      </c>
      <c r="C280">
        <v>19</v>
      </c>
      <c r="D280">
        <v>1152</v>
      </c>
      <c r="E280">
        <v>5</v>
      </c>
      <c r="F280">
        <v>124.5424569605119</v>
      </c>
      <c r="G280">
        <v>6.5548661558164154</v>
      </c>
      <c r="H280">
        <f>ROUND(100*SQRT(G280/G$2),1)</f>
        <v>9.6</v>
      </c>
      <c r="I280" t="s">
        <v>62</v>
      </c>
      <c r="J280" t="s">
        <v>4</v>
      </c>
    </row>
    <row r="281" spans="1:10" x14ac:dyDescent="0.25">
      <c r="A281" t="s">
        <v>568</v>
      </c>
      <c r="B281" t="s">
        <v>569</v>
      </c>
      <c r="C281">
        <v>9</v>
      </c>
      <c r="D281">
        <v>472</v>
      </c>
      <c r="E281">
        <v>5</v>
      </c>
      <c r="F281">
        <v>58.993673693178657</v>
      </c>
      <c r="G281">
        <v>6.5548526325754084</v>
      </c>
      <c r="H281">
        <f>ROUND(100*SQRT(G281/G$2),1)</f>
        <v>9.6</v>
      </c>
      <c r="I281" t="s">
        <v>62</v>
      </c>
      <c r="J281" t="s">
        <v>4</v>
      </c>
    </row>
    <row r="282" spans="1:10" x14ac:dyDescent="0.25">
      <c r="A282" t="s">
        <v>604</v>
      </c>
      <c r="B282" t="s">
        <v>605</v>
      </c>
      <c r="C282">
        <v>50</v>
      </c>
      <c r="D282">
        <v>1284</v>
      </c>
      <c r="E282">
        <v>6</v>
      </c>
      <c r="F282">
        <v>327.7451682256094</v>
      </c>
      <c r="G282">
        <v>6.5549033645121879</v>
      </c>
      <c r="H282">
        <f>ROUND(100*SQRT(G282/G$2),1)</f>
        <v>9.6</v>
      </c>
      <c r="I282" t="s">
        <v>62</v>
      </c>
      <c r="J282" t="s">
        <v>4</v>
      </c>
    </row>
    <row r="283" spans="1:10" x14ac:dyDescent="0.25">
      <c r="A283" t="s">
        <v>586</v>
      </c>
      <c r="B283" t="s">
        <v>587</v>
      </c>
      <c r="C283">
        <v>24</v>
      </c>
      <c r="D283">
        <v>739</v>
      </c>
      <c r="E283">
        <v>4</v>
      </c>
      <c r="F283">
        <v>155.07902790630521</v>
      </c>
      <c r="G283">
        <v>6.4616261627627187</v>
      </c>
      <c r="H283">
        <f>ROUND(100*SQRT(G283/G$2),1)</f>
        <v>9.5</v>
      </c>
      <c r="I283" t="s">
        <v>62</v>
      </c>
      <c r="J283" t="s">
        <v>4</v>
      </c>
    </row>
    <row r="284" spans="1:10" x14ac:dyDescent="0.25">
      <c r="A284" t="s">
        <v>596</v>
      </c>
      <c r="B284" t="s">
        <v>597</v>
      </c>
      <c r="C284">
        <v>64</v>
      </c>
      <c r="D284">
        <v>5366</v>
      </c>
      <c r="E284">
        <v>17</v>
      </c>
      <c r="F284">
        <v>406.0311929633873</v>
      </c>
      <c r="G284">
        <v>6.3442373900529274</v>
      </c>
      <c r="H284">
        <f>ROUND(100*SQRT(G284/G$2),1)</f>
        <v>9.4</v>
      </c>
      <c r="I284" t="s">
        <v>62</v>
      </c>
      <c r="J284" t="s">
        <v>4</v>
      </c>
    </row>
    <row r="285" spans="1:10" x14ac:dyDescent="0.25">
      <c r="A285" t="s">
        <v>602</v>
      </c>
      <c r="B285" t="s">
        <v>603</v>
      </c>
      <c r="C285">
        <v>33</v>
      </c>
      <c r="D285">
        <v>566</v>
      </c>
      <c r="E285">
        <v>4</v>
      </c>
      <c r="F285">
        <v>203.7390149011878</v>
      </c>
      <c r="G285">
        <v>6.1739095424602359</v>
      </c>
      <c r="H285">
        <f>ROUND(100*SQRT(G285/G$2),1)</f>
        <v>9.3000000000000007</v>
      </c>
      <c r="I285" t="s">
        <v>62</v>
      </c>
      <c r="J285" t="s">
        <v>4</v>
      </c>
    </row>
    <row r="286" spans="1:10" x14ac:dyDescent="0.25">
      <c r="A286" t="s">
        <v>592</v>
      </c>
      <c r="B286" t="s">
        <v>593</v>
      </c>
      <c r="C286">
        <v>20</v>
      </c>
      <c r="D286">
        <v>646</v>
      </c>
      <c r="E286">
        <v>4</v>
      </c>
      <c r="F286">
        <v>121.58800145441241</v>
      </c>
      <c r="G286">
        <v>6.0794000727206194</v>
      </c>
      <c r="H286">
        <f>ROUND(100*SQRT(G286/G$2),1)</f>
        <v>9.1999999999999993</v>
      </c>
      <c r="I286" t="s">
        <v>62</v>
      </c>
      <c r="J286" t="s">
        <v>4</v>
      </c>
    </row>
    <row r="287" spans="1:10" x14ac:dyDescent="0.25">
      <c r="A287" t="s">
        <v>612</v>
      </c>
      <c r="B287" t="s">
        <v>613</v>
      </c>
      <c r="C287">
        <v>115</v>
      </c>
      <c r="D287">
        <v>4969</v>
      </c>
      <c r="E287">
        <v>4</v>
      </c>
      <c r="F287">
        <v>678.31660870031976</v>
      </c>
      <c r="G287">
        <v>5.8984052930462587</v>
      </c>
      <c r="H287">
        <f>ROUND(100*SQRT(G287/G$2),1)</f>
        <v>9.1</v>
      </c>
      <c r="I287" t="s">
        <v>62</v>
      </c>
      <c r="J287" t="s">
        <v>4</v>
      </c>
    </row>
    <row r="288" spans="1:10" x14ac:dyDescent="0.25">
      <c r="A288" t="s">
        <v>614</v>
      </c>
      <c r="B288" t="s">
        <v>615</v>
      </c>
      <c r="C288">
        <v>58</v>
      </c>
      <c r="D288">
        <v>2237</v>
      </c>
      <c r="E288">
        <v>9</v>
      </c>
      <c r="F288">
        <v>325.98863431929669</v>
      </c>
      <c r="G288">
        <v>5.6204936951602882</v>
      </c>
      <c r="H288">
        <f>ROUND(100*SQRT(G288/G$2),1)</f>
        <v>8.9</v>
      </c>
      <c r="I288" t="s">
        <v>62</v>
      </c>
      <c r="J288" t="s">
        <v>4</v>
      </c>
    </row>
    <row r="289" spans="1:10" x14ac:dyDescent="0.25">
      <c r="A289" t="s">
        <v>590</v>
      </c>
      <c r="B289" t="s">
        <v>591</v>
      </c>
      <c r="C289">
        <v>71</v>
      </c>
      <c r="D289">
        <v>1735</v>
      </c>
      <c r="E289">
        <v>5</v>
      </c>
      <c r="F289">
        <v>389.00960294814081</v>
      </c>
      <c r="G289">
        <v>5.4790084922273357</v>
      </c>
      <c r="H289">
        <f>ROUND(100*SQRT(G289/G$2),1)</f>
        <v>8.8000000000000007</v>
      </c>
      <c r="I289" t="s">
        <v>62</v>
      </c>
      <c r="J289" t="s">
        <v>4</v>
      </c>
    </row>
    <row r="290" spans="1:10" x14ac:dyDescent="0.25">
      <c r="A290" t="s">
        <v>606</v>
      </c>
      <c r="B290" t="s">
        <v>607</v>
      </c>
      <c r="C290">
        <v>31</v>
      </c>
      <c r="D290">
        <v>1505</v>
      </c>
      <c r="E290">
        <v>6</v>
      </c>
      <c r="F290">
        <v>171.81752534284811</v>
      </c>
      <c r="G290">
        <v>5.5425008175112289</v>
      </c>
      <c r="H290">
        <f>ROUND(100*SQRT(G290/G$2),1)</f>
        <v>8.8000000000000007</v>
      </c>
      <c r="I290" t="s">
        <v>62</v>
      </c>
      <c r="J290" t="s">
        <v>4</v>
      </c>
    </row>
    <row r="291" spans="1:10" x14ac:dyDescent="0.25">
      <c r="A291" t="s">
        <v>608</v>
      </c>
      <c r="B291" t="s">
        <v>609</v>
      </c>
      <c r="C291">
        <v>10</v>
      </c>
      <c r="D291">
        <v>1324</v>
      </c>
      <c r="E291">
        <v>4</v>
      </c>
      <c r="F291">
        <v>55.836565844272428</v>
      </c>
      <c r="G291">
        <v>5.583656584427243</v>
      </c>
      <c r="H291">
        <f>ROUND(100*SQRT(G291/G$2),1)</f>
        <v>8.8000000000000007</v>
      </c>
      <c r="I291" t="s">
        <v>62</v>
      </c>
      <c r="J291" t="s">
        <v>4</v>
      </c>
    </row>
    <row r="292" spans="1:10" x14ac:dyDescent="0.25">
      <c r="A292" t="s">
        <v>618</v>
      </c>
      <c r="B292" t="s">
        <v>619</v>
      </c>
      <c r="C292">
        <v>123</v>
      </c>
      <c r="D292">
        <v>9282</v>
      </c>
      <c r="E292">
        <v>6</v>
      </c>
      <c r="F292">
        <v>675.49903717047505</v>
      </c>
      <c r="G292">
        <v>5.4918620908168707</v>
      </c>
      <c r="H292">
        <f>ROUND(100*SQRT(G292/G$2),1)</f>
        <v>8.8000000000000007</v>
      </c>
      <c r="I292" t="s">
        <v>62</v>
      </c>
      <c r="J292" t="s">
        <v>4</v>
      </c>
    </row>
    <row r="293" spans="1:10" x14ac:dyDescent="0.25">
      <c r="A293" t="s">
        <v>610</v>
      </c>
      <c r="B293" t="s">
        <v>611</v>
      </c>
      <c r="C293">
        <v>15</v>
      </c>
      <c r="D293">
        <v>663</v>
      </c>
      <c r="E293">
        <v>4</v>
      </c>
      <c r="F293">
        <v>82.626462592181937</v>
      </c>
      <c r="G293">
        <v>5.5084308394787964</v>
      </c>
      <c r="H293">
        <f>ROUND(100*SQRT(G293/G$2),1)</f>
        <v>8.8000000000000007</v>
      </c>
      <c r="I293" t="s">
        <v>62</v>
      </c>
      <c r="J293" t="s">
        <v>4</v>
      </c>
    </row>
    <row r="294" spans="1:10" x14ac:dyDescent="0.25">
      <c r="A294" t="s">
        <v>616</v>
      </c>
      <c r="B294" t="s">
        <v>617</v>
      </c>
      <c r="C294">
        <v>195</v>
      </c>
      <c r="D294">
        <v>9713</v>
      </c>
      <c r="E294">
        <v>35</v>
      </c>
      <c r="F294">
        <v>1047.483906962507</v>
      </c>
      <c r="G294">
        <v>5.3717123433974709</v>
      </c>
      <c r="H294">
        <f>ROUND(100*SQRT(G294/G$2),1)</f>
        <v>8.6999999999999993</v>
      </c>
      <c r="I294" t="s">
        <v>62</v>
      </c>
      <c r="J294" t="s">
        <v>4</v>
      </c>
    </row>
    <row r="295" spans="1:10" x14ac:dyDescent="0.25">
      <c r="A295" t="s">
        <v>634</v>
      </c>
      <c r="B295" t="s">
        <v>635</v>
      </c>
      <c r="C295">
        <v>32</v>
      </c>
      <c r="D295">
        <v>1426</v>
      </c>
      <c r="E295">
        <v>4</v>
      </c>
      <c r="F295">
        <v>172.59903474051359</v>
      </c>
      <c r="G295">
        <v>5.3937198356410496</v>
      </c>
      <c r="H295">
        <f>ROUND(100*SQRT(G295/G$2),1)</f>
        <v>8.6999999999999993</v>
      </c>
      <c r="I295" t="s">
        <v>62</v>
      </c>
      <c r="J295" t="s">
        <v>4</v>
      </c>
    </row>
    <row r="296" spans="1:10" x14ac:dyDescent="0.25">
      <c r="A296" t="s">
        <v>600</v>
      </c>
      <c r="B296" t="s">
        <v>601</v>
      </c>
      <c r="C296">
        <v>10</v>
      </c>
      <c r="D296">
        <v>391</v>
      </c>
      <c r="E296">
        <v>5</v>
      </c>
      <c r="F296">
        <v>53.973314464449231</v>
      </c>
      <c r="G296">
        <v>5.3973314464449231</v>
      </c>
      <c r="H296">
        <f>ROUND(100*SQRT(G296/G$2),1)</f>
        <v>8.6999999999999993</v>
      </c>
      <c r="I296" t="s">
        <v>62</v>
      </c>
      <c r="J296" t="s">
        <v>4</v>
      </c>
    </row>
    <row r="297" spans="1:10" x14ac:dyDescent="0.25">
      <c r="A297" t="s">
        <v>626</v>
      </c>
      <c r="B297" t="s">
        <v>627</v>
      </c>
      <c r="C297">
        <v>123</v>
      </c>
      <c r="D297">
        <v>4700</v>
      </c>
      <c r="E297">
        <v>4</v>
      </c>
      <c r="F297">
        <v>655.71396793427698</v>
      </c>
      <c r="G297">
        <v>5.3310078693843659</v>
      </c>
      <c r="H297">
        <f>ROUND(100*SQRT(G297/G$2),1)</f>
        <v>8.6</v>
      </c>
      <c r="I297" t="s">
        <v>62</v>
      </c>
      <c r="J297" t="s">
        <v>4</v>
      </c>
    </row>
    <row r="298" spans="1:10" x14ac:dyDescent="0.25">
      <c r="A298" t="s">
        <v>640</v>
      </c>
      <c r="B298" t="s">
        <v>641</v>
      </c>
      <c r="C298">
        <v>39</v>
      </c>
      <c r="D298">
        <v>859</v>
      </c>
      <c r="E298">
        <v>6</v>
      </c>
      <c r="F298">
        <v>205.9642664705213</v>
      </c>
      <c r="G298">
        <v>5.2811350377056741</v>
      </c>
      <c r="H298">
        <f>ROUND(100*SQRT(G298/G$2),1)</f>
        <v>8.6</v>
      </c>
      <c r="I298" t="s">
        <v>62</v>
      </c>
      <c r="J298" t="s">
        <v>4</v>
      </c>
    </row>
    <row r="299" spans="1:10" x14ac:dyDescent="0.25">
      <c r="A299" t="s">
        <v>624</v>
      </c>
      <c r="B299" t="s">
        <v>625</v>
      </c>
      <c r="C299">
        <v>88</v>
      </c>
      <c r="D299">
        <v>3237</v>
      </c>
      <c r="E299">
        <v>5</v>
      </c>
      <c r="F299">
        <v>463.07101993379467</v>
      </c>
      <c r="G299">
        <v>5.2621706810658493</v>
      </c>
      <c r="H299">
        <f>ROUND(100*SQRT(G299/G$2),1)</f>
        <v>8.6</v>
      </c>
      <c r="I299" t="s">
        <v>62</v>
      </c>
      <c r="J299" t="s">
        <v>4</v>
      </c>
    </row>
    <row r="300" spans="1:10" x14ac:dyDescent="0.25">
      <c r="A300" t="s">
        <v>620</v>
      </c>
      <c r="B300" t="s">
        <v>621</v>
      </c>
      <c r="C300">
        <v>73</v>
      </c>
      <c r="D300">
        <v>2563</v>
      </c>
      <c r="E300">
        <v>10</v>
      </c>
      <c r="F300">
        <v>384.02939416451102</v>
      </c>
      <c r="G300">
        <v>5.2606766323905623</v>
      </c>
      <c r="H300">
        <f>ROUND(100*SQRT(G300/G$2),1)</f>
        <v>8.6</v>
      </c>
      <c r="I300" t="s">
        <v>62</v>
      </c>
      <c r="J300" t="s">
        <v>4</v>
      </c>
    </row>
    <row r="301" spans="1:10" x14ac:dyDescent="0.25">
      <c r="A301" t="s">
        <v>644</v>
      </c>
      <c r="B301" t="s">
        <v>645</v>
      </c>
      <c r="C301">
        <v>70</v>
      </c>
      <c r="D301">
        <v>2786</v>
      </c>
      <c r="E301">
        <v>5</v>
      </c>
      <c r="F301">
        <v>363.08601466508333</v>
      </c>
      <c r="G301">
        <v>5.1869430666440479</v>
      </c>
      <c r="H301">
        <f>ROUND(100*SQRT(G301/G$2),1)</f>
        <v>8.5</v>
      </c>
      <c r="I301" t="s">
        <v>62</v>
      </c>
      <c r="J301" t="s">
        <v>4</v>
      </c>
    </row>
    <row r="302" spans="1:10" x14ac:dyDescent="0.25">
      <c r="A302" t="s">
        <v>622</v>
      </c>
      <c r="B302" t="s">
        <v>623</v>
      </c>
      <c r="C302">
        <v>8</v>
      </c>
      <c r="D302">
        <v>436</v>
      </c>
      <c r="E302">
        <v>4</v>
      </c>
      <c r="F302">
        <v>41.742639692406613</v>
      </c>
      <c r="G302">
        <v>5.2178299615508257</v>
      </c>
      <c r="H302">
        <f>ROUND(100*SQRT(G302/G$2),1)</f>
        <v>8.5</v>
      </c>
      <c r="I302" t="s">
        <v>62</v>
      </c>
      <c r="J302" t="s">
        <v>4</v>
      </c>
    </row>
    <row r="303" spans="1:10" x14ac:dyDescent="0.25">
      <c r="A303" t="s">
        <v>628</v>
      </c>
      <c r="B303" t="s">
        <v>629</v>
      </c>
      <c r="C303">
        <v>189</v>
      </c>
      <c r="D303">
        <v>6239</v>
      </c>
      <c r="E303">
        <v>6</v>
      </c>
      <c r="F303">
        <v>945.73187843508663</v>
      </c>
      <c r="G303">
        <v>5.0038723726724159</v>
      </c>
      <c r="H303">
        <f>ROUND(100*SQRT(G303/G$2),1)</f>
        <v>8.4</v>
      </c>
      <c r="I303" t="s">
        <v>62</v>
      </c>
      <c r="J303" t="s">
        <v>4</v>
      </c>
    </row>
    <row r="304" spans="1:10" x14ac:dyDescent="0.25">
      <c r="A304" t="s">
        <v>636</v>
      </c>
      <c r="B304" t="s">
        <v>637</v>
      </c>
      <c r="C304">
        <v>17</v>
      </c>
      <c r="D304">
        <v>1461</v>
      </c>
      <c r="E304">
        <v>5</v>
      </c>
      <c r="F304">
        <v>83.065817434451105</v>
      </c>
      <c r="G304">
        <v>4.8862245549677121</v>
      </c>
      <c r="H304">
        <f>ROUND(100*SQRT(G304/G$2),1)</f>
        <v>8.3000000000000007</v>
      </c>
      <c r="I304" t="s">
        <v>62</v>
      </c>
      <c r="J304" t="s">
        <v>4</v>
      </c>
    </row>
    <row r="305" spans="1:10" x14ac:dyDescent="0.25">
      <c r="A305" t="s">
        <v>638</v>
      </c>
      <c r="B305" t="s">
        <v>639</v>
      </c>
      <c r="C305">
        <v>22</v>
      </c>
      <c r="D305">
        <v>1672</v>
      </c>
      <c r="E305">
        <v>5</v>
      </c>
      <c r="F305">
        <v>105.9349202271034</v>
      </c>
      <c r="G305">
        <v>4.8152236466865181</v>
      </c>
      <c r="H305">
        <f>ROUND(100*SQRT(G305/G$2),1)</f>
        <v>8.1999999999999993</v>
      </c>
      <c r="I305" t="s">
        <v>62</v>
      </c>
      <c r="J305" t="s">
        <v>4</v>
      </c>
    </row>
    <row r="306" spans="1:10" x14ac:dyDescent="0.25">
      <c r="A306" t="s">
        <v>650</v>
      </c>
      <c r="B306" t="s">
        <v>651</v>
      </c>
      <c r="C306">
        <v>141</v>
      </c>
      <c r="D306">
        <v>5280</v>
      </c>
      <c r="E306">
        <v>7</v>
      </c>
      <c r="F306">
        <v>657.86999775461857</v>
      </c>
      <c r="G306">
        <v>4.6657446649263727</v>
      </c>
      <c r="H306">
        <f>ROUND(100*SQRT(G306/G$2),1)</f>
        <v>8.1</v>
      </c>
      <c r="I306" t="s">
        <v>62</v>
      </c>
      <c r="J306" t="s">
        <v>4</v>
      </c>
    </row>
    <row r="307" spans="1:10" x14ac:dyDescent="0.25">
      <c r="A307" t="s">
        <v>632</v>
      </c>
      <c r="B307" t="s">
        <v>633</v>
      </c>
      <c r="C307">
        <v>53</v>
      </c>
      <c r="D307">
        <v>1933</v>
      </c>
      <c r="E307">
        <v>7</v>
      </c>
      <c r="F307">
        <v>247.45800147441921</v>
      </c>
      <c r="G307">
        <v>4.6690188957437586</v>
      </c>
      <c r="H307">
        <f>ROUND(100*SQRT(G307/G$2),1)</f>
        <v>8.1</v>
      </c>
      <c r="I307" t="s">
        <v>62</v>
      </c>
      <c r="J307" t="s">
        <v>4</v>
      </c>
    </row>
    <row r="308" spans="1:10" x14ac:dyDescent="0.25">
      <c r="A308" t="s">
        <v>660</v>
      </c>
      <c r="B308" t="s">
        <v>661</v>
      </c>
      <c r="C308">
        <v>48</v>
      </c>
      <c r="D308">
        <v>3093</v>
      </c>
      <c r="E308">
        <v>4</v>
      </c>
      <c r="F308">
        <v>211.3197040941767</v>
      </c>
      <c r="G308">
        <v>4.4024938352953482</v>
      </c>
      <c r="H308">
        <f>ROUND(100*SQRT(G308/G$2),1)</f>
        <v>7.8</v>
      </c>
      <c r="I308" t="s">
        <v>62</v>
      </c>
      <c r="J308" t="s">
        <v>4</v>
      </c>
    </row>
    <row r="309" spans="1:10" x14ac:dyDescent="0.25">
      <c r="A309" t="s">
        <v>656</v>
      </c>
      <c r="B309" t="s">
        <v>657</v>
      </c>
      <c r="C309">
        <v>93</v>
      </c>
      <c r="D309">
        <v>2808</v>
      </c>
      <c r="E309">
        <v>4</v>
      </c>
      <c r="F309">
        <v>405.22681240870122</v>
      </c>
      <c r="G309">
        <v>4.3572775527817331</v>
      </c>
      <c r="H309">
        <f>ROUND(100*SQRT(G309/G$2),1)</f>
        <v>7.8</v>
      </c>
      <c r="I309" t="s">
        <v>62</v>
      </c>
      <c r="J309" t="s">
        <v>4</v>
      </c>
    </row>
    <row r="310" spans="1:10" x14ac:dyDescent="0.25">
      <c r="A310" t="s">
        <v>642</v>
      </c>
      <c r="B310" t="s">
        <v>643</v>
      </c>
      <c r="C310">
        <v>184</v>
      </c>
      <c r="D310">
        <v>5634</v>
      </c>
      <c r="E310">
        <v>6</v>
      </c>
      <c r="F310">
        <v>795.33292237669264</v>
      </c>
      <c r="G310">
        <v>4.3224615346559379</v>
      </c>
      <c r="H310">
        <f>ROUND(100*SQRT(G310/G$2),1)</f>
        <v>7.8</v>
      </c>
      <c r="I310" t="s">
        <v>62</v>
      </c>
      <c r="J310" t="s">
        <v>4</v>
      </c>
    </row>
    <row r="311" spans="1:10" x14ac:dyDescent="0.25">
      <c r="A311" t="s">
        <v>654</v>
      </c>
      <c r="B311" t="s">
        <v>655</v>
      </c>
      <c r="C311">
        <v>36</v>
      </c>
      <c r="D311">
        <v>2854</v>
      </c>
      <c r="E311">
        <v>9</v>
      </c>
      <c r="F311">
        <v>151.0812301742713</v>
      </c>
      <c r="G311">
        <v>4.1967008381742019</v>
      </c>
      <c r="H311">
        <f>ROUND(100*SQRT(G311/G$2),1)</f>
        <v>7.7</v>
      </c>
      <c r="I311" t="s">
        <v>62</v>
      </c>
      <c r="J311" t="s">
        <v>4</v>
      </c>
    </row>
    <row r="312" spans="1:10" x14ac:dyDescent="0.25">
      <c r="A312" t="s">
        <v>648</v>
      </c>
      <c r="B312" t="s">
        <v>649</v>
      </c>
      <c r="C312">
        <v>102</v>
      </c>
      <c r="D312">
        <v>3300</v>
      </c>
      <c r="E312">
        <v>5</v>
      </c>
      <c r="F312">
        <v>415.69424379488271</v>
      </c>
      <c r="G312">
        <v>4.0754337626949289</v>
      </c>
      <c r="H312">
        <f>ROUND(100*SQRT(G312/G$2),1)</f>
        <v>7.6</v>
      </c>
      <c r="I312" t="s">
        <v>62</v>
      </c>
      <c r="J312" t="s">
        <v>4</v>
      </c>
    </row>
    <row r="313" spans="1:10" x14ac:dyDescent="0.25">
      <c r="A313" t="s">
        <v>630</v>
      </c>
      <c r="B313" t="s">
        <v>631</v>
      </c>
      <c r="C313">
        <v>15</v>
      </c>
      <c r="D313">
        <v>1213</v>
      </c>
      <c r="E313">
        <v>4</v>
      </c>
      <c r="F313">
        <v>61.223501520491922</v>
      </c>
      <c r="G313">
        <v>4.0815667680327952</v>
      </c>
      <c r="H313">
        <f>ROUND(100*SQRT(G313/G$2),1)</f>
        <v>7.6</v>
      </c>
      <c r="I313" t="s">
        <v>62</v>
      </c>
      <c r="J313" t="s">
        <v>4</v>
      </c>
    </row>
    <row r="314" spans="1:10" x14ac:dyDescent="0.25">
      <c r="A314" t="s">
        <v>646</v>
      </c>
      <c r="B314" t="s">
        <v>647</v>
      </c>
      <c r="C314">
        <v>76</v>
      </c>
      <c r="D314">
        <v>3345</v>
      </c>
      <c r="E314">
        <v>11</v>
      </c>
      <c r="F314">
        <v>308.25790989356398</v>
      </c>
      <c r="G314">
        <v>4.0560251301784742</v>
      </c>
      <c r="H314">
        <f>ROUND(100*SQRT(G314/G$2),1)</f>
        <v>7.5</v>
      </c>
      <c r="I314" t="s">
        <v>62</v>
      </c>
      <c r="J314" t="s">
        <v>4</v>
      </c>
    </row>
    <row r="315" spans="1:10" x14ac:dyDescent="0.25">
      <c r="A315" t="s">
        <v>662</v>
      </c>
      <c r="B315" t="s">
        <v>663</v>
      </c>
      <c r="C315">
        <v>426</v>
      </c>
      <c r="D315">
        <v>12549</v>
      </c>
      <c r="E315">
        <v>10</v>
      </c>
      <c r="F315">
        <v>1649.0292038154839</v>
      </c>
      <c r="G315">
        <v>3.8709605723368168</v>
      </c>
      <c r="H315">
        <f>ROUND(100*SQRT(G315/G$2),1)</f>
        <v>7.4</v>
      </c>
      <c r="I315" t="s">
        <v>62</v>
      </c>
      <c r="J315" t="s">
        <v>4</v>
      </c>
    </row>
    <row r="316" spans="1:10" x14ac:dyDescent="0.25">
      <c r="A316" t="s">
        <v>658</v>
      </c>
      <c r="B316" t="s">
        <v>659</v>
      </c>
      <c r="C316">
        <v>60</v>
      </c>
      <c r="D316">
        <v>1588</v>
      </c>
      <c r="E316">
        <v>4</v>
      </c>
      <c r="F316">
        <v>230.49203797819479</v>
      </c>
      <c r="G316">
        <v>3.8415339663032468</v>
      </c>
      <c r="H316">
        <f>ROUND(100*SQRT(G316/G$2),1)</f>
        <v>7.3</v>
      </c>
      <c r="I316" t="s">
        <v>62</v>
      </c>
      <c r="J316" t="s">
        <v>4</v>
      </c>
    </row>
    <row r="317" spans="1:10" x14ac:dyDescent="0.25">
      <c r="A317" t="s">
        <v>652</v>
      </c>
      <c r="B317" t="s">
        <v>653</v>
      </c>
      <c r="C317">
        <v>25</v>
      </c>
      <c r="D317">
        <v>613</v>
      </c>
      <c r="E317">
        <v>5</v>
      </c>
      <c r="F317">
        <v>95.728365918333338</v>
      </c>
      <c r="G317">
        <v>3.829134636733333</v>
      </c>
      <c r="H317">
        <f>ROUND(100*SQRT(G317/G$2),1)</f>
        <v>7.3</v>
      </c>
      <c r="I317" t="s">
        <v>62</v>
      </c>
      <c r="J317" t="s">
        <v>4</v>
      </c>
    </row>
    <row r="318" spans="1:10" x14ac:dyDescent="0.25">
      <c r="A318" t="s">
        <v>666</v>
      </c>
      <c r="B318" t="s">
        <v>667</v>
      </c>
      <c r="C318">
        <v>26</v>
      </c>
      <c r="D318">
        <v>1069</v>
      </c>
      <c r="E318">
        <v>6</v>
      </c>
      <c r="F318">
        <v>92.844389265979885</v>
      </c>
      <c r="G318">
        <v>3.5709380486915339</v>
      </c>
      <c r="H318">
        <f>ROUND(100*SQRT(G318/G$2),1)</f>
        <v>7.1</v>
      </c>
      <c r="I318" t="s">
        <v>62</v>
      </c>
      <c r="J318" t="s">
        <v>4</v>
      </c>
    </row>
    <row r="319" spans="1:10" x14ac:dyDescent="0.25">
      <c r="A319" t="s">
        <v>680</v>
      </c>
      <c r="B319" t="s">
        <v>681</v>
      </c>
      <c r="C319">
        <v>26</v>
      </c>
      <c r="D319">
        <v>820</v>
      </c>
      <c r="E319">
        <v>4</v>
      </c>
      <c r="F319">
        <v>92.669582705549487</v>
      </c>
      <c r="G319">
        <v>3.5642147194442111</v>
      </c>
      <c r="H319">
        <f>ROUND(100*SQRT(G319/G$2),1)</f>
        <v>7.1</v>
      </c>
      <c r="I319" t="s">
        <v>62</v>
      </c>
      <c r="J319" t="s">
        <v>4</v>
      </c>
    </row>
    <row r="320" spans="1:10" x14ac:dyDescent="0.25">
      <c r="A320" t="s">
        <v>672</v>
      </c>
      <c r="B320" t="s">
        <v>673</v>
      </c>
      <c r="C320">
        <v>100</v>
      </c>
      <c r="D320">
        <v>2512</v>
      </c>
      <c r="E320">
        <v>5</v>
      </c>
      <c r="F320">
        <v>341.10110446088169</v>
      </c>
      <c r="G320">
        <v>3.4110110446088169</v>
      </c>
      <c r="H320">
        <f>ROUND(100*SQRT(G320/G$2),1)</f>
        <v>6.9</v>
      </c>
      <c r="I320" t="s">
        <v>62</v>
      </c>
      <c r="J320" t="s">
        <v>4</v>
      </c>
    </row>
    <row r="321" spans="1:10" x14ac:dyDescent="0.25">
      <c r="A321" t="s">
        <v>674</v>
      </c>
      <c r="B321" t="s">
        <v>675</v>
      </c>
      <c r="C321">
        <v>82</v>
      </c>
      <c r="D321">
        <v>4868</v>
      </c>
      <c r="E321">
        <v>18</v>
      </c>
      <c r="F321">
        <v>277.15824303622509</v>
      </c>
      <c r="G321">
        <v>3.379978573612501</v>
      </c>
      <c r="H321">
        <f>ROUND(100*SQRT(G321/G$2),1)</f>
        <v>6.9</v>
      </c>
      <c r="I321" t="s">
        <v>62</v>
      </c>
      <c r="J321" t="s">
        <v>4</v>
      </c>
    </row>
    <row r="322" spans="1:10" x14ac:dyDescent="0.25">
      <c r="A322" t="s">
        <v>664</v>
      </c>
      <c r="B322" t="s">
        <v>665</v>
      </c>
      <c r="C322">
        <v>92</v>
      </c>
      <c r="D322">
        <v>2901</v>
      </c>
      <c r="E322">
        <v>13</v>
      </c>
      <c r="F322">
        <v>306.32814865953537</v>
      </c>
      <c r="G322">
        <v>3.329653789777558</v>
      </c>
      <c r="H322">
        <f>ROUND(100*SQRT(G322/G$2),1)</f>
        <v>6.8</v>
      </c>
      <c r="I322" t="s">
        <v>62</v>
      </c>
      <c r="J322" t="s">
        <v>4</v>
      </c>
    </row>
    <row r="323" spans="1:10" x14ac:dyDescent="0.25">
      <c r="A323" t="s">
        <v>668</v>
      </c>
      <c r="B323" t="s">
        <v>669</v>
      </c>
      <c r="C323">
        <v>96</v>
      </c>
      <c r="D323">
        <v>3194</v>
      </c>
      <c r="E323">
        <v>11</v>
      </c>
      <c r="F323">
        <v>309.46489751400662</v>
      </c>
      <c r="G323">
        <v>3.2235926824375691</v>
      </c>
      <c r="H323">
        <f>ROUND(100*SQRT(G323/G$2),1)</f>
        <v>6.7</v>
      </c>
      <c r="I323" t="s">
        <v>62</v>
      </c>
      <c r="J323" t="s">
        <v>4</v>
      </c>
    </row>
    <row r="324" spans="1:10" x14ac:dyDescent="0.25">
      <c r="A324" t="s">
        <v>670</v>
      </c>
      <c r="B324" t="s">
        <v>671</v>
      </c>
      <c r="C324">
        <v>73</v>
      </c>
      <c r="D324">
        <v>3091</v>
      </c>
      <c r="E324">
        <v>7</v>
      </c>
      <c r="F324">
        <v>232.16013442998309</v>
      </c>
      <c r="G324">
        <v>3.1802758141093568</v>
      </c>
      <c r="H324">
        <f>ROUND(100*SQRT(G324/G$2),1)</f>
        <v>6.7</v>
      </c>
      <c r="I324" t="s">
        <v>62</v>
      </c>
      <c r="J324" t="s">
        <v>4</v>
      </c>
    </row>
    <row r="325" spans="1:10" x14ac:dyDescent="0.25">
      <c r="A325" t="s">
        <v>676</v>
      </c>
      <c r="B325" t="s">
        <v>677</v>
      </c>
      <c r="C325">
        <v>14</v>
      </c>
      <c r="D325">
        <v>668</v>
      </c>
      <c r="E325">
        <v>5</v>
      </c>
      <c r="F325">
        <v>44.307928555410733</v>
      </c>
      <c r="G325">
        <v>3.1648520396721951</v>
      </c>
      <c r="H325">
        <f>ROUND(100*SQRT(G325/G$2),1)</f>
        <v>6.7</v>
      </c>
      <c r="I325" t="s">
        <v>62</v>
      </c>
      <c r="J325" t="s">
        <v>4</v>
      </c>
    </row>
    <row r="326" spans="1:10" x14ac:dyDescent="0.25">
      <c r="A326" t="s">
        <v>682</v>
      </c>
      <c r="B326" t="s">
        <v>683</v>
      </c>
      <c r="C326">
        <v>32</v>
      </c>
      <c r="D326">
        <v>860</v>
      </c>
      <c r="E326">
        <v>8</v>
      </c>
      <c r="F326">
        <v>91.933921261867113</v>
      </c>
      <c r="G326">
        <v>2.8729350394333468</v>
      </c>
      <c r="H326">
        <f>ROUND(100*SQRT(G326/G$2),1)</f>
        <v>6.3</v>
      </c>
      <c r="I326" t="s">
        <v>62</v>
      </c>
      <c r="J326" t="s">
        <v>4</v>
      </c>
    </row>
    <row r="327" spans="1:10" x14ac:dyDescent="0.25">
      <c r="A327" t="s">
        <v>684</v>
      </c>
      <c r="B327" t="s">
        <v>685</v>
      </c>
      <c r="C327">
        <v>73</v>
      </c>
      <c r="D327">
        <v>1121</v>
      </c>
      <c r="E327">
        <v>7</v>
      </c>
      <c r="F327">
        <v>184.86189656655131</v>
      </c>
      <c r="G327">
        <v>2.5323547474870041</v>
      </c>
      <c r="H327">
        <f>ROUND(100*SQRT(G327/G$2),1)</f>
        <v>6</v>
      </c>
      <c r="I327" t="s">
        <v>62</v>
      </c>
      <c r="J327" t="s">
        <v>4</v>
      </c>
    </row>
    <row r="328" spans="1:10" x14ac:dyDescent="0.25">
      <c r="A328" t="s">
        <v>678</v>
      </c>
      <c r="B328" t="s">
        <v>679</v>
      </c>
      <c r="C328">
        <v>11</v>
      </c>
      <c r="D328">
        <v>639</v>
      </c>
      <c r="E328">
        <v>5</v>
      </c>
      <c r="F328">
        <v>25.727238197898991</v>
      </c>
      <c r="G328">
        <v>2.3388398361726361</v>
      </c>
      <c r="H328">
        <f>ROUND(100*SQRT(G328/G$2),1)</f>
        <v>5.7</v>
      </c>
      <c r="I328" t="s">
        <v>62</v>
      </c>
      <c r="J328" t="s">
        <v>4</v>
      </c>
    </row>
    <row r="329" spans="1:10" x14ac:dyDescent="0.25">
      <c r="A329" t="s">
        <v>686</v>
      </c>
      <c r="B329" t="s">
        <v>687</v>
      </c>
      <c r="C329">
        <v>10</v>
      </c>
      <c r="D329">
        <v>583</v>
      </c>
      <c r="E329">
        <v>5</v>
      </c>
      <c r="F329">
        <v>21.18105057053177</v>
      </c>
      <c r="G329">
        <v>2.1181050570531772</v>
      </c>
      <c r="H329">
        <f>ROUND(100*SQRT(G329/G$2),1)</f>
        <v>5.4</v>
      </c>
      <c r="I329" t="s">
        <v>62</v>
      </c>
      <c r="J329" t="s">
        <v>4</v>
      </c>
    </row>
    <row r="330" spans="1:10" x14ac:dyDescent="0.25">
      <c r="A330" t="s">
        <v>688</v>
      </c>
      <c r="B330" t="s">
        <v>689</v>
      </c>
      <c r="C330">
        <v>32</v>
      </c>
      <c r="D330">
        <v>582</v>
      </c>
      <c r="E330">
        <v>6</v>
      </c>
      <c r="F330">
        <v>64.19619826176239</v>
      </c>
      <c r="G330">
        <v>2.0061311956800751</v>
      </c>
      <c r="H330">
        <f>ROUND(100*SQRT(G330/G$2),1)</f>
        <v>5.3</v>
      </c>
      <c r="I330" t="s">
        <v>62</v>
      </c>
      <c r="J330" t="s">
        <v>4</v>
      </c>
    </row>
    <row r="331" spans="1:10" x14ac:dyDescent="0.25">
      <c r="A331" t="s">
        <v>690</v>
      </c>
      <c r="B331" t="s">
        <v>691</v>
      </c>
      <c r="C331">
        <v>73</v>
      </c>
      <c r="D331">
        <v>1650</v>
      </c>
      <c r="E331">
        <v>5</v>
      </c>
      <c r="F331">
        <v>140.56664396942691</v>
      </c>
      <c r="G331">
        <v>1.925570465334616</v>
      </c>
      <c r="H331">
        <f>ROUND(100*SQRT(G331/G$2),1)</f>
        <v>5.2</v>
      </c>
      <c r="I331" t="s">
        <v>62</v>
      </c>
      <c r="J331" t="s">
        <v>4</v>
      </c>
    </row>
  </sheetData>
  <sortState ref="A2:J331">
    <sortCondition descending="1" ref="H2:H331"/>
    <sortCondition ref="A2:A3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1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29.85546875" customWidth="1"/>
    <col min="17" max="17" width="10.28515625" bestFit="1" customWidth="1"/>
    <col min="18" max="18" width="10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704</v>
      </c>
      <c r="G1" s="1" t="s">
        <v>5</v>
      </c>
      <c r="H1" s="1" t="s">
        <v>6</v>
      </c>
      <c r="I1" s="1" t="s">
        <v>7</v>
      </c>
    </row>
    <row r="2" spans="1:19" x14ac:dyDescent="0.25">
      <c r="A2" t="s">
        <v>142</v>
      </c>
      <c r="B2" t="s">
        <v>143</v>
      </c>
      <c r="C2">
        <v>63</v>
      </c>
      <c r="D2">
        <v>10018</v>
      </c>
      <c r="E2">
        <v>14</v>
      </c>
      <c r="F2">
        <v>15004.720752714969</v>
      </c>
      <c r="G2">
        <f>ROUND(100*SQRT(F2/F$2),1)</f>
        <v>100</v>
      </c>
      <c r="H2" t="s">
        <v>10</v>
      </c>
      <c r="I2" t="s">
        <v>34</v>
      </c>
      <c r="N2" s="2" t="s">
        <v>697</v>
      </c>
      <c r="O2" s="2" t="s">
        <v>692</v>
      </c>
      <c r="P2" s="2" t="s">
        <v>698</v>
      </c>
      <c r="Q2" s="2" t="s">
        <v>699</v>
      </c>
      <c r="R2" s="2" t="s">
        <v>700</v>
      </c>
      <c r="S2" s="2" t="s">
        <v>693</v>
      </c>
    </row>
    <row r="3" spans="1:19" x14ac:dyDescent="0.25">
      <c r="A3" t="s">
        <v>58</v>
      </c>
      <c r="B3" t="s">
        <v>59</v>
      </c>
      <c r="C3">
        <v>27</v>
      </c>
      <c r="D3">
        <v>2461</v>
      </c>
      <c r="E3">
        <v>3</v>
      </c>
      <c r="F3">
        <v>11391.1793482872</v>
      </c>
      <c r="G3">
        <f t="shared" ref="G3:G66" si="0">ROUND(100*SQRT(F3/F$2),1)</f>
        <v>87.1</v>
      </c>
      <c r="H3" t="s">
        <v>10</v>
      </c>
      <c r="I3" t="s">
        <v>23</v>
      </c>
      <c r="N3" s="2">
        <f>COUNTIF(H$2:H$51,"C")</f>
        <v>44</v>
      </c>
      <c r="O3" s="2">
        <f>COUNTIF(H$52:H$101,"C")</f>
        <v>36</v>
      </c>
      <c r="P3" s="2">
        <f>COUNTIF(H$102:H$151,"C")</f>
        <v>32</v>
      </c>
      <c r="Q3" s="2">
        <f>COUNTIF(H$152:H$201,"C")</f>
        <v>21</v>
      </c>
      <c r="R3" s="2">
        <f>COUNTIF(H$202:H$251,"C")</f>
        <v>21</v>
      </c>
      <c r="S3" s="2">
        <f>COUNTIF(H$252:H$331,"C")</f>
        <v>11</v>
      </c>
    </row>
    <row r="4" spans="1:19" x14ac:dyDescent="0.25">
      <c r="A4" t="s">
        <v>81</v>
      </c>
      <c r="B4" t="s">
        <v>82</v>
      </c>
      <c r="C4">
        <v>33</v>
      </c>
      <c r="D4">
        <v>4807</v>
      </c>
      <c r="E4">
        <v>8</v>
      </c>
      <c r="F4">
        <v>11274.47005073227</v>
      </c>
      <c r="G4">
        <f t="shared" si="0"/>
        <v>86.7</v>
      </c>
      <c r="H4" t="s">
        <v>10</v>
      </c>
      <c r="I4" t="s">
        <v>232</v>
      </c>
      <c r="N4" s="2">
        <f>COUNTIF(H$2:H$51,"T")</f>
        <v>6</v>
      </c>
      <c r="O4" s="2">
        <f>COUNTIF(H$52:H$101,"T")</f>
        <v>14</v>
      </c>
      <c r="P4" s="2">
        <f>COUNTIF(H$102:H$151,"T")</f>
        <v>18</v>
      </c>
      <c r="Q4" s="2">
        <f>COUNTIF(H$152:H$201,"T")</f>
        <v>29</v>
      </c>
      <c r="R4" s="2">
        <f>COUNTIF(H$202:H$251,"T")</f>
        <v>29</v>
      </c>
      <c r="S4" s="2">
        <f>COUNTIF(H$252:H$331,"T")</f>
        <v>69</v>
      </c>
    </row>
    <row r="5" spans="1:19" x14ac:dyDescent="0.25">
      <c r="A5" t="s">
        <v>50</v>
      </c>
      <c r="B5" t="s">
        <v>51</v>
      </c>
      <c r="C5">
        <v>24</v>
      </c>
      <c r="D5">
        <v>5620</v>
      </c>
      <c r="E5">
        <v>8</v>
      </c>
      <c r="F5">
        <v>10450.51447429088</v>
      </c>
      <c r="G5">
        <f t="shared" si="0"/>
        <v>83.5</v>
      </c>
      <c r="H5" t="s">
        <v>10</v>
      </c>
      <c r="I5" t="s">
        <v>96</v>
      </c>
    </row>
    <row r="6" spans="1:19" x14ac:dyDescent="0.25">
      <c r="A6" t="s">
        <v>38</v>
      </c>
      <c r="B6" t="s">
        <v>39</v>
      </c>
      <c r="C6">
        <v>21</v>
      </c>
      <c r="D6">
        <v>2062</v>
      </c>
      <c r="E6">
        <v>1</v>
      </c>
      <c r="F6">
        <v>10359.434408923729</v>
      </c>
      <c r="G6">
        <f t="shared" si="0"/>
        <v>83.1</v>
      </c>
      <c r="H6" t="s">
        <v>10</v>
      </c>
      <c r="I6" t="s">
        <v>209</v>
      </c>
    </row>
    <row r="7" spans="1:19" x14ac:dyDescent="0.25">
      <c r="A7" t="s">
        <v>74</v>
      </c>
      <c r="B7" t="s">
        <v>75</v>
      </c>
      <c r="C7">
        <v>28</v>
      </c>
      <c r="D7">
        <v>2605</v>
      </c>
      <c r="E7">
        <v>4</v>
      </c>
      <c r="F7">
        <v>10064.74175132874</v>
      </c>
      <c r="G7">
        <f t="shared" si="0"/>
        <v>81.900000000000006</v>
      </c>
      <c r="H7" t="s">
        <v>10</v>
      </c>
      <c r="I7" t="s">
        <v>101</v>
      </c>
      <c r="N7" s="3" t="s">
        <v>701</v>
      </c>
      <c r="O7" s="3" t="s">
        <v>702</v>
      </c>
      <c r="P7" s="3" t="s">
        <v>703</v>
      </c>
    </row>
    <row r="8" spans="1:19" x14ac:dyDescent="0.25">
      <c r="A8" t="s">
        <v>85</v>
      </c>
      <c r="B8" t="s">
        <v>86</v>
      </c>
      <c r="C8">
        <v>30</v>
      </c>
      <c r="D8">
        <v>4150</v>
      </c>
      <c r="E8">
        <v>6</v>
      </c>
      <c r="F8">
        <v>9512.9067456983557</v>
      </c>
      <c r="G8">
        <f t="shared" si="0"/>
        <v>79.599999999999994</v>
      </c>
      <c r="H8" t="s">
        <v>10</v>
      </c>
      <c r="I8" t="s">
        <v>40</v>
      </c>
      <c r="N8" s="3">
        <f>SUM(N3:O3)</f>
        <v>80</v>
      </c>
      <c r="O8" s="3">
        <f>SUM(P3:Q3)</f>
        <v>53</v>
      </c>
      <c r="P8" s="3">
        <f>SUM(R3:S3)</f>
        <v>32</v>
      </c>
    </row>
    <row r="9" spans="1:19" x14ac:dyDescent="0.25">
      <c r="A9" t="s">
        <v>83</v>
      </c>
      <c r="B9" t="s">
        <v>84</v>
      </c>
      <c r="C9">
        <v>26</v>
      </c>
      <c r="D9">
        <v>2281</v>
      </c>
      <c r="E9">
        <v>3</v>
      </c>
      <c r="F9">
        <v>9228.0688907807817</v>
      </c>
      <c r="G9">
        <f t="shared" si="0"/>
        <v>78.400000000000006</v>
      </c>
      <c r="H9" t="s">
        <v>10</v>
      </c>
      <c r="I9" t="s">
        <v>695</v>
      </c>
      <c r="N9" s="3">
        <f>SUM(N4:O4)</f>
        <v>20</v>
      </c>
      <c r="O9" s="3">
        <f>SUM(P4:Q4)</f>
        <v>47</v>
      </c>
      <c r="P9" s="3">
        <f>SUM(R4:S4)</f>
        <v>98</v>
      </c>
    </row>
    <row r="10" spans="1:19" x14ac:dyDescent="0.25">
      <c r="A10" t="s">
        <v>41</v>
      </c>
      <c r="B10" t="s">
        <v>42</v>
      </c>
      <c r="C10">
        <v>18</v>
      </c>
      <c r="D10">
        <v>3871</v>
      </c>
      <c r="E10">
        <v>7</v>
      </c>
      <c r="F10">
        <v>9168.7583290011844</v>
      </c>
      <c r="G10">
        <f t="shared" si="0"/>
        <v>78.2</v>
      </c>
      <c r="H10" t="s">
        <v>10</v>
      </c>
      <c r="I10" t="s">
        <v>23</v>
      </c>
    </row>
    <row r="11" spans="1:19" x14ac:dyDescent="0.25">
      <c r="A11" t="s">
        <v>44</v>
      </c>
      <c r="B11" t="s">
        <v>45</v>
      </c>
      <c r="C11">
        <v>18</v>
      </c>
      <c r="D11">
        <v>4388</v>
      </c>
      <c r="E11">
        <v>7</v>
      </c>
      <c r="F11">
        <v>9026.3231028249829</v>
      </c>
      <c r="G11">
        <f t="shared" si="0"/>
        <v>77.599999999999994</v>
      </c>
      <c r="H11" t="s">
        <v>10</v>
      </c>
      <c r="I11" t="s">
        <v>40</v>
      </c>
    </row>
    <row r="12" spans="1:19" x14ac:dyDescent="0.25">
      <c r="A12" t="s">
        <v>207</v>
      </c>
      <c r="B12" t="s">
        <v>208</v>
      </c>
      <c r="C12">
        <v>46</v>
      </c>
      <c r="D12">
        <v>2852</v>
      </c>
      <c r="E12">
        <v>6</v>
      </c>
      <c r="F12">
        <v>8700.7600516286184</v>
      </c>
      <c r="G12">
        <f t="shared" si="0"/>
        <v>76.099999999999994</v>
      </c>
      <c r="H12" t="s">
        <v>10</v>
      </c>
      <c r="I12" t="s">
        <v>34</v>
      </c>
    </row>
    <row r="13" spans="1:19" x14ac:dyDescent="0.25">
      <c r="A13" t="s">
        <v>21</v>
      </c>
      <c r="B13" t="s">
        <v>22</v>
      </c>
      <c r="C13">
        <v>14</v>
      </c>
      <c r="D13">
        <v>842</v>
      </c>
      <c r="E13">
        <v>1</v>
      </c>
      <c r="F13">
        <v>8344.1744761556638</v>
      </c>
      <c r="G13">
        <f t="shared" si="0"/>
        <v>74.599999999999994</v>
      </c>
      <c r="H13" t="s">
        <v>10</v>
      </c>
      <c r="I13" t="s">
        <v>694</v>
      </c>
    </row>
    <row r="14" spans="1:19" x14ac:dyDescent="0.25">
      <c r="A14" t="s">
        <v>72</v>
      </c>
      <c r="B14" t="s">
        <v>73</v>
      </c>
      <c r="C14">
        <v>22</v>
      </c>
      <c r="D14">
        <v>4570</v>
      </c>
      <c r="E14">
        <v>4</v>
      </c>
      <c r="F14">
        <v>8064.7399822815169</v>
      </c>
      <c r="G14">
        <f t="shared" si="0"/>
        <v>73.3</v>
      </c>
      <c r="H14" t="s">
        <v>10</v>
      </c>
      <c r="I14" t="s">
        <v>87</v>
      </c>
    </row>
    <row r="15" spans="1:19" x14ac:dyDescent="0.25">
      <c r="A15" t="s">
        <v>150</v>
      </c>
      <c r="B15" t="s">
        <v>151</v>
      </c>
      <c r="C15">
        <v>33</v>
      </c>
      <c r="D15">
        <v>1496</v>
      </c>
      <c r="E15">
        <v>0</v>
      </c>
      <c r="F15">
        <v>7238.239353861959</v>
      </c>
      <c r="G15">
        <f t="shared" si="0"/>
        <v>69.5</v>
      </c>
      <c r="H15" t="s">
        <v>10</v>
      </c>
      <c r="I15" t="s">
        <v>11</v>
      </c>
    </row>
    <row r="16" spans="1:19" x14ac:dyDescent="0.25">
      <c r="A16" t="s">
        <v>15</v>
      </c>
      <c r="B16" t="s">
        <v>16</v>
      </c>
      <c r="C16">
        <v>10</v>
      </c>
      <c r="D16">
        <v>2820</v>
      </c>
      <c r="E16">
        <v>6</v>
      </c>
      <c r="F16">
        <v>7144.884933173892</v>
      </c>
      <c r="G16">
        <f t="shared" si="0"/>
        <v>69</v>
      </c>
      <c r="H16" t="str">
        <f>VLOOKUP(B16,average_influence!B:J,8,0)</f>
        <v>C</v>
      </c>
      <c r="I16" t="str">
        <f>VLOOKUP(B16,average_influence!B:J,9,0)</f>
        <v>Gossen_Prize</v>
      </c>
    </row>
    <row r="17" spans="1:9" x14ac:dyDescent="0.25">
      <c r="A17" t="s">
        <v>106</v>
      </c>
      <c r="B17" t="s">
        <v>107</v>
      </c>
      <c r="C17">
        <v>25</v>
      </c>
      <c r="D17">
        <v>1567</v>
      </c>
      <c r="E17">
        <v>3</v>
      </c>
      <c r="F17">
        <v>7058.5014565591964</v>
      </c>
      <c r="G17">
        <f t="shared" si="0"/>
        <v>68.599999999999994</v>
      </c>
      <c r="H17" t="s">
        <v>10</v>
      </c>
      <c r="I17" t="s">
        <v>11</v>
      </c>
    </row>
    <row r="18" spans="1:9" x14ac:dyDescent="0.25">
      <c r="A18" t="s">
        <v>65</v>
      </c>
      <c r="B18" t="s">
        <v>66</v>
      </c>
      <c r="C18">
        <v>17</v>
      </c>
      <c r="D18">
        <v>4615</v>
      </c>
      <c r="E18">
        <v>6</v>
      </c>
      <c r="F18">
        <v>7035.2287143124104</v>
      </c>
      <c r="G18">
        <f t="shared" si="0"/>
        <v>68.5</v>
      </c>
      <c r="H18" t="s">
        <v>62</v>
      </c>
      <c r="I18" t="s">
        <v>4</v>
      </c>
    </row>
    <row r="19" spans="1:9" x14ac:dyDescent="0.25">
      <c r="A19" t="s">
        <v>12</v>
      </c>
      <c r="B19" t="s">
        <v>13</v>
      </c>
      <c r="C19">
        <v>10</v>
      </c>
      <c r="D19">
        <v>1293</v>
      </c>
      <c r="E19">
        <v>1</v>
      </c>
      <c r="F19">
        <v>6897.5643309078096</v>
      </c>
      <c r="G19">
        <f t="shared" si="0"/>
        <v>67.8</v>
      </c>
      <c r="H19" t="s">
        <v>10</v>
      </c>
      <c r="I19" t="s">
        <v>23</v>
      </c>
    </row>
    <row r="20" spans="1:9" x14ac:dyDescent="0.25">
      <c r="A20" t="s">
        <v>174</v>
      </c>
      <c r="B20" t="s">
        <v>175</v>
      </c>
      <c r="C20">
        <v>31</v>
      </c>
      <c r="D20">
        <v>1512</v>
      </c>
      <c r="E20">
        <v>1</v>
      </c>
      <c r="F20">
        <v>6889.825296305803</v>
      </c>
      <c r="G20">
        <f t="shared" si="0"/>
        <v>67.8</v>
      </c>
      <c r="H20" t="s">
        <v>62</v>
      </c>
      <c r="I20" t="s">
        <v>4</v>
      </c>
    </row>
    <row r="21" spans="1:9" x14ac:dyDescent="0.25">
      <c r="A21" t="s">
        <v>168</v>
      </c>
      <c r="B21" t="s">
        <v>169</v>
      </c>
      <c r="C21">
        <v>30</v>
      </c>
      <c r="D21">
        <v>2371</v>
      </c>
      <c r="E21">
        <v>6</v>
      </c>
      <c r="F21">
        <v>6680.7310455604766</v>
      </c>
      <c r="G21">
        <f t="shared" si="0"/>
        <v>66.7</v>
      </c>
      <c r="H21" t="s">
        <v>10</v>
      </c>
      <c r="I21" t="s">
        <v>120</v>
      </c>
    </row>
    <row r="22" spans="1:9" x14ac:dyDescent="0.25">
      <c r="A22" t="s">
        <v>144</v>
      </c>
      <c r="B22" t="s">
        <v>145</v>
      </c>
      <c r="C22">
        <v>28</v>
      </c>
      <c r="D22">
        <v>2735</v>
      </c>
      <c r="E22">
        <v>4</v>
      </c>
      <c r="F22">
        <v>6583.3275189054066</v>
      </c>
      <c r="G22">
        <f t="shared" si="0"/>
        <v>66.2</v>
      </c>
      <c r="H22" t="s">
        <v>10</v>
      </c>
      <c r="I22" t="s">
        <v>40</v>
      </c>
    </row>
    <row r="23" spans="1:9" x14ac:dyDescent="0.25">
      <c r="A23" t="s">
        <v>56</v>
      </c>
      <c r="B23" t="s">
        <v>57</v>
      </c>
      <c r="C23">
        <v>15</v>
      </c>
      <c r="D23">
        <v>5175</v>
      </c>
      <c r="E23">
        <v>6</v>
      </c>
      <c r="F23">
        <v>6577.7032321339957</v>
      </c>
      <c r="G23">
        <f t="shared" si="0"/>
        <v>66.2</v>
      </c>
      <c r="H23" t="s">
        <v>10</v>
      </c>
      <c r="I23" t="s">
        <v>40</v>
      </c>
    </row>
    <row r="24" spans="1:9" x14ac:dyDescent="0.25">
      <c r="A24" t="s">
        <v>108</v>
      </c>
      <c r="B24" t="s">
        <v>109</v>
      </c>
      <c r="C24">
        <v>24</v>
      </c>
      <c r="D24">
        <v>2439</v>
      </c>
      <c r="E24">
        <v>4</v>
      </c>
      <c r="F24">
        <v>6562.8007995969356</v>
      </c>
      <c r="G24">
        <f t="shared" si="0"/>
        <v>66.099999999999994</v>
      </c>
      <c r="H24" t="s">
        <v>10</v>
      </c>
      <c r="I24" t="s">
        <v>34</v>
      </c>
    </row>
    <row r="25" spans="1:9" x14ac:dyDescent="0.25">
      <c r="A25" t="s">
        <v>326</v>
      </c>
      <c r="B25" t="s">
        <v>327</v>
      </c>
      <c r="C25">
        <v>61</v>
      </c>
      <c r="D25">
        <v>2414</v>
      </c>
      <c r="E25">
        <v>2</v>
      </c>
      <c r="F25">
        <v>6384.38256906889</v>
      </c>
      <c r="G25">
        <f t="shared" si="0"/>
        <v>65.2</v>
      </c>
      <c r="H25" t="s">
        <v>62</v>
      </c>
      <c r="I25" t="s">
        <v>4</v>
      </c>
    </row>
    <row r="26" spans="1:9" x14ac:dyDescent="0.25">
      <c r="A26" t="s">
        <v>27</v>
      </c>
      <c r="B26" t="s">
        <v>28</v>
      </c>
      <c r="C26">
        <v>12</v>
      </c>
      <c r="D26">
        <v>4873</v>
      </c>
      <c r="E26">
        <v>4</v>
      </c>
      <c r="F26">
        <v>6343.9597067211926</v>
      </c>
      <c r="G26">
        <f t="shared" si="0"/>
        <v>65</v>
      </c>
      <c r="H26" t="s">
        <v>10</v>
      </c>
      <c r="I26" t="s">
        <v>76</v>
      </c>
    </row>
    <row r="27" spans="1:9" x14ac:dyDescent="0.25">
      <c r="A27" t="s">
        <v>90</v>
      </c>
      <c r="B27" t="s">
        <v>91</v>
      </c>
      <c r="C27">
        <v>19</v>
      </c>
      <c r="D27">
        <v>4047</v>
      </c>
      <c r="E27">
        <v>6</v>
      </c>
      <c r="F27">
        <v>6154.0063050207964</v>
      </c>
      <c r="G27">
        <f t="shared" si="0"/>
        <v>64</v>
      </c>
      <c r="H27" t="s">
        <v>10</v>
      </c>
      <c r="I27" t="s">
        <v>20</v>
      </c>
    </row>
    <row r="28" spans="1:9" x14ac:dyDescent="0.25">
      <c r="A28" t="s">
        <v>97</v>
      </c>
      <c r="B28" t="s">
        <v>98</v>
      </c>
      <c r="C28">
        <v>21</v>
      </c>
      <c r="D28">
        <v>1794</v>
      </c>
      <c r="E28">
        <v>3</v>
      </c>
      <c r="F28">
        <v>6134.8993698937848</v>
      </c>
      <c r="G28">
        <f t="shared" si="0"/>
        <v>63.9</v>
      </c>
      <c r="H28" t="s">
        <v>10</v>
      </c>
      <c r="I28" t="s">
        <v>34</v>
      </c>
    </row>
    <row r="29" spans="1:9" x14ac:dyDescent="0.25">
      <c r="A29" t="s">
        <v>48</v>
      </c>
      <c r="B29" t="s">
        <v>49</v>
      </c>
      <c r="C29">
        <v>14</v>
      </c>
      <c r="D29">
        <v>1113</v>
      </c>
      <c r="E29">
        <v>0</v>
      </c>
      <c r="F29">
        <v>6123.5818309152146</v>
      </c>
      <c r="G29">
        <f t="shared" si="0"/>
        <v>63.9</v>
      </c>
      <c r="H29" t="s">
        <v>10</v>
      </c>
      <c r="I29" t="s">
        <v>17</v>
      </c>
    </row>
    <row r="30" spans="1:9" x14ac:dyDescent="0.25">
      <c r="A30" t="s">
        <v>29</v>
      </c>
      <c r="B30" t="s">
        <v>30</v>
      </c>
      <c r="C30">
        <v>11</v>
      </c>
      <c r="D30">
        <v>694</v>
      </c>
      <c r="E30">
        <v>1</v>
      </c>
      <c r="F30">
        <v>6031.3093922623157</v>
      </c>
      <c r="G30">
        <f t="shared" si="0"/>
        <v>63.4</v>
      </c>
      <c r="H30" t="s">
        <v>10</v>
      </c>
      <c r="I30" t="s">
        <v>23</v>
      </c>
    </row>
    <row r="31" spans="1:9" x14ac:dyDescent="0.25">
      <c r="A31" t="s">
        <v>230</v>
      </c>
      <c r="B31" t="s">
        <v>231</v>
      </c>
      <c r="C31">
        <v>31</v>
      </c>
      <c r="D31">
        <v>3830</v>
      </c>
      <c r="E31">
        <v>6</v>
      </c>
      <c r="F31">
        <v>5653.8310983006386</v>
      </c>
      <c r="G31">
        <f t="shared" si="0"/>
        <v>61.4</v>
      </c>
      <c r="H31" t="s">
        <v>10</v>
      </c>
      <c r="I31" t="s">
        <v>26</v>
      </c>
    </row>
    <row r="32" spans="1:9" x14ac:dyDescent="0.25">
      <c r="A32" t="s">
        <v>69</v>
      </c>
      <c r="B32" t="s">
        <v>70</v>
      </c>
      <c r="C32">
        <v>15</v>
      </c>
      <c r="D32">
        <v>1157</v>
      </c>
      <c r="E32">
        <v>1</v>
      </c>
      <c r="F32">
        <v>5627.6501683245424</v>
      </c>
      <c r="G32">
        <f t="shared" si="0"/>
        <v>61.2</v>
      </c>
      <c r="H32" t="s">
        <v>10</v>
      </c>
      <c r="I32" t="s">
        <v>14</v>
      </c>
    </row>
    <row r="33" spans="1:9" x14ac:dyDescent="0.25">
      <c r="A33" t="s">
        <v>69</v>
      </c>
      <c r="B33" t="s">
        <v>71</v>
      </c>
      <c r="C33">
        <v>15</v>
      </c>
      <c r="D33">
        <v>868</v>
      </c>
      <c r="E33">
        <v>1</v>
      </c>
      <c r="F33">
        <v>5612.0348393212726</v>
      </c>
      <c r="G33">
        <f t="shared" si="0"/>
        <v>61.2</v>
      </c>
      <c r="H33" t="s">
        <v>10</v>
      </c>
      <c r="I33" t="s">
        <v>23</v>
      </c>
    </row>
    <row r="34" spans="1:9" x14ac:dyDescent="0.25">
      <c r="A34" t="s">
        <v>154</v>
      </c>
      <c r="B34" t="s">
        <v>155</v>
      </c>
      <c r="C34">
        <v>24</v>
      </c>
      <c r="D34">
        <v>3496</v>
      </c>
      <c r="E34">
        <v>5</v>
      </c>
      <c r="F34">
        <v>5558.9282825760583</v>
      </c>
      <c r="G34">
        <f t="shared" si="0"/>
        <v>60.9</v>
      </c>
      <c r="H34" t="s">
        <v>10</v>
      </c>
      <c r="I34" t="s">
        <v>26</v>
      </c>
    </row>
    <row r="35" spans="1:9" x14ac:dyDescent="0.25">
      <c r="A35" t="s">
        <v>152</v>
      </c>
      <c r="B35" t="s">
        <v>153</v>
      </c>
      <c r="C35">
        <v>21</v>
      </c>
      <c r="D35">
        <v>3376</v>
      </c>
      <c r="E35">
        <v>8</v>
      </c>
      <c r="F35">
        <v>5544.6962460806426</v>
      </c>
      <c r="G35">
        <f t="shared" si="0"/>
        <v>60.8</v>
      </c>
      <c r="H35" t="s">
        <v>10</v>
      </c>
      <c r="I35" t="s">
        <v>26</v>
      </c>
    </row>
    <row r="36" spans="1:9" x14ac:dyDescent="0.25">
      <c r="A36" t="s">
        <v>110</v>
      </c>
      <c r="B36" t="s">
        <v>111</v>
      </c>
      <c r="C36">
        <v>20</v>
      </c>
      <c r="D36">
        <v>1889</v>
      </c>
      <c r="E36">
        <v>1</v>
      </c>
      <c r="F36">
        <v>5485.8283542359804</v>
      </c>
      <c r="G36">
        <f t="shared" si="0"/>
        <v>60.5</v>
      </c>
      <c r="H36" t="s">
        <v>10</v>
      </c>
      <c r="I36" t="s">
        <v>14</v>
      </c>
    </row>
    <row r="37" spans="1:9" x14ac:dyDescent="0.25">
      <c r="A37" t="s">
        <v>146</v>
      </c>
      <c r="B37" t="s">
        <v>147</v>
      </c>
      <c r="C37">
        <v>23</v>
      </c>
      <c r="D37">
        <v>2085</v>
      </c>
      <c r="E37">
        <v>4</v>
      </c>
      <c r="F37">
        <v>5319.1237519244214</v>
      </c>
      <c r="G37">
        <f t="shared" si="0"/>
        <v>59.5</v>
      </c>
      <c r="H37" t="s">
        <v>10</v>
      </c>
      <c r="I37" t="s">
        <v>23</v>
      </c>
    </row>
    <row r="38" spans="1:9" x14ac:dyDescent="0.25">
      <c r="A38" t="s">
        <v>67</v>
      </c>
      <c r="B38" t="s">
        <v>68</v>
      </c>
      <c r="C38">
        <v>14</v>
      </c>
      <c r="D38">
        <v>1074</v>
      </c>
      <c r="E38">
        <v>1</v>
      </c>
      <c r="F38">
        <v>5283.3915259421456</v>
      </c>
      <c r="G38">
        <f t="shared" si="0"/>
        <v>59.3</v>
      </c>
      <c r="H38" t="s">
        <v>10</v>
      </c>
      <c r="I38" t="s">
        <v>20</v>
      </c>
    </row>
    <row r="39" spans="1:9" x14ac:dyDescent="0.25">
      <c r="A39" t="s">
        <v>134</v>
      </c>
      <c r="B39" t="s">
        <v>135</v>
      </c>
      <c r="C39">
        <v>21</v>
      </c>
      <c r="D39">
        <v>1322</v>
      </c>
      <c r="E39">
        <v>1</v>
      </c>
      <c r="F39">
        <v>5193.6475070712531</v>
      </c>
      <c r="G39">
        <f t="shared" si="0"/>
        <v>58.8</v>
      </c>
      <c r="H39" t="s">
        <v>10</v>
      </c>
      <c r="I39" t="s">
        <v>11</v>
      </c>
    </row>
    <row r="40" spans="1:9" x14ac:dyDescent="0.25">
      <c r="A40" t="s">
        <v>220</v>
      </c>
      <c r="B40" t="s">
        <v>221</v>
      </c>
      <c r="C40">
        <v>28</v>
      </c>
      <c r="D40">
        <v>1949</v>
      </c>
      <c r="E40">
        <v>2</v>
      </c>
      <c r="F40">
        <v>5140.9489614036984</v>
      </c>
      <c r="G40">
        <f t="shared" si="0"/>
        <v>58.5</v>
      </c>
      <c r="H40" t="s">
        <v>10</v>
      </c>
      <c r="I40" t="s">
        <v>23</v>
      </c>
    </row>
    <row r="41" spans="1:9" x14ac:dyDescent="0.25">
      <c r="A41" t="s">
        <v>123</v>
      </c>
      <c r="B41" t="s">
        <v>124</v>
      </c>
      <c r="C41">
        <v>20</v>
      </c>
      <c r="D41">
        <v>936</v>
      </c>
      <c r="E41">
        <v>0</v>
      </c>
      <c r="F41">
        <v>5018.0233746947051</v>
      </c>
      <c r="G41">
        <f t="shared" si="0"/>
        <v>57.8</v>
      </c>
      <c r="H41" t="s">
        <v>10</v>
      </c>
      <c r="I41" t="s">
        <v>11</v>
      </c>
    </row>
    <row r="42" spans="1:9" x14ac:dyDescent="0.25">
      <c r="A42" t="s">
        <v>156</v>
      </c>
      <c r="B42" t="s">
        <v>157</v>
      </c>
      <c r="C42">
        <v>20</v>
      </c>
      <c r="D42">
        <v>1381</v>
      </c>
      <c r="E42">
        <v>4</v>
      </c>
      <c r="F42">
        <v>4909.0567057116941</v>
      </c>
      <c r="G42">
        <f t="shared" si="0"/>
        <v>57.2</v>
      </c>
      <c r="H42" t="s">
        <v>62</v>
      </c>
      <c r="I42" t="s">
        <v>4</v>
      </c>
    </row>
    <row r="43" spans="1:9" x14ac:dyDescent="0.25">
      <c r="A43" t="s">
        <v>132</v>
      </c>
      <c r="B43" t="s">
        <v>133</v>
      </c>
      <c r="C43">
        <v>19</v>
      </c>
      <c r="D43">
        <v>950</v>
      </c>
      <c r="E43">
        <v>2</v>
      </c>
      <c r="F43">
        <v>4862.5333626319907</v>
      </c>
      <c r="G43">
        <f t="shared" si="0"/>
        <v>56.9</v>
      </c>
      <c r="H43" t="s">
        <v>10</v>
      </c>
      <c r="I43" t="s">
        <v>334</v>
      </c>
    </row>
    <row r="44" spans="1:9" x14ac:dyDescent="0.25">
      <c r="A44" t="s">
        <v>99</v>
      </c>
      <c r="B44" t="s">
        <v>100</v>
      </c>
      <c r="C44">
        <v>16</v>
      </c>
      <c r="D44">
        <v>2268</v>
      </c>
      <c r="E44">
        <v>4</v>
      </c>
      <c r="F44">
        <v>4762.2774517086127</v>
      </c>
      <c r="G44">
        <f t="shared" si="0"/>
        <v>56.3</v>
      </c>
      <c r="H44" t="s">
        <v>10</v>
      </c>
      <c r="I44" t="s">
        <v>11</v>
      </c>
    </row>
    <row r="45" spans="1:9" x14ac:dyDescent="0.25">
      <c r="A45" t="s">
        <v>35</v>
      </c>
      <c r="B45" t="s">
        <v>36</v>
      </c>
      <c r="C45">
        <v>9</v>
      </c>
      <c r="D45">
        <v>2553</v>
      </c>
      <c r="E45">
        <v>5</v>
      </c>
      <c r="F45">
        <v>4547.3439335172479</v>
      </c>
      <c r="G45">
        <f t="shared" si="0"/>
        <v>55.1</v>
      </c>
      <c r="H45" t="s">
        <v>10</v>
      </c>
      <c r="I45" t="s">
        <v>43</v>
      </c>
    </row>
    <row r="46" spans="1:9" x14ac:dyDescent="0.25">
      <c r="A46" t="s">
        <v>24</v>
      </c>
      <c r="B46" t="s">
        <v>25</v>
      </c>
      <c r="C46">
        <v>9</v>
      </c>
      <c r="D46">
        <v>1896</v>
      </c>
      <c r="E46">
        <v>3</v>
      </c>
      <c r="F46">
        <v>4435.8635846775942</v>
      </c>
      <c r="G46">
        <f t="shared" si="0"/>
        <v>54.4</v>
      </c>
      <c r="H46" t="s">
        <v>10</v>
      </c>
      <c r="I46" t="s">
        <v>23</v>
      </c>
    </row>
    <row r="47" spans="1:9" x14ac:dyDescent="0.25">
      <c r="A47" t="s">
        <v>118</v>
      </c>
      <c r="B47" t="s">
        <v>119</v>
      </c>
      <c r="C47">
        <v>17</v>
      </c>
      <c r="D47">
        <v>5346</v>
      </c>
      <c r="E47">
        <v>8</v>
      </c>
      <c r="F47">
        <v>4354.1020235273427</v>
      </c>
      <c r="G47">
        <f t="shared" si="0"/>
        <v>53.9</v>
      </c>
      <c r="H47" t="s">
        <v>10</v>
      </c>
      <c r="I47" t="s">
        <v>20</v>
      </c>
    </row>
    <row r="48" spans="1:9" x14ac:dyDescent="0.25">
      <c r="A48" t="s">
        <v>210</v>
      </c>
      <c r="B48" t="s">
        <v>211</v>
      </c>
      <c r="C48">
        <v>23</v>
      </c>
      <c r="D48">
        <v>1592</v>
      </c>
      <c r="E48">
        <v>3</v>
      </c>
      <c r="F48">
        <v>4338.1833537240573</v>
      </c>
      <c r="G48">
        <f t="shared" si="0"/>
        <v>53.8</v>
      </c>
      <c r="H48" t="s">
        <v>10</v>
      </c>
      <c r="I48" t="s">
        <v>26</v>
      </c>
    </row>
    <row r="49" spans="1:9" x14ac:dyDescent="0.25">
      <c r="A49" t="s">
        <v>201</v>
      </c>
      <c r="B49" t="s">
        <v>202</v>
      </c>
      <c r="C49">
        <v>33</v>
      </c>
      <c r="D49">
        <v>4648</v>
      </c>
      <c r="E49">
        <v>5</v>
      </c>
      <c r="F49">
        <v>4331.5444506755994</v>
      </c>
      <c r="G49">
        <f t="shared" si="0"/>
        <v>53.7</v>
      </c>
      <c r="H49" t="s">
        <v>10</v>
      </c>
      <c r="I49" t="s">
        <v>34</v>
      </c>
    </row>
    <row r="50" spans="1:9" x14ac:dyDescent="0.25">
      <c r="A50" t="s">
        <v>328</v>
      </c>
      <c r="B50" t="s">
        <v>330</v>
      </c>
      <c r="C50">
        <v>67</v>
      </c>
      <c r="D50">
        <v>4850</v>
      </c>
      <c r="E50">
        <v>4</v>
      </c>
      <c r="F50">
        <v>4304.2975408413186</v>
      </c>
      <c r="G50">
        <f t="shared" si="0"/>
        <v>53.6</v>
      </c>
      <c r="H50" t="s">
        <v>62</v>
      </c>
      <c r="I50" t="s">
        <v>4</v>
      </c>
    </row>
    <row r="51" spans="1:9" x14ac:dyDescent="0.25">
      <c r="A51" t="s">
        <v>54</v>
      </c>
      <c r="B51" t="s">
        <v>55</v>
      </c>
      <c r="C51">
        <v>11</v>
      </c>
      <c r="D51">
        <v>1357</v>
      </c>
      <c r="E51">
        <v>2</v>
      </c>
      <c r="F51">
        <v>4267.3936481267428</v>
      </c>
      <c r="G51">
        <f t="shared" si="0"/>
        <v>53.3</v>
      </c>
      <c r="H51" t="s">
        <v>62</v>
      </c>
      <c r="I51" t="s">
        <v>4</v>
      </c>
    </row>
    <row r="52" spans="1:9" x14ac:dyDescent="0.25">
      <c r="A52" t="s">
        <v>328</v>
      </c>
      <c r="B52" t="s">
        <v>329</v>
      </c>
      <c r="C52">
        <v>63</v>
      </c>
      <c r="D52">
        <v>4679</v>
      </c>
      <c r="E52">
        <v>2</v>
      </c>
      <c r="F52">
        <v>4111.8836484454596</v>
      </c>
      <c r="G52">
        <f t="shared" si="0"/>
        <v>52.3</v>
      </c>
      <c r="H52" t="s">
        <v>10</v>
      </c>
      <c r="I52" t="s">
        <v>178</v>
      </c>
    </row>
    <row r="53" spans="1:9" x14ac:dyDescent="0.25">
      <c r="A53" t="s">
        <v>46</v>
      </c>
      <c r="B53" t="s">
        <v>47</v>
      </c>
      <c r="C53">
        <v>9</v>
      </c>
      <c r="D53">
        <v>468</v>
      </c>
      <c r="E53">
        <v>0</v>
      </c>
      <c r="F53">
        <v>4097.9770000385543</v>
      </c>
      <c r="G53">
        <f t="shared" si="0"/>
        <v>52.3</v>
      </c>
      <c r="H53" t="s">
        <v>62</v>
      </c>
      <c r="I53" t="s">
        <v>4</v>
      </c>
    </row>
    <row r="54" spans="1:9" x14ac:dyDescent="0.25">
      <c r="A54" t="s">
        <v>88</v>
      </c>
      <c r="B54" t="s">
        <v>89</v>
      </c>
      <c r="C54">
        <v>16</v>
      </c>
      <c r="D54">
        <v>4106</v>
      </c>
      <c r="E54">
        <v>9</v>
      </c>
      <c r="F54">
        <v>4087.201905064424</v>
      </c>
      <c r="G54">
        <f t="shared" si="0"/>
        <v>52.2</v>
      </c>
      <c r="H54" t="s">
        <v>10</v>
      </c>
      <c r="I54" t="s">
        <v>34</v>
      </c>
    </row>
    <row r="55" spans="1:9" x14ac:dyDescent="0.25">
      <c r="A55" t="s">
        <v>8</v>
      </c>
      <c r="B55" t="s">
        <v>9</v>
      </c>
      <c r="C55">
        <v>6</v>
      </c>
      <c r="D55">
        <v>575</v>
      </c>
      <c r="E55">
        <v>1</v>
      </c>
      <c r="F55">
        <v>3991.7710722931661</v>
      </c>
      <c r="G55">
        <f t="shared" si="0"/>
        <v>51.6</v>
      </c>
      <c r="H55" t="s">
        <v>10</v>
      </c>
      <c r="I55" t="s">
        <v>11</v>
      </c>
    </row>
    <row r="56" spans="1:9" x14ac:dyDescent="0.25">
      <c r="A56" t="s">
        <v>393</v>
      </c>
      <c r="B56" t="s">
        <v>394</v>
      </c>
      <c r="C56">
        <v>74</v>
      </c>
      <c r="D56">
        <v>6924</v>
      </c>
      <c r="E56">
        <v>8</v>
      </c>
      <c r="F56">
        <v>3880.75432318408</v>
      </c>
      <c r="G56">
        <f t="shared" si="0"/>
        <v>50.9</v>
      </c>
      <c r="H56" t="s">
        <v>62</v>
      </c>
      <c r="I56" t="s">
        <v>4</v>
      </c>
    </row>
    <row r="57" spans="1:9" x14ac:dyDescent="0.25">
      <c r="A57" t="s">
        <v>318</v>
      </c>
      <c r="B57" t="s">
        <v>319</v>
      </c>
      <c r="C57">
        <v>54</v>
      </c>
      <c r="D57">
        <v>4634</v>
      </c>
      <c r="E57">
        <v>6</v>
      </c>
      <c r="F57">
        <v>3840.5804923644769</v>
      </c>
      <c r="G57">
        <f t="shared" si="0"/>
        <v>50.6</v>
      </c>
      <c r="H57" t="s">
        <v>62</v>
      </c>
      <c r="I57" t="s">
        <v>4</v>
      </c>
    </row>
    <row r="58" spans="1:9" x14ac:dyDescent="0.25">
      <c r="A58" t="s">
        <v>193</v>
      </c>
      <c r="B58" t="s">
        <v>194</v>
      </c>
      <c r="C58">
        <v>18</v>
      </c>
      <c r="D58">
        <v>2462</v>
      </c>
      <c r="E58">
        <v>5</v>
      </c>
      <c r="F58">
        <v>3816.2021899647661</v>
      </c>
      <c r="G58">
        <f t="shared" si="0"/>
        <v>50.4</v>
      </c>
      <c r="H58" t="s">
        <v>62</v>
      </c>
      <c r="I58" t="s">
        <v>4</v>
      </c>
    </row>
    <row r="59" spans="1:9" x14ac:dyDescent="0.25">
      <c r="A59" t="s">
        <v>102</v>
      </c>
      <c r="B59" t="s">
        <v>103</v>
      </c>
      <c r="C59">
        <v>14</v>
      </c>
      <c r="D59">
        <v>859</v>
      </c>
      <c r="E59">
        <v>1</v>
      </c>
      <c r="F59">
        <v>3810.0275185378509</v>
      </c>
      <c r="G59">
        <f t="shared" si="0"/>
        <v>50.4</v>
      </c>
      <c r="H59" t="s">
        <v>10</v>
      </c>
      <c r="I59" t="s">
        <v>11</v>
      </c>
    </row>
    <row r="60" spans="1:9" x14ac:dyDescent="0.25">
      <c r="A60" t="s">
        <v>268</v>
      </c>
      <c r="B60" t="s">
        <v>269</v>
      </c>
      <c r="C60">
        <v>28</v>
      </c>
      <c r="D60">
        <v>1902</v>
      </c>
      <c r="E60">
        <v>2</v>
      </c>
      <c r="F60">
        <v>3783.3233688652622</v>
      </c>
      <c r="G60">
        <f t="shared" si="0"/>
        <v>50.2</v>
      </c>
      <c r="H60" t="s">
        <v>10</v>
      </c>
      <c r="I60" t="s">
        <v>34</v>
      </c>
    </row>
    <row r="61" spans="1:9" x14ac:dyDescent="0.25">
      <c r="A61" t="s">
        <v>166</v>
      </c>
      <c r="B61" t="s">
        <v>167</v>
      </c>
      <c r="C61">
        <v>17</v>
      </c>
      <c r="D61">
        <v>1991</v>
      </c>
      <c r="E61">
        <v>2</v>
      </c>
      <c r="F61">
        <v>3766.3876621668801</v>
      </c>
      <c r="G61">
        <f t="shared" si="0"/>
        <v>50.1</v>
      </c>
      <c r="H61" t="s">
        <v>10</v>
      </c>
      <c r="I61" t="s">
        <v>14</v>
      </c>
    </row>
    <row r="62" spans="1:9" x14ac:dyDescent="0.25">
      <c r="A62" t="s">
        <v>125</v>
      </c>
      <c r="B62" t="s">
        <v>126</v>
      </c>
      <c r="C62">
        <v>16</v>
      </c>
      <c r="D62">
        <v>624</v>
      </c>
      <c r="E62">
        <v>0</v>
      </c>
      <c r="F62">
        <v>3760.3691102336129</v>
      </c>
      <c r="G62">
        <f t="shared" si="0"/>
        <v>50.1</v>
      </c>
      <c r="H62" t="s">
        <v>10</v>
      </c>
      <c r="I62" t="s">
        <v>40</v>
      </c>
    </row>
    <row r="63" spans="1:9" x14ac:dyDescent="0.25">
      <c r="A63" t="s">
        <v>353</v>
      </c>
      <c r="B63" t="s">
        <v>354</v>
      </c>
      <c r="C63">
        <v>58</v>
      </c>
      <c r="D63">
        <v>5782</v>
      </c>
      <c r="E63">
        <v>6</v>
      </c>
      <c r="F63">
        <v>3626.967343974597</v>
      </c>
      <c r="G63">
        <f t="shared" si="0"/>
        <v>49.2</v>
      </c>
      <c r="H63" t="s">
        <v>10</v>
      </c>
      <c r="I63" t="s">
        <v>40</v>
      </c>
    </row>
    <row r="64" spans="1:9" x14ac:dyDescent="0.25">
      <c r="A64" t="s">
        <v>358</v>
      </c>
      <c r="B64" t="s">
        <v>359</v>
      </c>
      <c r="C64">
        <v>69</v>
      </c>
      <c r="D64">
        <v>5409</v>
      </c>
      <c r="E64">
        <v>4</v>
      </c>
      <c r="F64">
        <v>3576.7194390829632</v>
      </c>
      <c r="G64">
        <f t="shared" si="0"/>
        <v>48.8</v>
      </c>
      <c r="H64" t="s">
        <v>10</v>
      </c>
      <c r="I64" t="s">
        <v>40</v>
      </c>
    </row>
    <row r="65" spans="1:9" x14ac:dyDescent="0.25">
      <c r="A65" t="s">
        <v>114</v>
      </c>
      <c r="B65" t="s">
        <v>115</v>
      </c>
      <c r="C65">
        <v>14</v>
      </c>
      <c r="D65">
        <v>627</v>
      </c>
      <c r="E65">
        <v>0</v>
      </c>
      <c r="F65">
        <v>3572.6353519777958</v>
      </c>
      <c r="G65">
        <f t="shared" si="0"/>
        <v>48.8</v>
      </c>
      <c r="H65" t="s">
        <v>10</v>
      </c>
      <c r="I65" t="s">
        <v>20</v>
      </c>
    </row>
    <row r="66" spans="1:9" x14ac:dyDescent="0.25">
      <c r="A66" t="s">
        <v>77</v>
      </c>
      <c r="B66" t="s">
        <v>78</v>
      </c>
      <c r="C66">
        <v>10</v>
      </c>
      <c r="D66">
        <v>828</v>
      </c>
      <c r="E66">
        <v>1</v>
      </c>
      <c r="F66">
        <v>3502.1600631337501</v>
      </c>
      <c r="G66">
        <f t="shared" si="0"/>
        <v>48.3</v>
      </c>
      <c r="H66" t="s">
        <v>10</v>
      </c>
      <c r="I66" t="s">
        <v>31</v>
      </c>
    </row>
    <row r="67" spans="1:9" x14ac:dyDescent="0.25">
      <c r="A67" t="s">
        <v>148</v>
      </c>
      <c r="B67" t="s">
        <v>149</v>
      </c>
      <c r="C67">
        <v>15</v>
      </c>
      <c r="D67">
        <v>1355</v>
      </c>
      <c r="E67">
        <v>2</v>
      </c>
      <c r="F67">
        <v>3498.0730992169301</v>
      </c>
      <c r="G67">
        <f t="shared" ref="G67:G130" si="1">ROUND(100*SQRT(F67/F$2),1)</f>
        <v>48.3</v>
      </c>
      <c r="H67" t="s">
        <v>10</v>
      </c>
      <c r="I67" t="s">
        <v>20</v>
      </c>
    </row>
    <row r="68" spans="1:9" x14ac:dyDescent="0.25">
      <c r="A68" t="s">
        <v>94</v>
      </c>
      <c r="B68" t="s">
        <v>95</v>
      </c>
      <c r="C68">
        <v>12</v>
      </c>
      <c r="D68">
        <v>2122</v>
      </c>
      <c r="E68">
        <v>5</v>
      </c>
      <c r="F68">
        <v>3415.4753304696028</v>
      </c>
      <c r="G68">
        <f t="shared" si="1"/>
        <v>47.7</v>
      </c>
      <c r="H68" t="s">
        <v>10</v>
      </c>
      <c r="I68" t="s">
        <v>40</v>
      </c>
    </row>
    <row r="69" spans="1:9" x14ac:dyDescent="0.25">
      <c r="A69" t="s">
        <v>300</v>
      </c>
      <c r="B69" t="s">
        <v>301</v>
      </c>
      <c r="C69">
        <v>30</v>
      </c>
      <c r="D69">
        <v>2298</v>
      </c>
      <c r="E69">
        <v>4</v>
      </c>
      <c r="F69">
        <v>3382.4149597698561</v>
      </c>
      <c r="G69">
        <f t="shared" si="1"/>
        <v>47.5</v>
      </c>
      <c r="H69" t="s">
        <v>10</v>
      </c>
      <c r="I69" t="s">
        <v>34</v>
      </c>
    </row>
    <row r="70" spans="1:9" x14ac:dyDescent="0.25">
      <c r="A70" t="s">
        <v>52</v>
      </c>
      <c r="B70" t="s">
        <v>53</v>
      </c>
      <c r="C70">
        <v>10</v>
      </c>
      <c r="D70">
        <v>601</v>
      </c>
      <c r="E70">
        <v>1</v>
      </c>
      <c r="F70">
        <v>3381.7042408664579</v>
      </c>
      <c r="G70">
        <f t="shared" si="1"/>
        <v>47.5</v>
      </c>
      <c r="H70" t="s">
        <v>10</v>
      </c>
      <c r="I70" t="s">
        <v>11</v>
      </c>
    </row>
    <row r="71" spans="1:9" x14ac:dyDescent="0.25">
      <c r="A71" t="s">
        <v>60</v>
      </c>
      <c r="B71" t="s">
        <v>61</v>
      </c>
      <c r="C71">
        <v>9</v>
      </c>
      <c r="D71">
        <v>359</v>
      </c>
      <c r="E71">
        <v>5</v>
      </c>
      <c r="F71">
        <v>3358.6437884523302</v>
      </c>
      <c r="G71">
        <f t="shared" si="1"/>
        <v>47.3</v>
      </c>
      <c r="H71" t="s">
        <v>62</v>
      </c>
      <c r="I71" t="s">
        <v>4</v>
      </c>
    </row>
    <row r="72" spans="1:9" x14ac:dyDescent="0.25">
      <c r="A72" t="s">
        <v>282</v>
      </c>
      <c r="B72" t="s">
        <v>283</v>
      </c>
      <c r="C72">
        <v>26</v>
      </c>
      <c r="D72">
        <v>818</v>
      </c>
      <c r="E72">
        <v>0</v>
      </c>
      <c r="F72">
        <v>3279.021946347345</v>
      </c>
      <c r="G72">
        <f t="shared" si="1"/>
        <v>46.7</v>
      </c>
      <c r="H72" t="s">
        <v>10</v>
      </c>
      <c r="I72" t="s">
        <v>26</v>
      </c>
    </row>
    <row r="73" spans="1:9" x14ac:dyDescent="0.25">
      <c r="A73" t="s">
        <v>170</v>
      </c>
      <c r="B73" t="s">
        <v>171</v>
      </c>
      <c r="C73">
        <v>16</v>
      </c>
      <c r="D73">
        <v>2736</v>
      </c>
      <c r="E73">
        <v>8</v>
      </c>
      <c r="F73">
        <v>3217.7435316449391</v>
      </c>
      <c r="G73">
        <f t="shared" si="1"/>
        <v>46.3</v>
      </c>
      <c r="H73" t="s">
        <v>10</v>
      </c>
      <c r="I73" t="s">
        <v>178</v>
      </c>
    </row>
    <row r="74" spans="1:9" x14ac:dyDescent="0.25">
      <c r="A74" t="s">
        <v>215</v>
      </c>
      <c r="B74" t="s">
        <v>216</v>
      </c>
      <c r="C74">
        <v>15</v>
      </c>
      <c r="D74">
        <v>4263</v>
      </c>
      <c r="E74">
        <v>5</v>
      </c>
      <c r="F74">
        <v>3192.0204075725269</v>
      </c>
      <c r="G74">
        <f t="shared" si="1"/>
        <v>46.1</v>
      </c>
      <c r="H74" t="s">
        <v>10</v>
      </c>
      <c r="I74" t="s">
        <v>217</v>
      </c>
    </row>
    <row r="75" spans="1:9" x14ac:dyDescent="0.25">
      <c r="A75" t="s">
        <v>314</v>
      </c>
      <c r="B75" t="s">
        <v>315</v>
      </c>
      <c r="C75">
        <v>34</v>
      </c>
      <c r="D75">
        <v>574</v>
      </c>
      <c r="E75">
        <v>0</v>
      </c>
      <c r="F75">
        <v>3190.634777123164</v>
      </c>
      <c r="G75">
        <f t="shared" si="1"/>
        <v>46.1</v>
      </c>
      <c r="H75" t="s">
        <v>62</v>
      </c>
      <c r="I75" t="s">
        <v>4</v>
      </c>
    </row>
    <row r="76" spans="1:9" x14ac:dyDescent="0.25">
      <c r="A76" t="s">
        <v>243</v>
      </c>
      <c r="B76" t="s">
        <v>244</v>
      </c>
      <c r="C76">
        <v>19</v>
      </c>
      <c r="D76">
        <v>913</v>
      </c>
      <c r="E76">
        <v>0</v>
      </c>
      <c r="F76">
        <v>3167.3226237110271</v>
      </c>
      <c r="G76">
        <f t="shared" si="1"/>
        <v>45.9</v>
      </c>
      <c r="H76" t="s">
        <v>10</v>
      </c>
      <c r="I76" t="s">
        <v>178</v>
      </c>
    </row>
    <row r="77" spans="1:9" x14ac:dyDescent="0.25">
      <c r="A77" t="s">
        <v>228</v>
      </c>
      <c r="B77" t="s">
        <v>229</v>
      </c>
      <c r="C77">
        <v>19</v>
      </c>
      <c r="D77">
        <v>1184</v>
      </c>
      <c r="E77">
        <v>2</v>
      </c>
      <c r="F77">
        <v>3132.270416261103</v>
      </c>
      <c r="G77">
        <f t="shared" si="1"/>
        <v>45.7</v>
      </c>
      <c r="H77" t="s">
        <v>62</v>
      </c>
      <c r="I77" t="s">
        <v>4</v>
      </c>
    </row>
    <row r="78" spans="1:9" x14ac:dyDescent="0.25">
      <c r="A78" t="s">
        <v>241</v>
      </c>
      <c r="B78" t="s">
        <v>242</v>
      </c>
      <c r="C78">
        <v>18</v>
      </c>
      <c r="D78">
        <v>1786</v>
      </c>
      <c r="E78">
        <v>4</v>
      </c>
      <c r="F78">
        <v>3029.8626316559689</v>
      </c>
      <c r="G78">
        <f t="shared" si="1"/>
        <v>44.9</v>
      </c>
      <c r="H78" t="s">
        <v>10</v>
      </c>
      <c r="I78" t="s">
        <v>26</v>
      </c>
    </row>
    <row r="79" spans="1:9" x14ac:dyDescent="0.25">
      <c r="A79" t="s">
        <v>63</v>
      </c>
      <c r="B79" t="s">
        <v>64</v>
      </c>
      <c r="C79">
        <v>8</v>
      </c>
      <c r="D79">
        <v>2326</v>
      </c>
      <c r="E79">
        <v>5</v>
      </c>
      <c r="F79">
        <v>2981.1855269117091</v>
      </c>
      <c r="G79">
        <f t="shared" si="1"/>
        <v>44.6</v>
      </c>
      <c r="H79" t="s">
        <v>10</v>
      </c>
      <c r="I79" t="s">
        <v>20</v>
      </c>
    </row>
    <row r="80" spans="1:9" x14ac:dyDescent="0.25">
      <c r="A80" t="s">
        <v>176</v>
      </c>
      <c r="B80" t="s">
        <v>177</v>
      </c>
      <c r="C80">
        <v>13</v>
      </c>
      <c r="D80">
        <v>849</v>
      </c>
      <c r="E80">
        <v>0</v>
      </c>
      <c r="F80">
        <v>2959.436266295113</v>
      </c>
      <c r="G80">
        <f t="shared" si="1"/>
        <v>44.4</v>
      </c>
      <c r="H80" t="s">
        <v>10</v>
      </c>
      <c r="I80" t="s">
        <v>26</v>
      </c>
    </row>
    <row r="81" spans="1:9" x14ac:dyDescent="0.25">
      <c r="A81" t="s">
        <v>121</v>
      </c>
      <c r="B81" t="s">
        <v>122</v>
      </c>
      <c r="C81">
        <v>11</v>
      </c>
      <c r="D81">
        <v>567</v>
      </c>
      <c r="E81">
        <v>0</v>
      </c>
      <c r="F81">
        <v>2958.4676276970708</v>
      </c>
      <c r="G81">
        <f t="shared" si="1"/>
        <v>44.4</v>
      </c>
      <c r="H81" t="s">
        <v>10</v>
      </c>
      <c r="I81" t="s">
        <v>34</v>
      </c>
    </row>
    <row r="82" spans="1:9" x14ac:dyDescent="0.25">
      <c r="A82" t="s">
        <v>272</v>
      </c>
      <c r="B82" t="s">
        <v>273</v>
      </c>
      <c r="C82">
        <v>22</v>
      </c>
      <c r="D82">
        <v>1645</v>
      </c>
      <c r="E82">
        <v>1</v>
      </c>
      <c r="F82">
        <v>2932.609754467011</v>
      </c>
      <c r="G82">
        <f t="shared" si="1"/>
        <v>44.2</v>
      </c>
      <c r="H82" t="s">
        <v>10</v>
      </c>
      <c r="I82" t="s">
        <v>40</v>
      </c>
    </row>
    <row r="83" spans="1:9" x14ac:dyDescent="0.25">
      <c r="A83" t="s">
        <v>112</v>
      </c>
      <c r="B83" t="s">
        <v>113</v>
      </c>
      <c r="C83">
        <v>11</v>
      </c>
      <c r="D83">
        <v>1199</v>
      </c>
      <c r="E83">
        <v>3</v>
      </c>
      <c r="F83">
        <v>2917.9798630735659</v>
      </c>
      <c r="G83">
        <f t="shared" si="1"/>
        <v>44.1</v>
      </c>
      <c r="H83" t="s">
        <v>10</v>
      </c>
      <c r="I83" t="s">
        <v>37</v>
      </c>
    </row>
    <row r="84" spans="1:9" x14ac:dyDescent="0.25">
      <c r="A84" t="s">
        <v>280</v>
      </c>
      <c r="B84" t="s">
        <v>281</v>
      </c>
      <c r="C84">
        <v>26</v>
      </c>
      <c r="D84">
        <v>3533</v>
      </c>
      <c r="E84">
        <v>5</v>
      </c>
      <c r="F84">
        <v>2860.4435730327241</v>
      </c>
      <c r="G84">
        <f t="shared" si="1"/>
        <v>43.7</v>
      </c>
      <c r="H84" t="s">
        <v>10</v>
      </c>
      <c r="I84" t="s">
        <v>17</v>
      </c>
    </row>
    <row r="85" spans="1:9" x14ac:dyDescent="0.25">
      <c r="A85" t="s">
        <v>288</v>
      </c>
      <c r="B85" t="s">
        <v>289</v>
      </c>
      <c r="C85">
        <v>34</v>
      </c>
      <c r="D85">
        <v>29054</v>
      </c>
      <c r="E85">
        <v>17</v>
      </c>
      <c r="F85">
        <v>2789.1570020991171</v>
      </c>
      <c r="G85">
        <f t="shared" si="1"/>
        <v>43.1</v>
      </c>
      <c r="H85" t="s">
        <v>10</v>
      </c>
      <c r="I85" t="s">
        <v>209</v>
      </c>
    </row>
    <row r="86" spans="1:9" x14ac:dyDescent="0.25">
      <c r="A86" t="s">
        <v>213</v>
      </c>
      <c r="B86" t="s">
        <v>214</v>
      </c>
      <c r="C86">
        <v>16</v>
      </c>
      <c r="D86">
        <v>674</v>
      </c>
      <c r="E86">
        <v>0</v>
      </c>
      <c r="F86">
        <v>2767.5539947903671</v>
      </c>
      <c r="G86">
        <f t="shared" si="1"/>
        <v>42.9</v>
      </c>
      <c r="H86" t="s">
        <v>10</v>
      </c>
      <c r="I86" t="s">
        <v>26</v>
      </c>
    </row>
    <row r="87" spans="1:9" x14ac:dyDescent="0.25">
      <c r="A87" t="s">
        <v>284</v>
      </c>
      <c r="B87" t="s">
        <v>285</v>
      </c>
      <c r="C87">
        <v>34</v>
      </c>
      <c r="D87">
        <v>2041</v>
      </c>
      <c r="E87">
        <v>3</v>
      </c>
      <c r="F87">
        <v>2760.8456211166022</v>
      </c>
      <c r="G87">
        <f t="shared" si="1"/>
        <v>42.9</v>
      </c>
      <c r="H87" t="s">
        <v>10</v>
      </c>
      <c r="I87" t="s">
        <v>40</v>
      </c>
    </row>
    <row r="88" spans="1:9" x14ac:dyDescent="0.25">
      <c r="A88" t="s">
        <v>270</v>
      </c>
      <c r="B88" t="s">
        <v>271</v>
      </c>
      <c r="C88">
        <v>20</v>
      </c>
      <c r="D88">
        <v>708</v>
      </c>
      <c r="E88">
        <v>0</v>
      </c>
      <c r="F88">
        <v>2752.663719164128</v>
      </c>
      <c r="G88">
        <f t="shared" si="1"/>
        <v>42.8</v>
      </c>
      <c r="H88" t="s">
        <v>62</v>
      </c>
      <c r="I88" t="s">
        <v>4</v>
      </c>
    </row>
    <row r="89" spans="1:9" x14ac:dyDescent="0.25">
      <c r="A89" t="s">
        <v>343</v>
      </c>
      <c r="B89" t="s">
        <v>344</v>
      </c>
      <c r="C89">
        <v>41</v>
      </c>
      <c r="D89">
        <v>3436</v>
      </c>
      <c r="E89">
        <v>7</v>
      </c>
      <c r="F89">
        <v>2746.9494667360668</v>
      </c>
      <c r="G89">
        <f t="shared" si="1"/>
        <v>42.8</v>
      </c>
      <c r="H89" t="s">
        <v>62</v>
      </c>
      <c r="I89" t="s">
        <v>4</v>
      </c>
    </row>
    <row r="90" spans="1:9" x14ac:dyDescent="0.25">
      <c r="A90" t="s">
        <v>116</v>
      </c>
      <c r="B90" t="s">
        <v>117</v>
      </c>
      <c r="C90">
        <v>10</v>
      </c>
      <c r="D90">
        <v>857</v>
      </c>
      <c r="E90">
        <v>1</v>
      </c>
      <c r="F90">
        <v>2746.089434645859</v>
      </c>
      <c r="G90">
        <f t="shared" si="1"/>
        <v>42.8</v>
      </c>
      <c r="H90" t="s">
        <v>10</v>
      </c>
      <c r="I90" t="s">
        <v>17</v>
      </c>
    </row>
    <row r="91" spans="1:9" x14ac:dyDescent="0.25">
      <c r="A91" t="s">
        <v>276</v>
      </c>
      <c r="B91" t="s">
        <v>277</v>
      </c>
      <c r="C91">
        <v>21</v>
      </c>
      <c r="D91">
        <v>852</v>
      </c>
      <c r="E91">
        <v>1</v>
      </c>
      <c r="F91">
        <v>2706.6847442403091</v>
      </c>
      <c r="G91">
        <f t="shared" si="1"/>
        <v>42.5</v>
      </c>
      <c r="H91" t="s">
        <v>10</v>
      </c>
      <c r="I91" t="s">
        <v>40</v>
      </c>
    </row>
    <row r="92" spans="1:9" x14ac:dyDescent="0.25">
      <c r="A92" t="s">
        <v>259</v>
      </c>
      <c r="B92" t="s">
        <v>260</v>
      </c>
      <c r="C92">
        <v>28</v>
      </c>
      <c r="D92">
        <v>28583</v>
      </c>
      <c r="E92">
        <v>10</v>
      </c>
      <c r="F92">
        <v>2692.89169784565</v>
      </c>
      <c r="G92">
        <f t="shared" si="1"/>
        <v>42.4</v>
      </c>
      <c r="H92" t="s">
        <v>62</v>
      </c>
      <c r="I92" t="s">
        <v>4</v>
      </c>
    </row>
    <row r="93" spans="1:9" x14ac:dyDescent="0.25">
      <c r="A93" t="s">
        <v>304</v>
      </c>
      <c r="B93" t="s">
        <v>305</v>
      </c>
      <c r="C93">
        <v>21</v>
      </c>
      <c r="D93">
        <v>1934</v>
      </c>
      <c r="E93">
        <v>3</v>
      </c>
      <c r="F93">
        <v>2663.2990338297341</v>
      </c>
      <c r="G93">
        <f t="shared" si="1"/>
        <v>42.1</v>
      </c>
      <c r="H93" t="s">
        <v>10</v>
      </c>
      <c r="I93" t="s">
        <v>26</v>
      </c>
    </row>
    <row r="94" spans="1:9" x14ac:dyDescent="0.25">
      <c r="A94" t="s">
        <v>312</v>
      </c>
      <c r="B94" t="s">
        <v>313</v>
      </c>
      <c r="C94">
        <v>26</v>
      </c>
      <c r="D94">
        <v>3163</v>
      </c>
      <c r="E94">
        <v>7</v>
      </c>
      <c r="F94">
        <v>2649.6138700261422</v>
      </c>
      <c r="G94">
        <f t="shared" si="1"/>
        <v>42</v>
      </c>
      <c r="H94" t="s">
        <v>62</v>
      </c>
      <c r="I94" t="s">
        <v>4</v>
      </c>
    </row>
    <row r="95" spans="1:9" x14ac:dyDescent="0.25">
      <c r="A95" t="s">
        <v>104</v>
      </c>
      <c r="B95" t="s">
        <v>105</v>
      </c>
      <c r="C95">
        <v>10</v>
      </c>
      <c r="D95">
        <v>374</v>
      </c>
      <c r="E95">
        <v>0</v>
      </c>
      <c r="F95">
        <v>2615.7657257529559</v>
      </c>
      <c r="G95">
        <f t="shared" si="1"/>
        <v>41.8</v>
      </c>
      <c r="H95" t="s">
        <v>10</v>
      </c>
      <c r="I95" t="s">
        <v>212</v>
      </c>
    </row>
    <row r="96" spans="1:9" x14ac:dyDescent="0.25">
      <c r="A96" t="s">
        <v>183</v>
      </c>
      <c r="B96" t="s">
        <v>184</v>
      </c>
      <c r="C96">
        <v>12</v>
      </c>
      <c r="D96">
        <v>867</v>
      </c>
      <c r="E96">
        <v>1</v>
      </c>
      <c r="F96">
        <v>2568.0729770236171</v>
      </c>
      <c r="G96">
        <f t="shared" si="1"/>
        <v>41.4</v>
      </c>
      <c r="H96" t="s">
        <v>62</v>
      </c>
      <c r="I96" t="s">
        <v>4</v>
      </c>
    </row>
    <row r="97" spans="1:9" x14ac:dyDescent="0.25">
      <c r="A97" t="s">
        <v>136</v>
      </c>
      <c r="B97" t="s">
        <v>137</v>
      </c>
      <c r="C97">
        <v>15</v>
      </c>
      <c r="D97">
        <v>2664</v>
      </c>
      <c r="E97">
        <v>5</v>
      </c>
      <c r="F97">
        <v>2558.8744676970991</v>
      </c>
      <c r="G97">
        <f t="shared" si="1"/>
        <v>41.3</v>
      </c>
      <c r="H97" t="s">
        <v>10</v>
      </c>
      <c r="I97" t="s">
        <v>696</v>
      </c>
    </row>
    <row r="98" spans="1:9" x14ac:dyDescent="0.25">
      <c r="A98" t="s">
        <v>233</v>
      </c>
      <c r="B98" t="s">
        <v>234</v>
      </c>
      <c r="C98">
        <v>13</v>
      </c>
      <c r="D98">
        <v>3341</v>
      </c>
      <c r="E98">
        <v>6</v>
      </c>
      <c r="F98">
        <v>2540.8398773671379</v>
      </c>
      <c r="G98">
        <f t="shared" si="1"/>
        <v>41.2</v>
      </c>
      <c r="H98" t="s">
        <v>62</v>
      </c>
      <c r="I98" t="s">
        <v>4</v>
      </c>
    </row>
    <row r="99" spans="1:9" x14ac:dyDescent="0.25">
      <c r="A99" t="s">
        <v>138</v>
      </c>
      <c r="B99" t="s">
        <v>139</v>
      </c>
      <c r="C99">
        <v>10</v>
      </c>
      <c r="D99">
        <v>890</v>
      </c>
      <c r="E99">
        <v>1</v>
      </c>
      <c r="F99">
        <v>2483.716011380202</v>
      </c>
      <c r="G99">
        <f t="shared" si="1"/>
        <v>40.700000000000003</v>
      </c>
      <c r="H99" t="s">
        <v>10</v>
      </c>
      <c r="I99" t="s">
        <v>23</v>
      </c>
    </row>
    <row r="100" spans="1:9" x14ac:dyDescent="0.25">
      <c r="A100" t="s">
        <v>472</v>
      </c>
      <c r="B100" t="s">
        <v>473</v>
      </c>
      <c r="C100">
        <v>151</v>
      </c>
      <c r="D100">
        <v>9147</v>
      </c>
      <c r="E100">
        <v>5</v>
      </c>
      <c r="F100">
        <v>2473.3444569915309</v>
      </c>
      <c r="G100">
        <f t="shared" si="1"/>
        <v>40.6</v>
      </c>
      <c r="H100" t="s">
        <v>62</v>
      </c>
      <c r="I100" t="s">
        <v>4</v>
      </c>
    </row>
    <row r="101" spans="1:9" x14ac:dyDescent="0.25">
      <c r="A101" t="s">
        <v>322</v>
      </c>
      <c r="B101" t="s">
        <v>323</v>
      </c>
      <c r="C101">
        <v>25</v>
      </c>
      <c r="D101">
        <v>3184</v>
      </c>
      <c r="E101">
        <v>4</v>
      </c>
      <c r="F101">
        <v>2397.9141785602528</v>
      </c>
      <c r="G101">
        <f t="shared" si="1"/>
        <v>40</v>
      </c>
      <c r="H101" t="s">
        <v>10</v>
      </c>
      <c r="I101" t="s">
        <v>40</v>
      </c>
    </row>
    <row r="102" spans="1:9" x14ac:dyDescent="0.25">
      <c r="A102" t="s">
        <v>79</v>
      </c>
      <c r="B102" t="s">
        <v>80</v>
      </c>
      <c r="C102">
        <v>7</v>
      </c>
      <c r="D102">
        <v>865</v>
      </c>
      <c r="E102">
        <v>1</v>
      </c>
      <c r="F102">
        <v>2380.079794072853</v>
      </c>
      <c r="G102">
        <f t="shared" si="1"/>
        <v>39.799999999999997</v>
      </c>
      <c r="H102" t="s">
        <v>10</v>
      </c>
      <c r="I102" t="s">
        <v>40</v>
      </c>
    </row>
    <row r="103" spans="1:9" x14ac:dyDescent="0.25">
      <c r="A103" t="s">
        <v>92</v>
      </c>
      <c r="B103" t="s">
        <v>93</v>
      </c>
      <c r="C103">
        <v>9</v>
      </c>
      <c r="D103">
        <v>467</v>
      </c>
      <c r="E103">
        <v>0</v>
      </c>
      <c r="F103">
        <v>2372.457069804419</v>
      </c>
      <c r="G103">
        <f t="shared" si="1"/>
        <v>39.799999999999997</v>
      </c>
      <c r="H103" t="s">
        <v>10</v>
      </c>
      <c r="I103" t="s">
        <v>696</v>
      </c>
    </row>
    <row r="104" spans="1:9" x14ac:dyDescent="0.25">
      <c r="A104" t="s">
        <v>437</v>
      </c>
      <c r="B104" t="s">
        <v>438</v>
      </c>
      <c r="C104">
        <v>85</v>
      </c>
      <c r="D104">
        <v>6651</v>
      </c>
      <c r="E104">
        <v>9</v>
      </c>
      <c r="F104">
        <v>2371.8426376982438</v>
      </c>
      <c r="G104">
        <f t="shared" si="1"/>
        <v>39.799999999999997</v>
      </c>
      <c r="H104" t="s">
        <v>62</v>
      </c>
      <c r="I104" t="s">
        <v>4</v>
      </c>
    </row>
    <row r="105" spans="1:9" x14ac:dyDescent="0.25">
      <c r="A105" t="s">
        <v>706</v>
      </c>
      <c r="B105" t="s">
        <v>452</v>
      </c>
      <c r="C105">
        <v>11</v>
      </c>
      <c r="D105">
        <v>146</v>
      </c>
      <c r="E105">
        <v>0</v>
      </c>
      <c r="F105">
        <v>2322.7340632529322</v>
      </c>
      <c r="G105">
        <f t="shared" si="1"/>
        <v>39.299999999999997</v>
      </c>
      <c r="H105" t="s">
        <v>62</v>
      </c>
      <c r="I105" t="s">
        <v>4</v>
      </c>
    </row>
    <row r="106" spans="1:9" x14ac:dyDescent="0.25">
      <c r="A106" t="s">
        <v>451</v>
      </c>
      <c r="B106" t="s">
        <v>455</v>
      </c>
      <c r="C106">
        <v>85</v>
      </c>
      <c r="D106">
        <v>4759</v>
      </c>
      <c r="E106">
        <v>4</v>
      </c>
      <c r="F106">
        <v>2297.5903661547359</v>
      </c>
      <c r="G106">
        <f t="shared" si="1"/>
        <v>39.1</v>
      </c>
      <c r="H106" t="s">
        <v>62</v>
      </c>
      <c r="I106" t="s">
        <v>4</v>
      </c>
    </row>
    <row r="107" spans="1:9" x14ac:dyDescent="0.25">
      <c r="A107" t="s">
        <v>435</v>
      </c>
      <c r="B107" t="s">
        <v>436</v>
      </c>
      <c r="C107">
        <v>76</v>
      </c>
      <c r="D107">
        <v>3760</v>
      </c>
      <c r="E107">
        <v>5</v>
      </c>
      <c r="F107">
        <v>2217.8775913037621</v>
      </c>
      <c r="G107">
        <f t="shared" si="1"/>
        <v>38.4</v>
      </c>
      <c r="H107" t="s">
        <v>62</v>
      </c>
      <c r="I107" t="s">
        <v>4</v>
      </c>
    </row>
    <row r="108" spans="1:9" x14ac:dyDescent="0.25">
      <c r="A108" t="s">
        <v>160</v>
      </c>
      <c r="B108" t="s">
        <v>161</v>
      </c>
      <c r="C108">
        <v>10</v>
      </c>
      <c r="D108">
        <v>626</v>
      </c>
      <c r="E108">
        <v>1</v>
      </c>
      <c r="F108">
        <v>2216.1634711861998</v>
      </c>
      <c r="G108">
        <f t="shared" si="1"/>
        <v>38.4</v>
      </c>
      <c r="H108" t="s">
        <v>10</v>
      </c>
      <c r="I108" t="s">
        <v>14</v>
      </c>
    </row>
    <row r="109" spans="1:9" x14ac:dyDescent="0.25">
      <c r="A109" t="s">
        <v>187</v>
      </c>
      <c r="B109" t="s">
        <v>188</v>
      </c>
      <c r="C109">
        <v>11</v>
      </c>
      <c r="D109">
        <v>412</v>
      </c>
      <c r="E109">
        <v>0</v>
      </c>
      <c r="F109">
        <v>2208.3739465708222</v>
      </c>
      <c r="G109">
        <f t="shared" si="1"/>
        <v>38.4</v>
      </c>
      <c r="H109" t="s">
        <v>10</v>
      </c>
      <c r="I109" t="s">
        <v>40</v>
      </c>
    </row>
    <row r="110" spans="1:9" x14ac:dyDescent="0.25">
      <c r="A110" t="s">
        <v>447</v>
      </c>
      <c r="B110" t="s">
        <v>448</v>
      </c>
      <c r="C110">
        <v>74</v>
      </c>
      <c r="D110">
        <v>4713</v>
      </c>
      <c r="E110">
        <v>3</v>
      </c>
      <c r="F110">
        <v>2206.7721244555878</v>
      </c>
      <c r="G110">
        <f t="shared" si="1"/>
        <v>38.299999999999997</v>
      </c>
      <c r="H110" t="s">
        <v>62</v>
      </c>
      <c r="I110" t="s">
        <v>4</v>
      </c>
    </row>
    <row r="111" spans="1:9" x14ac:dyDescent="0.25">
      <c r="A111" t="s">
        <v>249</v>
      </c>
      <c r="B111" t="s">
        <v>250</v>
      </c>
      <c r="C111">
        <v>12</v>
      </c>
      <c r="D111">
        <v>1888</v>
      </c>
      <c r="E111">
        <v>5</v>
      </c>
      <c r="F111">
        <v>2202.760315425614</v>
      </c>
      <c r="G111">
        <f t="shared" si="1"/>
        <v>38.299999999999997</v>
      </c>
      <c r="H111" t="s">
        <v>10</v>
      </c>
      <c r="I111" t="s">
        <v>261</v>
      </c>
    </row>
    <row r="112" spans="1:9" x14ac:dyDescent="0.25">
      <c r="A112" t="s">
        <v>264</v>
      </c>
      <c r="B112" t="s">
        <v>265</v>
      </c>
      <c r="C112">
        <v>15</v>
      </c>
      <c r="D112">
        <v>294</v>
      </c>
      <c r="E112">
        <v>0</v>
      </c>
      <c r="F112">
        <v>2165.398755895239</v>
      </c>
      <c r="G112">
        <f t="shared" si="1"/>
        <v>38</v>
      </c>
      <c r="H112" t="s">
        <v>62</v>
      </c>
      <c r="I112" t="s">
        <v>4</v>
      </c>
    </row>
    <row r="113" spans="1:9" x14ac:dyDescent="0.25">
      <c r="A113" t="s">
        <v>403</v>
      </c>
      <c r="B113" t="s">
        <v>404</v>
      </c>
      <c r="C113">
        <v>36</v>
      </c>
      <c r="D113">
        <v>1561</v>
      </c>
      <c r="E113">
        <v>1</v>
      </c>
      <c r="F113">
        <v>2124.105886415558</v>
      </c>
      <c r="G113">
        <f t="shared" si="1"/>
        <v>37.6</v>
      </c>
      <c r="H113" t="s">
        <v>62</v>
      </c>
      <c r="I113" t="s">
        <v>4</v>
      </c>
    </row>
    <row r="114" spans="1:9" x14ac:dyDescent="0.25">
      <c r="A114" t="s">
        <v>32</v>
      </c>
      <c r="B114" t="s">
        <v>33</v>
      </c>
      <c r="C114">
        <v>5</v>
      </c>
      <c r="D114">
        <v>369</v>
      </c>
      <c r="E114">
        <v>0</v>
      </c>
      <c r="F114">
        <v>2099.3001320090698</v>
      </c>
      <c r="G114">
        <f t="shared" si="1"/>
        <v>37.4</v>
      </c>
      <c r="H114" t="s">
        <v>10</v>
      </c>
      <c r="I114" t="s">
        <v>14</v>
      </c>
    </row>
    <row r="115" spans="1:9" x14ac:dyDescent="0.25">
      <c r="A115" t="s">
        <v>127</v>
      </c>
      <c r="B115" t="s">
        <v>128</v>
      </c>
      <c r="C115">
        <v>12</v>
      </c>
      <c r="D115">
        <v>2180</v>
      </c>
      <c r="E115">
        <v>3</v>
      </c>
      <c r="F115">
        <v>2074.281942015265</v>
      </c>
      <c r="G115">
        <f t="shared" si="1"/>
        <v>37.200000000000003</v>
      </c>
      <c r="H115" t="s">
        <v>10</v>
      </c>
      <c r="I115" t="s">
        <v>34</v>
      </c>
    </row>
    <row r="116" spans="1:9" x14ac:dyDescent="0.25">
      <c r="A116" t="s">
        <v>185</v>
      </c>
      <c r="B116" t="s">
        <v>186</v>
      </c>
      <c r="C116">
        <v>10</v>
      </c>
      <c r="D116">
        <v>557</v>
      </c>
      <c r="E116">
        <v>1</v>
      </c>
      <c r="F116">
        <v>2071.005937084562</v>
      </c>
      <c r="G116">
        <f t="shared" si="1"/>
        <v>37.200000000000003</v>
      </c>
      <c r="H116" t="s">
        <v>10</v>
      </c>
      <c r="I116" t="s">
        <v>131</v>
      </c>
    </row>
    <row r="117" spans="1:9" x14ac:dyDescent="0.25">
      <c r="A117" t="s">
        <v>199</v>
      </c>
      <c r="B117" t="s">
        <v>200</v>
      </c>
      <c r="C117">
        <v>16</v>
      </c>
      <c r="D117">
        <v>3222</v>
      </c>
      <c r="E117">
        <v>4</v>
      </c>
      <c r="F117">
        <v>2066.3006588109001</v>
      </c>
      <c r="G117">
        <f t="shared" si="1"/>
        <v>37.1</v>
      </c>
      <c r="H117" t="s">
        <v>10</v>
      </c>
      <c r="I117" t="s">
        <v>34</v>
      </c>
    </row>
    <row r="118" spans="1:9" x14ac:dyDescent="0.25">
      <c r="A118" t="s">
        <v>226</v>
      </c>
      <c r="B118" t="s">
        <v>227</v>
      </c>
      <c r="C118">
        <v>12</v>
      </c>
      <c r="D118">
        <v>773</v>
      </c>
      <c r="E118">
        <v>0</v>
      </c>
      <c r="F118">
        <v>2057.6668326756248</v>
      </c>
      <c r="G118">
        <f t="shared" si="1"/>
        <v>37</v>
      </c>
      <c r="H118" t="s">
        <v>10</v>
      </c>
      <c r="I118" t="s">
        <v>20</v>
      </c>
    </row>
    <row r="119" spans="1:9" x14ac:dyDescent="0.25">
      <c r="A119" t="s">
        <v>407</v>
      </c>
      <c r="B119" t="s">
        <v>408</v>
      </c>
      <c r="C119">
        <v>35</v>
      </c>
      <c r="D119">
        <v>2215</v>
      </c>
      <c r="E119">
        <v>4</v>
      </c>
      <c r="F119">
        <v>2026.658898870171</v>
      </c>
      <c r="G119">
        <f t="shared" si="1"/>
        <v>36.799999999999997</v>
      </c>
      <c r="H119" t="s">
        <v>62</v>
      </c>
      <c r="I119" t="s">
        <v>4</v>
      </c>
    </row>
    <row r="120" spans="1:9" x14ac:dyDescent="0.25">
      <c r="A120" t="s">
        <v>429</v>
      </c>
      <c r="B120" t="s">
        <v>430</v>
      </c>
      <c r="C120">
        <v>66</v>
      </c>
      <c r="D120">
        <v>4398</v>
      </c>
      <c r="E120">
        <v>5</v>
      </c>
      <c r="F120">
        <v>1994.2706370219739</v>
      </c>
      <c r="G120">
        <f t="shared" si="1"/>
        <v>36.5</v>
      </c>
      <c r="H120" t="s">
        <v>10</v>
      </c>
      <c r="I120" t="s">
        <v>40</v>
      </c>
    </row>
    <row r="121" spans="1:9" x14ac:dyDescent="0.25">
      <c r="A121" t="s">
        <v>257</v>
      </c>
      <c r="B121" t="s">
        <v>258</v>
      </c>
      <c r="C121">
        <v>17</v>
      </c>
      <c r="D121">
        <v>3366</v>
      </c>
      <c r="E121">
        <v>5</v>
      </c>
      <c r="F121">
        <v>1986.2448428466871</v>
      </c>
      <c r="G121">
        <f t="shared" si="1"/>
        <v>36.4</v>
      </c>
      <c r="H121" t="s">
        <v>10</v>
      </c>
      <c r="I121" t="s">
        <v>20</v>
      </c>
    </row>
    <row r="122" spans="1:9" x14ac:dyDescent="0.25">
      <c r="A122" t="s">
        <v>409</v>
      </c>
      <c r="B122" t="s">
        <v>410</v>
      </c>
      <c r="C122">
        <v>48</v>
      </c>
      <c r="D122">
        <v>3264</v>
      </c>
      <c r="E122">
        <v>4</v>
      </c>
      <c r="F122">
        <v>1944.635696497965</v>
      </c>
      <c r="G122">
        <f t="shared" si="1"/>
        <v>36</v>
      </c>
      <c r="H122" t="s">
        <v>10</v>
      </c>
      <c r="I122" t="s">
        <v>26</v>
      </c>
    </row>
    <row r="123" spans="1:9" x14ac:dyDescent="0.25">
      <c r="A123" t="s">
        <v>172</v>
      </c>
      <c r="B123" t="s">
        <v>173</v>
      </c>
      <c r="C123">
        <v>9</v>
      </c>
      <c r="D123">
        <v>673</v>
      </c>
      <c r="E123">
        <v>2</v>
      </c>
      <c r="F123">
        <v>1927.1621740517</v>
      </c>
      <c r="G123">
        <f t="shared" si="1"/>
        <v>35.799999999999997</v>
      </c>
      <c r="H123" t="s">
        <v>10</v>
      </c>
      <c r="I123" t="s">
        <v>26</v>
      </c>
    </row>
    <row r="124" spans="1:9" x14ac:dyDescent="0.25">
      <c r="A124" t="s">
        <v>129</v>
      </c>
      <c r="B124" t="s">
        <v>130</v>
      </c>
      <c r="C124">
        <v>11</v>
      </c>
      <c r="D124">
        <v>1663</v>
      </c>
      <c r="E124">
        <v>3</v>
      </c>
      <c r="F124">
        <v>1926.654184023663</v>
      </c>
      <c r="G124">
        <f t="shared" si="1"/>
        <v>35.799999999999997</v>
      </c>
      <c r="H124" t="s">
        <v>10</v>
      </c>
      <c r="I124" t="s">
        <v>26</v>
      </c>
    </row>
    <row r="125" spans="1:9" x14ac:dyDescent="0.25">
      <c r="A125" t="s">
        <v>224</v>
      </c>
      <c r="B125" t="s">
        <v>225</v>
      </c>
      <c r="C125">
        <v>11</v>
      </c>
      <c r="D125">
        <v>704</v>
      </c>
      <c r="E125">
        <v>1</v>
      </c>
      <c r="F125">
        <v>1923.218631087306</v>
      </c>
      <c r="G125">
        <f t="shared" si="1"/>
        <v>35.799999999999997</v>
      </c>
      <c r="H125" t="s">
        <v>10</v>
      </c>
      <c r="I125" t="s">
        <v>23</v>
      </c>
    </row>
    <row r="126" spans="1:9" x14ac:dyDescent="0.25">
      <c r="A126" t="s">
        <v>320</v>
      </c>
      <c r="B126" t="s">
        <v>321</v>
      </c>
      <c r="C126">
        <v>26</v>
      </c>
      <c r="D126">
        <v>4974</v>
      </c>
      <c r="E126">
        <v>6</v>
      </c>
      <c r="F126">
        <v>1918.223309599718</v>
      </c>
      <c r="G126">
        <f t="shared" si="1"/>
        <v>35.799999999999997</v>
      </c>
      <c r="H126" t="s">
        <v>10</v>
      </c>
      <c r="I126" t="s">
        <v>334</v>
      </c>
    </row>
    <row r="127" spans="1:9" x14ac:dyDescent="0.25">
      <c r="A127" t="s">
        <v>239</v>
      </c>
      <c r="B127" t="s">
        <v>240</v>
      </c>
      <c r="C127">
        <v>11</v>
      </c>
      <c r="D127">
        <v>601</v>
      </c>
      <c r="E127">
        <v>1</v>
      </c>
      <c r="F127">
        <v>1908.9436752491581</v>
      </c>
      <c r="G127">
        <f t="shared" si="1"/>
        <v>35.700000000000003</v>
      </c>
      <c r="H127" t="s">
        <v>62</v>
      </c>
      <c r="I127" t="s">
        <v>4</v>
      </c>
    </row>
    <row r="128" spans="1:9" x14ac:dyDescent="0.25">
      <c r="A128" t="s">
        <v>205</v>
      </c>
      <c r="B128" t="s">
        <v>206</v>
      </c>
      <c r="C128">
        <v>15</v>
      </c>
      <c r="D128">
        <v>1980</v>
      </c>
      <c r="E128">
        <v>3</v>
      </c>
      <c r="F128">
        <v>1895.672833852886</v>
      </c>
      <c r="G128">
        <f t="shared" si="1"/>
        <v>35.5</v>
      </c>
      <c r="H128" t="s">
        <v>62</v>
      </c>
      <c r="I128" t="s">
        <v>4</v>
      </c>
    </row>
    <row r="129" spans="1:9" x14ac:dyDescent="0.25">
      <c r="A129" t="s">
        <v>266</v>
      </c>
      <c r="B129" t="s">
        <v>267</v>
      </c>
      <c r="C129">
        <v>13</v>
      </c>
      <c r="D129">
        <v>672</v>
      </c>
      <c r="E129">
        <v>0</v>
      </c>
      <c r="F129">
        <v>1879.112861513016</v>
      </c>
      <c r="G129">
        <f t="shared" si="1"/>
        <v>35.4</v>
      </c>
      <c r="H129" t="s">
        <v>10</v>
      </c>
      <c r="I129" t="s">
        <v>40</v>
      </c>
    </row>
    <row r="130" spans="1:9" x14ac:dyDescent="0.25">
      <c r="A130" t="s">
        <v>255</v>
      </c>
      <c r="B130" t="s">
        <v>256</v>
      </c>
      <c r="C130">
        <v>15</v>
      </c>
      <c r="D130">
        <v>850</v>
      </c>
      <c r="E130">
        <v>1</v>
      </c>
      <c r="F130">
        <v>1854.872469323177</v>
      </c>
      <c r="G130">
        <f t="shared" si="1"/>
        <v>35.200000000000003</v>
      </c>
      <c r="H130" t="s">
        <v>10</v>
      </c>
      <c r="I130" t="s">
        <v>26</v>
      </c>
    </row>
    <row r="131" spans="1:9" x14ac:dyDescent="0.25">
      <c r="A131" t="s">
        <v>203</v>
      </c>
      <c r="B131" t="s">
        <v>204</v>
      </c>
      <c r="C131">
        <v>13</v>
      </c>
      <c r="D131">
        <v>3261</v>
      </c>
      <c r="E131">
        <v>4</v>
      </c>
      <c r="F131">
        <v>1850.9423888944971</v>
      </c>
      <c r="G131">
        <f t="shared" ref="G131:G194" si="2">ROUND(100*SQRT(F131/F$2),1)</f>
        <v>35.1</v>
      </c>
      <c r="H131" t="s">
        <v>10</v>
      </c>
      <c r="I131" t="s">
        <v>40</v>
      </c>
    </row>
    <row r="132" spans="1:9" x14ac:dyDescent="0.25">
      <c r="A132" t="s">
        <v>245</v>
      </c>
      <c r="B132" t="s">
        <v>246</v>
      </c>
      <c r="C132">
        <v>12</v>
      </c>
      <c r="D132">
        <v>762</v>
      </c>
      <c r="E132">
        <v>0</v>
      </c>
      <c r="F132">
        <v>1850.480283095126</v>
      </c>
      <c r="G132">
        <f t="shared" si="2"/>
        <v>35.1</v>
      </c>
      <c r="H132" t="s">
        <v>62</v>
      </c>
      <c r="I132" t="s">
        <v>4</v>
      </c>
    </row>
    <row r="133" spans="1:9" x14ac:dyDescent="0.25">
      <c r="A133" t="s">
        <v>389</v>
      </c>
      <c r="B133" t="s">
        <v>390</v>
      </c>
      <c r="C133">
        <v>28</v>
      </c>
      <c r="D133">
        <v>878</v>
      </c>
      <c r="E133">
        <v>0</v>
      </c>
      <c r="F133">
        <v>1839.1758523180449</v>
      </c>
      <c r="G133">
        <f t="shared" si="2"/>
        <v>35</v>
      </c>
      <c r="H133" t="s">
        <v>10</v>
      </c>
      <c r="I133" t="s">
        <v>40</v>
      </c>
    </row>
    <row r="134" spans="1:9" x14ac:dyDescent="0.25">
      <c r="A134" t="s">
        <v>253</v>
      </c>
      <c r="B134" t="s">
        <v>254</v>
      </c>
      <c r="C134">
        <v>15</v>
      </c>
      <c r="D134">
        <v>3690</v>
      </c>
      <c r="E134">
        <v>7</v>
      </c>
      <c r="F134">
        <v>1764.090582385184</v>
      </c>
      <c r="G134">
        <f t="shared" si="2"/>
        <v>34.299999999999997</v>
      </c>
      <c r="H134" t="s">
        <v>10</v>
      </c>
      <c r="I134" t="s">
        <v>40</v>
      </c>
    </row>
    <row r="135" spans="1:9" x14ac:dyDescent="0.25">
      <c r="A135" t="s">
        <v>164</v>
      </c>
      <c r="B135" t="s">
        <v>165</v>
      </c>
      <c r="C135">
        <v>8</v>
      </c>
      <c r="D135">
        <v>270</v>
      </c>
      <c r="E135">
        <v>0</v>
      </c>
      <c r="F135">
        <v>1754.752376493866</v>
      </c>
      <c r="G135">
        <f t="shared" si="2"/>
        <v>34.200000000000003</v>
      </c>
      <c r="H135" t="s">
        <v>10</v>
      </c>
      <c r="I135" t="s">
        <v>20</v>
      </c>
    </row>
    <row r="136" spans="1:9" x14ac:dyDescent="0.25">
      <c r="A136" t="s">
        <v>181</v>
      </c>
      <c r="B136" t="s">
        <v>182</v>
      </c>
      <c r="C136">
        <v>8</v>
      </c>
      <c r="D136">
        <v>390</v>
      </c>
      <c r="E136">
        <v>1</v>
      </c>
      <c r="F136">
        <v>1719.0467160035121</v>
      </c>
      <c r="G136">
        <f t="shared" si="2"/>
        <v>33.799999999999997</v>
      </c>
      <c r="H136" t="s">
        <v>10</v>
      </c>
      <c r="I136" t="s">
        <v>20</v>
      </c>
    </row>
    <row r="137" spans="1:9" x14ac:dyDescent="0.25">
      <c r="A137" t="s">
        <v>316</v>
      </c>
      <c r="B137" t="s">
        <v>317</v>
      </c>
      <c r="C137">
        <v>19</v>
      </c>
      <c r="D137">
        <v>405</v>
      </c>
      <c r="E137">
        <v>0</v>
      </c>
      <c r="F137">
        <v>1707.952231228712</v>
      </c>
      <c r="G137">
        <f t="shared" si="2"/>
        <v>33.700000000000003</v>
      </c>
      <c r="H137" t="s">
        <v>10</v>
      </c>
      <c r="I137" t="s">
        <v>11</v>
      </c>
    </row>
    <row r="138" spans="1:9" x14ac:dyDescent="0.25">
      <c r="A138" t="s">
        <v>466</v>
      </c>
      <c r="B138" t="s">
        <v>467</v>
      </c>
      <c r="C138">
        <v>89</v>
      </c>
      <c r="D138">
        <v>5946</v>
      </c>
      <c r="E138">
        <v>9</v>
      </c>
      <c r="F138">
        <v>1700.299659214897</v>
      </c>
      <c r="G138">
        <f t="shared" si="2"/>
        <v>33.700000000000003</v>
      </c>
      <c r="H138" t="s">
        <v>10</v>
      </c>
      <c r="I138" t="s">
        <v>40</v>
      </c>
    </row>
    <row r="139" spans="1:9" x14ac:dyDescent="0.25">
      <c r="A139" t="s">
        <v>197</v>
      </c>
      <c r="B139" t="s">
        <v>198</v>
      </c>
      <c r="C139">
        <v>10</v>
      </c>
      <c r="D139">
        <v>338</v>
      </c>
      <c r="E139">
        <v>0</v>
      </c>
      <c r="F139">
        <v>1695.0029207179221</v>
      </c>
      <c r="G139">
        <f t="shared" si="2"/>
        <v>33.6</v>
      </c>
      <c r="H139" t="s">
        <v>10</v>
      </c>
      <c r="I139" t="s">
        <v>40</v>
      </c>
    </row>
    <row r="140" spans="1:9" x14ac:dyDescent="0.25">
      <c r="A140" t="s">
        <v>512</v>
      </c>
      <c r="B140" t="s">
        <v>513</v>
      </c>
      <c r="C140">
        <v>141</v>
      </c>
      <c r="D140">
        <v>9395</v>
      </c>
      <c r="E140">
        <v>11</v>
      </c>
      <c r="F140">
        <v>1668.8881275697991</v>
      </c>
      <c r="G140">
        <f t="shared" si="2"/>
        <v>33.4</v>
      </c>
      <c r="H140" t="s">
        <v>62</v>
      </c>
      <c r="I140" t="s">
        <v>4</v>
      </c>
    </row>
    <row r="141" spans="1:9" x14ac:dyDescent="0.25">
      <c r="A141" t="s">
        <v>662</v>
      </c>
      <c r="B141" t="s">
        <v>663</v>
      </c>
      <c r="C141">
        <v>426</v>
      </c>
      <c r="D141">
        <v>12549</v>
      </c>
      <c r="E141">
        <v>10</v>
      </c>
      <c r="F141">
        <v>1649.0292038154839</v>
      </c>
      <c r="G141">
        <f t="shared" si="2"/>
        <v>33.200000000000003</v>
      </c>
      <c r="H141" t="s">
        <v>62</v>
      </c>
      <c r="I141" t="s">
        <v>4</v>
      </c>
    </row>
    <row r="142" spans="1:9" x14ac:dyDescent="0.25">
      <c r="A142" t="s">
        <v>195</v>
      </c>
      <c r="B142" t="s">
        <v>196</v>
      </c>
      <c r="C142">
        <v>9</v>
      </c>
      <c r="D142">
        <v>518</v>
      </c>
      <c r="E142">
        <v>0</v>
      </c>
      <c r="F142">
        <v>1644.284179774992</v>
      </c>
      <c r="G142">
        <f t="shared" si="2"/>
        <v>33.1</v>
      </c>
      <c r="H142" t="s">
        <v>10</v>
      </c>
      <c r="I142" t="s">
        <v>20</v>
      </c>
    </row>
    <row r="143" spans="1:9" x14ac:dyDescent="0.25">
      <c r="A143" t="s">
        <v>310</v>
      </c>
      <c r="B143" t="s">
        <v>311</v>
      </c>
      <c r="C143">
        <v>14</v>
      </c>
      <c r="D143">
        <v>916</v>
      </c>
      <c r="E143">
        <v>0</v>
      </c>
      <c r="F143">
        <v>1640.8366360405389</v>
      </c>
      <c r="G143">
        <f t="shared" si="2"/>
        <v>33.1</v>
      </c>
      <c r="H143" t="s">
        <v>10</v>
      </c>
      <c r="I143" t="s">
        <v>40</v>
      </c>
    </row>
    <row r="144" spans="1:9" x14ac:dyDescent="0.25">
      <c r="A144" t="s">
        <v>158</v>
      </c>
      <c r="B144" t="s">
        <v>159</v>
      </c>
      <c r="C144">
        <v>8</v>
      </c>
      <c r="D144">
        <v>463</v>
      </c>
      <c r="E144">
        <v>0</v>
      </c>
      <c r="F144">
        <v>1628.5096761746111</v>
      </c>
      <c r="G144">
        <f t="shared" si="2"/>
        <v>32.9</v>
      </c>
      <c r="H144" t="s">
        <v>62</v>
      </c>
      <c r="I144" t="s">
        <v>4</v>
      </c>
    </row>
    <row r="145" spans="1:9" x14ac:dyDescent="0.25">
      <c r="A145" t="s">
        <v>262</v>
      </c>
      <c r="B145" t="s">
        <v>263</v>
      </c>
      <c r="C145">
        <v>11</v>
      </c>
      <c r="D145">
        <v>350</v>
      </c>
      <c r="E145">
        <v>1</v>
      </c>
      <c r="F145">
        <v>1608.158671320017</v>
      </c>
      <c r="G145">
        <f t="shared" si="2"/>
        <v>32.700000000000003</v>
      </c>
      <c r="H145" t="s">
        <v>10</v>
      </c>
      <c r="I145" t="s">
        <v>696</v>
      </c>
    </row>
    <row r="146" spans="1:9" x14ac:dyDescent="0.25">
      <c r="A146" t="s">
        <v>274</v>
      </c>
      <c r="B146" t="s">
        <v>275</v>
      </c>
      <c r="C146">
        <v>16</v>
      </c>
      <c r="D146">
        <v>799</v>
      </c>
      <c r="E146">
        <v>1</v>
      </c>
      <c r="F146">
        <v>1606.9214815624989</v>
      </c>
      <c r="G146">
        <f t="shared" si="2"/>
        <v>32.700000000000003</v>
      </c>
      <c r="H146" t="s">
        <v>10</v>
      </c>
      <c r="I146" t="s">
        <v>178</v>
      </c>
    </row>
    <row r="147" spans="1:9" x14ac:dyDescent="0.25">
      <c r="A147" t="s">
        <v>349</v>
      </c>
      <c r="B147" t="s">
        <v>350</v>
      </c>
      <c r="C147">
        <v>18</v>
      </c>
      <c r="D147">
        <v>2548</v>
      </c>
      <c r="E147">
        <v>8</v>
      </c>
      <c r="F147">
        <v>1582.869237363979</v>
      </c>
      <c r="G147">
        <f t="shared" si="2"/>
        <v>32.5</v>
      </c>
      <c r="H147" t="s">
        <v>62</v>
      </c>
      <c r="I147" t="s">
        <v>4</v>
      </c>
    </row>
    <row r="148" spans="1:9" x14ac:dyDescent="0.25">
      <c r="A148" t="s">
        <v>560</v>
      </c>
      <c r="B148" t="s">
        <v>561</v>
      </c>
      <c r="C148">
        <v>190</v>
      </c>
      <c r="D148">
        <v>12853</v>
      </c>
      <c r="E148">
        <v>12</v>
      </c>
      <c r="F148">
        <v>1580.4425368813629</v>
      </c>
      <c r="G148">
        <f t="shared" si="2"/>
        <v>32.5</v>
      </c>
      <c r="H148" t="s">
        <v>62</v>
      </c>
      <c r="I148" t="s">
        <v>4</v>
      </c>
    </row>
    <row r="149" spans="1:9" x14ac:dyDescent="0.25">
      <c r="A149" t="s">
        <v>218</v>
      </c>
      <c r="B149" t="s">
        <v>219</v>
      </c>
      <c r="C149">
        <v>9</v>
      </c>
      <c r="D149">
        <v>656</v>
      </c>
      <c r="E149">
        <v>1</v>
      </c>
      <c r="F149">
        <v>1568.961967017219</v>
      </c>
      <c r="G149">
        <f t="shared" si="2"/>
        <v>32.299999999999997</v>
      </c>
      <c r="H149" t="s">
        <v>10</v>
      </c>
      <c r="I149" t="s">
        <v>40</v>
      </c>
    </row>
    <row r="150" spans="1:9" x14ac:dyDescent="0.25">
      <c r="A150" t="s">
        <v>480</v>
      </c>
      <c r="B150" t="s">
        <v>481</v>
      </c>
      <c r="C150">
        <v>98</v>
      </c>
      <c r="D150">
        <v>5681</v>
      </c>
      <c r="E150">
        <v>5</v>
      </c>
      <c r="F150">
        <v>1565.0499560663461</v>
      </c>
      <c r="G150">
        <f t="shared" si="2"/>
        <v>32.299999999999997</v>
      </c>
      <c r="H150" t="s">
        <v>62</v>
      </c>
      <c r="I150" t="s">
        <v>4</v>
      </c>
    </row>
    <row r="151" spans="1:9" x14ac:dyDescent="0.25">
      <c r="A151" t="s">
        <v>360</v>
      </c>
      <c r="B151" t="s">
        <v>361</v>
      </c>
      <c r="C151">
        <v>20</v>
      </c>
      <c r="D151">
        <v>391</v>
      </c>
      <c r="E151">
        <v>0</v>
      </c>
      <c r="F151">
        <v>1505.8067896367049</v>
      </c>
      <c r="G151">
        <f t="shared" si="2"/>
        <v>31.7</v>
      </c>
      <c r="H151" t="s">
        <v>62</v>
      </c>
      <c r="I151" t="s">
        <v>4</v>
      </c>
    </row>
    <row r="152" spans="1:9" x14ac:dyDescent="0.25">
      <c r="A152" t="s">
        <v>356</v>
      </c>
      <c r="B152" t="s">
        <v>357</v>
      </c>
      <c r="C152">
        <v>20</v>
      </c>
      <c r="D152">
        <v>464</v>
      </c>
      <c r="E152">
        <v>0</v>
      </c>
      <c r="F152">
        <v>1500.1399956677601</v>
      </c>
      <c r="G152">
        <f t="shared" si="2"/>
        <v>31.6</v>
      </c>
      <c r="H152" t="s">
        <v>10</v>
      </c>
      <c r="I152" t="s">
        <v>178</v>
      </c>
    </row>
    <row r="153" spans="1:9" x14ac:dyDescent="0.25">
      <c r="A153" t="s">
        <v>399</v>
      </c>
      <c r="B153" t="s">
        <v>400</v>
      </c>
      <c r="C153">
        <v>36</v>
      </c>
      <c r="D153">
        <v>2689</v>
      </c>
      <c r="E153">
        <v>5</v>
      </c>
      <c r="F153">
        <v>1497.369509597333</v>
      </c>
      <c r="G153">
        <f t="shared" si="2"/>
        <v>31.6</v>
      </c>
      <c r="H153" t="s">
        <v>10</v>
      </c>
      <c r="I153" t="s">
        <v>178</v>
      </c>
    </row>
    <row r="154" spans="1:9" x14ac:dyDescent="0.25">
      <c r="A154" t="s">
        <v>347</v>
      </c>
      <c r="B154" t="s">
        <v>348</v>
      </c>
      <c r="C154">
        <v>24</v>
      </c>
      <c r="D154">
        <v>5214</v>
      </c>
      <c r="E154">
        <v>5</v>
      </c>
      <c r="F154">
        <v>1475.5469565350329</v>
      </c>
      <c r="G154">
        <f t="shared" si="2"/>
        <v>31.4</v>
      </c>
      <c r="H154" t="s">
        <v>62</v>
      </c>
      <c r="I154" t="s">
        <v>4</v>
      </c>
    </row>
    <row r="155" spans="1:9" x14ac:dyDescent="0.25">
      <c r="A155" t="s">
        <v>542</v>
      </c>
      <c r="B155" t="s">
        <v>543</v>
      </c>
      <c r="C155">
        <v>152</v>
      </c>
      <c r="D155">
        <v>3446</v>
      </c>
      <c r="E155">
        <v>6</v>
      </c>
      <c r="F155">
        <v>1410.9294052583591</v>
      </c>
      <c r="G155">
        <f t="shared" si="2"/>
        <v>30.7</v>
      </c>
      <c r="H155" t="s">
        <v>62</v>
      </c>
      <c r="I155" t="s">
        <v>4</v>
      </c>
    </row>
    <row r="156" spans="1:9" x14ac:dyDescent="0.25">
      <c r="A156" t="s">
        <v>376</v>
      </c>
      <c r="B156" t="s">
        <v>377</v>
      </c>
      <c r="C156">
        <v>19</v>
      </c>
      <c r="D156">
        <v>570</v>
      </c>
      <c r="E156">
        <v>0</v>
      </c>
      <c r="F156">
        <v>1357.790227845614</v>
      </c>
      <c r="G156">
        <f t="shared" si="2"/>
        <v>30.1</v>
      </c>
      <c r="H156" t="s">
        <v>62</v>
      </c>
      <c r="I156" t="s">
        <v>4</v>
      </c>
    </row>
    <row r="157" spans="1:9" x14ac:dyDescent="0.25">
      <c r="A157" t="s">
        <v>247</v>
      </c>
      <c r="B157" t="s">
        <v>248</v>
      </c>
      <c r="C157">
        <v>8</v>
      </c>
      <c r="D157">
        <v>386</v>
      </c>
      <c r="E157">
        <v>1</v>
      </c>
      <c r="F157">
        <v>1355.5246681724529</v>
      </c>
      <c r="G157">
        <f t="shared" si="2"/>
        <v>30.1</v>
      </c>
      <c r="H157" t="s">
        <v>10</v>
      </c>
      <c r="I157" t="s">
        <v>20</v>
      </c>
    </row>
    <row r="158" spans="1:9" x14ac:dyDescent="0.25">
      <c r="A158" t="s">
        <v>179</v>
      </c>
      <c r="B158" t="s">
        <v>180</v>
      </c>
      <c r="C158">
        <v>6</v>
      </c>
      <c r="D158">
        <v>574</v>
      </c>
      <c r="E158">
        <v>1</v>
      </c>
      <c r="F158">
        <v>1278.231202853993</v>
      </c>
      <c r="G158">
        <f t="shared" si="2"/>
        <v>29.2</v>
      </c>
      <c r="H158" t="s">
        <v>10</v>
      </c>
      <c r="I158" t="s">
        <v>40</v>
      </c>
    </row>
    <row r="159" spans="1:9" x14ac:dyDescent="0.25">
      <c r="A159" t="s">
        <v>308</v>
      </c>
      <c r="B159" t="s">
        <v>309</v>
      </c>
      <c r="C159">
        <v>11</v>
      </c>
      <c r="D159">
        <v>689</v>
      </c>
      <c r="E159">
        <v>1</v>
      </c>
      <c r="F159">
        <v>1277.7506102313309</v>
      </c>
      <c r="G159">
        <f t="shared" si="2"/>
        <v>29.2</v>
      </c>
      <c r="H159" t="s">
        <v>10</v>
      </c>
      <c r="I159" t="s">
        <v>40</v>
      </c>
    </row>
    <row r="160" spans="1:9" x14ac:dyDescent="0.25">
      <c r="A160" t="s">
        <v>439</v>
      </c>
      <c r="B160" t="s">
        <v>440</v>
      </c>
      <c r="C160">
        <v>40</v>
      </c>
      <c r="D160">
        <v>3619</v>
      </c>
      <c r="E160">
        <v>7</v>
      </c>
      <c r="F160">
        <v>1277.360004105283</v>
      </c>
      <c r="G160">
        <f t="shared" si="2"/>
        <v>29.2</v>
      </c>
      <c r="H160" t="s">
        <v>10</v>
      </c>
      <c r="I160" t="s">
        <v>40</v>
      </c>
    </row>
    <row r="161" spans="1:9" x14ac:dyDescent="0.25">
      <c r="A161" t="s">
        <v>370</v>
      </c>
      <c r="B161" t="s">
        <v>371</v>
      </c>
      <c r="C161">
        <v>17</v>
      </c>
      <c r="D161">
        <v>471</v>
      </c>
      <c r="E161">
        <v>0</v>
      </c>
      <c r="F161">
        <v>1254.69040593932</v>
      </c>
      <c r="G161">
        <f t="shared" si="2"/>
        <v>28.9</v>
      </c>
      <c r="H161" t="s">
        <v>62</v>
      </c>
      <c r="I161" t="s">
        <v>4</v>
      </c>
    </row>
    <row r="162" spans="1:9" x14ac:dyDescent="0.25">
      <c r="A162" t="s">
        <v>540</v>
      </c>
      <c r="B162" t="s">
        <v>541</v>
      </c>
      <c r="C162">
        <v>128</v>
      </c>
      <c r="D162">
        <v>7246</v>
      </c>
      <c r="E162">
        <v>9</v>
      </c>
      <c r="F162">
        <v>1251.770030989366</v>
      </c>
      <c r="G162">
        <f t="shared" si="2"/>
        <v>28.9</v>
      </c>
      <c r="H162" t="s">
        <v>62</v>
      </c>
      <c r="I162" t="s">
        <v>4</v>
      </c>
    </row>
    <row r="163" spans="1:9" x14ac:dyDescent="0.25">
      <c r="A163" t="s">
        <v>286</v>
      </c>
      <c r="B163" t="s">
        <v>287</v>
      </c>
      <c r="C163">
        <v>10</v>
      </c>
      <c r="D163">
        <v>886</v>
      </c>
      <c r="E163">
        <v>1</v>
      </c>
      <c r="F163">
        <v>1240.224233367579</v>
      </c>
      <c r="G163">
        <f t="shared" si="2"/>
        <v>28.7</v>
      </c>
      <c r="H163" t="s">
        <v>10</v>
      </c>
      <c r="I163" t="s">
        <v>334</v>
      </c>
    </row>
    <row r="164" spans="1:9" x14ac:dyDescent="0.25">
      <c r="A164" t="s">
        <v>411</v>
      </c>
      <c r="B164" t="s">
        <v>412</v>
      </c>
      <c r="C164">
        <v>33</v>
      </c>
      <c r="D164">
        <v>11387</v>
      </c>
      <c r="E164">
        <v>11</v>
      </c>
      <c r="F164">
        <v>1218.69745733638</v>
      </c>
      <c r="G164">
        <f t="shared" si="2"/>
        <v>28.5</v>
      </c>
      <c r="H164" t="s">
        <v>62</v>
      </c>
      <c r="I164" t="s">
        <v>4</v>
      </c>
    </row>
    <row r="165" spans="1:9" x14ac:dyDescent="0.25">
      <c r="A165" t="s">
        <v>362</v>
      </c>
      <c r="B165" t="s">
        <v>363</v>
      </c>
      <c r="C165">
        <v>16</v>
      </c>
      <c r="D165">
        <v>3275</v>
      </c>
      <c r="E165">
        <v>6</v>
      </c>
      <c r="F165">
        <v>1199.465015040018</v>
      </c>
      <c r="G165">
        <f t="shared" si="2"/>
        <v>28.3</v>
      </c>
      <c r="H165" t="s">
        <v>10</v>
      </c>
      <c r="I165" t="s">
        <v>40</v>
      </c>
    </row>
    <row r="166" spans="1:9" x14ac:dyDescent="0.25">
      <c r="A166" t="s">
        <v>140</v>
      </c>
      <c r="B166" t="s">
        <v>141</v>
      </c>
      <c r="C166">
        <v>7</v>
      </c>
      <c r="D166">
        <v>923</v>
      </c>
      <c r="E166">
        <v>3</v>
      </c>
      <c r="F166">
        <v>1192.871822510514</v>
      </c>
      <c r="G166">
        <f t="shared" si="2"/>
        <v>28.2</v>
      </c>
      <c r="H166" t="s">
        <v>10</v>
      </c>
      <c r="I166" t="s">
        <v>26</v>
      </c>
    </row>
    <row r="167" spans="1:9" x14ac:dyDescent="0.25">
      <c r="A167" t="s">
        <v>162</v>
      </c>
      <c r="B167" t="s">
        <v>163</v>
      </c>
      <c r="C167">
        <v>7</v>
      </c>
      <c r="D167">
        <v>113</v>
      </c>
      <c r="E167">
        <v>0</v>
      </c>
      <c r="F167">
        <v>1192.6421129781229</v>
      </c>
      <c r="G167">
        <f t="shared" si="2"/>
        <v>28.2</v>
      </c>
      <c r="H167" t="s">
        <v>62</v>
      </c>
      <c r="I167" t="s">
        <v>4</v>
      </c>
    </row>
    <row r="168" spans="1:9" x14ac:dyDescent="0.25">
      <c r="A168" t="s">
        <v>366</v>
      </c>
      <c r="B168" t="s">
        <v>367</v>
      </c>
      <c r="C168">
        <v>15</v>
      </c>
      <c r="D168">
        <v>369</v>
      </c>
      <c r="E168">
        <v>1</v>
      </c>
      <c r="F168">
        <v>1181.618416877448</v>
      </c>
      <c r="G168">
        <f t="shared" si="2"/>
        <v>28.1</v>
      </c>
      <c r="H168" t="s">
        <v>10</v>
      </c>
      <c r="I168" t="s">
        <v>331</v>
      </c>
    </row>
    <row r="169" spans="1:9" x14ac:dyDescent="0.25">
      <c r="A169" t="s">
        <v>574</v>
      </c>
      <c r="B169" t="s">
        <v>575</v>
      </c>
      <c r="C169">
        <v>147</v>
      </c>
      <c r="D169">
        <v>5076</v>
      </c>
      <c r="E169">
        <v>14</v>
      </c>
      <c r="F169">
        <v>1119.0447036370031</v>
      </c>
      <c r="G169">
        <f t="shared" si="2"/>
        <v>27.3</v>
      </c>
      <c r="H169" t="s">
        <v>62</v>
      </c>
      <c r="I169" t="s">
        <v>4</v>
      </c>
    </row>
    <row r="170" spans="1:9" x14ac:dyDescent="0.25">
      <c r="A170" t="s">
        <v>498</v>
      </c>
      <c r="B170" t="s">
        <v>499</v>
      </c>
      <c r="C170">
        <v>74</v>
      </c>
      <c r="D170">
        <v>9126</v>
      </c>
      <c r="E170">
        <v>15</v>
      </c>
      <c r="F170">
        <v>1112.1941497083201</v>
      </c>
      <c r="G170">
        <f t="shared" si="2"/>
        <v>27.2</v>
      </c>
      <c r="H170" t="s">
        <v>62</v>
      </c>
      <c r="I170" t="s">
        <v>4</v>
      </c>
    </row>
    <row r="171" spans="1:9" x14ac:dyDescent="0.25">
      <c r="A171" t="s">
        <v>294</v>
      </c>
      <c r="B171" t="s">
        <v>295</v>
      </c>
      <c r="C171">
        <v>9</v>
      </c>
      <c r="D171">
        <v>544</v>
      </c>
      <c r="E171">
        <v>1</v>
      </c>
      <c r="F171">
        <v>1099.5873092798249</v>
      </c>
      <c r="G171">
        <f t="shared" si="2"/>
        <v>27.1</v>
      </c>
      <c r="H171" t="s">
        <v>10</v>
      </c>
      <c r="I171" t="s">
        <v>34</v>
      </c>
    </row>
    <row r="172" spans="1:9" x14ac:dyDescent="0.25">
      <c r="A172" t="s">
        <v>290</v>
      </c>
      <c r="B172" t="s">
        <v>291</v>
      </c>
      <c r="C172">
        <v>9</v>
      </c>
      <c r="D172">
        <v>830</v>
      </c>
      <c r="E172">
        <v>0</v>
      </c>
      <c r="F172">
        <v>1089.2762426622439</v>
      </c>
      <c r="G172">
        <f t="shared" si="2"/>
        <v>26.9</v>
      </c>
      <c r="H172" t="s">
        <v>10</v>
      </c>
      <c r="I172" t="s">
        <v>40</v>
      </c>
    </row>
    <row r="173" spans="1:9" x14ac:dyDescent="0.25">
      <c r="A173" t="s">
        <v>235</v>
      </c>
      <c r="B173" t="s">
        <v>236</v>
      </c>
      <c r="C173">
        <v>6</v>
      </c>
      <c r="D173">
        <v>147</v>
      </c>
      <c r="E173">
        <v>0</v>
      </c>
      <c r="F173">
        <v>1075.637353182738</v>
      </c>
      <c r="G173">
        <f t="shared" si="2"/>
        <v>26.8</v>
      </c>
      <c r="H173" t="s">
        <v>10</v>
      </c>
      <c r="I173" t="s">
        <v>20</v>
      </c>
    </row>
    <row r="174" spans="1:9" x14ac:dyDescent="0.25">
      <c r="A174" t="s">
        <v>296</v>
      </c>
      <c r="B174" t="s">
        <v>297</v>
      </c>
      <c r="C174">
        <v>13</v>
      </c>
      <c r="D174">
        <v>1780</v>
      </c>
      <c r="E174">
        <v>4</v>
      </c>
      <c r="F174">
        <v>1066.145385825813</v>
      </c>
      <c r="G174">
        <f t="shared" si="2"/>
        <v>26.7</v>
      </c>
      <c r="H174" t="s">
        <v>62</v>
      </c>
      <c r="I174" t="s">
        <v>4</v>
      </c>
    </row>
    <row r="175" spans="1:9" x14ac:dyDescent="0.25">
      <c r="A175" t="s">
        <v>395</v>
      </c>
      <c r="B175" t="s">
        <v>396</v>
      </c>
      <c r="C175">
        <v>16</v>
      </c>
      <c r="D175">
        <v>410</v>
      </c>
      <c r="E175">
        <v>0</v>
      </c>
      <c r="F175">
        <v>1062.726400346342</v>
      </c>
      <c r="G175">
        <f t="shared" si="2"/>
        <v>26.6</v>
      </c>
      <c r="H175" t="s">
        <v>10</v>
      </c>
      <c r="I175" t="s">
        <v>34</v>
      </c>
    </row>
    <row r="176" spans="1:9" x14ac:dyDescent="0.25">
      <c r="A176" t="s">
        <v>478</v>
      </c>
      <c r="B176" t="s">
        <v>479</v>
      </c>
      <c r="C176">
        <v>46</v>
      </c>
      <c r="D176">
        <v>2827</v>
      </c>
      <c r="E176">
        <v>9</v>
      </c>
      <c r="F176">
        <v>1061.2770063291321</v>
      </c>
      <c r="G176">
        <f t="shared" si="2"/>
        <v>26.6</v>
      </c>
      <c r="H176" t="s">
        <v>62</v>
      </c>
      <c r="I176" t="s">
        <v>4</v>
      </c>
    </row>
    <row r="177" spans="1:9" x14ac:dyDescent="0.25">
      <c r="A177" t="s">
        <v>332</v>
      </c>
      <c r="B177" t="s">
        <v>333</v>
      </c>
      <c r="C177">
        <v>15</v>
      </c>
      <c r="D177">
        <v>236</v>
      </c>
      <c r="E177">
        <v>0</v>
      </c>
      <c r="F177">
        <v>1053.559365422029</v>
      </c>
      <c r="G177">
        <f t="shared" si="2"/>
        <v>26.5</v>
      </c>
      <c r="H177" t="s">
        <v>10</v>
      </c>
      <c r="I177" t="s">
        <v>40</v>
      </c>
    </row>
    <row r="178" spans="1:9" x14ac:dyDescent="0.25">
      <c r="A178" t="s">
        <v>298</v>
      </c>
      <c r="B178" t="s">
        <v>299</v>
      </c>
      <c r="C178">
        <v>9</v>
      </c>
      <c r="D178">
        <v>390</v>
      </c>
      <c r="E178">
        <v>0</v>
      </c>
      <c r="F178">
        <v>1052.9562288305531</v>
      </c>
      <c r="G178">
        <f t="shared" si="2"/>
        <v>26.5</v>
      </c>
      <c r="H178" t="s">
        <v>10</v>
      </c>
      <c r="I178" t="s">
        <v>40</v>
      </c>
    </row>
    <row r="179" spans="1:9" x14ac:dyDescent="0.25">
      <c r="A179" t="s">
        <v>616</v>
      </c>
      <c r="B179" t="s">
        <v>617</v>
      </c>
      <c r="C179">
        <v>195</v>
      </c>
      <c r="D179">
        <v>9713</v>
      </c>
      <c r="E179">
        <v>35</v>
      </c>
      <c r="F179">
        <v>1047.483906962507</v>
      </c>
      <c r="G179">
        <f t="shared" si="2"/>
        <v>26.4</v>
      </c>
      <c r="H179" t="s">
        <v>62</v>
      </c>
      <c r="I179" t="s">
        <v>4</v>
      </c>
    </row>
    <row r="180" spans="1:9" x14ac:dyDescent="0.25">
      <c r="A180" t="s">
        <v>18</v>
      </c>
      <c r="B180" t="s">
        <v>19</v>
      </c>
      <c r="C180">
        <v>2</v>
      </c>
      <c r="D180">
        <v>89</v>
      </c>
      <c r="E180">
        <v>0</v>
      </c>
      <c r="F180">
        <v>1042.61205177233</v>
      </c>
      <c r="G180">
        <f t="shared" si="2"/>
        <v>26.4</v>
      </c>
      <c r="H180" t="s">
        <v>10</v>
      </c>
      <c r="I180" t="s">
        <v>20</v>
      </c>
    </row>
    <row r="181" spans="1:9" x14ac:dyDescent="0.25">
      <c r="A181" t="s">
        <v>423</v>
      </c>
      <c r="B181" t="s">
        <v>424</v>
      </c>
      <c r="C181">
        <v>30</v>
      </c>
      <c r="D181">
        <v>7445</v>
      </c>
      <c r="E181">
        <v>5</v>
      </c>
      <c r="F181">
        <v>1010.558275221903</v>
      </c>
      <c r="G181">
        <f t="shared" si="2"/>
        <v>26</v>
      </c>
      <c r="H181" t="s">
        <v>10</v>
      </c>
      <c r="I181" t="s">
        <v>178</v>
      </c>
    </row>
    <row r="182" spans="1:9" x14ac:dyDescent="0.25">
      <c r="A182" t="s">
        <v>387</v>
      </c>
      <c r="B182" t="s">
        <v>388</v>
      </c>
      <c r="C182">
        <v>13</v>
      </c>
      <c r="D182">
        <v>1048</v>
      </c>
      <c r="E182">
        <v>1</v>
      </c>
      <c r="F182">
        <v>1006.3333576876061</v>
      </c>
      <c r="G182">
        <f t="shared" si="2"/>
        <v>25.9</v>
      </c>
      <c r="H182" t="s">
        <v>62</v>
      </c>
      <c r="I182" t="s">
        <v>4</v>
      </c>
    </row>
    <row r="183" spans="1:9" x14ac:dyDescent="0.25">
      <c r="A183" t="s">
        <v>456</v>
      </c>
      <c r="B183" t="s">
        <v>457</v>
      </c>
      <c r="C183">
        <v>47</v>
      </c>
      <c r="D183">
        <v>2970</v>
      </c>
      <c r="E183">
        <v>3</v>
      </c>
      <c r="F183">
        <v>1001.798152159113</v>
      </c>
      <c r="G183">
        <f t="shared" si="2"/>
        <v>25.8</v>
      </c>
      <c r="H183" t="s">
        <v>10</v>
      </c>
      <c r="I183" t="s">
        <v>17</v>
      </c>
    </row>
    <row r="184" spans="1:9" x14ac:dyDescent="0.25">
      <c r="A184" t="s">
        <v>492</v>
      </c>
      <c r="B184" t="s">
        <v>493</v>
      </c>
      <c r="C184">
        <v>65</v>
      </c>
      <c r="D184">
        <v>5355</v>
      </c>
      <c r="E184">
        <v>9</v>
      </c>
      <c r="F184">
        <v>995.55333253725894</v>
      </c>
      <c r="G184">
        <f t="shared" si="2"/>
        <v>25.8</v>
      </c>
      <c r="H184" t="s">
        <v>62</v>
      </c>
      <c r="I184" t="s">
        <v>4</v>
      </c>
    </row>
    <row r="185" spans="1:9" x14ac:dyDescent="0.25">
      <c r="A185" t="s">
        <v>482</v>
      </c>
      <c r="B185" t="s">
        <v>483</v>
      </c>
      <c r="C185">
        <v>56</v>
      </c>
      <c r="D185">
        <v>5275</v>
      </c>
      <c r="E185">
        <v>6</v>
      </c>
      <c r="F185">
        <v>993.8398838691262</v>
      </c>
      <c r="G185">
        <f t="shared" si="2"/>
        <v>25.7</v>
      </c>
      <c r="H185" t="s">
        <v>62</v>
      </c>
      <c r="I185" t="s">
        <v>4</v>
      </c>
    </row>
    <row r="186" spans="1:9" x14ac:dyDescent="0.25">
      <c r="A186" t="s">
        <v>584</v>
      </c>
      <c r="B186" t="s">
        <v>585</v>
      </c>
      <c r="C186">
        <v>135</v>
      </c>
      <c r="D186">
        <v>6900</v>
      </c>
      <c r="E186">
        <v>7</v>
      </c>
      <c r="F186">
        <v>971.9077692491154</v>
      </c>
      <c r="G186">
        <f t="shared" si="2"/>
        <v>25.5</v>
      </c>
      <c r="H186" t="s">
        <v>62</v>
      </c>
      <c r="I186" t="s">
        <v>4</v>
      </c>
    </row>
    <row r="187" spans="1:9" x14ac:dyDescent="0.25">
      <c r="A187" t="s">
        <v>372</v>
      </c>
      <c r="B187" t="s">
        <v>373</v>
      </c>
      <c r="C187">
        <v>13</v>
      </c>
      <c r="D187">
        <v>380</v>
      </c>
      <c r="E187">
        <v>0</v>
      </c>
      <c r="F187">
        <v>971.85046210140058</v>
      </c>
      <c r="G187">
        <f t="shared" si="2"/>
        <v>25.4</v>
      </c>
      <c r="H187" t="s">
        <v>10</v>
      </c>
      <c r="I187" t="s">
        <v>20</v>
      </c>
    </row>
    <row r="188" spans="1:9" x14ac:dyDescent="0.25">
      <c r="A188" t="s">
        <v>488</v>
      </c>
      <c r="B188" t="s">
        <v>489</v>
      </c>
      <c r="C188">
        <v>77</v>
      </c>
      <c r="D188">
        <v>5831</v>
      </c>
      <c r="E188">
        <v>7</v>
      </c>
      <c r="F188">
        <v>958.50422239453212</v>
      </c>
      <c r="G188">
        <f t="shared" si="2"/>
        <v>25.3</v>
      </c>
      <c r="H188" t="s">
        <v>62</v>
      </c>
      <c r="I188" t="s">
        <v>4</v>
      </c>
    </row>
    <row r="189" spans="1:9" x14ac:dyDescent="0.25">
      <c r="A189" t="s">
        <v>302</v>
      </c>
      <c r="B189" t="s">
        <v>303</v>
      </c>
      <c r="C189">
        <v>8</v>
      </c>
      <c r="D189">
        <v>399</v>
      </c>
      <c r="E189">
        <v>1</v>
      </c>
      <c r="F189">
        <v>953.99669612364653</v>
      </c>
      <c r="G189">
        <f t="shared" si="2"/>
        <v>25.2</v>
      </c>
      <c r="H189" t="s">
        <v>62</v>
      </c>
      <c r="I189" t="s">
        <v>4</v>
      </c>
    </row>
    <row r="190" spans="1:9" x14ac:dyDescent="0.25">
      <c r="A190" t="s">
        <v>628</v>
      </c>
      <c r="B190" t="s">
        <v>629</v>
      </c>
      <c r="C190">
        <v>189</v>
      </c>
      <c r="D190">
        <v>6239</v>
      </c>
      <c r="E190">
        <v>6</v>
      </c>
      <c r="F190">
        <v>945.73187843508663</v>
      </c>
      <c r="G190">
        <f t="shared" si="2"/>
        <v>25.1</v>
      </c>
      <c r="H190" t="s">
        <v>62</v>
      </c>
      <c r="I190" t="s">
        <v>4</v>
      </c>
    </row>
    <row r="191" spans="1:9" x14ac:dyDescent="0.25">
      <c r="A191" t="s">
        <v>468</v>
      </c>
      <c r="B191" t="s">
        <v>469</v>
      </c>
      <c r="C191">
        <v>53</v>
      </c>
      <c r="D191">
        <v>2835</v>
      </c>
      <c r="E191">
        <v>5</v>
      </c>
      <c r="F191">
        <v>941.39135950654872</v>
      </c>
      <c r="G191">
        <f t="shared" si="2"/>
        <v>25</v>
      </c>
      <c r="H191" t="s">
        <v>62</v>
      </c>
      <c r="I191" t="s">
        <v>4</v>
      </c>
    </row>
    <row r="192" spans="1:9" x14ac:dyDescent="0.25">
      <c r="A192" t="s">
        <v>464</v>
      </c>
      <c r="B192" t="s">
        <v>465</v>
      </c>
      <c r="C192">
        <v>49</v>
      </c>
      <c r="D192">
        <v>4033</v>
      </c>
      <c r="E192">
        <v>2</v>
      </c>
      <c r="F192">
        <v>940.3902326604599</v>
      </c>
      <c r="G192">
        <f t="shared" si="2"/>
        <v>25</v>
      </c>
      <c r="H192" t="s">
        <v>62</v>
      </c>
      <c r="I192" t="s">
        <v>4</v>
      </c>
    </row>
    <row r="193" spans="1:9" x14ac:dyDescent="0.25">
      <c r="A193" t="s">
        <v>324</v>
      </c>
      <c r="B193" t="s">
        <v>325</v>
      </c>
      <c r="C193">
        <v>11</v>
      </c>
      <c r="D193">
        <v>255</v>
      </c>
      <c r="E193">
        <v>0</v>
      </c>
      <c r="F193">
        <v>938.3743158196844</v>
      </c>
      <c r="G193">
        <f t="shared" si="2"/>
        <v>25</v>
      </c>
      <c r="H193" t="s">
        <v>62</v>
      </c>
      <c r="I193" t="s">
        <v>4</v>
      </c>
    </row>
    <row r="194" spans="1:9" x14ac:dyDescent="0.25">
      <c r="A194" t="s">
        <v>306</v>
      </c>
      <c r="B194" t="s">
        <v>307</v>
      </c>
      <c r="C194">
        <v>8</v>
      </c>
      <c r="D194">
        <v>183</v>
      </c>
      <c r="E194">
        <v>0</v>
      </c>
      <c r="F194">
        <v>934.5864756653425</v>
      </c>
      <c r="G194">
        <f t="shared" si="2"/>
        <v>25</v>
      </c>
      <c r="H194" t="s">
        <v>62</v>
      </c>
      <c r="I194" t="s">
        <v>4</v>
      </c>
    </row>
    <row r="195" spans="1:9" x14ac:dyDescent="0.25">
      <c r="A195" t="s">
        <v>413</v>
      </c>
      <c r="B195" t="s">
        <v>414</v>
      </c>
      <c r="C195">
        <v>21</v>
      </c>
      <c r="D195">
        <v>1319</v>
      </c>
      <c r="E195">
        <v>5</v>
      </c>
      <c r="F195">
        <v>932.05215924107085</v>
      </c>
      <c r="G195">
        <f t="shared" ref="G195:G258" si="3">ROUND(100*SQRT(F195/F$2),1)</f>
        <v>24.9</v>
      </c>
      <c r="H195" t="s">
        <v>62</v>
      </c>
      <c r="I195" t="s">
        <v>4</v>
      </c>
    </row>
    <row r="196" spans="1:9" x14ac:dyDescent="0.25">
      <c r="A196" t="s">
        <v>383</v>
      </c>
      <c r="B196" t="s">
        <v>384</v>
      </c>
      <c r="C196">
        <v>14</v>
      </c>
      <c r="D196">
        <v>1498</v>
      </c>
      <c r="E196">
        <v>0</v>
      </c>
      <c r="F196">
        <v>926.96905725176453</v>
      </c>
      <c r="G196">
        <f t="shared" si="3"/>
        <v>24.9</v>
      </c>
      <c r="H196" t="s">
        <v>62</v>
      </c>
      <c r="I196" t="s">
        <v>4</v>
      </c>
    </row>
    <row r="197" spans="1:9" x14ac:dyDescent="0.25">
      <c r="A197" t="s">
        <v>558</v>
      </c>
      <c r="B197" t="s">
        <v>559</v>
      </c>
      <c r="C197">
        <v>108</v>
      </c>
      <c r="D197">
        <v>5345</v>
      </c>
      <c r="E197">
        <v>5</v>
      </c>
      <c r="F197">
        <v>917.44954997768718</v>
      </c>
      <c r="G197">
        <f t="shared" si="3"/>
        <v>24.7</v>
      </c>
      <c r="H197" t="s">
        <v>62</v>
      </c>
      <c r="I197" t="s">
        <v>4</v>
      </c>
    </row>
    <row r="198" spans="1:9" x14ac:dyDescent="0.25">
      <c r="A198" t="s">
        <v>189</v>
      </c>
      <c r="B198" t="s">
        <v>190</v>
      </c>
      <c r="C198">
        <v>5</v>
      </c>
      <c r="D198">
        <v>489</v>
      </c>
      <c r="E198">
        <v>1</v>
      </c>
      <c r="F198">
        <v>905.45766976901541</v>
      </c>
      <c r="G198">
        <f t="shared" si="3"/>
        <v>24.6</v>
      </c>
      <c r="H198" t="s">
        <v>10</v>
      </c>
      <c r="I198" t="s">
        <v>209</v>
      </c>
    </row>
    <row r="199" spans="1:9" x14ac:dyDescent="0.25">
      <c r="A199" t="s">
        <v>546</v>
      </c>
      <c r="B199" t="s">
        <v>547</v>
      </c>
      <c r="C199">
        <v>95</v>
      </c>
      <c r="D199">
        <v>5847</v>
      </c>
      <c r="E199">
        <v>7</v>
      </c>
      <c r="F199">
        <v>884.67512267865686</v>
      </c>
      <c r="G199">
        <f t="shared" si="3"/>
        <v>24.3</v>
      </c>
      <c r="H199" t="s">
        <v>62</v>
      </c>
      <c r="I199" t="s">
        <v>4</v>
      </c>
    </row>
    <row r="200" spans="1:9" x14ac:dyDescent="0.25">
      <c r="A200" t="s">
        <v>496</v>
      </c>
      <c r="B200" t="s">
        <v>497</v>
      </c>
      <c r="C200">
        <v>71</v>
      </c>
      <c r="D200">
        <v>2941</v>
      </c>
      <c r="E200">
        <v>4</v>
      </c>
      <c r="F200">
        <v>881.14260697208999</v>
      </c>
      <c r="G200">
        <f t="shared" si="3"/>
        <v>24.2</v>
      </c>
      <c r="H200" t="s">
        <v>62</v>
      </c>
      <c r="I200" t="s">
        <v>4</v>
      </c>
    </row>
    <row r="201" spans="1:9" x14ac:dyDescent="0.25">
      <c r="A201" t="s">
        <v>381</v>
      </c>
      <c r="B201" t="s">
        <v>382</v>
      </c>
      <c r="C201">
        <v>13</v>
      </c>
      <c r="D201">
        <v>431</v>
      </c>
      <c r="E201">
        <v>0</v>
      </c>
      <c r="F201">
        <v>863.86516334650787</v>
      </c>
      <c r="G201">
        <f t="shared" si="3"/>
        <v>24</v>
      </c>
      <c r="H201" t="s">
        <v>62</v>
      </c>
      <c r="I201" t="s">
        <v>4</v>
      </c>
    </row>
    <row r="202" spans="1:9" x14ac:dyDescent="0.25">
      <c r="A202" t="s">
        <v>191</v>
      </c>
      <c r="B202" t="s">
        <v>192</v>
      </c>
      <c r="C202">
        <v>4</v>
      </c>
      <c r="D202">
        <v>266</v>
      </c>
      <c r="E202">
        <v>1</v>
      </c>
      <c r="F202">
        <v>863.60826704338672</v>
      </c>
      <c r="G202">
        <f t="shared" si="3"/>
        <v>24</v>
      </c>
      <c r="H202" t="s">
        <v>62</v>
      </c>
      <c r="I202" t="s">
        <v>4</v>
      </c>
    </row>
    <row r="203" spans="1:9" x14ac:dyDescent="0.25">
      <c r="A203" t="s">
        <v>421</v>
      </c>
      <c r="B203" t="s">
        <v>422</v>
      </c>
      <c r="C203">
        <v>18</v>
      </c>
      <c r="D203">
        <v>311</v>
      </c>
      <c r="E203">
        <v>0</v>
      </c>
      <c r="F203">
        <v>842.22787090575594</v>
      </c>
      <c r="G203">
        <f t="shared" si="3"/>
        <v>23.7</v>
      </c>
      <c r="H203" t="s">
        <v>62</v>
      </c>
      <c r="I203" t="s">
        <v>4</v>
      </c>
    </row>
    <row r="204" spans="1:9" x14ac:dyDescent="0.25">
      <c r="A204" t="s">
        <v>237</v>
      </c>
      <c r="B204" t="s">
        <v>238</v>
      </c>
      <c r="C204">
        <v>5</v>
      </c>
      <c r="D204">
        <v>1006</v>
      </c>
      <c r="E204">
        <v>2</v>
      </c>
      <c r="F204">
        <v>840.56037780423003</v>
      </c>
      <c r="G204">
        <f t="shared" si="3"/>
        <v>23.7</v>
      </c>
      <c r="H204" t="s">
        <v>62</v>
      </c>
      <c r="I204" t="s">
        <v>4</v>
      </c>
    </row>
    <row r="205" spans="1:9" x14ac:dyDescent="0.25">
      <c r="A205" t="s">
        <v>500</v>
      </c>
      <c r="B205" t="s">
        <v>501</v>
      </c>
      <c r="C205">
        <v>70</v>
      </c>
      <c r="D205">
        <v>9123</v>
      </c>
      <c r="E205">
        <v>11</v>
      </c>
      <c r="F205">
        <v>838.2480806712415</v>
      </c>
      <c r="G205">
        <f t="shared" si="3"/>
        <v>23.6</v>
      </c>
      <c r="H205" t="s">
        <v>62</v>
      </c>
      <c r="I205" t="s">
        <v>4</v>
      </c>
    </row>
    <row r="206" spans="1:9" x14ac:dyDescent="0.25">
      <c r="A206" t="s">
        <v>425</v>
      </c>
      <c r="B206" t="s">
        <v>426</v>
      </c>
      <c r="C206">
        <v>25</v>
      </c>
      <c r="D206">
        <v>3737</v>
      </c>
      <c r="E206">
        <v>9</v>
      </c>
      <c r="F206">
        <v>834.77402328888138</v>
      </c>
      <c r="G206">
        <f t="shared" si="3"/>
        <v>23.6</v>
      </c>
      <c r="H206" t="s">
        <v>10</v>
      </c>
      <c r="I206" t="s">
        <v>40</v>
      </c>
    </row>
    <row r="207" spans="1:9" x14ac:dyDescent="0.25">
      <c r="A207" t="s">
        <v>508</v>
      </c>
      <c r="B207" t="s">
        <v>509</v>
      </c>
      <c r="C207">
        <v>81</v>
      </c>
      <c r="D207">
        <v>4900</v>
      </c>
      <c r="E207">
        <v>9</v>
      </c>
      <c r="F207">
        <v>830.45098377040586</v>
      </c>
      <c r="G207">
        <f t="shared" si="3"/>
        <v>23.5</v>
      </c>
      <c r="H207" t="s">
        <v>62</v>
      </c>
      <c r="I207" t="s">
        <v>4</v>
      </c>
    </row>
    <row r="208" spans="1:9" x14ac:dyDescent="0.25">
      <c r="A208" t="s">
        <v>337</v>
      </c>
      <c r="B208" t="s">
        <v>338</v>
      </c>
      <c r="C208">
        <v>9</v>
      </c>
      <c r="D208">
        <v>264</v>
      </c>
      <c r="E208">
        <v>0</v>
      </c>
      <c r="F208">
        <v>829.37431909412089</v>
      </c>
      <c r="G208">
        <f t="shared" si="3"/>
        <v>23.5</v>
      </c>
      <c r="H208" t="s">
        <v>62</v>
      </c>
      <c r="I208" t="s">
        <v>4</v>
      </c>
    </row>
    <row r="209" spans="1:9" x14ac:dyDescent="0.25">
      <c r="A209" t="s">
        <v>476</v>
      </c>
      <c r="B209" t="s">
        <v>477</v>
      </c>
      <c r="C209">
        <v>51</v>
      </c>
      <c r="D209">
        <v>3352</v>
      </c>
      <c r="E209">
        <v>5</v>
      </c>
      <c r="F209">
        <v>828.29192419064816</v>
      </c>
      <c r="G209">
        <f t="shared" si="3"/>
        <v>23.5</v>
      </c>
      <c r="H209" t="s">
        <v>10</v>
      </c>
      <c r="I209" t="s">
        <v>40</v>
      </c>
    </row>
    <row r="210" spans="1:9" x14ac:dyDescent="0.25">
      <c r="A210" t="s">
        <v>453</v>
      </c>
      <c r="B210" t="s">
        <v>454</v>
      </c>
      <c r="C210">
        <v>23</v>
      </c>
      <c r="D210">
        <v>884</v>
      </c>
      <c r="E210">
        <v>0</v>
      </c>
      <c r="F210">
        <v>827.10316801283534</v>
      </c>
      <c r="G210">
        <f t="shared" si="3"/>
        <v>23.5</v>
      </c>
      <c r="H210" t="s">
        <v>62</v>
      </c>
      <c r="I210" t="s">
        <v>4</v>
      </c>
    </row>
    <row r="211" spans="1:9" x14ac:dyDescent="0.25">
      <c r="A211" t="s">
        <v>433</v>
      </c>
      <c r="B211" t="s">
        <v>434</v>
      </c>
      <c r="C211">
        <v>25</v>
      </c>
      <c r="D211">
        <v>2631</v>
      </c>
      <c r="E211">
        <v>5</v>
      </c>
      <c r="F211">
        <v>825.41911078118756</v>
      </c>
      <c r="G211">
        <f t="shared" si="3"/>
        <v>23.5</v>
      </c>
      <c r="H211" t="s">
        <v>10</v>
      </c>
      <c r="I211" t="s">
        <v>20</v>
      </c>
    </row>
    <row r="212" spans="1:9" x14ac:dyDescent="0.25">
      <c r="A212" t="s">
        <v>707</v>
      </c>
      <c r="B212" t="s">
        <v>708</v>
      </c>
      <c r="C212">
        <v>45</v>
      </c>
      <c r="D212">
        <v>1953</v>
      </c>
      <c r="E212">
        <v>4</v>
      </c>
      <c r="F212">
        <v>818.80633773621548</v>
      </c>
      <c r="G212">
        <f t="shared" si="3"/>
        <v>23.4</v>
      </c>
      <c r="H212" t="s">
        <v>62</v>
      </c>
      <c r="I212" t="s">
        <v>355</v>
      </c>
    </row>
    <row r="213" spans="1:9" x14ac:dyDescent="0.25">
      <c r="A213" t="s">
        <v>510</v>
      </c>
      <c r="B213" t="s">
        <v>511</v>
      </c>
      <c r="C213">
        <v>79</v>
      </c>
      <c r="D213">
        <v>8890</v>
      </c>
      <c r="E213">
        <v>6</v>
      </c>
      <c r="F213">
        <v>816.48403368794743</v>
      </c>
      <c r="G213">
        <f t="shared" si="3"/>
        <v>23.3</v>
      </c>
      <c r="H213" t="s">
        <v>10</v>
      </c>
      <c r="I213" t="s">
        <v>34</v>
      </c>
    </row>
    <row r="214" spans="1:9" x14ac:dyDescent="0.25">
      <c r="A214" t="s">
        <v>460</v>
      </c>
      <c r="B214" t="s">
        <v>461</v>
      </c>
      <c r="C214">
        <v>42</v>
      </c>
      <c r="D214">
        <v>3551</v>
      </c>
      <c r="E214">
        <v>6</v>
      </c>
      <c r="F214">
        <v>813.33575051153662</v>
      </c>
      <c r="G214">
        <f t="shared" si="3"/>
        <v>23.3</v>
      </c>
      <c r="H214" t="s">
        <v>10</v>
      </c>
      <c r="I214" t="s">
        <v>40</v>
      </c>
    </row>
    <row r="215" spans="1:9" x14ac:dyDescent="0.25">
      <c r="A215" t="s">
        <v>374</v>
      </c>
      <c r="B215" t="s">
        <v>375</v>
      </c>
      <c r="C215">
        <v>13</v>
      </c>
      <c r="D215">
        <v>546</v>
      </c>
      <c r="E215">
        <v>0</v>
      </c>
      <c r="F215">
        <v>805.37156453015518</v>
      </c>
      <c r="G215">
        <f t="shared" si="3"/>
        <v>23.2</v>
      </c>
      <c r="H215" t="s">
        <v>62</v>
      </c>
      <c r="I215" t="s">
        <v>4</v>
      </c>
    </row>
    <row r="216" spans="1:9" x14ac:dyDescent="0.25">
      <c r="A216" t="s">
        <v>594</v>
      </c>
      <c r="B216" t="s">
        <v>595</v>
      </c>
      <c r="C216">
        <v>113</v>
      </c>
      <c r="D216">
        <v>4734</v>
      </c>
      <c r="E216">
        <v>7</v>
      </c>
      <c r="F216">
        <v>804.01049275110176</v>
      </c>
      <c r="G216">
        <f t="shared" si="3"/>
        <v>23.1</v>
      </c>
      <c r="H216" t="s">
        <v>62</v>
      </c>
      <c r="I216" t="s">
        <v>4</v>
      </c>
    </row>
    <row r="217" spans="1:9" x14ac:dyDescent="0.25">
      <c r="A217" t="s">
        <v>335</v>
      </c>
      <c r="B217" t="s">
        <v>336</v>
      </c>
      <c r="C217">
        <v>9</v>
      </c>
      <c r="D217">
        <v>288</v>
      </c>
      <c r="E217">
        <v>0</v>
      </c>
      <c r="F217">
        <v>802.87376864276484</v>
      </c>
      <c r="G217">
        <f t="shared" si="3"/>
        <v>23.1</v>
      </c>
      <c r="H217" t="s">
        <v>10</v>
      </c>
      <c r="I217" t="s">
        <v>23</v>
      </c>
    </row>
    <row r="218" spans="1:9" x14ac:dyDescent="0.25">
      <c r="A218" t="s">
        <v>642</v>
      </c>
      <c r="B218" t="s">
        <v>643</v>
      </c>
      <c r="C218">
        <v>184</v>
      </c>
      <c r="D218">
        <v>5634</v>
      </c>
      <c r="E218">
        <v>6</v>
      </c>
      <c r="F218">
        <v>795.33292237669264</v>
      </c>
      <c r="G218">
        <f t="shared" si="3"/>
        <v>23</v>
      </c>
      <c r="H218" t="s">
        <v>10</v>
      </c>
      <c r="I218" t="s">
        <v>26</v>
      </c>
    </row>
    <row r="219" spans="1:9" x14ac:dyDescent="0.25">
      <c r="A219" t="s">
        <v>222</v>
      </c>
      <c r="B219" t="s">
        <v>223</v>
      </c>
      <c r="C219">
        <v>5</v>
      </c>
      <c r="D219">
        <v>334</v>
      </c>
      <c r="E219">
        <v>1</v>
      </c>
      <c r="F219">
        <v>789.09867964722275</v>
      </c>
      <c r="G219">
        <f t="shared" si="3"/>
        <v>22.9</v>
      </c>
      <c r="H219" t="s">
        <v>10</v>
      </c>
      <c r="I219" t="s">
        <v>11</v>
      </c>
    </row>
    <row r="220" spans="1:9" x14ac:dyDescent="0.25">
      <c r="A220" t="s">
        <v>441</v>
      </c>
      <c r="B220" t="s">
        <v>442</v>
      </c>
      <c r="C220">
        <v>25</v>
      </c>
      <c r="D220">
        <v>2402</v>
      </c>
      <c r="E220">
        <v>5</v>
      </c>
      <c r="F220">
        <v>786.91597713537249</v>
      </c>
      <c r="G220">
        <f t="shared" si="3"/>
        <v>22.9</v>
      </c>
      <c r="H220" t="s">
        <v>10</v>
      </c>
      <c r="I220" t="s">
        <v>209</v>
      </c>
    </row>
    <row r="221" spans="1:9" x14ac:dyDescent="0.25">
      <c r="A221" t="s">
        <v>419</v>
      </c>
      <c r="B221" t="s">
        <v>420</v>
      </c>
      <c r="C221">
        <v>13</v>
      </c>
      <c r="D221">
        <v>322</v>
      </c>
      <c r="E221">
        <v>0</v>
      </c>
      <c r="F221">
        <v>785.46096207546111</v>
      </c>
      <c r="G221">
        <f t="shared" si="3"/>
        <v>22.9</v>
      </c>
      <c r="H221" t="s">
        <v>10</v>
      </c>
      <c r="I221" t="s">
        <v>334</v>
      </c>
    </row>
    <row r="222" spans="1:9" x14ac:dyDescent="0.25">
      <c r="A222" t="s">
        <v>544</v>
      </c>
      <c r="B222" t="s">
        <v>545</v>
      </c>
      <c r="C222">
        <v>85</v>
      </c>
      <c r="D222">
        <v>3435</v>
      </c>
      <c r="E222">
        <v>5</v>
      </c>
      <c r="F222">
        <v>784.32491781604961</v>
      </c>
      <c r="G222">
        <f t="shared" si="3"/>
        <v>22.9</v>
      </c>
      <c r="H222" t="s">
        <v>62</v>
      </c>
      <c r="I222" t="s">
        <v>4</v>
      </c>
    </row>
    <row r="223" spans="1:9" x14ac:dyDescent="0.25">
      <c r="A223" t="s">
        <v>391</v>
      </c>
      <c r="B223" t="s">
        <v>392</v>
      </c>
      <c r="C223">
        <v>11</v>
      </c>
      <c r="D223">
        <v>506</v>
      </c>
      <c r="E223">
        <v>0</v>
      </c>
      <c r="F223">
        <v>766.52915635440479</v>
      </c>
      <c r="G223">
        <f t="shared" si="3"/>
        <v>22.6</v>
      </c>
      <c r="H223" t="s">
        <v>62</v>
      </c>
      <c r="I223" t="s">
        <v>4</v>
      </c>
    </row>
    <row r="224" spans="1:9" x14ac:dyDescent="0.25">
      <c r="A224" t="s">
        <v>415</v>
      </c>
      <c r="B224" t="s">
        <v>416</v>
      </c>
      <c r="C224">
        <v>14</v>
      </c>
      <c r="D224">
        <v>907</v>
      </c>
      <c r="E224">
        <v>2</v>
      </c>
      <c r="F224">
        <v>764.81956978293863</v>
      </c>
      <c r="G224">
        <f t="shared" si="3"/>
        <v>22.6</v>
      </c>
      <c r="H224" t="s">
        <v>62</v>
      </c>
      <c r="I224" t="s">
        <v>4</v>
      </c>
    </row>
    <row r="225" spans="1:9" x14ac:dyDescent="0.25">
      <c r="A225" t="s">
        <v>364</v>
      </c>
      <c r="B225" t="s">
        <v>365</v>
      </c>
      <c r="C225">
        <v>11</v>
      </c>
      <c r="D225">
        <v>788</v>
      </c>
      <c r="E225">
        <v>1</v>
      </c>
      <c r="F225">
        <v>760.10370122467248</v>
      </c>
      <c r="G225">
        <f t="shared" si="3"/>
        <v>22.5</v>
      </c>
      <c r="H225" t="s">
        <v>10</v>
      </c>
      <c r="I225" t="s">
        <v>11</v>
      </c>
    </row>
    <row r="226" spans="1:9" x14ac:dyDescent="0.25">
      <c r="A226" t="s">
        <v>598</v>
      </c>
      <c r="B226" t="s">
        <v>599</v>
      </c>
      <c r="C226">
        <v>113</v>
      </c>
      <c r="D226">
        <v>4013</v>
      </c>
      <c r="E226">
        <v>4</v>
      </c>
      <c r="F226">
        <v>753.29039918310639</v>
      </c>
      <c r="G226">
        <f t="shared" si="3"/>
        <v>22.4</v>
      </c>
      <c r="H226" t="s">
        <v>62</v>
      </c>
      <c r="I226" t="s">
        <v>4</v>
      </c>
    </row>
    <row r="227" spans="1:9" x14ac:dyDescent="0.25">
      <c r="A227" t="s">
        <v>405</v>
      </c>
      <c r="B227" t="s">
        <v>406</v>
      </c>
      <c r="C227">
        <v>12</v>
      </c>
      <c r="D227">
        <v>434</v>
      </c>
      <c r="E227">
        <v>1</v>
      </c>
      <c r="F227">
        <v>750.83606421182913</v>
      </c>
      <c r="G227">
        <f t="shared" si="3"/>
        <v>22.4</v>
      </c>
      <c r="H227" t="s">
        <v>10</v>
      </c>
      <c r="I227" t="s">
        <v>20</v>
      </c>
    </row>
    <row r="228" spans="1:9" x14ac:dyDescent="0.25">
      <c r="A228" t="s">
        <v>379</v>
      </c>
      <c r="B228" t="s">
        <v>380</v>
      </c>
      <c r="C228">
        <v>14</v>
      </c>
      <c r="D228">
        <v>2047</v>
      </c>
      <c r="E228">
        <v>5</v>
      </c>
      <c r="F228">
        <v>749.45757008148962</v>
      </c>
      <c r="G228">
        <f t="shared" si="3"/>
        <v>22.3</v>
      </c>
      <c r="H228" t="s">
        <v>62</v>
      </c>
      <c r="I228" t="s">
        <v>4</v>
      </c>
    </row>
    <row r="229" spans="1:9" x14ac:dyDescent="0.25">
      <c r="A229" t="s">
        <v>524</v>
      </c>
      <c r="B229" t="s">
        <v>525</v>
      </c>
      <c r="C229">
        <v>66</v>
      </c>
      <c r="D229">
        <v>3423</v>
      </c>
      <c r="E229">
        <v>5</v>
      </c>
      <c r="F229">
        <v>715.99672249005664</v>
      </c>
      <c r="G229">
        <f t="shared" si="3"/>
        <v>21.8</v>
      </c>
      <c r="H229" t="s">
        <v>62</v>
      </c>
      <c r="I229" t="s">
        <v>4</v>
      </c>
    </row>
    <row r="230" spans="1:9" x14ac:dyDescent="0.25">
      <c r="A230" t="s">
        <v>470</v>
      </c>
      <c r="B230" t="s">
        <v>471</v>
      </c>
      <c r="C230">
        <v>42</v>
      </c>
      <c r="D230">
        <v>3028</v>
      </c>
      <c r="E230">
        <v>5</v>
      </c>
      <c r="F230">
        <v>708.49281479113074</v>
      </c>
      <c r="G230">
        <f t="shared" si="3"/>
        <v>21.7</v>
      </c>
      <c r="H230" t="s">
        <v>10</v>
      </c>
      <c r="I230" t="s">
        <v>20</v>
      </c>
    </row>
    <row r="231" spans="1:9" x14ac:dyDescent="0.25">
      <c r="A231" t="s">
        <v>506</v>
      </c>
      <c r="B231" t="s">
        <v>507</v>
      </c>
      <c r="C231">
        <v>69</v>
      </c>
      <c r="D231">
        <v>5601</v>
      </c>
      <c r="E231">
        <v>10</v>
      </c>
      <c r="F231">
        <v>705.93157170594031</v>
      </c>
      <c r="G231">
        <f t="shared" si="3"/>
        <v>21.7</v>
      </c>
      <c r="H231" t="s">
        <v>62</v>
      </c>
      <c r="I231" t="s">
        <v>4</v>
      </c>
    </row>
    <row r="232" spans="1:9" x14ac:dyDescent="0.25">
      <c r="A232" t="s">
        <v>528</v>
      </c>
      <c r="B232" t="s">
        <v>529</v>
      </c>
      <c r="C232">
        <v>67</v>
      </c>
      <c r="D232">
        <v>3524</v>
      </c>
      <c r="E232">
        <v>6</v>
      </c>
      <c r="F232">
        <v>694.19842419813813</v>
      </c>
      <c r="G232">
        <f t="shared" si="3"/>
        <v>21.5</v>
      </c>
      <c r="H232" t="s">
        <v>62</v>
      </c>
      <c r="I232" t="s">
        <v>4</v>
      </c>
    </row>
    <row r="233" spans="1:9" x14ac:dyDescent="0.25">
      <c r="A233" t="s">
        <v>580</v>
      </c>
      <c r="B233" t="s">
        <v>581</v>
      </c>
      <c r="C233">
        <v>88</v>
      </c>
      <c r="D233">
        <v>4281</v>
      </c>
      <c r="E233">
        <v>7</v>
      </c>
      <c r="F233">
        <v>685.6905964832589</v>
      </c>
      <c r="G233">
        <f t="shared" si="3"/>
        <v>21.4</v>
      </c>
      <c r="H233" t="s">
        <v>62</v>
      </c>
      <c r="I233" t="s">
        <v>4</v>
      </c>
    </row>
    <row r="234" spans="1:9" x14ac:dyDescent="0.25">
      <c r="A234" t="s">
        <v>550</v>
      </c>
      <c r="B234" t="s">
        <v>551</v>
      </c>
      <c r="C234">
        <v>76</v>
      </c>
      <c r="D234">
        <v>4076</v>
      </c>
      <c r="E234">
        <v>10</v>
      </c>
      <c r="F234">
        <v>684.83554355639603</v>
      </c>
      <c r="G234">
        <f t="shared" si="3"/>
        <v>21.4</v>
      </c>
      <c r="H234" t="s">
        <v>10</v>
      </c>
      <c r="I234" t="s">
        <v>17</v>
      </c>
    </row>
    <row r="235" spans="1:9" x14ac:dyDescent="0.25">
      <c r="A235" t="s">
        <v>449</v>
      </c>
      <c r="B235" t="s">
        <v>450</v>
      </c>
      <c r="C235">
        <v>18</v>
      </c>
      <c r="D235">
        <v>494</v>
      </c>
      <c r="E235">
        <v>0</v>
      </c>
      <c r="F235">
        <v>682.27016297002979</v>
      </c>
      <c r="G235">
        <f t="shared" si="3"/>
        <v>21.3</v>
      </c>
      <c r="H235" t="s">
        <v>10</v>
      </c>
      <c r="I235" t="s">
        <v>40</v>
      </c>
    </row>
    <row r="236" spans="1:9" x14ac:dyDescent="0.25">
      <c r="A236" t="s">
        <v>612</v>
      </c>
      <c r="B236" t="s">
        <v>613</v>
      </c>
      <c r="C236">
        <v>115</v>
      </c>
      <c r="D236">
        <v>4969</v>
      </c>
      <c r="E236">
        <v>4</v>
      </c>
      <c r="F236">
        <v>678.31660870031976</v>
      </c>
      <c r="G236">
        <f t="shared" si="3"/>
        <v>21.3</v>
      </c>
      <c r="H236" t="s">
        <v>10</v>
      </c>
      <c r="I236" t="s">
        <v>178</v>
      </c>
    </row>
    <row r="237" spans="1:9" x14ac:dyDescent="0.25">
      <c r="A237" t="s">
        <v>618</v>
      </c>
      <c r="B237" t="s">
        <v>619</v>
      </c>
      <c r="C237">
        <v>123</v>
      </c>
      <c r="D237">
        <v>9282</v>
      </c>
      <c r="E237">
        <v>6</v>
      </c>
      <c r="F237">
        <v>675.49903717047505</v>
      </c>
      <c r="G237">
        <f t="shared" si="3"/>
        <v>21.2</v>
      </c>
      <c r="H237" t="s">
        <v>62</v>
      </c>
      <c r="I237" t="s">
        <v>4</v>
      </c>
    </row>
    <row r="238" spans="1:9" x14ac:dyDescent="0.25">
      <c r="A238" t="s">
        <v>445</v>
      </c>
      <c r="B238" t="s">
        <v>446</v>
      </c>
      <c r="C238">
        <v>18</v>
      </c>
      <c r="D238">
        <v>408</v>
      </c>
      <c r="E238">
        <v>0</v>
      </c>
      <c r="F238">
        <v>672.71686961483056</v>
      </c>
      <c r="G238">
        <f t="shared" si="3"/>
        <v>21.2</v>
      </c>
      <c r="H238" t="s">
        <v>62</v>
      </c>
      <c r="I238" t="s">
        <v>4</v>
      </c>
    </row>
    <row r="239" spans="1:9" x14ac:dyDescent="0.25">
      <c r="A239" t="s">
        <v>486</v>
      </c>
      <c r="B239" t="s">
        <v>487</v>
      </c>
      <c r="C239">
        <v>46</v>
      </c>
      <c r="D239">
        <v>3358</v>
      </c>
      <c r="E239">
        <v>5</v>
      </c>
      <c r="F239">
        <v>661.80453469037479</v>
      </c>
      <c r="G239">
        <f t="shared" si="3"/>
        <v>21</v>
      </c>
      <c r="H239" t="s">
        <v>10</v>
      </c>
      <c r="I239" t="s">
        <v>209</v>
      </c>
    </row>
    <row r="240" spans="1:9" x14ac:dyDescent="0.25">
      <c r="A240" t="s">
        <v>650</v>
      </c>
      <c r="B240" t="s">
        <v>651</v>
      </c>
      <c r="C240">
        <v>141</v>
      </c>
      <c r="D240">
        <v>5280</v>
      </c>
      <c r="E240">
        <v>7</v>
      </c>
      <c r="F240">
        <v>657.86999775461857</v>
      </c>
      <c r="G240">
        <f t="shared" si="3"/>
        <v>20.9</v>
      </c>
      <c r="H240" t="s">
        <v>62</v>
      </c>
      <c r="I240" t="s">
        <v>4</v>
      </c>
    </row>
    <row r="241" spans="1:9" x14ac:dyDescent="0.25">
      <c r="A241" t="s">
        <v>626</v>
      </c>
      <c r="B241" t="s">
        <v>627</v>
      </c>
      <c r="C241">
        <v>123</v>
      </c>
      <c r="D241">
        <v>4700</v>
      </c>
      <c r="E241">
        <v>4</v>
      </c>
      <c r="F241">
        <v>655.71396793427698</v>
      </c>
      <c r="G241">
        <f t="shared" si="3"/>
        <v>20.9</v>
      </c>
      <c r="H241" t="s">
        <v>62</v>
      </c>
      <c r="I241" t="s">
        <v>4</v>
      </c>
    </row>
    <row r="242" spans="1:9" x14ac:dyDescent="0.25">
      <c r="A242" t="s">
        <v>556</v>
      </c>
      <c r="B242" t="s">
        <v>557</v>
      </c>
      <c r="C242">
        <v>93</v>
      </c>
      <c r="D242">
        <v>2915</v>
      </c>
      <c r="E242">
        <v>3</v>
      </c>
      <c r="F242">
        <v>640.29113599084394</v>
      </c>
      <c r="G242">
        <f t="shared" si="3"/>
        <v>20.7</v>
      </c>
      <c r="H242" t="s">
        <v>62</v>
      </c>
      <c r="I242" t="s">
        <v>4</v>
      </c>
    </row>
    <row r="243" spans="1:9" x14ac:dyDescent="0.25">
      <c r="A243" t="s">
        <v>518</v>
      </c>
      <c r="B243" t="s">
        <v>519</v>
      </c>
      <c r="C243">
        <v>60</v>
      </c>
      <c r="D243">
        <v>3474</v>
      </c>
      <c r="E243">
        <v>5</v>
      </c>
      <c r="F243">
        <v>640.2705186063838</v>
      </c>
      <c r="G243">
        <f t="shared" si="3"/>
        <v>20.7</v>
      </c>
      <c r="H243" t="s">
        <v>62</v>
      </c>
      <c r="I243" t="s">
        <v>4</v>
      </c>
    </row>
    <row r="244" spans="1:9" x14ac:dyDescent="0.25">
      <c r="A244" t="s">
        <v>514</v>
      </c>
      <c r="B244" t="s">
        <v>515</v>
      </c>
      <c r="C244">
        <v>58</v>
      </c>
      <c r="D244">
        <v>3978</v>
      </c>
      <c r="E244">
        <v>9</v>
      </c>
      <c r="F244">
        <v>630.40305252438623</v>
      </c>
      <c r="G244">
        <f t="shared" si="3"/>
        <v>20.5</v>
      </c>
      <c r="H244" t="s">
        <v>62</v>
      </c>
      <c r="I244" t="s">
        <v>4</v>
      </c>
    </row>
    <row r="245" spans="1:9" x14ac:dyDescent="0.25">
      <c r="A245" t="s">
        <v>588</v>
      </c>
      <c r="B245" t="s">
        <v>589</v>
      </c>
      <c r="C245">
        <v>90</v>
      </c>
      <c r="D245">
        <v>3928</v>
      </c>
      <c r="E245">
        <v>4</v>
      </c>
      <c r="F245">
        <v>604.56047913379996</v>
      </c>
      <c r="G245">
        <f t="shared" si="3"/>
        <v>20.100000000000001</v>
      </c>
      <c r="H245" t="s">
        <v>62</v>
      </c>
      <c r="I245" t="s">
        <v>4</v>
      </c>
    </row>
    <row r="246" spans="1:9" x14ac:dyDescent="0.25">
      <c r="A246" t="s">
        <v>566</v>
      </c>
      <c r="B246" t="s">
        <v>567</v>
      </c>
      <c r="C246">
        <v>74</v>
      </c>
      <c r="D246">
        <v>4506</v>
      </c>
      <c r="E246">
        <v>12</v>
      </c>
      <c r="F246">
        <v>587.80138650917343</v>
      </c>
      <c r="G246">
        <f t="shared" si="3"/>
        <v>19.8</v>
      </c>
      <c r="H246" t="s">
        <v>10</v>
      </c>
      <c r="I246" t="s">
        <v>40</v>
      </c>
    </row>
    <row r="247" spans="1:9" x14ac:dyDescent="0.25">
      <c r="A247" t="s">
        <v>401</v>
      </c>
      <c r="B247" t="s">
        <v>402</v>
      </c>
      <c r="C247">
        <v>9</v>
      </c>
      <c r="D247">
        <v>342</v>
      </c>
      <c r="E247">
        <v>0</v>
      </c>
      <c r="F247">
        <v>586.73893432148304</v>
      </c>
      <c r="G247">
        <f t="shared" si="3"/>
        <v>19.8</v>
      </c>
      <c r="H247" t="s">
        <v>62</v>
      </c>
      <c r="I247" t="s">
        <v>4</v>
      </c>
    </row>
    <row r="248" spans="1:9" x14ac:dyDescent="0.25">
      <c r="A248" t="s">
        <v>345</v>
      </c>
      <c r="B248" t="s">
        <v>346</v>
      </c>
      <c r="C248">
        <v>7</v>
      </c>
      <c r="D248">
        <v>145</v>
      </c>
      <c r="E248">
        <v>0</v>
      </c>
      <c r="F248">
        <v>576.60339474708849</v>
      </c>
      <c r="G248">
        <f t="shared" si="3"/>
        <v>19.600000000000001</v>
      </c>
      <c r="H248" t="s">
        <v>10</v>
      </c>
      <c r="I248" t="s">
        <v>34</v>
      </c>
    </row>
    <row r="249" spans="1:9" x14ac:dyDescent="0.25">
      <c r="A249" t="s">
        <v>251</v>
      </c>
      <c r="B249" t="s">
        <v>252</v>
      </c>
      <c r="C249">
        <v>5</v>
      </c>
      <c r="D249">
        <v>693</v>
      </c>
      <c r="E249">
        <v>2</v>
      </c>
      <c r="F249">
        <v>567.91167326097809</v>
      </c>
      <c r="G249">
        <f t="shared" si="3"/>
        <v>19.5</v>
      </c>
      <c r="H249" t="s">
        <v>10</v>
      </c>
      <c r="I249" t="s">
        <v>178</v>
      </c>
    </row>
    <row r="250" spans="1:9" x14ac:dyDescent="0.25">
      <c r="A250" t="s">
        <v>516</v>
      </c>
      <c r="B250" t="s">
        <v>517</v>
      </c>
      <c r="C250">
        <v>49</v>
      </c>
      <c r="D250">
        <v>3203</v>
      </c>
      <c r="E250">
        <v>7</v>
      </c>
      <c r="F250">
        <v>549.38215549476342</v>
      </c>
      <c r="G250">
        <f t="shared" si="3"/>
        <v>19.100000000000001</v>
      </c>
      <c r="H250" t="s">
        <v>62</v>
      </c>
      <c r="I250" t="s">
        <v>4</v>
      </c>
    </row>
    <row r="251" spans="1:9" x14ac:dyDescent="0.25">
      <c r="A251" t="s">
        <v>368</v>
      </c>
      <c r="B251" t="s">
        <v>369</v>
      </c>
      <c r="C251">
        <v>10</v>
      </c>
      <c r="D251">
        <v>3398</v>
      </c>
      <c r="E251">
        <v>5</v>
      </c>
      <c r="F251">
        <v>542.52509959714939</v>
      </c>
      <c r="G251">
        <f t="shared" si="3"/>
        <v>19</v>
      </c>
      <c r="H251" t="s">
        <v>10</v>
      </c>
      <c r="I251" t="s">
        <v>378</v>
      </c>
    </row>
    <row r="252" spans="1:9" x14ac:dyDescent="0.25">
      <c r="A252" t="s">
        <v>427</v>
      </c>
      <c r="B252" t="s">
        <v>428</v>
      </c>
      <c r="C252">
        <v>16</v>
      </c>
      <c r="D252">
        <v>1855</v>
      </c>
      <c r="E252">
        <v>9</v>
      </c>
      <c r="F252">
        <v>538.72234945114553</v>
      </c>
      <c r="G252">
        <f t="shared" si="3"/>
        <v>18.899999999999999</v>
      </c>
      <c r="H252" t="s">
        <v>62</v>
      </c>
      <c r="I252" t="s">
        <v>4</v>
      </c>
    </row>
    <row r="253" spans="1:9" x14ac:dyDescent="0.25">
      <c r="A253" t="s">
        <v>536</v>
      </c>
      <c r="B253" t="s">
        <v>537</v>
      </c>
      <c r="C253">
        <v>56</v>
      </c>
      <c r="D253">
        <v>2605</v>
      </c>
      <c r="E253">
        <v>17</v>
      </c>
      <c r="F253">
        <v>515.86980552203818</v>
      </c>
      <c r="G253">
        <f t="shared" si="3"/>
        <v>18.5</v>
      </c>
      <c r="H253" t="s">
        <v>10</v>
      </c>
      <c r="I253" t="s">
        <v>40</v>
      </c>
    </row>
    <row r="254" spans="1:9" x14ac:dyDescent="0.25">
      <c r="A254" t="s">
        <v>417</v>
      </c>
      <c r="B254" t="s">
        <v>418</v>
      </c>
      <c r="C254">
        <v>12</v>
      </c>
      <c r="D254">
        <v>910</v>
      </c>
      <c r="E254">
        <v>0</v>
      </c>
      <c r="F254">
        <v>506.96861018087219</v>
      </c>
      <c r="G254">
        <f t="shared" si="3"/>
        <v>18.399999999999999</v>
      </c>
      <c r="H254" t="s">
        <v>62</v>
      </c>
      <c r="I254" t="s">
        <v>4</v>
      </c>
    </row>
    <row r="255" spans="1:9" x14ac:dyDescent="0.25">
      <c r="A255" t="s">
        <v>490</v>
      </c>
      <c r="B255" t="s">
        <v>491</v>
      </c>
      <c r="C255">
        <v>31</v>
      </c>
      <c r="D255">
        <v>2950</v>
      </c>
      <c r="E255">
        <v>5</v>
      </c>
      <c r="F255">
        <v>499.08098988568219</v>
      </c>
      <c r="G255">
        <f t="shared" si="3"/>
        <v>18.2</v>
      </c>
      <c r="H255" t="s">
        <v>62</v>
      </c>
      <c r="I255" t="s">
        <v>4</v>
      </c>
    </row>
    <row r="256" spans="1:9" x14ac:dyDescent="0.25">
      <c r="A256" t="s">
        <v>397</v>
      </c>
      <c r="B256" t="s">
        <v>398</v>
      </c>
      <c r="C256">
        <v>11</v>
      </c>
      <c r="D256">
        <v>2031</v>
      </c>
      <c r="E256">
        <v>9</v>
      </c>
      <c r="F256">
        <v>488.38465507956852</v>
      </c>
      <c r="G256">
        <f t="shared" si="3"/>
        <v>18</v>
      </c>
      <c r="H256" t="s">
        <v>10</v>
      </c>
      <c r="I256" t="s">
        <v>34</v>
      </c>
    </row>
    <row r="257" spans="1:9" x14ac:dyDescent="0.25">
      <c r="A257" t="s">
        <v>341</v>
      </c>
      <c r="B257" t="s">
        <v>342</v>
      </c>
      <c r="C257">
        <v>6</v>
      </c>
      <c r="D257">
        <v>94</v>
      </c>
      <c r="E257">
        <v>0</v>
      </c>
      <c r="F257">
        <v>481.55729235071868</v>
      </c>
      <c r="G257">
        <f t="shared" si="3"/>
        <v>17.899999999999999</v>
      </c>
      <c r="H257" t="s">
        <v>62</v>
      </c>
      <c r="I257" t="s">
        <v>4</v>
      </c>
    </row>
    <row r="258" spans="1:9" x14ac:dyDescent="0.25">
      <c r="A258" t="s">
        <v>385</v>
      </c>
      <c r="B258" t="s">
        <v>386</v>
      </c>
      <c r="C258">
        <v>7</v>
      </c>
      <c r="D258">
        <v>145</v>
      </c>
      <c r="E258">
        <v>0</v>
      </c>
      <c r="F258">
        <v>468.23285097809259</v>
      </c>
      <c r="G258">
        <f t="shared" si="3"/>
        <v>17.7</v>
      </c>
      <c r="H258" t="s">
        <v>10</v>
      </c>
      <c r="I258" t="s">
        <v>20</v>
      </c>
    </row>
    <row r="259" spans="1:9" x14ac:dyDescent="0.25">
      <c r="A259" t="s">
        <v>624</v>
      </c>
      <c r="B259" t="s">
        <v>625</v>
      </c>
      <c r="C259">
        <v>88</v>
      </c>
      <c r="D259">
        <v>3237</v>
      </c>
      <c r="E259">
        <v>5</v>
      </c>
      <c r="F259">
        <v>463.07101993379467</v>
      </c>
      <c r="G259">
        <f t="shared" ref="G259:G322" si="4">ROUND(100*SQRT(F259/F$2),1)</f>
        <v>17.600000000000001</v>
      </c>
      <c r="H259" t="s">
        <v>62</v>
      </c>
      <c r="I259" t="s">
        <v>4</v>
      </c>
    </row>
    <row r="260" spans="1:9" x14ac:dyDescent="0.25">
      <c r="A260" t="s">
        <v>292</v>
      </c>
      <c r="B260" t="s">
        <v>293</v>
      </c>
      <c r="C260">
        <v>5</v>
      </c>
      <c r="D260">
        <v>110</v>
      </c>
      <c r="E260">
        <v>0</v>
      </c>
      <c r="F260">
        <v>456.78498205283228</v>
      </c>
      <c r="G260">
        <f t="shared" si="4"/>
        <v>17.399999999999999</v>
      </c>
      <c r="H260" t="s">
        <v>10</v>
      </c>
      <c r="I260" t="s">
        <v>34</v>
      </c>
    </row>
    <row r="261" spans="1:9" x14ac:dyDescent="0.25">
      <c r="A261" t="s">
        <v>484</v>
      </c>
      <c r="B261" t="s">
        <v>485</v>
      </c>
      <c r="C261">
        <v>33</v>
      </c>
      <c r="D261">
        <v>3405</v>
      </c>
      <c r="E261">
        <v>6</v>
      </c>
      <c r="F261">
        <v>453.58879137335032</v>
      </c>
      <c r="G261">
        <f t="shared" si="4"/>
        <v>17.399999999999999</v>
      </c>
      <c r="H261" t="s">
        <v>62</v>
      </c>
      <c r="I261" t="s">
        <v>4</v>
      </c>
    </row>
    <row r="262" spans="1:9" x14ac:dyDescent="0.25">
      <c r="A262" t="s">
        <v>548</v>
      </c>
      <c r="B262" t="s">
        <v>549</v>
      </c>
      <c r="C262">
        <v>51</v>
      </c>
      <c r="D262">
        <v>2862</v>
      </c>
      <c r="E262">
        <v>20</v>
      </c>
      <c r="F262">
        <v>448.06581437757069</v>
      </c>
      <c r="G262">
        <f t="shared" si="4"/>
        <v>17.3</v>
      </c>
      <c r="H262" t="s">
        <v>10</v>
      </c>
      <c r="I262" t="s">
        <v>40</v>
      </c>
    </row>
    <row r="263" spans="1:9" x14ac:dyDescent="0.25">
      <c r="A263" t="s">
        <v>339</v>
      </c>
      <c r="B263" t="s">
        <v>340</v>
      </c>
      <c r="C263">
        <v>7</v>
      </c>
      <c r="D263">
        <v>654</v>
      </c>
      <c r="E263">
        <v>2</v>
      </c>
      <c r="F263">
        <v>444.74397415993781</v>
      </c>
      <c r="G263">
        <f t="shared" si="4"/>
        <v>17.2</v>
      </c>
      <c r="H263" t="s">
        <v>10</v>
      </c>
      <c r="I263" t="s">
        <v>178</v>
      </c>
    </row>
    <row r="264" spans="1:9" x14ac:dyDescent="0.25">
      <c r="A264" t="s">
        <v>538</v>
      </c>
      <c r="B264" t="s">
        <v>539</v>
      </c>
      <c r="C264">
        <v>47</v>
      </c>
      <c r="D264">
        <v>2748</v>
      </c>
      <c r="E264">
        <v>10</v>
      </c>
      <c r="F264">
        <v>432.19482567593229</v>
      </c>
      <c r="G264">
        <f t="shared" si="4"/>
        <v>17</v>
      </c>
      <c r="H264" t="s">
        <v>10</v>
      </c>
      <c r="I264" t="s">
        <v>26</v>
      </c>
    </row>
    <row r="265" spans="1:9" x14ac:dyDescent="0.25">
      <c r="A265" t="s">
        <v>648</v>
      </c>
      <c r="B265" t="s">
        <v>649</v>
      </c>
      <c r="C265">
        <v>102</v>
      </c>
      <c r="D265">
        <v>3300</v>
      </c>
      <c r="E265">
        <v>5</v>
      </c>
      <c r="F265">
        <v>415.69424379488271</v>
      </c>
      <c r="G265">
        <f t="shared" si="4"/>
        <v>16.600000000000001</v>
      </c>
      <c r="H265" t="s">
        <v>62</v>
      </c>
      <c r="I265" t="s">
        <v>4</v>
      </c>
    </row>
    <row r="266" spans="1:9" x14ac:dyDescent="0.25">
      <c r="A266" t="s">
        <v>596</v>
      </c>
      <c r="B266" t="s">
        <v>597</v>
      </c>
      <c r="C266">
        <v>64</v>
      </c>
      <c r="D266">
        <v>5366</v>
      </c>
      <c r="E266">
        <v>17</v>
      </c>
      <c r="F266">
        <v>406.0311929633873</v>
      </c>
      <c r="G266">
        <f t="shared" si="4"/>
        <v>16.399999999999999</v>
      </c>
      <c r="H266" t="s">
        <v>62</v>
      </c>
      <c r="I266" t="s">
        <v>4</v>
      </c>
    </row>
    <row r="267" spans="1:9" x14ac:dyDescent="0.25">
      <c r="A267" t="s">
        <v>443</v>
      </c>
      <c r="B267" t="s">
        <v>444</v>
      </c>
      <c r="C267">
        <v>12</v>
      </c>
      <c r="D267">
        <v>786</v>
      </c>
      <c r="E267">
        <v>1</v>
      </c>
      <c r="F267">
        <v>405.34308235040447</v>
      </c>
      <c r="G267">
        <f t="shared" si="4"/>
        <v>16.399999999999999</v>
      </c>
      <c r="H267" t="s">
        <v>10</v>
      </c>
      <c r="I267" t="s">
        <v>34</v>
      </c>
    </row>
    <row r="268" spans="1:9" x14ac:dyDescent="0.25">
      <c r="A268" t="s">
        <v>656</v>
      </c>
      <c r="B268" t="s">
        <v>657</v>
      </c>
      <c r="C268">
        <v>93</v>
      </c>
      <c r="D268">
        <v>2808</v>
      </c>
      <c r="E268">
        <v>4</v>
      </c>
      <c r="F268">
        <v>405.22681240870122</v>
      </c>
      <c r="G268">
        <f t="shared" si="4"/>
        <v>16.399999999999999</v>
      </c>
      <c r="H268" t="s">
        <v>62</v>
      </c>
      <c r="I268" t="s">
        <v>4</v>
      </c>
    </row>
    <row r="269" spans="1:9" x14ac:dyDescent="0.25">
      <c r="A269" t="s">
        <v>351</v>
      </c>
      <c r="B269" t="s">
        <v>352</v>
      </c>
      <c r="C269">
        <v>6</v>
      </c>
      <c r="D269">
        <v>110</v>
      </c>
      <c r="E269">
        <v>0</v>
      </c>
      <c r="F269">
        <v>401.30073958462998</v>
      </c>
      <c r="G269">
        <f t="shared" si="4"/>
        <v>16.399999999999999</v>
      </c>
      <c r="H269" t="s">
        <v>10</v>
      </c>
      <c r="I269" t="s">
        <v>17</v>
      </c>
    </row>
    <row r="270" spans="1:9" x14ac:dyDescent="0.25">
      <c r="A270" t="s">
        <v>431</v>
      </c>
      <c r="B270" t="s">
        <v>432</v>
      </c>
      <c r="C270">
        <v>13</v>
      </c>
      <c r="D270">
        <v>1930</v>
      </c>
      <c r="E270">
        <v>5</v>
      </c>
      <c r="F270">
        <v>396.96418935611359</v>
      </c>
      <c r="G270">
        <f t="shared" si="4"/>
        <v>16.3</v>
      </c>
      <c r="H270" t="s">
        <v>62</v>
      </c>
      <c r="I270" t="s">
        <v>4</v>
      </c>
    </row>
    <row r="271" spans="1:9" x14ac:dyDescent="0.25">
      <c r="A271" t="s">
        <v>590</v>
      </c>
      <c r="B271" t="s">
        <v>591</v>
      </c>
      <c r="C271">
        <v>71</v>
      </c>
      <c r="D271">
        <v>1735</v>
      </c>
      <c r="E271">
        <v>5</v>
      </c>
      <c r="F271">
        <v>389.00960294814081</v>
      </c>
      <c r="G271">
        <f t="shared" si="4"/>
        <v>16.100000000000001</v>
      </c>
      <c r="H271" t="s">
        <v>62</v>
      </c>
      <c r="I271" t="s">
        <v>4</v>
      </c>
    </row>
    <row r="272" spans="1:9" x14ac:dyDescent="0.25">
      <c r="A272" t="s">
        <v>570</v>
      </c>
      <c r="B272" t="s">
        <v>571</v>
      </c>
      <c r="C272">
        <v>45</v>
      </c>
      <c r="D272">
        <v>4042</v>
      </c>
      <c r="E272">
        <v>10</v>
      </c>
      <c r="F272">
        <v>388.57932438663568</v>
      </c>
      <c r="G272">
        <f t="shared" si="4"/>
        <v>16.100000000000001</v>
      </c>
      <c r="H272" t="s">
        <v>62</v>
      </c>
      <c r="I272" t="s">
        <v>4</v>
      </c>
    </row>
    <row r="273" spans="1:9" x14ac:dyDescent="0.25">
      <c r="A273" t="s">
        <v>620</v>
      </c>
      <c r="B273" t="s">
        <v>621</v>
      </c>
      <c r="C273">
        <v>73</v>
      </c>
      <c r="D273">
        <v>2563</v>
      </c>
      <c r="E273">
        <v>10</v>
      </c>
      <c r="F273">
        <v>384.02939416451102</v>
      </c>
      <c r="G273">
        <f t="shared" si="4"/>
        <v>16</v>
      </c>
      <c r="H273" t="s">
        <v>62</v>
      </c>
      <c r="I273" t="s">
        <v>4</v>
      </c>
    </row>
    <row r="274" spans="1:9" x14ac:dyDescent="0.25">
      <c r="A274" t="s">
        <v>644</v>
      </c>
      <c r="B274" t="s">
        <v>645</v>
      </c>
      <c r="C274">
        <v>70</v>
      </c>
      <c r="D274">
        <v>2786</v>
      </c>
      <c r="E274">
        <v>5</v>
      </c>
      <c r="F274">
        <v>363.08601466508333</v>
      </c>
      <c r="G274">
        <f t="shared" si="4"/>
        <v>15.6</v>
      </c>
      <c r="H274" t="s">
        <v>62</v>
      </c>
      <c r="I274" t="s">
        <v>4</v>
      </c>
    </row>
    <row r="275" spans="1:9" x14ac:dyDescent="0.25">
      <c r="A275" t="s">
        <v>474</v>
      </c>
      <c r="B275" t="s">
        <v>475</v>
      </c>
      <c r="C275">
        <v>19</v>
      </c>
      <c r="D275">
        <v>1153</v>
      </c>
      <c r="E275">
        <v>6</v>
      </c>
      <c r="F275">
        <v>349.27742090960982</v>
      </c>
      <c r="G275">
        <f t="shared" si="4"/>
        <v>15.3</v>
      </c>
      <c r="H275" t="s">
        <v>62</v>
      </c>
      <c r="I275" t="s">
        <v>4</v>
      </c>
    </row>
    <row r="276" spans="1:9" x14ac:dyDescent="0.25">
      <c r="A276" t="s">
        <v>672</v>
      </c>
      <c r="B276" t="s">
        <v>673</v>
      </c>
      <c r="C276">
        <v>100</v>
      </c>
      <c r="D276">
        <v>2512</v>
      </c>
      <c r="E276">
        <v>5</v>
      </c>
      <c r="F276">
        <v>341.10110446088169</v>
      </c>
      <c r="G276">
        <f t="shared" si="4"/>
        <v>15.1</v>
      </c>
      <c r="H276" t="s">
        <v>62</v>
      </c>
      <c r="I276" t="s">
        <v>4</v>
      </c>
    </row>
    <row r="277" spans="1:9" x14ac:dyDescent="0.25">
      <c r="A277" t="s">
        <v>494</v>
      </c>
      <c r="B277" t="s">
        <v>495</v>
      </c>
      <c r="C277">
        <v>22</v>
      </c>
      <c r="D277">
        <v>1910</v>
      </c>
      <c r="E277">
        <v>5</v>
      </c>
      <c r="F277">
        <v>338.72483112625213</v>
      </c>
      <c r="G277">
        <f t="shared" si="4"/>
        <v>15</v>
      </c>
      <c r="H277" t="s">
        <v>62</v>
      </c>
      <c r="I277" t="s">
        <v>4</v>
      </c>
    </row>
    <row r="278" spans="1:9" x14ac:dyDescent="0.25">
      <c r="A278" t="s">
        <v>604</v>
      </c>
      <c r="B278" t="s">
        <v>605</v>
      </c>
      <c r="C278">
        <v>50</v>
      </c>
      <c r="D278">
        <v>1284</v>
      </c>
      <c r="E278">
        <v>6</v>
      </c>
      <c r="F278">
        <v>327.7451682256094</v>
      </c>
      <c r="G278">
        <f t="shared" si="4"/>
        <v>14.8</v>
      </c>
      <c r="H278" t="s">
        <v>62</v>
      </c>
      <c r="I278" t="s">
        <v>4</v>
      </c>
    </row>
    <row r="279" spans="1:9" x14ac:dyDescent="0.25">
      <c r="A279" t="s">
        <v>614</v>
      </c>
      <c r="B279" t="s">
        <v>615</v>
      </c>
      <c r="C279">
        <v>58</v>
      </c>
      <c r="D279">
        <v>2237</v>
      </c>
      <c r="E279">
        <v>9</v>
      </c>
      <c r="F279">
        <v>325.98863431929669</v>
      </c>
      <c r="G279">
        <f t="shared" si="4"/>
        <v>14.7</v>
      </c>
      <c r="H279" t="s">
        <v>62</v>
      </c>
      <c r="I279" t="s">
        <v>4</v>
      </c>
    </row>
    <row r="280" spans="1:9" x14ac:dyDescent="0.25">
      <c r="A280" t="s">
        <v>278</v>
      </c>
      <c r="B280" t="s">
        <v>279</v>
      </c>
      <c r="C280">
        <v>3</v>
      </c>
      <c r="D280">
        <v>114</v>
      </c>
      <c r="E280">
        <v>0</v>
      </c>
      <c r="F280">
        <v>320.95278672865709</v>
      </c>
      <c r="G280">
        <f t="shared" si="4"/>
        <v>14.6</v>
      </c>
      <c r="H280" t="s">
        <v>10</v>
      </c>
      <c r="I280" t="s">
        <v>178</v>
      </c>
    </row>
    <row r="281" spans="1:9" x14ac:dyDescent="0.25">
      <c r="A281" t="s">
        <v>572</v>
      </c>
      <c r="B281" t="s">
        <v>573</v>
      </c>
      <c r="C281">
        <v>36</v>
      </c>
      <c r="D281">
        <v>1780</v>
      </c>
      <c r="E281">
        <v>4</v>
      </c>
      <c r="F281">
        <v>315.39053487906602</v>
      </c>
      <c r="G281">
        <f t="shared" si="4"/>
        <v>14.5</v>
      </c>
      <c r="H281" t="s">
        <v>62</v>
      </c>
      <c r="I281" t="s">
        <v>4</v>
      </c>
    </row>
    <row r="282" spans="1:9" x14ac:dyDescent="0.25">
      <c r="A282" t="s">
        <v>578</v>
      </c>
      <c r="B282" t="s">
        <v>579</v>
      </c>
      <c r="C282">
        <v>44</v>
      </c>
      <c r="D282">
        <v>4242</v>
      </c>
      <c r="E282">
        <v>16</v>
      </c>
      <c r="F282">
        <v>312.54116066851128</v>
      </c>
      <c r="G282">
        <f t="shared" si="4"/>
        <v>14.4</v>
      </c>
      <c r="H282" t="s">
        <v>62</v>
      </c>
      <c r="I282" t="s">
        <v>4</v>
      </c>
    </row>
    <row r="283" spans="1:9" x14ac:dyDescent="0.25">
      <c r="A283" t="s">
        <v>668</v>
      </c>
      <c r="B283" t="s">
        <v>669</v>
      </c>
      <c r="C283">
        <v>96</v>
      </c>
      <c r="D283">
        <v>3194</v>
      </c>
      <c r="E283">
        <v>11</v>
      </c>
      <c r="F283">
        <v>309.46489751400662</v>
      </c>
      <c r="G283">
        <f t="shared" si="4"/>
        <v>14.4</v>
      </c>
      <c r="H283" t="s">
        <v>62</v>
      </c>
      <c r="I283" t="s">
        <v>4</v>
      </c>
    </row>
    <row r="284" spans="1:9" x14ac:dyDescent="0.25">
      <c r="A284" t="s">
        <v>646</v>
      </c>
      <c r="B284" t="s">
        <v>647</v>
      </c>
      <c r="C284">
        <v>76</v>
      </c>
      <c r="D284">
        <v>3345</v>
      </c>
      <c r="E284">
        <v>11</v>
      </c>
      <c r="F284">
        <v>308.25790989356398</v>
      </c>
      <c r="G284">
        <f t="shared" si="4"/>
        <v>14.3</v>
      </c>
      <c r="H284" t="s">
        <v>62</v>
      </c>
      <c r="I284" t="s">
        <v>4</v>
      </c>
    </row>
    <row r="285" spans="1:9" x14ac:dyDescent="0.25">
      <c r="A285" t="s">
        <v>664</v>
      </c>
      <c r="B285" t="s">
        <v>665</v>
      </c>
      <c r="C285">
        <v>92</v>
      </c>
      <c r="D285">
        <v>2901</v>
      </c>
      <c r="E285">
        <v>13</v>
      </c>
      <c r="F285">
        <v>306.32814865953537</v>
      </c>
      <c r="G285">
        <f t="shared" si="4"/>
        <v>14.3</v>
      </c>
      <c r="H285" t="s">
        <v>62</v>
      </c>
      <c r="I285" t="s">
        <v>4</v>
      </c>
    </row>
    <row r="286" spans="1:9" x14ac:dyDescent="0.25">
      <c r="A286" t="s">
        <v>458</v>
      </c>
      <c r="B286" t="s">
        <v>459</v>
      </c>
      <c r="C286">
        <v>10</v>
      </c>
      <c r="D286">
        <v>334</v>
      </c>
      <c r="E286">
        <v>1</v>
      </c>
      <c r="F286">
        <v>304.68603249974819</v>
      </c>
      <c r="G286">
        <f t="shared" si="4"/>
        <v>14.2</v>
      </c>
      <c r="H286" t="s">
        <v>62</v>
      </c>
      <c r="I286" t="s">
        <v>4</v>
      </c>
    </row>
    <row r="287" spans="1:9" x14ac:dyDescent="0.25">
      <c r="A287" t="s">
        <v>504</v>
      </c>
      <c r="B287" t="s">
        <v>505</v>
      </c>
      <c r="C287">
        <v>18</v>
      </c>
      <c r="D287">
        <v>1782</v>
      </c>
      <c r="E287">
        <v>0</v>
      </c>
      <c r="F287">
        <v>277.29870985216462</v>
      </c>
      <c r="G287">
        <f t="shared" si="4"/>
        <v>13.6</v>
      </c>
      <c r="H287" t="s">
        <v>62</v>
      </c>
      <c r="I287" t="s">
        <v>4</v>
      </c>
    </row>
    <row r="288" spans="1:9" x14ac:dyDescent="0.25">
      <c r="A288" t="s">
        <v>674</v>
      </c>
      <c r="B288" t="s">
        <v>675</v>
      </c>
      <c r="C288">
        <v>82</v>
      </c>
      <c r="D288">
        <v>4868</v>
      </c>
      <c r="E288">
        <v>18</v>
      </c>
      <c r="F288">
        <v>277.15824303622509</v>
      </c>
      <c r="G288">
        <f t="shared" si="4"/>
        <v>13.6</v>
      </c>
      <c r="H288" t="s">
        <v>62</v>
      </c>
      <c r="I288" t="s">
        <v>4</v>
      </c>
    </row>
    <row r="289" spans="1:9" x14ac:dyDescent="0.25">
      <c r="A289" t="s">
        <v>520</v>
      </c>
      <c r="B289" t="s">
        <v>521</v>
      </c>
      <c r="C289">
        <v>27</v>
      </c>
      <c r="D289">
        <v>1581</v>
      </c>
      <c r="E289">
        <v>6</v>
      </c>
      <c r="F289">
        <v>268.45058657795909</v>
      </c>
      <c r="G289">
        <f t="shared" si="4"/>
        <v>13.4</v>
      </c>
      <c r="H289" t="s">
        <v>62</v>
      </c>
      <c r="I289" t="s">
        <v>4</v>
      </c>
    </row>
    <row r="290" spans="1:9" x14ac:dyDescent="0.25">
      <c r="A290" t="s">
        <v>632</v>
      </c>
      <c r="B290" t="s">
        <v>633</v>
      </c>
      <c r="C290">
        <v>53</v>
      </c>
      <c r="D290">
        <v>1933</v>
      </c>
      <c r="E290">
        <v>7</v>
      </c>
      <c r="F290">
        <v>247.45800147441921</v>
      </c>
      <c r="G290">
        <f t="shared" si="4"/>
        <v>12.8</v>
      </c>
      <c r="H290" t="s">
        <v>62</v>
      </c>
      <c r="I290" t="s">
        <v>4</v>
      </c>
    </row>
    <row r="291" spans="1:9" x14ac:dyDescent="0.25">
      <c r="A291" t="s">
        <v>526</v>
      </c>
      <c r="B291" t="s">
        <v>527</v>
      </c>
      <c r="C291">
        <v>26</v>
      </c>
      <c r="D291">
        <v>781</v>
      </c>
      <c r="E291">
        <v>7</v>
      </c>
      <c r="F291">
        <v>245.89303259700819</v>
      </c>
      <c r="G291">
        <f t="shared" si="4"/>
        <v>12.8</v>
      </c>
      <c r="H291" t="s">
        <v>62</v>
      </c>
      <c r="I291" t="s">
        <v>4</v>
      </c>
    </row>
    <row r="292" spans="1:9" x14ac:dyDescent="0.25">
      <c r="A292" t="s">
        <v>670</v>
      </c>
      <c r="B292" t="s">
        <v>671</v>
      </c>
      <c r="C292">
        <v>73</v>
      </c>
      <c r="D292">
        <v>3091</v>
      </c>
      <c r="E292">
        <v>7</v>
      </c>
      <c r="F292">
        <v>232.16013442998309</v>
      </c>
      <c r="G292">
        <f t="shared" si="4"/>
        <v>12.4</v>
      </c>
      <c r="H292" t="s">
        <v>62</v>
      </c>
      <c r="I292" t="s">
        <v>4</v>
      </c>
    </row>
    <row r="293" spans="1:9" x14ac:dyDescent="0.25">
      <c r="A293" t="s">
        <v>658</v>
      </c>
      <c r="B293" t="s">
        <v>659</v>
      </c>
      <c r="C293">
        <v>60</v>
      </c>
      <c r="D293">
        <v>1588</v>
      </c>
      <c r="E293">
        <v>4</v>
      </c>
      <c r="F293">
        <v>230.49203797819479</v>
      </c>
      <c r="G293">
        <f t="shared" si="4"/>
        <v>12.4</v>
      </c>
      <c r="H293" t="s">
        <v>62</v>
      </c>
      <c r="I293" t="s">
        <v>4</v>
      </c>
    </row>
    <row r="294" spans="1:9" x14ac:dyDescent="0.25">
      <c r="A294" t="s">
        <v>660</v>
      </c>
      <c r="B294" t="s">
        <v>661</v>
      </c>
      <c r="C294">
        <v>48</v>
      </c>
      <c r="D294">
        <v>3093</v>
      </c>
      <c r="E294">
        <v>4</v>
      </c>
      <c r="F294">
        <v>211.3197040941767</v>
      </c>
      <c r="G294">
        <f t="shared" si="4"/>
        <v>11.9</v>
      </c>
      <c r="H294" t="s">
        <v>62</v>
      </c>
      <c r="I294" t="s">
        <v>4</v>
      </c>
    </row>
    <row r="295" spans="1:9" x14ac:dyDescent="0.25">
      <c r="A295" t="s">
        <v>640</v>
      </c>
      <c r="B295" t="s">
        <v>641</v>
      </c>
      <c r="C295">
        <v>39</v>
      </c>
      <c r="D295">
        <v>859</v>
      </c>
      <c r="E295">
        <v>6</v>
      </c>
      <c r="F295">
        <v>205.9642664705213</v>
      </c>
      <c r="G295">
        <f t="shared" si="4"/>
        <v>11.7</v>
      </c>
      <c r="H295" t="s">
        <v>62</v>
      </c>
      <c r="I295" t="s">
        <v>4</v>
      </c>
    </row>
    <row r="296" spans="1:9" x14ac:dyDescent="0.25">
      <c r="A296" t="s">
        <v>602</v>
      </c>
      <c r="B296" t="s">
        <v>603</v>
      </c>
      <c r="C296">
        <v>33</v>
      </c>
      <c r="D296">
        <v>566</v>
      </c>
      <c r="E296">
        <v>4</v>
      </c>
      <c r="F296">
        <v>203.7390149011878</v>
      </c>
      <c r="G296">
        <f t="shared" si="4"/>
        <v>11.7</v>
      </c>
      <c r="H296" t="s">
        <v>62</v>
      </c>
      <c r="I296" t="s">
        <v>4</v>
      </c>
    </row>
    <row r="297" spans="1:9" x14ac:dyDescent="0.25">
      <c r="A297" t="s">
        <v>534</v>
      </c>
      <c r="B297" t="s">
        <v>535</v>
      </c>
      <c r="C297">
        <v>20</v>
      </c>
      <c r="D297">
        <v>2142</v>
      </c>
      <c r="E297">
        <v>5</v>
      </c>
      <c r="F297">
        <v>198.9844512822489</v>
      </c>
      <c r="G297">
        <f t="shared" si="4"/>
        <v>11.5</v>
      </c>
      <c r="H297" t="s">
        <v>62</v>
      </c>
      <c r="I297" t="s">
        <v>4</v>
      </c>
    </row>
    <row r="298" spans="1:9" x14ac:dyDescent="0.25">
      <c r="A298" t="s">
        <v>576</v>
      </c>
      <c r="B298" t="s">
        <v>577</v>
      </c>
      <c r="C298">
        <v>24</v>
      </c>
      <c r="D298">
        <v>2094</v>
      </c>
      <c r="E298">
        <v>5</v>
      </c>
      <c r="F298">
        <v>192.93456890446231</v>
      </c>
      <c r="G298">
        <f t="shared" si="4"/>
        <v>11.3</v>
      </c>
      <c r="H298" t="s">
        <v>62</v>
      </c>
      <c r="I298" t="s">
        <v>4</v>
      </c>
    </row>
    <row r="299" spans="1:9" x14ac:dyDescent="0.25">
      <c r="A299" t="s">
        <v>532</v>
      </c>
      <c r="B299" t="s">
        <v>533</v>
      </c>
      <c r="C299">
        <v>13</v>
      </c>
      <c r="D299">
        <v>1899</v>
      </c>
      <c r="E299">
        <v>4</v>
      </c>
      <c r="F299">
        <v>187.16064828352211</v>
      </c>
      <c r="G299">
        <f t="shared" si="4"/>
        <v>11.2</v>
      </c>
      <c r="H299" t="s">
        <v>62</v>
      </c>
      <c r="I299" t="s">
        <v>4</v>
      </c>
    </row>
    <row r="300" spans="1:9" x14ac:dyDescent="0.25">
      <c r="A300" t="s">
        <v>684</v>
      </c>
      <c r="B300" t="s">
        <v>685</v>
      </c>
      <c r="C300">
        <v>73</v>
      </c>
      <c r="D300">
        <v>1121</v>
      </c>
      <c r="E300">
        <v>7</v>
      </c>
      <c r="F300">
        <v>184.86189656655131</v>
      </c>
      <c r="G300">
        <f t="shared" si="4"/>
        <v>11.1</v>
      </c>
      <c r="H300" t="s">
        <v>62</v>
      </c>
      <c r="I300" t="s">
        <v>4</v>
      </c>
    </row>
    <row r="301" spans="1:9" x14ac:dyDescent="0.25">
      <c r="A301" t="s">
        <v>502</v>
      </c>
      <c r="B301" t="s">
        <v>503</v>
      </c>
      <c r="C301">
        <v>13</v>
      </c>
      <c r="D301">
        <v>2272</v>
      </c>
      <c r="E301">
        <v>7</v>
      </c>
      <c r="F301">
        <v>176.7339465303252</v>
      </c>
      <c r="G301">
        <f t="shared" si="4"/>
        <v>10.9</v>
      </c>
      <c r="H301" t="s">
        <v>62</v>
      </c>
      <c r="I301" t="s">
        <v>4</v>
      </c>
    </row>
    <row r="302" spans="1:9" x14ac:dyDescent="0.25">
      <c r="A302" t="s">
        <v>634</v>
      </c>
      <c r="B302" t="s">
        <v>635</v>
      </c>
      <c r="C302">
        <v>32</v>
      </c>
      <c r="D302">
        <v>1426</v>
      </c>
      <c r="E302">
        <v>4</v>
      </c>
      <c r="F302">
        <v>172.59903474051359</v>
      </c>
      <c r="G302">
        <f t="shared" si="4"/>
        <v>10.7</v>
      </c>
      <c r="H302" t="s">
        <v>62</v>
      </c>
      <c r="I302" t="s">
        <v>4</v>
      </c>
    </row>
    <row r="303" spans="1:9" x14ac:dyDescent="0.25">
      <c r="A303" t="s">
        <v>606</v>
      </c>
      <c r="B303" t="s">
        <v>607</v>
      </c>
      <c r="C303">
        <v>31</v>
      </c>
      <c r="D303">
        <v>1505</v>
      </c>
      <c r="E303">
        <v>6</v>
      </c>
      <c r="F303">
        <v>171.81752534284811</v>
      </c>
      <c r="G303">
        <f t="shared" si="4"/>
        <v>10.7</v>
      </c>
      <c r="H303" t="s">
        <v>62</v>
      </c>
      <c r="I303" t="s">
        <v>4</v>
      </c>
    </row>
    <row r="304" spans="1:9" x14ac:dyDescent="0.25">
      <c r="A304" t="s">
        <v>530</v>
      </c>
      <c r="B304" t="s">
        <v>531</v>
      </c>
      <c r="C304">
        <v>20</v>
      </c>
      <c r="D304">
        <v>1693</v>
      </c>
      <c r="E304">
        <v>6</v>
      </c>
      <c r="F304">
        <v>171.78313399318461</v>
      </c>
      <c r="G304">
        <f t="shared" si="4"/>
        <v>10.7</v>
      </c>
      <c r="H304" t="s">
        <v>62</v>
      </c>
      <c r="I304" t="s">
        <v>4</v>
      </c>
    </row>
    <row r="305" spans="1:9" x14ac:dyDescent="0.25">
      <c r="A305" t="s">
        <v>552</v>
      </c>
      <c r="B305" t="s">
        <v>553</v>
      </c>
      <c r="C305">
        <v>13</v>
      </c>
      <c r="D305">
        <v>2312</v>
      </c>
      <c r="E305">
        <v>5</v>
      </c>
      <c r="F305">
        <v>166.6846140194568</v>
      </c>
      <c r="G305">
        <f t="shared" si="4"/>
        <v>10.5</v>
      </c>
      <c r="H305" t="s">
        <v>62</v>
      </c>
      <c r="I305" t="s">
        <v>4</v>
      </c>
    </row>
    <row r="306" spans="1:9" x14ac:dyDescent="0.25">
      <c r="A306" t="s">
        <v>586</v>
      </c>
      <c r="B306" t="s">
        <v>587</v>
      </c>
      <c r="C306">
        <v>24</v>
      </c>
      <c r="D306">
        <v>739</v>
      </c>
      <c r="E306">
        <v>4</v>
      </c>
      <c r="F306">
        <v>155.07902790630521</v>
      </c>
      <c r="G306">
        <f t="shared" si="4"/>
        <v>10.199999999999999</v>
      </c>
      <c r="H306" t="s">
        <v>62</v>
      </c>
      <c r="I306" t="s">
        <v>4</v>
      </c>
    </row>
    <row r="307" spans="1:9" x14ac:dyDescent="0.25">
      <c r="A307" t="s">
        <v>654</v>
      </c>
      <c r="B307" t="s">
        <v>655</v>
      </c>
      <c r="C307">
        <v>36</v>
      </c>
      <c r="D307">
        <v>2854</v>
      </c>
      <c r="E307">
        <v>9</v>
      </c>
      <c r="F307">
        <v>151.0812301742713</v>
      </c>
      <c r="G307">
        <f t="shared" si="4"/>
        <v>10</v>
      </c>
      <c r="H307" t="s">
        <v>62</v>
      </c>
      <c r="I307" t="s">
        <v>4</v>
      </c>
    </row>
    <row r="308" spans="1:9" x14ac:dyDescent="0.25">
      <c r="A308" t="s">
        <v>562</v>
      </c>
      <c r="B308" t="s">
        <v>563</v>
      </c>
      <c r="C308">
        <v>20</v>
      </c>
      <c r="D308">
        <v>604</v>
      </c>
      <c r="E308">
        <v>7</v>
      </c>
      <c r="F308">
        <v>146.63039900245761</v>
      </c>
      <c r="G308">
        <f t="shared" si="4"/>
        <v>9.9</v>
      </c>
      <c r="H308" t="s">
        <v>62</v>
      </c>
      <c r="I308" t="s">
        <v>4</v>
      </c>
    </row>
    <row r="309" spans="1:9" x14ac:dyDescent="0.25">
      <c r="A309" t="s">
        <v>690</v>
      </c>
      <c r="B309" t="s">
        <v>691</v>
      </c>
      <c r="C309">
        <v>73</v>
      </c>
      <c r="D309">
        <v>1650</v>
      </c>
      <c r="E309">
        <v>5</v>
      </c>
      <c r="F309">
        <v>140.56664396942691</v>
      </c>
      <c r="G309">
        <f t="shared" si="4"/>
        <v>9.6999999999999993</v>
      </c>
      <c r="H309" t="s">
        <v>62</v>
      </c>
      <c r="I309" t="s">
        <v>4</v>
      </c>
    </row>
    <row r="310" spans="1:9" x14ac:dyDescent="0.25">
      <c r="A310" t="s">
        <v>462</v>
      </c>
      <c r="B310" t="s">
        <v>463</v>
      </c>
      <c r="C310">
        <v>7</v>
      </c>
      <c r="D310">
        <v>324</v>
      </c>
      <c r="E310">
        <v>0</v>
      </c>
      <c r="F310">
        <v>137.54458851552309</v>
      </c>
      <c r="G310">
        <f t="shared" si="4"/>
        <v>9.6</v>
      </c>
      <c r="H310" t="s">
        <v>62</v>
      </c>
      <c r="I310" t="s">
        <v>4</v>
      </c>
    </row>
    <row r="311" spans="1:9" x14ac:dyDescent="0.25">
      <c r="A311" t="s">
        <v>582</v>
      </c>
      <c r="B311" t="s">
        <v>583</v>
      </c>
      <c r="C311">
        <v>19</v>
      </c>
      <c r="D311">
        <v>1152</v>
      </c>
      <c r="E311">
        <v>5</v>
      </c>
      <c r="F311">
        <v>124.5424569605119</v>
      </c>
      <c r="G311">
        <f t="shared" si="4"/>
        <v>9.1</v>
      </c>
      <c r="H311" t="s">
        <v>10</v>
      </c>
      <c r="I311" t="s">
        <v>209</v>
      </c>
    </row>
    <row r="312" spans="1:9" x14ac:dyDescent="0.25">
      <c r="A312" t="s">
        <v>592</v>
      </c>
      <c r="B312" t="s">
        <v>593</v>
      </c>
      <c r="C312">
        <v>20</v>
      </c>
      <c r="D312">
        <v>646</v>
      </c>
      <c r="E312">
        <v>4</v>
      </c>
      <c r="F312">
        <v>121.58800145441241</v>
      </c>
      <c r="G312">
        <f t="shared" si="4"/>
        <v>9</v>
      </c>
      <c r="H312" t="s">
        <v>62</v>
      </c>
      <c r="I312" t="s">
        <v>4</v>
      </c>
    </row>
    <row r="313" spans="1:9" x14ac:dyDescent="0.25">
      <c r="A313" t="s">
        <v>522</v>
      </c>
      <c r="B313" t="s">
        <v>523</v>
      </c>
      <c r="C313">
        <v>13</v>
      </c>
      <c r="D313">
        <v>1177</v>
      </c>
      <c r="E313">
        <v>5</v>
      </c>
      <c r="F313">
        <v>118.9684668829449</v>
      </c>
      <c r="G313">
        <f t="shared" si="4"/>
        <v>8.9</v>
      </c>
      <c r="H313" t="s">
        <v>62</v>
      </c>
      <c r="I313" t="s">
        <v>4</v>
      </c>
    </row>
    <row r="314" spans="1:9" x14ac:dyDescent="0.25">
      <c r="A314" t="s">
        <v>638</v>
      </c>
      <c r="B314" t="s">
        <v>639</v>
      </c>
      <c r="C314">
        <v>22</v>
      </c>
      <c r="D314">
        <v>1672</v>
      </c>
      <c r="E314">
        <v>5</v>
      </c>
      <c r="F314">
        <v>105.9349202271034</v>
      </c>
      <c r="G314">
        <f t="shared" si="4"/>
        <v>8.4</v>
      </c>
      <c r="H314" t="s">
        <v>62</v>
      </c>
      <c r="I314" t="s">
        <v>4</v>
      </c>
    </row>
    <row r="315" spans="1:9" x14ac:dyDescent="0.25">
      <c r="A315" t="s">
        <v>652</v>
      </c>
      <c r="B315" t="s">
        <v>653</v>
      </c>
      <c r="C315">
        <v>25</v>
      </c>
      <c r="D315">
        <v>613</v>
      </c>
      <c r="E315">
        <v>5</v>
      </c>
      <c r="F315">
        <v>95.728365918333338</v>
      </c>
      <c r="G315">
        <f t="shared" si="4"/>
        <v>8</v>
      </c>
      <c r="H315" t="s">
        <v>62</v>
      </c>
      <c r="I315" t="s">
        <v>4</v>
      </c>
    </row>
    <row r="316" spans="1:9" x14ac:dyDescent="0.25">
      <c r="A316" t="s">
        <v>564</v>
      </c>
      <c r="B316" t="s">
        <v>565</v>
      </c>
      <c r="C316">
        <v>12</v>
      </c>
      <c r="D316">
        <v>948</v>
      </c>
      <c r="E316">
        <v>5</v>
      </c>
      <c r="F316">
        <v>95.080443210269209</v>
      </c>
      <c r="G316">
        <f t="shared" si="4"/>
        <v>8</v>
      </c>
      <c r="H316" t="s">
        <v>62</v>
      </c>
      <c r="I316" t="s">
        <v>4</v>
      </c>
    </row>
    <row r="317" spans="1:9" x14ac:dyDescent="0.25">
      <c r="A317" t="s">
        <v>666</v>
      </c>
      <c r="B317" t="s">
        <v>667</v>
      </c>
      <c r="C317">
        <v>26</v>
      </c>
      <c r="D317">
        <v>1069</v>
      </c>
      <c r="E317">
        <v>6</v>
      </c>
      <c r="F317">
        <v>92.844389265979885</v>
      </c>
      <c r="G317">
        <f t="shared" si="4"/>
        <v>7.9</v>
      </c>
      <c r="H317" t="s">
        <v>62</v>
      </c>
      <c r="I317" t="s">
        <v>4</v>
      </c>
    </row>
    <row r="318" spans="1:9" x14ac:dyDescent="0.25">
      <c r="A318" t="s">
        <v>680</v>
      </c>
      <c r="B318" t="s">
        <v>681</v>
      </c>
      <c r="C318">
        <v>26</v>
      </c>
      <c r="D318">
        <v>820</v>
      </c>
      <c r="E318">
        <v>4</v>
      </c>
      <c r="F318">
        <v>92.669582705549487</v>
      </c>
      <c r="G318">
        <f t="shared" si="4"/>
        <v>7.9</v>
      </c>
      <c r="H318" t="s">
        <v>62</v>
      </c>
      <c r="I318" t="s">
        <v>4</v>
      </c>
    </row>
    <row r="319" spans="1:9" x14ac:dyDescent="0.25">
      <c r="A319" t="s">
        <v>682</v>
      </c>
      <c r="B319" t="s">
        <v>683</v>
      </c>
      <c r="C319">
        <v>32</v>
      </c>
      <c r="D319">
        <v>860</v>
      </c>
      <c r="E319">
        <v>8</v>
      </c>
      <c r="F319">
        <v>91.933921261867113</v>
      </c>
      <c r="G319">
        <f t="shared" si="4"/>
        <v>7.8</v>
      </c>
      <c r="H319" t="s">
        <v>62</v>
      </c>
      <c r="I319" t="s">
        <v>4</v>
      </c>
    </row>
    <row r="320" spans="1:9" x14ac:dyDescent="0.25">
      <c r="A320" t="s">
        <v>636</v>
      </c>
      <c r="B320" t="s">
        <v>637</v>
      </c>
      <c r="C320">
        <v>17</v>
      </c>
      <c r="D320">
        <v>1461</v>
      </c>
      <c r="E320">
        <v>5</v>
      </c>
      <c r="F320">
        <v>83.065817434451105</v>
      </c>
      <c r="G320">
        <f t="shared" si="4"/>
        <v>7.4</v>
      </c>
      <c r="H320" t="s">
        <v>62</v>
      </c>
      <c r="I320" t="s">
        <v>4</v>
      </c>
    </row>
    <row r="321" spans="1:9" x14ac:dyDescent="0.25">
      <c r="A321" t="s">
        <v>610</v>
      </c>
      <c r="B321" t="s">
        <v>611</v>
      </c>
      <c r="C321">
        <v>15</v>
      </c>
      <c r="D321">
        <v>663</v>
      </c>
      <c r="E321">
        <v>4</v>
      </c>
      <c r="F321">
        <v>82.626462592181937</v>
      </c>
      <c r="G321">
        <f t="shared" si="4"/>
        <v>7.4</v>
      </c>
      <c r="H321" t="s">
        <v>62</v>
      </c>
      <c r="I321" t="s">
        <v>4</v>
      </c>
    </row>
    <row r="322" spans="1:9" x14ac:dyDescent="0.25">
      <c r="A322" t="s">
        <v>554</v>
      </c>
      <c r="B322" t="s">
        <v>555</v>
      </c>
      <c r="C322">
        <v>11</v>
      </c>
      <c r="D322">
        <v>681</v>
      </c>
      <c r="E322">
        <v>4</v>
      </c>
      <c r="F322">
        <v>82.349390972226757</v>
      </c>
      <c r="G322">
        <f t="shared" si="4"/>
        <v>7.4</v>
      </c>
      <c r="H322" t="s">
        <v>62</v>
      </c>
      <c r="I322" t="s">
        <v>4</v>
      </c>
    </row>
    <row r="323" spans="1:9" x14ac:dyDescent="0.25">
      <c r="A323" t="s">
        <v>688</v>
      </c>
      <c r="B323" t="s">
        <v>689</v>
      </c>
      <c r="C323">
        <v>32</v>
      </c>
      <c r="D323">
        <v>582</v>
      </c>
      <c r="E323">
        <v>6</v>
      </c>
      <c r="F323">
        <v>64.19619826176239</v>
      </c>
      <c r="G323">
        <f t="shared" ref="G323:G331" si="5">ROUND(100*SQRT(F323/F$2),1)</f>
        <v>6.5</v>
      </c>
      <c r="H323" t="s">
        <v>62</v>
      </c>
      <c r="I323" t="s">
        <v>4</v>
      </c>
    </row>
    <row r="324" spans="1:9" x14ac:dyDescent="0.25">
      <c r="A324" t="s">
        <v>630</v>
      </c>
      <c r="B324" t="s">
        <v>631</v>
      </c>
      <c r="C324">
        <v>15</v>
      </c>
      <c r="D324">
        <v>1213</v>
      </c>
      <c r="E324">
        <v>4</v>
      </c>
      <c r="F324">
        <v>61.223501520491922</v>
      </c>
      <c r="G324">
        <f t="shared" si="5"/>
        <v>6.4</v>
      </c>
      <c r="H324" t="s">
        <v>62</v>
      </c>
      <c r="I324" t="s">
        <v>4</v>
      </c>
    </row>
    <row r="325" spans="1:9" x14ac:dyDescent="0.25">
      <c r="A325" t="s">
        <v>568</v>
      </c>
      <c r="B325" t="s">
        <v>569</v>
      </c>
      <c r="C325">
        <v>9</v>
      </c>
      <c r="D325">
        <v>472</v>
      </c>
      <c r="E325">
        <v>5</v>
      </c>
      <c r="F325">
        <v>58.993673693178657</v>
      </c>
      <c r="G325">
        <f t="shared" si="5"/>
        <v>6.3</v>
      </c>
      <c r="H325" t="s">
        <v>62</v>
      </c>
      <c r="I325" t="s">
        <v>4</v>
      </c>
    </row>
    <row r="326" spans="1:9" x14ac:dyDescent="0.25">
      <c r="A326" t="s">
        <v>608</v>
      </c>
      <c r="B326" t="s">
        <v>609</v>
      </c>
      <c r="C326">
        <v>10</v>
      </c>
      <c r="D326">
        <v>1324</v>
      </c>
      <c r="E326">
        <v>4</v>
      </c>
      <c r="F326">
        <v>55.836565844272428</v>
      </c>
      <c r="G326">
        <f t="shared" si="5"/>
        <v>6.1</v>
      </c>
      <c r="H326" t="s">
        <v>62</v>
      </c>
      <c r="I326" t="s">
        <v>4</v>
      </c>
    </row>
    <row r="327" spans="1:9" x14ac:dyDescent="0.25">
      <c r="A327" t="s">
        <v>600</v>
      </c>
      <c r="B327" t="s">
        <v>601</v>
      </c>
      <c r="C327">
        <v>10</v>
      </c>
      <c r="D327">
        <v>391</v>
      </c>
      <c r="E327">
        <v>5</v>
      </c>
      <c r="F327">
        <v>53.973314464449231</v>
      </c>
      <c r="G327">
        <f t="shared" si="5"/>
        <v>6</v>
      </c>
      <c r="H327" t="s">
        <v>62</v>
      </c>
      <c r="I327" t="s">
        <v>4</v>
      </c>
    </row>
    <row r="328" spans="1:9" x14ac:dyDescent="0.25">
      <c r="A328" t="s">
        <v>676</v>
      </c>
      <c r="B328" t="s">
        <v>677</v>
      </c>
      <c r="C328">
        <v>14</v>
      </c>
      <c r="D328">
        <v>668</v>
      </c>
      <c r="E328">
        <v>5</v>
      </c>
      <c r="F328">
        <v>44.307928555410733</v>
      </c>
      <c r="G328">
        <f t="shared" si="5"/>
        <v>5.4</v>
      </c>
      <c r="H328" t="s">
        <v>62</v>
      </c>
      <c r="I328" t="s">
        <v>4</v>
      </c>
    </row>
    <row r="329" spans="1:9" x14ac:dyDescent="0.25">
      <c r="A329" t="s">
        <v>622</v>
      </c>
      <c r="B329" t="s">
        <v>623</v>
      </c>
      <c r="C329">
        <v>8</v>
      </c>
      <c r="D329">
        <v>436</v>
      </c>
      <c r="E329">
        <v>4</v>
      </c>
      <c r="F329">
        <v>41.742639692406613</v>
      </c>
      <c r="G329">
        <f t="shared" si="5"/>
        <v>5.3</v>
      </c>
      <c r="H329" t="s">
        <v>62</v>
      </c>
      <c r="I329" t="s">
        <v>4</v>
      </c>
    </row>
    <row r="330" spans="1:9" x14ac:dyDescent="0.25">
      <c r="A330" t="s">
        <v>678</v>
      </c>
      <c r="B330" t="s">
        <v>679</v>
      </c>
      <c r="C330">
        <v>11</v>
      </c>
      <c r="D330">
        <v>639</v>
      </c>
      <c r="E330">
        <v>5</v>
      </c>
      <c r="F330">
        <v>25.727238197898991</v>
      </c>
      <c r="G330">
        <f t="shared" si="5"/>
        <v>4.0999999999999996</v>
      </c>
      <c r="H330" t="s">
        <v>62</v>
      </c>
      <c r="I330" t="s">
        <v>4</v>
      </c>
    </row>
    <row r="331" spans="1:9" x14ac:dyDescent="0.25">
      <c r="A331" t="s">
        <v>686</v>
      </c>
      <c r="B331" t="s">
        <v>687</v>
      </c>
      <c r="C331">
        <v>10</v>
      </c>
      <c r="D331">
        <v>583</v>
      </c>
      <c r="E331">
        <v>5</v>
      </c>
      <c r="F331">
        <v>21.18105057053177</v>
      </c>
      <c r="G331">
        <f t="shared" si="5"/>
        <v>3.8</v>
      </c>
      <c r="H331" t="s">
        <v>62</v>
      </c>
      <c r="I331" t="s">
        <v>4</v>
      </c>
    </row>
  </sheetData>
  <sortState ref="A2:I331">
    <sortCondition descending="1" ref="F2:F331"/>
    <sortCondition ref="A2:A3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average_influence</vt:lpstr>
      <vt:lpstr>total_influence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2025-06-30T14:47:08Z</dcterms:created>
  <dcterms:modified xsi:type="dcterms:W3CDTF">2025-07-17T09:31:16Z</dcterms:modified>
</cp:coreProperties>
</file>