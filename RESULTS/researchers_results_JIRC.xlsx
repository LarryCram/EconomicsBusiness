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ropbox\ECONOMICS_BUSINESS\RESULTS\"/>
    </mc:Choice>
  </mc:AlternateContent>
  <xr:revisionPtr revIDLastSave="0" documentId="13_ncr:1_{587C9850-869D-46A6-8746-380E23685B57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8" i="1" l="1"/>
  <c r="T7" i="1"/>
  <c r="S8" i="1"/>
  <c r="S7" i="1"/>
  <c r="R8" i="1"/>
  <c r="R7" i="1"/>
  <c r="V4" i="1"/>
  <c r="U4" i="1"/>
  <c r="T4" i="1"/>
  <c r="S4" i="1"/>
  <c r="R4" i="1"/>
  <c r="Q4" i="1"/>
  <c r="V3" i="1"/>
  <c r="U3" i="1"/>
  <c r="T3" i="1"/>
  <c r="S3" i="1"/>
  <c r="R3" i="1"/>
  <c r="Q3" i="1"/>
  <c r="U8" i="1" l="1"/>
  <c r="U7" i="1"/>
</calcChain>
</file>

<file path=xl/sharedStrings.xml><?xml version="1.0" encoding="utf-8"?>
<sst xmlns="http://schemas.openxmlformats.org/spreadsheetml/2006/main" count="1620" uniqueCount="744">
  <si>
    <t>NAME</t>
  </si>
  <si>
    <t>Research_Profile</t>
  </si>
  <si>
    <t>ACR</t>
  </si>
  <si>
    <t>PUB</t>
  </si>
  <si>
    <t>CIT</t>
  </si>
  <si>
    <t>HCP</t>
  </si>
  <si>
    <t>suma</t>
  </si>
  <si>
    <t>coc</t>
  </si>
  <si>
    <t>score</t>
  </si>
  <si>
    <t>Group</t>
  </si>
  <si>
    <t>Class</t>
  </si>
  <si>
    <t>David Dorn</t>
  </si>
  <si>
    <t>Dorn, David</t>
  </si>
  <si>
    <t>A49</t>
  </si>
  <si>
    <t>C</t>
  </si>
  <si>
    <t>Gossen_Prize</t>
  </si>
  <si>
    <t>Gabaix, Xavier</t>
  </si>
  <si>
    <t>A105</t>
  </si>
  <si>
    <t>Fischer Black Prize</t>
  </si>
  <si>
    <t>Veronica Guerrieri</t>
  </si>
  <si>
    <t>Guerrieri, Veronica</t>
  </si>
  <si>
    <t>A58</t>
  </si>
  <si>
    <t>German_Bernacer_Prize</t>
  </si>
  <si>
    <t>Bengt Holmström </t>
  </si>
  <si>
    <t>Holmstrom, Bengt</t>
  </si>
  <si>
    <t>A14</t>
  </si>
  <si>
    <t>Nobel Prize</t>
  </si>
  <si>
    <t>Eugene F. Fama</t>
  </si>
  <si>
    <t>Fama, Eugene F.</t>
  </si>
  <si>
    <t>A17</t>
  </si>
  <si>
    <t>Emi Nakamura</t>
  </si>
  <si>
    <t>Nakamura, Emi</t>
  </si>
  <si>
    <t>A32</t>
  </si>
  <si>
    <t>John_Bates_Clark_Medal</t>
  </si>
  <si>
    <t>Taylor, Lucian A.</t>
  </si>
  <si>
    <t>MP4</t>
  </si>
  <si>
    <t>Moskowitz Prize</t>
  </si>
  <si>
    <t>Stambaugh, Robert F.</t>
  </si>
  <si>
    <t>Y57</t>
  </si>
  <si>
    <t>Fama–DFA Prize</t>
  </si>
  <si>
    <t>Kline, Patrick</t>
  </si>
  <si>
    <t>H09</t>
  </si>
  <si>
    <t>Sherwin Rosen Prize</t>
  </si>
  <si>
    <t>Vissing-Jorgensen, Annette</t>
  </si>
  <si>
    <t>S11</t>
  </si>
  <si>
    <t>SFI BEST PAPER AWARD</t>
  </si>
  <si>
    <t>Hendren, Nathaniel</t>
  </si>
  <si>
    <t>H05</t>
  </si>
  <si>
    <t>Presidential Early Career Award for Scientists and Engineers</t>
  </si>
  <si>
    <t>Raj Chetty</t>
  </si>
  <si>
    <t>Chetty, Raj</t>
  </si>
  <si>
    <t>A26</t>
  </si>
  <si>
    <t>Gennaioli, Nicola</t>
  </si>
  <si>
    <t>A99</t>
  </si>
  <si>
    <t>ERC</t>
  </si>
  <si>
    <t>Muir, Tyler</t>
  </si>
  <si>
    <t>A02</t>
  </si>
  <si>
    <t>Maggiori, Matteo</t>
  </si>
  <si>
    <t>A65</t>
  </si>
  <si>
    <t>Allcott, Hunt</t>
  </si>
  <si>
    <t>H07</t>
  </si>
  <si>
    <t>Atkinson Award</t>
  </si>
  <si>
    <t>Autor, David</t>
  </si>
  <si>
    <t>H06</t>
  </si>
  <si>
    <t>Special Heinz Award</t>
  </si>
  <si>
    <t>Ljungqvist, Alexander</t>
  </si>
  <si>
    <t>A91</t>
  </si>
  <si>
    <t>Yang, Cunyi</t>
  </si>
  <si>
    <t>Y56</t>
  </si>
  <si>
    <t>T</t>
  </si>
  <si>
    <t>Krueger, Philipp</t>
  </si>
  <si>
    <t>Y58</t>
  </si>
  <si>
    <t>Shleifer, Andrei</t>
  </si>
  <si>
    <t>H08</t>
  </si>
  <si>
    <t>Matthew Gentzkow</t>
  </si>
  <si>
    <t>Gentzkow, Matthew</t>
  </si>
  <si>
    <t>A27</t>
  </si>
  <si>
    <t>Loukas Karabarbounis</t>
  </si>
  <si>
    <t>Karabarbounis, Loukas</t>
  </si>
  <si>
    <t>A63</t>
  </si>
  <si>
    <t>Greenwood, Robin</t>
  </si>
  <si>
    <t>S10</t>
  </si>
  <si>
    <t>Esther Duflo</t>
  </si>
  <si>
    <t>Duflo, Esther</t>
  </si>
  <si>
    <t>A11</t>
  </si>
  <si>
    <t>Moll, Benjamin</t>
  </si>
  <si>
    <t>A80</t>
  </si>
  <si>
    <t>Van Reenen, John</t>
  </si>
  <si>
    <t>H03</t>
  </si>
  <si>
    <t>Arrow Prize</t>
  </si>
  <si>
    <t>Emmanuel Saez</t>
  </si>
  <si>
    <t>Saez, Emmanuel</t>
  </si>
  <si>
    <t>A23</t>
  </si>
  <si>
    <t>Schmalz, Martin</t>
  </si>
  <si>
    <t>Schmalz, Martin C.</t>
  </si>
  <si>
    <t>A83</t>
  </si>
  <si>
    <t>Nicholas Bloom</t>
  </si>
  <si>
    <t>Bloom, Nicholas</t>
  </si>
  <si>
    <t>A56</t>
  </si>
  <si>
    <t>Sufi, Amir</t>
  </si>
  <si>
    <t>A30</t>
  </si>
  <si>
    <t>Imbens, Guido W.</t>
  </si>
  <si>
    <t>Y21</t>
  </si>
  <si>
    <t>Kelly, Bryan</t>
  </si>
  <si>
    <t>H01</t>
  </si>
  <si>
    <t>Fama-DFA Prize </t>
  </si>
  <si>
    <t>Starks, Laura T.</t>
  </si>
  <si>
    <t>Y51</t>
  </si>
  <si>
    <t>Swedish Skandia Award and Moskowitz Prize</t>
  </si>
  <si>
    <t>Hanson, Gordon</t>
  </si>
  <si>
    <t>H11</t>
  </si>
  <si>
    <t>NBER and SLI fellow</t>
  </si>
  <si>
    <t>Vayanos, Dimitri</t>
  </si>
  <si>
    <t>S06</t>
  </si>
  <si>
    <t>He, Zhiguo</t>
  </si>
  <si>
    <t>S02</t>
  </si>
  <si>
    <t>David Card</t>
  </si>
  <si>
    <t>Card, David</t>
  </si>
  <si>
    <t>A09</t>
  </si>
  <si>
    <t>Giglio, Stefano</t>
  </si>
  <si>
    <t>MP1</t>
  </si>
  <si>
    <t>Pastor, Lubos</t>
  </si>
  <si>
    <t>MP5</t>
  </si>
  <si>
    <t>Flammer, Caroline</t>
  </si>
  <si>
    <t>Y22</t>
  </si>
  <si>
    <t>Eeckhout, Jan</t>
  </si>
  <si>
    <t>D02</t>
  </si>
  <si>
    <t>Thomas Philippon </t>
  </si>
  <si>
    <t>Philippon, Thomas</t>
  </si>
  <si>
    <t>A57</t>
  </si>
  <si>
    <t>Restrepo, Pascual</t>
  </si>
  <si>
    <t>D03</t>
  </si>
  <si>
    <t>Nobel Prize major coauthor</t>
  </si>
  <si>
    <t>Burgess, Robin</t>
  </si>
  <si>
    <t>A92</t>
  </si>
  <si>
    <t>Mitman, Kurt</t>
  </si>
  <si>
    <t>A79</t>
  </si>
  <si>
    <t>Yogo, Motohiro</t>
  </si>
  <si>
    <t>S18</t>
  </si>
  <si>
    <t>Ralph Koijen</t>
  </si>
  <si>
    <t>Koijen, Ralph S. J.</t>
  </si>
  <si>
    <t>A64</t>
  </si>
  <si>
    <t>Greenstone, Michael</t>
  </si>
  <si>
    <t>H04</t>
  </si>
  <si>
    <t>Andrew Carnegie Fellow Award</t>
  </si>
  <si>
    <t>Oleg Itskhoki</t>
  </si>
  <si>
    <t>Itskhoki, Oleg</t>
  </si>
  <si>
    <t>A34</t>
  </si>
  <si>
    <t>Krishnamurthy, Arvin</t>
  </si>
  <si>
    <t>S17</t>
  </si>
  <si>
    <t>Malmendier, Ulrike</t>
  </si>
  <si>
    <t>A89</t>
  </si>
  <si>
    <t>Hartzmark, Samuel M.</t>
  </si>
  <si>
    <t>MP7</t>
  </si>
  <si>
    <t>Isaiah Andrews</t>
  </si>
  <si>
    <t>Andrews, Isaiah</t>
  </si>
  <si>
    <t>A33</t>
  </si>
  <si>
    <t>Wooldridge, Jeffrey M.</t>
  </si>
  <si>
    <t>Y43</t>
  </si>
  <si>
    <t>Acemoglu, Daron</t>
  </si>
  <si>
    <t>A01</t>
  </si>
  <si>
    <t>Stroebel, Johannes</t>
  </si>
  <si>
    <t>A28</t>
  </si>
  <si>
    <t>Gabriel Zucman</t>
  </si>
  <si>
    <t>Zucman, Gabriel</t>
  </si>
  <si>
    <t>A35</t>
  </si>
  <si>
    <t>Kuchler, Theresa</t>
  </si>
  <si>
    <t>MP3</t>
  </si>
  <si>
    <t>Abhijit Banerjee</t>
  </si>
  <si>
    <t>Banerjee, Abhijit</t>
  </si>
  <si>
    <t>A10</t>
  </si>
  <si>
    <t>Hombert, Johan</t>
  </si>
  <si>
    <t>A100</t>
  </si>
  <si>
    <t>Bolton, Patrick</t>
  </si>
  <si>
    <t>A41</t>
  </si>
  <si>
    <t>Stijn Van Nieuwerburgh </t>
  </si>
  <si>
    <t>Van Nieuwerburgh, Stijn</t>
  </si>
  <si>
    <t>A59</t>
  </si>
  <si>
    <t>Sautner, Zacharias</t>
  </si>
  <si>
    <t>Y52</t>
  </si>
  <si>
    <t>Davide Cantoni</t>
  </si>
  <si>
    <t>Cantoni, Davide</t>
  </si>
  <si>
    <t>A74</t>
  </si>
  <si>
    <t>Koren, Miklos</t>
  </si>
  <si>
    <t>A52</t>
  </si>
  <si>
    <t>Coibion, Olivier</t>
  </si>
  <si>
    <t>Y18</t>
  </si>
  <si>
    <t>Amy Finkelstein</t>
  </si>
  <si>
    <t>Finkelstein, Amy</t>
  </si>
  <si>
    <t>A25</t>
  </si>
  <si>
    <t>Barber, Brad M.</t>
  </si>
  <si>
    <t>MP10</t>
  </si>
  <si>
    <t>Haddad, Valentin</t>
  </si>
  <si>
    <t>S01</t>
  </si>
  <si>
    <t>Murphy, Kevin M.</t>
  </si>
  <si>
    <t>B09</t>
  </si>
  <si>
    <t>John Von Neumann Award</t>
  </si>
  <si>
    <t>Burke, Marshall</t>
  </si>
  <si>
    <t>H13</t>
  </si>
  <si>
    <t>bet paper awards</t>
  </si>
  <si>
    <t>Casamatta, Catherine</t>
  </si>
  <si>
    <t>S14</t>
  </si>
  <si>
    <t>Puga, Diego</t>
  </si>
  <si>
    <t>A86</t>
  </si>
  <si>
    <t>Morse, Adair</t>
  </si>
  <si>
    <t>MP11</t>
  </si>
  <si>
    <t>Athey, Susan</t>
  </si>
  <si>
    <t>H16</t>
  </si>
  <si>
    <t>Biais, Bruno</t>
  </si>
  <si>
    <t>D04</t>
  </si>
  <si>
    <t>Kondor, Peter</t>
  </si>
  <si>
    <t>S03</t>
  </si>
  <si>
    <t>Rabin, Matthew</t>
  </si>
  <si>
    <t>B13</t>
  </si>
  <si>
    <t>Hsiang, Solomon</t>
  </si>
  <si>
    <t>H14</t>
  </si>
  <si>
    <t>Marquis, Christopher</t>
  </si>
  <si>
    <t>B14</t>
  </si>
  <si>
    <t>Venkateswaran, Venky</t>
  </si>
  <si>
    <t>S09</t>
  </si>
  <si>
    <t>Smith, Wendy K.</t>
  </si>
  <si>
    <t>B20</t>
  </si>
  <si>
    <t>Chaney, Thomas</t>
  </si>
  <si>
    <t>D01</t>
  </si>
  <si>
    <t>Bansal, Pratima</t>
  </si>
  <si>
    <t>Y48</t>
  </si>
  <si>
    <t>Taylor, Alan M.</t>
  </si>
  <si>
    <t>B22</t>
  </si>
  <si>
    <t>Sanwa Prize in International Economics and Financial Markets</t>
  </si>
  <si>
    <t>Robin, Jean-Marc</t>
  </si>
  <si>
    <t>Y34</t>
  </si>
  <si>
    <t>Moxnes, Andreas</t>
  </si>
  <si>
    <t>A90</t>
  </si>
  <si>
    <t>Deschenes, Olivier</t>
  </si>
  <si>
    <t>H19</t>
  </si>
  <si>
    <t>Yuriy Gorodnichenko </t>
  </si>
  <si>
    <t>Gorodnichenko, Yuriy</t>
  </si>
  <si>
    <t>A45</t>
  </si>
  <si>
    <t>R._K._Cho_Economics_Prize</t>
  </si>
  <si>
    <t>Moritz Schularick</t>
  </si>
  <si>
    <t>Schularick, Moritz</t>
  </si>
  <si>
    <t>A73</t>
  </si>
  <si>
    <t>Johnson, Simon</t>
  </si>
  <si>
    <t>A03</t>
  </si>
  <si>
    <t>Miguel, Edward</t>
  </si>
  <si>
    <t>H10</t>
  </si>
  <si>
    <t>Frisch Medal </t>
  </si>
  <si>
    <t>Veldkamp, Laura</t>
  </si>
  <si>
    <t>S08</t>
  </si>
  <si>
    <t>Goldin, Claudia</t>
  </si>
  <si>
    <t>A05</t>
  </si>
  <si>
    <t>Thaler, Richard H.</t>
  </si>
  <si>
    <t>B03</t>
  </si>
  <si>
    <t>Nekoei, Arash</t>
  </si>
  <si>
    <t>A84</t>
  </si>
  <si>
    <t>Lasse Heje Pedersen </t>
  </si>
  <si>
    <t>Pedersen, Lasse Heje</t>
  </si>
  <si>
    <t>A55</t>
  </si>
  <si>
    <t>Levin, Jonathan</t>
  </si>
  <si>
    <t>A24</t>
  </si>
  <si>
    <t>Foucault, Thierry</t>
  </si>
  <si>
    <t>A97</t>
  </si>
  <si>
    <t>Michael Kremer</t>
  </si>
  <si>
    <t>Kremer, Michael</t>
  </si>
  <si>
    <t>A12</t>
  </si>
  <si>
    <t>Jackson, Matthew O.</t>
  </si>
  <si>
    <t>A07</t>
  </si>
  <si>
    <t>Bouvard, Matthieu</t>
  </si>
  <si>
    <t>S13</t>
  </si>
  <si>
    <t>Doepke, Matthias</t>
  </si>
  <si>
    <t>A102</t>
  </si>
  <si>
    <t>Gawer, Annabelle</t>
  </si>
  <si>
    <t>B08</t>
  </si>
  <si>
    <t>Foss, Nicolai J.</t>
  </si>
  <si>
    <t>B06</t>
  </si>
  <si>
    <t>Aguilera, Ruth V.</t>
  </si>
  <si>
    <t>B01</t>
  </si>
  <si>
    <t>Le Barbanchon, Thomas</t>
  </si>
  <si>
    <t>A82</t>
  </si>
  <si>
    <t>Huang, Ming-Hui</t>
  </si>
  <si>
    <t>Y10</t>
  </si>
  <si>
    <t>Tenreyro, Silvana </t>
  </si>
  <si>
    <t>Tenreyro, Silvana</t>
  </si>
  <si>
    <t>A94</t>
  </si>
  <si>
    <t>Hyun-Song Shin </t>
  </si>
  <si>
    <t>Shin, Hyun Song</t>
  </si>
  <si>
    <t>A38</t>
  </si>
  <si>
    <t>Hong, Bryan</t>
  </si>
  <si>
    <t>MP8</t>
  </si>
  <si>
    <t>Rust, Roland T.</t>
  </si>
  <si>
    <t>Y45</t>
  </si>
  <si>
    <t>Sarstedt, Marko</t>
  </si>
  <si>
    <t>A75</t>
  </si>
  <si>
    <t>Joshua D. Angrist</t>
  </si>
  <si>
    <t>Angrist, Joshua</t>
  </si>
  <si>
    <t>A08</t>
  </si>
  <si>
    <t>Robinson, James A.</t>
  </si>
  <si>
    <t>A04</t>
  </si>
  <si>
    <t>Ricardo Reis</t>
  </si>
  <si>
    <t>Reis, Ricardo</t>
  </si>
  <si>
    <t>A60</t>
  </si>
  <si>
    <t>Manova, Kalina</t>
  </si>
  <si>
    <t>A93</t>
  </si>
  <si>
    <t>Nanda, Ramana</t>
  </si>
  <si>
    <t>A53</t>
  </si>
  <si>
    <t>Jean Tirole</t>
  </si>
  <si>
    <t>Tirole, Jean</t>
  </si>
  <si>
    <t>A16</t>
  </si>
  <si>
    <t>Xiu, Dacheng</t>
  </si>
  <si>
    <t>S12</t>
  </si>
  <si>
    <t>Dimson, Elroy</t>
  </si>
  <si>
    <t>MP12</t>
  </si>
  <si>
    <t>Christopher A. Sims</t>
  </si>
  <si>
    <t>Sims, Christopher A.</t>
  </si>
  <si>
    <t>A22</t>
  </si>
  <si>
    <t>Kannan, P. K.</t>
  </si>
  <si>
    <t>B02</t>
  </si>
  <si>
    <t>Hjort, Jonas</t>
  </si>
  <si>
    <t>A67</t>
  </si>
  <si>
    <t>Parag Pathak</t>
  </si>
  <si>
    <t>Pathak, Parag A.</t>
  </si>
  <si>
    <t>A31</t>
  </si>
  <si>
    <t>Jiang, Hao</t>
  </si>
  <si>
    <t>S05</t>
  </si>
  <si>
    <t>Asher, Sam</t>
  </si>
  <si>
    <t>A85</t>
  </si>
  <si>
    <t>Ringle, Christian M.</t>
  </si>
  <si>
    <t>H15</t>
  </si>
  <si>
    <t>Aghion, Philippe</t>
  </si>
  <si>
    <t>B04</t>
  </si>
  <si>
    <t>Sussman, Abigail B.</t>
  </si>
  <si>
    <t>MP6</t>
  </si>
  <si>
    <t>Blanchard, Olivier</t>
  </si>
  <si>
    <t>B10</t>
  </si>
  <si>
    <t>Tian, Xuan</t>
  </si>
  <si>
    <t>H02</t>
  </si>
  <si>
    <t>Gormsen, Niels</t>
  </si>
  <si>
    <t>MP2</t>
  </si>
  <si>
    <t>Farboodi, Maryan</t>
  </si>
  <si>
    <t>S07</t>
  </si>
  <si>
    <t>John A. List </t>
  </si>
  <si>
    <t>List, John A.</t>
  </si>
  <si>
    <t>A46</t>
  </si>
  <si>
    <t>Serafeim, George</t>
  </si>
  <si>
    <t>B18</t>
  </si>
  <si>
    <t>Richard Rogerson </t>
  </si>
  <si>
    <t>Rogerson, Richard</t>
  </si>
  <si>
    <t>A43</t>
  </si>
  <si>
    <t>Philipp Strack</t>
  </si>
  <si>
    <t>Strack, Philipp</t>
  </si>
  <si>
    <t>A36</t>
  </si>
  <si>
    <t>Gambardella, Alfonso</t>
  </si>
  <si>
    <t>A76</t>
  </si>
  <si>
    <t>Nambisan, Satish</t>
  </si>
  <si>
    <t>B15</t>
  </si>
  <si>
    <t>Martin, Alberto</t>
  </si>
  <si>
    <t>A103</t>
  </si>
  <si>
    <t>Lu, Yi</t>
  </si>
  <si>
    <t>Z95</t>
  </si>
  <si>
    <t>He, Guojun</t>
  </si>
  <si>
    <t>Z84</t>
  </si>
  <si>
    <t>Michèle Tertilt</t>
  </si>
  <si>
    <t>Tertilt, Michele</t>
  </si>
  <si>
    <t>A69</t>
  </si>
  <si>
    <t>Teece, David J.</t>
  </si>
  <si>
    <t>B23</t>
  </si>
  <si>
    <t>Toshihiko Mukoyama</t>
  </si>
  <si>
    <t>Mukoyama, Toshihiko</t>
  </si>
  <si>
    <t>A51</t>
  </si>
  <si>
    <t>Nakahara_Prize</t>
  </si>
  <si>
    <t>Klingler, Sven</t>
  </si>
  <si>
    <t>S15</t>
  </si>
  <si>
    <t>Alvin E. Roth</t>
  </si>
  <si>
    <t>Roth, Alvin E.</t>
  </si>
  <si>
    <t>A20</t>
  </si>
  <si>
    <t>Sundaresan, Suresh</t>
  </si>
  <si>
    <t>S16</t>
  </si>
  <si>
    <t>Aguinis, Herman</t>
  </si>
  <si>
    <t>Y15</t>
  </si>
  <si>
    <t>Palmatier, Robert W.</t>
  </si>
  <si>
    <t>Y07</t>
  </si>
  <si>
    <t>Minor, Dylan</t>
  </si>
  <si>
    <t>MP9</t>
  </si>
  <si>
    <t>Loualiche, Erik</t>
  </si>
  <si>
    <t>S04</t>
  </si>
  <si>
    <t>Haenlein, Michael</t>
  </si>
  <si>
    <t>Y42</t>
  </si>
  <si>
    <t>Bauer, Rob</t>
  </si>
  <si>
    <t>MP17</t>
  </si>
  <si>
    <t>Obstfeld, Maurice</t>
  </si>
  <si>
    <t>B17</t>
  </si>
  <si>
    <t>Kumar, V.</t>
  </si>
  <si>
    <t>Y14</t>
  </si>
  <si>
    <t>HVP</t>
  </si>
  <si>
    <t>Petter Lundborg</t>
  </si>
  <si>
    <t>Lundborg, Petter</t>
  </si>
  <si>
    <t>A39</t>
  </si>
  <si>
    <t>Assar_Lindbeck_Medal</t>
  </si>
  <si>
    <t>Shepherd, Dean A.</t>
  </si>
  <si>
    <t>Gali, Jordi</t>
  </si>
  <si>
    <t>A42</t>
  </si>
  <si>
    <t>Childe, Stephen J.</t>
  </si>
  <si>
    <t>Y53</t>
  </si>
  <si>
    <t>Bhalotra, Sonia</t>
  </si>
  <si>
    <t>A21</t>
  </si>
  <si>
    <t>Angus Deaton</t>
  </si>
  <si>
    <t>Deaton, Angus</t>
  </si>
  <si>
    <t>A15</t>
  </si>
  <si>
    <t>A62</t>
  </si>
  <si>
    <t>Several awards</t>
  </si>
  <si>
    <t>Nicola Fuchs-Schündeln</t>
  </si>
  <si>
    <t>Fuchs-Schuendeln, Nicola</t>
  </si>
  <si>
    <t>A71</t>
  </si>
  <si>
    <t>Yeon-Koo Che</t>
  </si>
  <si>
    <t>Che, Yeon-Koo</t>
  </si>
  <si>
    <t>A37</t>
  </si>
  <si>
    <t>Dubois, Pierre</t>
  </si>
  <si>
    <t>A87</t>
  </si>
  <si>
    <t>Rodrik, DanI</t>
  </si>
  <si>
    <t>Z60</t>
  </si>
  <si>
    <t>Svensson, Jakob</t>
  </si>
  <si>
    <t>A101</t>
  </si>
  <si>
    <t>Kunz, Werner H.</t>
  </si>
  <si>
    <t>Y49</t>
  </si>
  <si>
    <t>Calvano, Emilio</t>
  </si>
  <si>
    <t>A98</t>
  </si>
  <si>
    <t>Besley, Timothy</t>
  </si>
  <si>
    <t>B28</t>
  </si>
  <si>
    <t>Lars Peter Hansen</t>
  </si>
  <si>
    <t>Hansen, Lars Peter</t>
  </si>
  <si>
    <t>A18</t>
  </si>
  <si>
    <t>Zhou, Guofu</t>
  </si>
  <si>
    <t>B27</t>
  </si>
  <si>
    <t>Oliver Hart</t>
  </si>
  <si>
    <t>Hart, Oliver</t>
  </si>
  <si>
    <t>A13</t>
  </si>
  <si>
    <t>Uwe Sunde</t>
  </si>
  <si>
    <t>Sunde, Uwe</t>
  </si>
  <si>
    <t>A70</t>
  </si>
  <si>
    <t>Fuhito Kojima</t>
  </si>
  <si>
    <t>Kojima, Fuhito</t>
  </si>
  <si>
    <t>A54</t>
  </si>
  <si>
    <t>Grewal, Dhruv</t>
  </si>
  <si>
    <t>Y03</t>
  </si>
  <si>
    <t>Wright, Mike</t>
  </si>
  <si>
    <t>B26</t>
  </si>
  <si>
    <t>Robert J. Shiller</t>
  </si>
  <si>
    <t>Shiller, Robert J.</t>
  </si>
  <si>
    <t>A19</t>
  </si>
  <si>
    <t>Gaechter, Simon</t>
  </si>
  <si>
    <t>A104</t>
  </si>
  <si>
    <t>Zhang, Bohui</t>
  </si>
  <si>
    <t>Y44</t>
  </si>
  <si>
    <t>Casalo, Luis, V</t>
  </si>
  <si>
    <t>Y02</t>
  </si>
  <si>
    <t>Harstad, Bard</t>
  </si>
  <si>
    <t>A06</t>
  </si>
  <si>
    <t>Hair, Joseph F.</t>
  </si>
  <si>
    <t>Y11</t>
  </si>
  <si>
    <t>Kwok, Chuck C. Y.</t>
  </si>
  <si>
    <t>MP15</t>
  </si>
  <si>
    <t>Frattini, Federico</t>
  </si>
  <si>
    <t>Y38</t>
  </si>
  <si>
    <t>Zhou, Kevin Zheng</t>
  </si>
  <si>
    <t>Z94</t>
  </si>
  <si>
    <t>Strausz, Roland</t>
  </si>
  <si>
    <t>A95</t>
  </si>
  <si>
    <t>Donthu, Naveen</t>
  </si>
  <si>
    <t>Y37</t>
  </si>
  <si>
    <t>Flavian, Carlos</t>
  </si>
  <si>
    <t>A72</t>
  </si>
  <si>
    <t>Hyungsik Roger Moon </t>
  </si>
  <si>
    <t>Moon, Hyungsik Roger</t>
  </si>
  <si>
    <t>A44</t>
  </si>
  <si>
    <t>Belanche, Daniel</t>
  </si>
  <si>
    <t>A48</t>
  </si>
  <si>
    <t>Kowalkowski, Christian</t>
  </si>
  <si>
    <t>Y40</t>
  </si>
  <si>
    <t>Mikalef, Patrick</t>
  </si>
  <si>
    <t>Z100</t>
  </si>
  <si>
    <t>Wirtz, Jochen</t>
  </si>
  <si>
    <t>Y08</t>
  </si>
  <si>
    <t>Rossi, Barbara</t>
  </si>
  <si>
    <t>A96</t>
  </si>
  <si>
    <t>Atsushi Inoue</t>
  </si>
  <si>
    <t>Inoue, Atsushi</t>
  </si>
  <si>
    <t>A47</t>
  </si>
  <si>
    <t>Berg, Tobias</t>
  </si>
  <si>
    <t>A68</t>
  </si>
  <si>
    <t>Chesbrough, Henry</t>
  </si>
  <si>
    <t>Y41</t>
  </si>
  <si>
    <t>Vismara, Silvio</t>
  </si>
  <si>
    <t>Y31</t>
  </si>
  <si>
    <t>Wincent, Joakim</t>
  </si>
  <si>
    <t>Y30</t>
  </si>
  <si>
    <t>De Massis, Alfredo</t>
  </si>
  <si>
    <t>A29</t>
  </si>
  <si>
    <t>Guedhami, Omrane</t>
  </si>
  <si>
    <t>Z87</t>
  </si>
  <si>
    <t>Hiroyuki Kasahara</t>
  </si>
  <si>
    <t>Kasahara, Hiroyuki</t>
  </si>
  <si>
    <t>A50</t>
  </si>
  <si>
    <t>Yue, Pengpeng</t>
  </si>
  <si>
    <t>Y20</t>
  </si>
  <si>
    <t>Mishra, Dev R.</t>
  </si>
  <si>
    <t>MP16</t>
  </si>
  <si>
    <t>Zhang, Bing</t>
  </si>
  <si>
    <t>Z81</t>
  </si>
  <si>
    <t>Bresciani, Stefano</t>
  </si>
  <si>
    <t>Y16</t>
  </si>
  <si>
    <t>Yarovaya, Larisa</t>
  </si>
  <si>
    <t>Z69</t>
  </si>
  <si>
    <t>Reboredo, Juan C.</t>
  </si>
  <si>
    <t>Y36</t>
  </si>
  <si>
    <t>Parida, Vinit</t>
  </si>
  <si>
    <t>A81</t>
  </si>
  <si>
    <t>Bouncken, Ricarda B.</t>
  </si>
  <si>
    <t>B29</t>
  </si>
  <si>
    <t>Ribeiro-Soriano, Domingo</t>
  </si>
  <si>
    <t>Z78</t>
  </si>
  <si>
    <t>Ritala, Paavo</t>
  </si>
  <si>
    <t>Z99</t>
  </si>
  <si>
    <t>Zhang, Dayong</t>
  </si>
  <si>
    <t>Z82</t>
  </si>
  <si>
    <t>Kristoufek, Ladislav</t>
  </si>
  <si>
    <t>Z75</t>
  </si>
  <si>
    <t>Del Giudice, Manlio</t>
  </si>
  <si>
    <t>Y32</t>
  </si>
  <si>
    <t>Roubaud, David</t>
  </si>
  <si>
    <t>Z29</t>
  </si>
  <si>
    <t>Kraus, Sascha</t>
  </si>
  <si>
    <t>Y29</t>
  </si>
  <si>
    <t>Ren, Siyu</t>
  </si>
  <si>
    <t>Z03</t>
  </si>
  <si>
    <t>Audretsch, David B.</t>
  </si>
  <si>
    <t>Y24</t>
  </si>
  <si>
    <t>Kaur, Puneet</t>
  </si>
  <si>
    <t>Y17</t>
  </si>
  <si>
    <t>Ntim, Collins G.</t>
  </si>
  <si>
    <t>Y33</t>
  </si>
  <si>
    <t>Spiliotis, Evangelos</t>
  </si>
  <si>
    <t>Z43</t>
  </si>
  <si>
    <t>Mazzucato, Mariana</t>
  </si>
  <si>
    <t>H18</t>
  </si>
  <si>
    <t>Paul, Justin</t>
  </si>
  <si>
    <t>Y05</t>
  </si>
  <si>
    <t>Gabauer, David</t>
  </si>
  <si>
    <t>Z42</t>
  </si>
  <si>
    <t>Lim, Weng Marc</t>
  </si>
  <si>
    <t>Y01</t>
  </si>
  <si>
    <t>Lucey, Brian M.</t>
  </si>
  <si>
    <t>A88</t>
  </si>
  <si>
    <t>Makridakis, Spyros</t>
  </si>
  <si>
    <t>Z86</t>
  </si>
  <si>
    <t>Budhwar, Pawan</t>
  </si>
  <si>
    <t>Z80</t>
  </si>
  <si>
    <t>Boubaker, Sabri</t>
  </si>
  <si>
    <t>Z66</t>
  </si>
  <si>
    <t>Wen, Huwei</t>
  </si>
  <si>
    <t>Z64</t>
  </si>
  <si>
    <t>Demir, Ender</t>
  </si>
  <si>
    <t>Y35</t>
  </si>
  <si>
    <t>Urquhart, Andrew</t>
  </si>
  <si>
    <t>B24</t>
  </si>
  <si>
    <t>Lau, Chi Keung</t>
  </si>
  <si>
    <t>Z97</t>
  </si>
  <si>
    <t>He, Feng</t>
  </si>
  <si>
    <t>Z92</t>
  </si>
  <si>
    <t>Lili, Yang</t>
  </si>
  <si>
    <t>Yang, Lili</t>
  </si>
  <si>
    <t>Z77</t>
  </si>
  <si>
    <t>Dhir, Amandeep</t>
  </si>
  <si>
    <t>Z52</t>
  </si>
  <si>
    <t>Dwivedi, Yogesh K.</t>
  </si>
  <si>
    <t>A77</t>
  </si>
  <si>
    <t>Kumar, Satish</t>
  </si>
  <si>
    <t>Y13</t>
  </si>
  <si>
    <t>Ji, Qiang</t>
  </si>
  <si>
    <t>Z83</t>
  </si>
  <si>
    <t>Lee, Chi-Chuan</t>
  </si>
  <si>
    <t>Z26</t>
  </si>
  <si>
    <t>Zhang, Dong-Yang</t>
  </si>
  <si>
    <t>Zhang, Dongyang</t>
  </si>
  <si>
    <t>Z32</t>
  </si>
  <si>
    <t>Li, Zhenghui</t>
  </si>
  <si>
    <t>Y50</t>
  </si>
  <si>
    <t>Shahzad, Syed Jawad Hussain</t>
  </si>
  <si>
    <t>Z70</t>
  </si>
  <si>
    <t>Ren, Xiaohang</t>
  </si>
  <si>
    <t>Z37</t>
  </si>
  <si>
    <t>Gozgor, Giray</t>
  </si>
  <si>
    <t>Z31</t>
  </si>
  <si>
    <t>Kong, Dongmin</t>
  </si>
  <si>
    <t>Y12</t>
  </si>
  <si>
    <t>Sensoy, Ahmet</t>
  </si>
  <si>
    <t>Y27</t>
  </si>
  <si>
    <t>Gong, Xu</t>
  </si>
  <si>
    <t>Z88</t>
  </si>
  <si>
    <t>Dogan, Eyup</t>
  </si>
  <si>
    <t>Z54</t>
  </si>
  <si>
    <t>Yu, Zhang</t>
  </si>
  <si>
    <t>Y19</t>
  </si>
  <si>
    <t>Bouri, Elie</t>
  </si>
  <si>
    <t>Z33</t>
  </si>
  <si>
    <t>Du, Kerui</t>
  </si>
  <si>
    <t>Z44</t>
  </si>
  <si>
    <t>Naeem, Muhammad Abubakr</t>
  </si>
  <si>
    <t>Z17</t>
  </si>
  <si>
    <t>Corbet, Shaen</t>
  </si>
  <si>
    <t>Y23</t>
  </si>
  <si>
    <t>Shao, Shuai</t>
  </si>
  <si>
    <t>Z57</t>
  </si>
  <si>
    <t>Wen, Fenghua</t>
  </si>
  <si>
    <t>Y04</t>
  </si>
  <si>
    <t>Sun, Guanglin</t>
  </si>
  <si>
    <t>Y09</t>
  </si>
  <si>
    <t>Razzaq, Asif</t>
  </si>
  <si>
    <t>Z65</t>
  </si>
  <si>
    <t>Goodell, John W.</t>
  </si>
  <si>
    <t>Z71</t>
  </si>
  <si>
    <t>Liu, Xiaoqian</t>
  </si>
  <si>
    <t>Z63</t>
  </si>
  <si>
    <t>Wu, Haitao</t>
  </si>
  <si>
    <t>Z02</t>
  </si>
  <si>
    <t>Hammoudeh, Shawkat</t>
  </si>
  <si>
    <t>Z79</t>
  </si>
  <si>
    <t>Mensi, Walid</t>
  </si>
  <si>
    <t>Z73</t>
  </si>
  <si>
    <t>Irfan, Muhammad</t>
  </si>
  <si>
    <t>Z04</t>
  </si>
  <si>
    <t>Uddin, Gazi Salah</t>
  </si>
  <si>
    <t>Z55</t>
  </si>
  <si>
    <t>Hao, Yu</t>
  </si>
  <si>
    <t>Z01</t>
  </si>
  <si>
    <t>Rizvi, Syed Kumail Abbas</t>
  </si>
  <si>
    <t>Z11</t>
  </si>
  <si>
    <t>Wang, Chih-Wei</t>
  </si>
  <si>
    <t>Z28</t>
  </si>
  <si>
    <t>Smyth, Russell</t>
  </si>
  <si>
    <t>Z59</t>
  </si>
  <si>
    <t>Shao, Xuefeng</t>
  </si>
  <si>
    <t>Z67</t>
  </si>
  <si>
    <t>Yan, Cheng</t>
  </si>
  <si>
    <t>Z49</t>
  </si>
  <si>
    <t>Zhao, Shikuan</t>
  </si>
  <si>
    <t>Y54</t>
  </si>
  <si>
    <t>Kang, Sang Hoon</t>
  </si>
  <si>
    <t>Z19</t>
  </si>
  <si>
    <t>Khan, Zeeshan</t>
  </si>
  <si>
    <t>Z41</t>
  </si>
  <si>
    <t>Zhang, Weike</t>
  </si>
  <si>
    <t>Z61</t>
  </si>
  <si>
    <t>Hossain, Mohammad Razib</t>
  </si>
  <si>
    <t>Z62</t>
  </si>
  <si>
    <t>Karim, Sitara</t>
  </si>
  <si>
    <t>Z18</t>
  </si>
  <si>
    <t>Feng, Gen-Fu</t>
  </si>
  <si>
    <t>Z22</t>
  </si>
  <si>
    <t>Shahbaz, Muhammad</t>
  </si>
  <si>
    <t>Z48</t>
  </si>
  <si>
    <t>Lee, Chien-Chiang</t>
  </si>
  <si>
    <t>Z25</t>
  </si>
  <si>
    <t>Ma, Feng</t>
  </si>
  <si>
    <t>Z12</t>
  </si>
  <si>
    <t>Sun, Chuanwang</t>
  </si>
  <si>
    <t>Z39</t>
  </si>
  <si>
    <t>Jiang, Qingzhe</t>
  </si>
  <si>
    <t>Z45</t>
  </si>
  <si>
    <t>Zhao, Jun</t>
  </si>
  <si>
    <t>Z47</t>
  </si>
  <si>
    <t>Umar, Zaghum</t>
  </si>
  <si>
    <t>Y26</t>
  </si>
  <si>
    <t>Yousaf, Imran</t>
  </si>
  <si>
    <t>Z50</t>
  </si>
  <si>
    <t>Dabic, Marina</t>
  </si>
  <si>
    <t>B25</t>
  </si>
  <si>
    <t>Nepal, Rabindra</t>
  </si>
  <si>
    <t>Z20</t>
  </si>
  <si>
    <t>Tiwari, Aviral Kumar</t>
  </si>
  <si>
    <t>Z27</t>
  </si>
  <si>
    <t>Churchill, Sefa Awaworyi</t>
  </si>
  <si>
    <t>Z93</t>
  </si>
  <si>
    <t>Mirza, Nawazish</t>
  </si>
  <si>
    <t>Z09</t>
  </si>
  <si>
    <t>Mohsin, Muhammad</t>
  </si>
  <si>
    <t>Z16</t>
  </si>
  <si>
    <t>Lin, Boqiang</t>
  </si>
  <si>
    <t>Z36</t>
  </si>
  <si>
    <t>Xuan Vinh Vo</t>
  </si>
  <si>
    <t>Z51</t>
  </si>
  <si>
    <t>Su, Bin</t>
  </si>
  <si>
    <t>B21</t>
  </si>
  <si>
    <t>Taghizadeh-Hesary, Farhad</t>
  </si>
  <si>
    <t>Z14</t>
  </si>
  <si>
    <t>Dong, Xiucheng</t>
  </si>
  <si>
    <t>Z30</t>
  </si>
  <si>
    <t>Wang, Shouyang</t>
  </si>
  <si>
    <t>Z24</t>
  </si>
  <si>
    <t>Managi, Shunsuke</t>
  </si>
  <si>
    <t>Z91</t>
  </si>
  <si>
    <t>Gubareva, Mariya</t>
  </si>
  <si>
    <t>Z35</t>
  </si>
  <si>
    <t>Zhao, Xin</t>
  </si>
  <si>
    <t>Y39</t>
  </si>
  <si>
    <t>Gupta, Rangan</t>
  </si>
  <si>
    <t>Z85</t>
  </si>
  <si>
    <t>Feng, Chao</t>
  </si>
  <si>
    <t>Z46</t>
  </si>
  <si>
    <t>Zhang, Ning</t>
  </si>
  <si>
    <t>Z90</t>
  </si>
  <si>
    <t>Umar, Muhammad</t>
  </si>
  <si>
    <t>Z06</t>
  </si>
  <si>
    <t>Dong, Kangyin</t>
  </si>
  <si>
    <t>Z15</t>
  </si>
  <si>
    <t>Apergis, Nicholas</t>
  </si>
  <si>
    <t>Y25</t>
  </si>
  <si>
    <t>Chang, Chun-Ping</t>
  </si>
  <si>
    <t>Z21</t>
  </si>
  <si>
    <t>Xiaodong, Yang</t>
  </si>
  <si>
    <t>Yang, Xiaodong</t>
  </si>
  <si>
    <t>Z05</t>
  </si>
  <si>
    <t>Song, Malin</t>
  </si>
  <si>
    <t>Z34</t>
  </si>
  <si>
    <t>Qin, Meng</t>
  </si>
  <si>
    <t>Z10</t>
  </si>
  <si>
    <t>Sadiq, Muhammad</t>
  </si>
  <si>
    <t>Z56</t>
  </si>
  <si>
    <t>Abedin, Mohammad Zoynul</t>
  </si>
  <si>
    <t>Y06</t>
  </si>
  <si>
    <t>Dagar, Vishal</t>
  </si>
  <si>
    <t>Y55</t>
  </si>
  <si>
    <t>Cifuentes-Faura, Javier</t>
  </si>
  <si>
    <t>Z72</t>
  </si>
  <si>
    <t>Su, Chi-Wei</t>
  </si>
  <si>
    <t>Y28</t>
  </si>
  <si>
    <t>&lt;50</t>
  </si>
  <si>
    <t>51-100</t>
  </si>
  <si>
    <t>101-150</t>
  </si>
  <si>
    <t>151-200</t>
  </si>
  <si>
    <t>201-250</t>
  </si>
  <si>
    <t>1-100</t>
  </si>
  <si>
    <t>251-324</t>
  </si>
  <si>
    <t>221-320</t>
  </si>
  <si>
    <t>101-220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</si>
</sst>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5"/>
  <sheetViews>
    <sheetView tabSelected="1" topLeftCell="B1" workbookViewId="0">
      <selection activeCell="J20" sqref="J20"/>
    </sheetView>
  </sheetViews>
  <sheetFormatPr baseColWidth="10" defaultColWidth="8.88671875" defaultRowHeight="14.4" x14ac:dyDescent="0.3"/>
  <cols>
    <col min="3" max="3" width="18.21875" customWidth="1"/>
    <col min="17" max="22" width="9.109375" customWidth="1"/>
  </cols>
  <sheetData>
    <row r="1" spans="1:22" x14ac:dyDescent="0.3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Q1" s="1"/>
      <c r="R1" s="1"/>
      <c r="S1" s="1"/>
      <c r="T1" s="1"/>
      <c r="U1" s="1"/>
      <c r="V1" s="1"/>
    </row>
    <row r="2" spans="1:22" x14ac:dyDescent="0.3">
      <c r="A2" s="2">
        <v>53</v>
      </c>
      <c r="B2" t="s">
        <v>11</v>
      </c>
      <c r="C2" t="s">
        <v>12</v>
      </c>
      <c r="D2" t="s">
        <v>13</v>
      </c>
      <c r="E2">
        <v>10</v>
      </c>
      <c r="F2">
        <v>2820</v>
      </c>
      <c r="G2">
        <v>6</v>
      </c>
      <c r="H2">
        <v>7048.5199370730679</v>
      </c>
      <c r="I2">
        <v>704.85199370730675</v>
      </c>
      <c r="J2">
        <v>100</v>
      </c>
      <c r="K2" t="s">
        <v>14</v>
      </c>
      <c r="L2" t="s">
        <v>15</v>
      </c>
      <c r="Q2" s="1" t="s">
        <v>735</v>
      </c>
      <c r="R2" s="1" t="s">
        <v>736</v>
      </c>
      <c r="S2" s="1" t="s">
        <v>737</v>
      </c>
      <c r="T2" s="1" t="s">
        <v>738</v>
      </c>
      <c r="U2" s="1" t="s">
        <v>739</v>
      </c>
      <c r="V2" s="1" t="s">
        <v>741</v>
      </c>
    </row>
    <row r="3" spans="1:22" x14ac:dyDescent="0.3">
      <c r="A3" s="2">
        <v>15</v>
      </c>
      <c r="B3" t="s">
        <v>16</v>
      </c>
      <c r="C3" t="s">
        <v>16</v>
      </c>
      <c r="D3" t="s">
        <v>17</v>
      </c>
      <c r="E3">
        <v>10</v>
      </c>
      <c r="F3">
        <v>1293</v>
      </c>
      <c r="G3">
        <v>1</v>
      </c>
      <c r="H3">
        <v>6904.1055537271186</v>
      </c>
      <c r="I3">
        <v>690.41055537271188</v>
      </c>
      <c r="J3">
        <v>98.970267705378973</v>
      </c>
      <c r="K3" t="s">
        <v>14</v>
      </c>
      <c r="L3" t="s">
        <v>18</v>
      </c>
      <c r="Q3" s="1">
        <f>COUNTIF(K$2:K$51,"C")</f>
        <v>48</v>
      </c>
      <c r="R3" s="1">
        <f>COUNTIF(K$52:K$101,"C")</f>
        <v>45</v>
      </c>
      <c r="S3" s="1">
        <f>COUNTIF(K$102:K$151,"C")</f>
        <v>38</v>
      </c>
      <c r="T3" s="1">
        <f>COUNTIF(K$152:K$201,"C")</f>
        <v>26</v>
      </c>
      <c r="U3" s="1">
        <f>COUNTIF(K$202:K$251,"C")</f>
        <v>3</v>
      </c>
      <c r="V3" s="1">
        <f>COUNTIF(K$252:K$326,"C")</f>
        <v>0</v>
      </c>
    </row>
    <row r="4" spans="1:22" x14ac:dyDescent="0.3">
      <c r="A4" s="2">
        <v>62</v>
      </c>
      <c r="B4" t="s">
        <v>19</v>
      </c>
      <c r="C4" t="s">
        <v>20</v>
      </c>
      <c r="D4" t="s">
        <v>21</v>
      </c>
      <c r="E4">
        <v>6</v>
      </c>
      <c r="F4">
        <v>575</v>
      </c>
      <c r="G4">
        <v>1</v>
      </c>
      <c r="H4">
        <v>3985.9397386970832</v>
      </c>
      <c r="I4">
        <v>664.32328978284716</v>
      </c>
      <c r="J4">
        <v>97.082460071465718</v>
      </c>
      <c r="K4" t="s">
        <v>14</v>
      </c>
      <c r="L4" t="s">
        <v>22</v>
      </c>
      <c r="Q4" s="1">
        <f>COUNTIF(K$2:K$51,"T")</f>
        <v>2</v>
      </c>
      <c r="R4" s="1">
        <f>COUNTIF(K$52:K$101,"T")</f>
        <v>5</v>
      </c>
      <c r="S4" s="1">
        <f>COUNTIF(K$102:K$151,"T")</f>
        <v>12</v>
      </c>
      <c r="T4" s="1">
        <f>COUNTIF(K$152:K$201,"T")</f>
        <v>24</v>
      </c>
      <c r="U4" s="1">
        <f>COUNTIF(K$202:K$251,"T")</f>
        <v>47</v>
      </c>
      <c r="V4" s="1">
        <f>COUNTIF(K$252:K$326,"T")</f>
        <v>70</v>
      </c>
    </row>
    <row r="5" spans="1:22" x14ac:dyDescent="0.3">
      <c r="A5" s="2">
        <v>37</v>
      </c>
      <c r="B5" t="s">
        <v>30</v>
      </c>
      <c r="C5" t="s">
        <v>31</v>
      </c>
      <c r="D5" t="s">
        <v>32</v>
      </c>
      <c r="E5">
        <v>14</v>
      </c>
      <c r="F5">
        <v>842</v>
      </c>
      <c r="G5">
        <v>1</v>
      </c>
      <c r="H5">
        <v>8278.4514751677398</v>
      </c>
      <c r="I5">
        <v>591.31796251198136</v>
      </c>
      <c r="J5">
        <v>91.592849351719181</v>
      </c>
      <c r="K5" t="s">
        <v>14</v>
      </c>
      <c r="L5" t="s">
        <v>33</v>
      </c>
      <c r="Q5" s="1"/>
      <c r="R5" s="1"/>
      <c r="S5" s="1"/>
      <c r="T5" s="1"/>
      <c r="U5" s="1"/>
      <c r="V5" s="1"/>
    </row>
    <row r="6" spans="1:22" x14ac:dyDescent="0.3">
      <c r="A6" s="2">
        <v>137</v>
      </c>
      <c r="B6" t="s">
        <v>40</v>
      </c>
      <c r="C6" t="s">
        <v>40</v>
      </c>
      <c r="D6" t="s">
        <v>41</v>
      </c>
      <c r="E6">
        <v>11</v>
      </c>
      <c r="F6">
        <v>694</v>
      </c>
      <c r="G6">
        <v>1</v>
      </c>
      <c r="H6">
        <v>6007.2864999072026</v>
      </c>
      <c r="I6">
        <v>546.11695453701839</v>
      </c>
      <c r="J6">
        <v>88.022533326762399</v>
      </c>
      <c r="K6" t="s">
        <v>14</v>
      </c>
      <c r="L6" t="s">
        <v>42</v>
      </c>
      <c r="R6" s="1" t="s">
        <v>740</v>
      </c>
      <c r="S6" s="1" t="s">
        <v>743</v>
      </c>
      <c r="T6" s="1" t="s">
        <v>742</v>
      </c>
      <c r="U6" s="1"/>
      <c r="V6" s="1"/>
    </row>
    <row r="7" spans="1:22" x14ac:dyDescent="0.3">
      <c r="A7" s="2">
        <v>19</v>
      </c>
      <c r="B7" t="s">
        <v>23</v>
      </c>
      <c r="C7" t="s">
        <v>24</v>
      </c>
      <c r="D7" t="s">
        <v>25</v>
      </c>
      <c r="E7">
        <v>2</v>
      </c>
      <c r="F7">
        <v>89</v>
      </c>
      <c r="G7">
        <v>0</v>
      </c>
      <c r="H7">
        <v>1028.1992538945431</v>
      </c>
      <c r="I7">
        <v>514.0996269472713</v>
      </c>
      <c r="J7">
        <v>85.403305088259671</v>
      </c>
      <c r="K7" t="s">
        <v>14</v>
      </c>
      <c r="L7" t="s">
        <v>26</v>
      </c>
      <c r="R7" s="1">
        <f>COUNTIF(K$2:K$101,"C")</f>
        <v>93</v>
      </c>
      <c r="S7" s="1">
        <f>COUNTIF(K$102:K$221,"C")</f>
        <v>66</v>
      </c>
      <c r="T7" s="1">
        <f>COUNTIF(K$222:K$321,"C")</f>
        <v>1</v>
      </c>
      <c r="U7" s="1">
        <f>SUM(R7:T7)</f>
        <v>160</v>
      </c>
      <c r="V7" s="1"/>
    </row>
    <row r="8" spans="1:22" x14ac:dyDescent="0.3">
      <c r="A8" s="2">
        <v>22</v>
      </c>
      <c r="B8" t="s">
        <v>27</v>
      </c>
      <c r="C8" t="s">
        <v>28</v>
      </c>
      <c r="D8" t="s">
        <v>29</v>
      </c>
      <c r="E8">
        <v>12</v>
      </c>
      <c r="F8">
        <v>4873</v>
      </c>
      <c r="G8">
        <v>4</v>
      </c>
      <c r="H8">
        <v>6099.5782269274196</v>
      </c>
      <c r="I8">
        <v>508.29818557728498</v>
      </c>
      <c r="J8">
        <v>84.920064131351111</v>
      </c>
      <c r="K8" t="s">
        <v>14</v>
      </c>
      <c r="L8" t="s">
        <v>26</v>
      </c>
      <c r="R8" s="1">
        <f>COUNTIF(K$2:K$101,"T")</f>
        <v>7</v>
      </c>
      <c r="S8" s="1">
        <f>COUNTIF(K$102:K$221,"T")</f>
        <v>54</v>
      </c>
      <c r="T8" s="1">
        <f>COUNTIF(K$222:K$321,"T")</f>
        <v>99</v>
      </c>
      <c r="U8" s="1">
        <f>SUM(R8:T8)</f>
        <v>160</v>
      </c>
      <c r="V8" s="1"/>
    </row>
    <row r="9" spans="1:22" x14ac:dyDescent="0.3">
      <c r="A9" s="2">
        <v>133</v>
      </c>
      <c r="B9" t="s">
        <v>46</v>
      </c>
      <c r="C9" t="s">
        <v>46</v>
      </c>
      <c r="D9" t="s">
        <v>47</v>
      </c>
      <c r="E9">
        <v>18</v>
      </c>
      <c r="F9">
        <v>3871</v>
      </c>
      <c r="G9">
        <v>7</v>
      </c>
      <c r="H9">
        <v>8998.3219946471363</v>
      </c>
      <c r="I9">
        <v>499.90677748039639</v>
      </c>
      <c r="J9">
        <v>84.216181540824593</v>
      </c>
      <c r="K9" t="s">
        <v>14</v>
      </c>
      <c r="L9" t="s">
        <v>48</v>
      </c>
      <c r="Q9" s="1"/>
      <c r="R9" s="1"/>
      <c r="S9" s="1"/>
      <c r="T9" s="1"/>
      <c r="U9" s="1"/>
      <c r="V9" s="1"/>
    </row>
    <row r="10" spans="1:22" x14ac:dyDescent="0.3">
      <c r="A10" s="2">
        <v>31</v>
      </c>
      <c r="B10" t="s">
        <v>49</v>
      </c>
      <c r="C10" t="s">
        <v>50</v>
      </c>
      <c r="D10" t="s">
        <v>51</v>
      </c>
      <c r="E10">
        <v>18</v>
      </c>
      <c r="F10">
        <v>4388</v>
      </c>
      <c r="G10">
        <v>7</v>
      </c>
      <c r="H10">
        <v>8842.8043023897262</v>
      </c>
      <c r="I10">
        <v>491.2669056883181</v>
      </c>
      <c r="J10">
        <v>83.485256942688906</v>
      </c>
      <c r="K10" t="s">
        <v>14</v>
      </c>
      <c r="L10" t="s">
        <v>33</v>
      </c>
      <c r="Q10" s="1"/>
      <c r="R10" s="1"/>
      <c r="S10" s="1"/>
      <c r="T10" s="1"/>
      <c r="U10" s="1"/>
      <c r="V10" s="1"/>
    </row>
    <row r="11" spans="1:22" x14ac:dyDescent="0.3">
      <c r="A11" s="2">
        <v>100</v>
      </c>
      <c r="B11" t="s">
        <v>52</v>
      </c>
      <c r="C11" t="s">
        <v>52</v>
      </c>
      <c r="D11" t="s">
        <v>53</v>
      </c>
      <c r="E11">
        <v>21</v>
      </c>
      <c r="F11">
        <v>2062</v>
      </c>
      <c r="G11">
        <v>1</v>
      </c>
      <c r="H11">
        <v>10294.87427639091</v>
      </c>
      <c r="I11">
        <v>490.2321083995671</v>
      </c>
      <c r="J11">
        <v>83.397284541811331</v>
      </c>
      <c r="K11" t="s">
        <v>14</v>
      </c>
      <c r="L11" t="s">
        <v>54</v>
      </c>
      <c r="Q11" s="1"/>
      <c r="R11" s="1"/>
      <c r="S11" s="1"/>
      <c r="T11" s="1"/>
      <c r="U11" s="1"/>
      <c r="V11" s="1"/>
    </row>
    <row r="12" spans="1:22" x14ac:dyDescent="0.3">
      <c r="A12" s="2">
        <v>234</v>
      </c>
      <c r="B12" t="s">
        <v>37</v>
      </c>
      <c r="C12" t="s">
        <v>37</v>
      </c>
      <c r="D12" t="s">
        <v>38</v>
      </c>
      <c r="E12">
        <v>9</v>
      </c>
      <c r="F12">
        <v>2553</v>
      </c>
      <c r="G12">
        <v>5</v>
      </c>
      <c r="H12">
        <v>4411.341233786311</v>
      </c>
      <c r="I12">
        <v>490.14902597625678</v>
      </c>
      <c r="J12">
        <v>83.390217336327211</v>
      </c>
      <c r="K12" t="s">
        <v>14</v>
      </c>
      <c r="L12" t="s">
        <v>39</v>
      </c>
      <c r="Q12" s="1"/>
      <c r="R12" s="1"/>
      <c r="S12" s="1"/>
      <c r="T12" s="1"/>
      <c r="U12" s="1"/>
      <c r="V12" s="1"/>
    </row>
    <row r="13" spans="1:22" x14ac:dyDescent="0.3">
      <c r="A13" s="2">
        <v>156</v>
      </c>
      <c r="B13" t="s">
        <v>34</v>
      </c>
      <c r="C13" t="s">
        <v>34</v>
      </c>
      <c r="D13" t="s">
        <v>35</v>
      </c>
      <c r="E13">
        <v>9</v>
      </c>
      <c r="F13">
        <v>1896</v>
      </c>
      <c r="G13">
        <v>3</v>
      </c>
      <c r="H13">
        <v>4324.0435055480521</v>
      </c>
      <c r="I13">
        <v>480.44927839422797</v>
      </c>
      <c r="J13">
        <v>82.560973740101872</v>
      </c>
      <c r="K13" t="s">
        <v>14</v>
      </c>
      <c r="L13" t="s">
        <v>36</v>
      </c>
      <c r="Q13" s="1"/>
      <c r="R13" s="1"/>
      <c r="S13" s="1"/>
      <c r="T13" s="1"/>
      <c r="U13" s="1"/>
      <c r="V13" s="1"/>
    </row>
    <row r="14" spans="1:22" x14ac:dyDescent="0.3">
      <c r="A14" s="2">
        <v>68</v>
      </c>
      <c r="B14" t="s">
        <v>57</v>
      </c>
      <c r="C14" t="s">
        <v>57</v>
      </c>
      <c r="D14" t="s">
        <v>58</v>
      </c>
      <c r="E14">
        <v>14</v>
      </c>
      <c r="F14">
        <v>1113</v>
      </c>
      <c r="G14">
        <v>0</v>
      </c>
      <c r="H14">
        <v>6185.1227430584549</v>
      </c>
      <c r="I14">
        <v>441.79448164703251</v>
      </c>
      <c r="J14">
        <v>79.170097028270064</v>
      </c>
      <c r="K14" t="s">
        <v>14</v>
      </c>
      <c r="L14" t="s">
        <v>22</v>
      </c>
      <c r="Q14" s="1"/>
      <c r="R14" s="1"/>
      <c r="S14" s="1"/>
      <c r="T14" s="1"/>
      <c r="U14" s="1"/>
      <c r="V14" s="1"/>
    </row>
    <row r="15" spans="1:22" x14ac:dyDescent="0.3">
      <c r="A15" s="2">
        <v>1</v>
      </c>
      <c r="B15" t="s">
        <v>55</v>
      </c>
      <c r="C15" t="s">
        <v>55</v>
      </c>
      <c r="D15" t="s">
        <v>56</v>
      </c>
      <c r="E15">
        <v>9</v>
      </c>
      <c r="F15">
        <v>468</v>
      </c>
      <c r="G15">
        <v>0</v>
      </c>
      <c r="H15">
        <v>3956.234988231955</v>
      </c>
      <c r="I15">
        <v>439.58166535910613</v>
      </c>
      <c r="J15">
        <v>78.971578479749937</v>
      </c>
      <c r="K15" t="s">
        <v>14</v>
      </c>
      <c r="L15" t="s">
        <v>18</v>
      </c>
      <c r="Q15" s="1"/>
      <c r="R15" s="1"/>
      <c r="S15" s="1"/>
      <c r="T15" s="1"/>
      <c r="U15" s="1"/>
      <c r="V15" s="1"/>
    </row>
    <row r="16" spans="1:22" x14ac:dyDescent="0.3">
      <c r="A16" s="2">
        <v>135</v>
      </c>
      <c r="B16" t="s">
        <v>59</v>
      </c>
      <c r="C16" t="s">
        <v>59</v>
      </c>
      <c r="D16" t="s">
        <v>60</v>
      </c>
      <c r="E16">
        <v>15</v>
      </c>
      <c r="F16">
        <v>5175</v>
      </c>
      <c r="G16">
        <v>6</v>
      </c>
      <c r="H16">
        <v>6477.9517409570199</v>
      </c>
      <c r="I16">
        <v>431.86344939713467</v>
      </c>
      <c r="J16">
        <v>78.275213053165942</v>
      </c>
      <c r="K16" t="s">
        <v>14</v>
      </c>
      <c r="L16" t="s">
        <v>61</v>
      </c>
      <c r="Q16" s="1"/>
      <c r="R16" s="1"/>
      <c r="S16" s="1"/>
      <c r="T16" s="1"/>
      <c r="U16" s="1"/>
      <c r="V16" s="1"/>
    </row>
    <row r="17" spans="1:22" x14ac:dyDescent="0.3">
      <c r="A17" s="2">
        <v>134</v>
      </c>
      <c r="B17" t="s">
        <v>62</v>
      </c>
      <c r="C17" t="s">
        <v>62</v>
      </c>
      <c r="D17" t="s">
        <v>63</v>
      </c>
      <c r="E17">
        <v>24</v>
      </c>
      <c r="F17">
        <v>5620</v>
      </c>
      <c r="G17">
        <v>8</v>
      </c>
      <c r="H17">
        <v>10247.167713956869</v>
      </c>
      <c r="I17">
        <v>426.96532141486949</v>
      </c>
      <c r="J17">
        <v>77.830054586505042</v>
      </c>
      <c r="K17" t="s">
        <v>14</v>
      </c>
      <c r="L17" t="s">
        <v>64</v>
      </c>
      <c r="Q17" s="1"/>
      <c r="R17" s="1"/>
      <c r="S17" s="1"/>
      <c r="T17" s="1"/>
      <c r="U17" s="1"/>
      <c r="V17" s="1"/>
    </row>
    <row r="18" spans="1:22" x14ac:dyDescent="0.3">
      <c r="A18" s="2">
        <v>172</v>
      </c>
      <c r="B18" t="s">
        <v>43</v>
      </c>
      <c r="C18" t="s">
        <v>43</v>
      </c>
      <c r="D18" t="s">
        <v>44</v>
      </c>
      <c r="E18">
        <v>5</v>
      </c>
      <c r="F18">
        <v>369</v>
      </c>
      <c r="G18">
        <v>0</v>
      </c>
      <c r="H18">
        <v>2109.3406646003968</v>
      </c>
      <c r="I18">
        <v>421.86813292007929</v>
      </c>
      <c r="J18">
        <v>77.364085137054488</v>
      </c>
      <c r="K18" t="s">
        <v>14</v>
      </c>
      <c r="L18" t="s">
        <v>45</v>
      </c>
      <c r="Q18" s="1"/>
      <c r="R18" s="1"/>
      <c r="S18" s="1"/>
      <c r="T18" s="1"/>
      <c r="U18" s="1"/>
      <c r="V18" s="1"/>
    </row>
    <row r="19" spans="1:22" x14ac:dyDescent="0.3">
      <c r="A19" s="2">
        <v>136</v>
      </c>
      <c r="B19" t="s">
        <v>72</v>
      </c>
      <c r="C19" t="s">
        <v>72</v>
      </c>
      <c r="D19" t="s">
        <v>73</v>
      </c>
      <c r="E19">
        <v>27</v>
      </c>
      <c r="F19">
        <v>2461</v>
      </c>
      <c r="G19">
        <v>3</v>
      </c>
      <c r="H19">
        <v>11341.51762379719</v>
      </c>
      <c r="I19">
        <v>420.05620828878477</v>
      </c>
      <c r="J19">
        <v>77.197766896015636</v>
      </c>
      <c r="K19" t="s">
        <v>14</v>
      </c>
      <c r="L19" t="s">
        <v>33</v>
      </c>
      <c r="Q19" s="1"/>
      <c r="R19" s="1"/>
      <c r="S19" s="1"/>
      <c r="T19" s="1"/>
      <c r="U19" s="1"/>
      <c r="V19" s="1"/>
    </row>
    <row r="20" spans="1:22" x14ac:dyDescent="0.3">
      <c r="A20" s="2">
        <v>32</v>
      </c>
      <c r="B20" t="s">
        <v>74</v>
      </c>
      <c r="C20" t="s">
        <v>75</v>
      </c>
      <c r="D20" t="s">
        <v>76</v>
      </c>
      <c r="E20">
        <v>17</v>
      </c>
      <c r="F20">
        <v>4615</v>
      </c>
      <c r="G20">
        <v>6</v>
      </c>
      <c r="H20">
        <v>6888.4517615998939</v>
      </c>
      <c r="I20">
        <v>405.20304479999368</v>
      </c>
      <c r="J20">
        <v>75.820629145279725</v>
      </c>
      <c r="K20" t="s">
        <v>14</v>
      </c>
      <c r="L20" t="s">
        <v>33</v>
      </c>
      <c r="Q20" s="1"/>
      <c r="R20" s="1"/>
      <c r="S20" s="1"/>
      <c r="T20" s="1"/>
      <c r="U20" s="1"/>
      <c r="V20" s="1"/>
    </row>
    <row r="21" spans="1:22" x14ac:dyDescent="0.3">
      <c r="A21" s="2">
        <v>171</v>
      </c>
      <c r="B21" t="s">
        <v>80</v>
      </c>
      <c r="C21" t="s">
        <v>80</v>
      </c>
      <c r="D21" t="s">
        <v>81</v>
      </c>
      <c r="E21">
        <v>14</v>
      </c>
      <c r="F21">
        <v>1074</v>
      </c>
      <c r="G21">
        <v>1</v>
      </c>
      <c r="H21">
        <v>5303.9228598488917</v>
      </c>
      <c r="I21">
        <v>378.85163284634939</v>
      </c>
      <c r="J21">
        <v>73.313780588334907</v>
      </c>
      <c r="K21" t="s">
        <v>14</v>
      </c>
      <c r="L21" t="s">
        <v>45</v>
      </c>
      <c r="Q21" s="1"/>
      <c r="R21" s="1"/>
      <c r="S21" s="1"/>
      <c r="T21" s="1"/>
      <c r="U21" s="1"/>
      <c r="V21" s="1"/>
    </row>
    <row r="22" spans="1:22" x14ac:dyDescent="0.3">
      <c r="A22" s="2">
        <v>92</v>
      </c>
      <c r="B22" t="s">
        <v>65</v>
      </c>
      <c r="C22" t="s">
        <v>65</v>
      </c>
      <c r="D22" t="s">
        <v>66</v>
      </c>
      <c r="E22">
        <v>11</v>
      </c>
      <c r="F22">
        <v>1357</v>
      </c>
      <c r="G22">
        <v>2</v>
      </c>
      <c r="H22">
        <v>4102.1236751645101</v>
      </c>
      <c r="I22">
        <v>372.92033410586458</v>
      </c>
      <c r="J22">
        <v>72.737616546976795</v>
      </c>
      <c r="K22" t="s">
        <v>14</v>
      </c>
      <c r="L22" t="s">
        <v>54</v>
      </c>
      <c r="Q22" s="1"/>
      <c r="R22" s="1"/>
      <c r="S22" s="1"/>
      <c r="T22" s="1"/>
      <c r="U22" s="1"/>
      <c r="V22" s="1"/>
    </row>
    <row r="23" spans="1:22" x14ac:dyDescent="0.3">
      <c r="A23" s="2">
        <v>81</v>
      </c>
      <c r="B23" t="s">
        <v>85</v>
      </c>
      <c r="C23" t="s">
        <v>85</v>
      </c>
      <c r="D23" t="s">
        <v>86</v>
      </c>
      <c r="E23">
        <v>15</v>
      </c>
      <c r="F23">
        <v>1157</v>
      </c>
      <c r="G23">
        <v>1</v>
      </c>
      <c r="H23">
        <v>5565.4364610923403</v>
      </c>
      <c r="I23">
        <v>371.02909740615598</v>
      </c>
      <c r="J23">
        <v>72.552940501859837</v>
      </c>
      <c r="K23" t="s">
        <v>14</v>
      </c>
      <c r="L23" t="s">
        <v>54</v>
      </c>
      <c r="Q23" s="1"/>
      <c r="R23" s="1"/>
      <c r="S23" s="1"/>
      <c r="T23" s="1"/>
      <c r="U23" s="1"/>
      <c r="V23" s="1"/>
    </row>
    <row r="24" spans="1:22" x14ac:dyDescent="0.3">
      <c r="A24" s="2">
        <v>16</v>
      </c>
      <c r="B24" t="s">
        <v>82</v>
      </c>
      <c r="C24" t="s">
        <v>83</v>
      </c>
      <c r="D24" t="s">
        <v>84</v>
      </c>
      <c r="E24">
        <v>22</v>
      </c>
      <c r="F24">
        <v>4570</v>
      </c>
      <c r="G24">
        <v>4</v>
      </c>
      <c r="H24">
        <v>7944.3189047452024</v>
      </c>
      <c r="I24">
        <v>361.10540476114551</v>
      </c>
      <c r="J24">
        <v>71.576099504309141</v>
      </c>
      <c r="K24" t="s">
        <v>14</v>
      </c>
      <c r="L24" t="s">
        <v>26</v>
      </c>
      <c r="Q24" s="1"/>
      <c r="R24" s="1"/>
      <c r="S24" s="1"/>
      <c r="T24" s="1"/>
      <c r="U24" s="1"/>
      <c r="V24" s="1"/>
    </row>
    <row r="25" spans="1:22" x14ac:dyDescent="0.3">
      <c r="A25" s="2">
        <v>28</v>
      </c>
      <c r="B25" t="s">
        <v>90</v>
      </c>
      <c r="C25" t="s">
        <v>91</v>
      </c>
      <c r="D25" t="s">
        <v>92</v>
      </c>
      <c r="E25">
        <v>26</v>
      </c>
      <c r="F25">
        <v>2281</v>
      </c>
      <c r="G25">
        <v>3</v>
      </c>
      <c r="H25">
        <v>9179.9230042304916</v>
      </c>
      <c r="I25">
        <v>353.07396170117278</v>
      </c>
      <c r="J25">
        <v>70.775652032944024</v>
      </c>
      <c r="K25" t="s">
        <v>14</v>
      </c>
      <c r="L25" t="s">
        <v>33</v>
      </c>
      <c r="Q25" s="1"/>
      <c r="R25" s="1"/>
      <c r="S25" s="1"/>
      <c r="T25" s="1"/>
      <c r="U25" s="1"/>
      <c r="V25" s="1"/>
    </row>
    <row r="26" spans="1:22" x14ac:dyDescent="0.3">
      <c r="A26" s="2">
        <v>235</v>
      </c>
      <c r="B26" t="s">
        <v>70</v>
      </c>
      <c r="C26" t="s">
        <v>70</v>
      </c>
      <c r="D26" t="s">
        <v>71</v>
      </c>
      <c r="E26">
        <v>8</v>
      </c>
      <c r="F26">
        <v>2326</v>
      </c>
      <c r="G26">
        <v>5</v>
      </c>
      <c r="H26">
        <v>2820.2689517761519</v>
      </c>
      <c r="I26">
        <v>352.53361897201899</v>
      </c>
      <c r="J26">
        <v>70.721473934156748</v>
      </c>
      <c r="K26" t="s">
        <v>69</v>
      </c>
      <c r="L26" t="s">
        <v>5</v>
      </c>
      <c r="Q26" s="1"/>
      <c r="R26" s="1"/>
      <c r="S26" s="1"/>
      <c r="T26" s="1"/>
      <c r="U26" s="1"/>
      <c r="V26" s="1"/>
    </row>
    <row r="27" spans="1:22" x14ac:dyDescent="0.3">
      <c r="A27" s="2">
        <v>233</v>
      </c>
      <c r="B27" t="s">
        <v>67</v>
      </c>
      <c r="C27" t="s">
        <v>67</v>
      </c>
      <c r="D27" t="s">
        <v>68</v>
      </c>
      <c r="E27">
        <v>9</v>
      </c>
      <c r="F27">
        <v>359</v>
      </c>
      <c r="G27">
        <v>5</v>
      </c>
      <c r="H27">
        <v>3165.5021664607302</v>
      </c>
      <c r="I27">
        <v>351.72246294008107</v>
      </c>
      <c r="J27">
        <v>70.640064411762751</v>
      </c>
      <c r="K27" t="s">
        <v>69</v>
      </c>
      <c r="L27" t="s">
        <v>5</v>
      </c>
      <c r="Q27" s="1"/>
      <c r="R27" s="1"/>
      <c r="S27" s="1"/>
      <c r="T27" s="1"/>
      <c r="U27" s="1"/>
      <c r="V27" s="1"/>
    </row>
    <row r="28" spans="1:22" x14ac:dyDescent="0.3">
      <c r="A28" s="2">
        <v>131</v>
      </c>
      <c r="B28" t="s">
        <v>87</v>
      </c>
      <c r="C28" t="s">
        <v>87</v>
      </c>
      <c r="D28" t="s">
        <v>88</v>
      </c>
      <c r="E28">
        <v>28</v>
      </c>
      <c r="F28">
        <v>2605</v>
      </c>
      <c r="G28">
        <v>4</v>
      </c>
      <c r="H28">
        <v>9829.4238749816577</v>
      </c>
      <c r="I28">
        <v>351.05085267791628</v>
      </c>
      <c r="J28">
        <v>70.572588963634146</v>
      </c>
      <c r="K28" t="s">
        <v>14</v>
      </c>
      <c r="L28" t="s">
        <v>89</v>
      </c>
      <c r="Q28" s="1"/>
      <c r="R28" s="1"/>
      <c r="S28" s="1"/>
      <c r="T28" s="1"/>
      <c r="U28" s="1"/>
      <c r="V28" s="1"/>
    </row>
    <row r="29" spans="1:22" x14ac:dyDescent="0.3">
      <c r="A29" s="2">
        <v>35</v>
      </c>
      <c r="B29" t="s">
        <v>99</v>
      </c>
      <c r="C29" t="s">
        <v>99</v>
      </c>
      <c r="D29" t="s">
        <v>100</v>
      </c>
      <c r="E29">
        <v>10</v>
      </c>
      <c r="F29">
        <v>828</v>
      </c>
      <c r="G29">
        <v>1</v>
      </c>
      <c r="H29">
        <v>3490.7688087390111</v>
      </c>
      <c r="I29">
        <v>349.07688087390108</v>
      </c>
      <c r="J29">
        <v>70.373893124926994</v>
      </c>
      <c r="K29" t="s">
        <v>14</v>
      </c>
      <c r="L29" t="s">
        <v>18</v>
      </c>
      <c r="Q29" s="1"/>
      <c r="R29" s="1"/>
      <c r="S29" s="1"/>
      <c r="T29" s="1"/>
      <c r="U29" s="1"/>
      <c r="V29" s="1"/>
    </row>
    <row r="30" spans="1:22" x14ac:dyDescent="0.3">
      <c r="A30" s="2">
        <v>66</v>
      </c>
      <c r="B30" t="s">
        <v>77</v>
      </c>
      <c r="C30" t="s">
        <v>78</v>
      </c>
      <c r="D30" t="s">
        <v>79</v>
      </c>
      <c r="E30">
        <v>10</v>
      </c>
      <c r="F30">
        <v>601</v>
      </c>
      <c r="G30">
        <v>1</v>
      </c>
      <c r="H30">
        <v>3366.6396221704158</v>
      </c>
      <c r="I30">
        <v>336.66396221704161</v>
      </c>
      <c r="J30">
        <v>69.111345623413044</v>
      </c>
      <c r="K30" t="s">
        <v>14</v>
      </c>
      <c r="L30" t="s">
        <v>22</v>
      </c>
      <c r="Q30" s="1"/>
      <c r="R30" s="1"/>
      <c r="S30" s="1"/>
      <c r="T30" s="1"/>
      <c r="U30" s="1"/>
      <c r="V30" s="1"/>
    </row>
    <row r="31" spans="1:22" x14ac:dyDescent="0.3">
      <c r="A31" s="2">
        <v>60</v>
      </c>
      <c r="B31" t="s">
        <v>96</v>
      </c>
      <c r="C31" t="s">
        <v>97</v>
      </c>
      <c r="D31" t="s">
        <v>98</v>
      </c>
      <c r="E31">
        <v>33</v>
      </c>
      <c r="F31">
        <v>4807</v>
      </c>
      <c r="G31">
        <v>8</v>
      </c>
      <c r="H31">
        <v>11056.137878399681</v>
      </c>
      <c r="I31">
        <v>335.03448116362659</v>
      </c>
      <c r="J31">
        <v>68.943890476880625</v>
      </c>
      <c r="K31" t="s">
        <v>14</v>
      </c>
      <c r="L31" t="s">
        <v>22</v>
      </c>
      <c r="Q31" s="1"/>
      <c r="R31" s="1"/>
      <c r="S31" s="1"/>
      <c r="T31" s="1"/>
      <c r="U31" s="1"/>
      <c r="V31" s="1"/>
    </row>
    <row r="32" spans="1:22" x14ac:dyDescent="0.3">
      <c r="A32" s="2">
        <v>84</v>
      </c>
      <c r="B32" t="s">
        <v>93</v>
      </c>
      <c r="C32" t="s">
        <v>94</v>
      </c>
      <c r="D32" t="s">
        <v>95</v>
      </c>
      <c r="E32">
        <v>7</v>
      </c>
      <c r="F32">
        <v>865</v>
      </c>
      <c r="G32">
        <v>1</v>
      </c>
      <c r="H32">
        <v>2331.907974102076</v>
      </c>
      <c r="I32">
        <v>333.12971058601079</v>
      </c>
      <c r="J32">
        <v>68.74762787478457</v>
      </c>
      <c r="K32" t="s">
        <v>14</v>
      </c>
      <c r="L32" t="s">
        <v>54</v>
      </c>
      <c r="Q32" s="1"/>
      <c r="R32" s="1"/>
      <c r="S32" s="1"/>
      <c r="T32" s="1"/>
      <c r="U32" s="1"/>
      <c r="V32" s="1"/>
    </row>
    <row r="33" spans="1:22" x14ac:dyDescent="0.3">
      <c r="A33" s="2">
        <v>200</v>
      </c>
      <c r="B33" t="s">
        <v>101</v>
      </c>
      <c r="C33" t="s">
        <v>101</v>
      </c>
      <c r="D33" t="s">
        <v>102</v>
      </c>
      <c r="E33">
        <v>19</v>
      </c>
      <c r="F33">
        <v>4047</v>
      </c>
      <c r="G33">
        <v>6</v>
      </c>
      <c r="H33">
        <v>5952.070956827436</v>
      </c>
      <c r="I33">
        <v>313.26689246460188</v>
      </c>
      <c r="J33">
        <v>66.666596407815703</v>
      </c>
      <c r="K33" t="s">
        <v>14</v>
      </c>
      <c r="L33" t="s">
        <v>26</v>
      </c>
      <c r="Q33" s="1"/>
      <c r="R33" s="1"/>
      <c r="S33" s="1"/>
      <c r="T33" s="1"/>
      <c r="U33" s="1"/>
      <c r="V33" s="1"/>
    </row>
    <row r="34" spans="1:22" x14ac:dyDescent="0.3">
      <c r="A34" s="2">
        <v>129</v>
      </c>
      <c r="B34" t="s">
        <v>103</v>
      </c>
      <c r="C34" t="s">
        <v>103</v>
      </c>
      <c r="D34" t="s">
        <v>104</v>
      </c>
      <c r="E34">
        <v>30</v>
      </c>
      <c r="F34">
        <v>4150</v>
      </c>
      <c r="G34">
        <v>6</v>
      </c>
      <c r="H34">
        <v>9318.5689635754607</v>
      </c>
      <c r="I34">
        <v>310.61896545251528</v>
      </c>
      <c r="J34">
        <v>66.384244677745855</v>
      </c>
      <c r="K34" t="s">
        <v>14</v>
      </c>
      <c r="L34" t="s">
        <v>105</v>
      </c>
      <c r="Q34" s="1"/>
      <c r="R34" s="1"/>
      <c r="S34" s="1"/>
      <c r="T34" s="1"/>
      <c r="U34" s="1"/>
      <c r="V34" s="1"/>
    </row>
    <row r="35" spans="1:22" x14ac:dyDescent="0.3">
      <c r="A35" s="2">
        <v>139</v>
      </c>
      <c r="B35" t="s">
        <v>109</v>
      </c>
      <c r="C35" t="s">
        <v>109</v>
      </c>
      <c r="D35" t="s">
        <v>110</v>
      </c>
      <c r="E35">
        <v>16</v>
      </c>
      <c r="F35">
        <v>2268</v>
      </c>
      <c r="G35">
        <v>4</v>
      </c>
      <c r="H35">
        <v>4762.2885550136907</v>
      </c>
      <c r="I35">
        <v>297.64303468835573</v>
      </c>
      <c r="J35">
        <v>64.982871108494095</v>
      </c>
      <c r="K35" t="s">
        <v>14</v>
      </c>
      <c r="L35" t="s">
        <v>111</v>
      </c>
      <c r="Q35" s="1"/>
      <c r="R35" s="1"/>
      <c r="S35" s="1"/>
      <c r="T35" s="1"/>
      <c r="U35" s="1"/>
      <c r="V35" s="1"/>
    </row>
    <row r="36" spans="1:22" x14ac:dyDescent="0.3">
      <c r="A36" s="2">
        <v>163</v>
      </c>
      <c r="B36" t="s">
        <v>114</v>
      </c>
      <c r="C36" t="s">
        <v>114</v>
      </c>
      <c r="D36" t="s">
        <v>115</v>
      </c>
      <c r="E36">
        <v>21</v>
      </c>
      <c r="F36">
        <v>1794</v>
      </c>
      <c r="G36">
        <v>3</v>
      </c>
      <c r="H36">
        <v>6090.2500994889542</v>
      </c>
      <c r="I36">
        <v>290.01190949947397</v>
      </c>
      <c r="J36">
        <v>64.144429983828815</v>
      </c>
      <c r="K36" t="s">
        <v>14</v>
      </c>
      <c r="L36" t="s">
        <v>45</v>
      </c>
      <c r="Q36" s="1"/>
      <c r="R36" s="1"/>
      <c r="S36" s="1"/>
      <c r="T36" s="1"/>
      <c r="U36" s="1"/>
      <c r="V36" s="1"/>
    </row>
    <row r="37" spans="1:22" x14ac:dyDescent="0.3">
      <c r="A37" s="2">
        <v>8</v>
      </c>
      <c r="B37" t="s">
        <v>116</v>
      </c>
      <c r="C37" t="s">
        <v>117</v>
      </c>
      <c r="D37" t="s">
        <v>118</v>
      </c>
      <c r="E37">
        <v>25</v>
      </c>
      <c r="F37">
        <v>1567</v>
      </c>
      <c r="G37">
        <v>3</v>
      </c>
      <c r="H37">
        <v>6971.4895175444944</v>
      </c>
      <c r="I37">
        <v>278.85958070177981</v>
      </c>
      <c r="J37">
        <v>62.899011280948983</v>
      </c>
      <c r="K37" t="s">
        <v>14</v>
      </c>
      <c r="L37" t="s">
        <v>26</v>
      </c>
      <c r="Q37" s="1"/>
      <c r="R37" s="1"/>
      <c r="S37" s="1"/>
      <c r="T37" s="1"/>
      <c r="U37" s="1"/>
      <c r="V37" s="1"/>
    </row>
    <row r="38" spans="1:22" x14ac:dyDescent="0.3">
      <c r="A38" s="2">
        <v>93</v>
      </c>
      <c r="B38" t="s">
        <v>133</v>
      </c>
      <c r="C38" t="s">
        <v>133</v>
      </c>
      <c r="D38" t="s">
        <v>134</v>
      </c>
      <c r="E38">
        <v>10</v>
      </c>
      <c r="F38">
        <v>857</v>
      </c>
      <c r="G38">
        <v>1</v>
      </c>
      <c r="H38">
        <v>2731.4269837848901</v>
      </c>
      <c r="I38">
        <v>273.14269837848889</v>
      </c>
      <c r="J38">
        <v>62.250928211183819</v>
      </c>
      <c r="K38" t="s">
        <v>14</v>
      </c>
      <c r="L38" t="s">
        <v>54</v>
      </c>
      <c r="Q38" s="1"/>
      <c r="R38" s="1"/>
      <c r="S38" s="1"/>
      <c r="T38" s="1"/>
      <c r="U38" s="1"/>
      <c r="V38" s="1"/>
    </row>
    <row r="39" spans="1:22" x14ac:dyDescent="0.3">
      <c r="A39" s="2">
        <v>146</v>
      </c>
      <c r="B39" t="s">
        <v>119</v>
      </c>
      <c r="C39" t="s">
        <v>119</v>
      </c>
      <c r="D39" t="s">
        <v>120</v>
      </c>
      <c r="E39">
        <v>24</v>
      </c>
      <c r="F39">
        <v>2439</v>
      </c>
      <c r="G39">
        <v>4</v>
      </c>
      <c r="H39">
        <v>6496.8766283328514</v>
      </c>
      <c r="I39">
        <v>270.70319284720222</v>
      </c>
      <c r="J39">
        <v>61.972315446691042</v>
      </c>
      <c r="K39" t="s">
        <v>14</v>
      </c>
      <c r="L39" t="s">
        <v>36</v>
      </c>
      <c r="Q39" s="1"/>
      <c r="R39" s="1"/>
      <c r="S39" s="1"/>
      <c r="T39" s="1"/>
      <c r="U39" s="1"/>
      <c r="V39" s="1"/>
    </row>
    <row r="40" spans="1:22" x14ac:dyDescent="0.3">
      <c r="A40" s="2">
        <v>61</v>
      </c>
      <c r="B40" t="s">
        <v>127</v>
      </c>
      <c r="C40" t="s">
        <v>128</v>
      </c>
      <c r="D40" t="s">
        <v>129</v>
      </c>
      <c r="E40">
        <v>20</v>
      </c>
      <c r="F40">
        <v>1889</v>
      </c>
      <c r="G40">
        <v>1</v>
      </c>
      <c r="H40">
        <v>5405.4586561046071</v>
      </c>
      <c r="I40">
        <v>270.27293280523043</v>
      </c>
      <c r="J40">
        <v>61.923045960200447</v>
      </c>
      <c r="K40" t="s">
        <v>14</v>
      </c>
      <c r="L40" t="s">
        <v>22</v>
      </c>
      <c r="Q40" s="1"/>
      <c r="R40" s="1"/>
      <c r="S40" s="1"/>
      <c r="T40" s="1"/>
      <c r="U40" s="1"/>
      <c r="V40" s="1"/>
    </row>
    <row r="41" spans="1:22" x14ac:dyDescent="0.3">
      <c r="A41" s="2">
        <v>228</v>
      </c>
      <c r="B41" t="s">
        <v>106</v>
      </c>
      <c r="C41" t="s">
        <v>106</v>
      </c>
      <c r="D41" t="s">
        <v>107</v>
      </c>
      <c r="E41">
        <v>12</v>
      </c>
      <c r="F41">
        <v>2122</v>
      </c>
      <c r="G41">
        <v>5</v>
      </c>
      <c r="H41">
        <v>3236.190169717443</v>
      </c>
      <c r="I41">
        <v>269.68251414312027</v>
      </c>
      <c r="J41">
        <v>61.855372682163498</v>
      </c>
      <c r="K41" t="s">
        <v>14</v>
      </c>
      <c r="L41" t="s">
        <v>108</v>
      </c>
      <c r="Q41" s="1"/>
      <c r="R41" s="1"/>
      <c r="S41" s="1"/>
      <c r="T41" s="1"/>
      <c r="U41" s="1"/>
      <c r="V41" s="1"/>
    </row>
    <row r="42" spans="1:22" x14ac:dyDescent="0.3">
      <c r="A42" s="2">
        <v>39</v>
      </c>
      <c r="B42" t="s">
        <v>145</v>
      </c>
      <c r="C42" t="s">
        <v>146</v>
      </c>
      <c r="D42" t="s">
        <v>147</v>
      </c>
      <c r="E42">
        <v>11</v>
      </c>
      <c r="F42">
        <v>567</v>
      </c>
      <c r="G42">
        <v>0</v>
      </c>
      <c r="H42">
        <v>2950.1515717905299</v>
      </c>
      <c r="I42">
        <v>268.19559743550269</v>
      </c>
      <c r="J42">
        <v>61.684614644044068</v>
      </c>
      <c r="K42" t="s">
        <v>14</v>
      </c>
      <c r="L42" t="s">
        <v>33</v>
      </c>
      <c r="Q42" s="1"/>
      <c r="R42" s="1"/>
      <c r="S42" s="1"/>
      <c r="T42" s="1"/>
      <c r="U42" s="1"/>
      <c r="V42" s="1"/>
    </row>
    <row r="43" spans="1:22" x14ac:dyDescent="0.3">
      <c r="A43" s="2">
        <v>126</v>
      </c>
      <c r="B43" t="s">
        <v>125</v>
      </c>
      <c r="C43" t="s">
        <v>125</v>
      </c>
      <c r="D43" t="s">
        <v>126</v>
      </c>
      <c r="E43">
        <v>14</v>
      </c>
      <c r="F43">
        <v>859</v>
      </c>
      <c r="G43">
        <v>1</v>
      </c>
      <c r="H43">
        <v>3747.9156594689548</v>
      </c>
      <c r="I43">
        <v>267.70826139063962</v>
      </c>
      <c r="J43">
        <v>61.628545855443619</v>
      </c>
      <c r="K43" t="s">
        <v>14</v>
      </c>
      <c r="L43" t="s">
        <v>54</v>
      </c>
      <c r="Q43" s="1"/>
      <c r="R43" s="1"/>
      <c r="S43" s="1"/>
      <c r="T43" s="1"/>
      <c r="U43" s="1"/>
      <c r="V43" s="1"/>
    </row>
    <row r="44" spans="1:22" x14ac:dyDescent="0.3">
      <c r="A44" s="2">
        <v>167</v>
      </c>
      <c r="B44" t="s">
        <v>112</v>
      </c>
      <c r="C44" t="s">
        <v>112</v>
      </c>
      <c r="D44" t="s">
        <v>113</v>
      </c>
      <c r="E44">
        <v>9</v>
      </c>
      <c r="F44">
        <v>467</v>
      </c>
      <c r="G44">
        <v>0</v>
      </c>
      <c r="H44">
        <v>2361.697710981387</v>
      </c>
      <c r="I44">
        <v>262.41085677570959</v>
      </c>
      <c r="J44">
        <v>61.015747107672802</v>
      </c>
      <c r="K44" t="s">
        <v>14</v>
      </c>
      <c r="L44" t="s">
        <v>45</v>
      </c>
      <c r="Q44" s="1"/>
      <c r="R44" s="1"/>
      <c r="S44" s="1"/>
      <c r="T44" s="1"/>
      <c r="U44" s="1"/>
      <c r="V44" s="1"/>
    </row>
    <row r="45" spans="1:22" x14ac:dyDescent="0.3">
      <c r="A45" s="2">
        <v>80</v>
      </c>
      <c r="B45" t="s">
        <v>135</v>
      </c>
      <c r="C45" t="s">
        <v>135</v>
      </c>
      <c r="D45" t="s">
        <v>136</v>
      </c>
      <c r="E45">
        <v>10</v>
      </c>
      <c r="F45">
        <v>374</v>
      </c>
      <c r="G45">
        <v>0</v>
      </c>
      <c r="H45">
        <v>2597.690847357916</v>
      </c>
      <c r="I45">
        <v>259.76908473579158</v>
      </c>
      <c r="J45">
        <v>60.70783790287615</v>
      </c>
      <c r="K45" t="s">
        <v>14</v>
      </c>
      <c r="L45" t="s">
        <v>54</v>
      </c>
      <c r="Q45" s="1"/>
      <c r="R45" s="1"/>
      <c r="S45" s="1"/>
      <c r="T45" s="1"/>
      <c r="U45" s="1"/>
      <c r="V45" s="1"/>
    </row>
    <row r="46" spans="1:22" x14ac:dyDescent="0.3">
      <c r="A46" s="2">
        <v>157</v>
      </c>
      <c r="B46" t="s">
        <v>121</v>
      </c>
      <c r="C46" t="s">
        <v>121</v>
      </c>
      <c r="D46" t="s">
        <v>122</v>
      </c>
      <c r="E46">
        <v>11</v>
      </c>
      <c r="F46">
        <v>1199</v>
      </c>
      <c r="G46">
        <v>3</v>
      </c>
      <c r="H46">
        <v>2838.082793340322</v>
      </c>
      <c r="I46">
        <v>258.00752666730199</v>
      </c>
      <c r="J46">
        <v>60.501650364480717</v>
      </c>
      <c r="K46" t="s">
        <v>14</v>
      </c>
      <c r="L46" t="s">
        <v>36</v>
      </c>
      <c r="Q46" s="1"/>
      <c r="R46" s="1"/>
      <c r="S46" s="1"/>
      <c r="T46" s="1"/>
      <c r="U46" s="1"/>
      <c r="V46" s="1"/>
    </row>
    <row r="47" spans="1:22" x14ac:dyDescent="0.3">
      <c r="A47" s="2">
        <v>132</v>
      </c>
      <c r="B47" t="s">
        <v>142</v>
      </c>
      <c r="C47" t="s">
        <v>142</v>
      </c>
      <c r="D47" t="s">
        <v>143</v>
      </c>
      <c r="E47">
        <v>21</v>
      </c>
      <c r="F47">
        <v>3376</v>
      </c>
      <c r="G47">
        <v>8</v>
      </c>
      <c r="H47">
        <v>5396.6552482140814</v>
      </c>
      <c r="I47">
        <v>256.98358324828962</v>
      </c>
      <c r="J47">
        <v>60.381475859024633</v>
      </c>
      <c r="K47" t="s">
        <v>14</v>
      </c>
      <c r="L47" t="s">
        <v>144</v>
      </c>
      <c r="Q47" s="1"/>
      <c r="R47" s="1"/>
      <c r="S47" s="1"/>
      <c r="T47" s="1"/>
      <c r="U47" s="1"/>
      <c r="V47" s="1"/>
    </row>
    <row r="48" spans="1:22" x14ac:dyDescent="0.3">
      <c r="A48" s="2">
        <v>179</v>
      </c>
      <c r="B48" t="s">
        <v>137</v>
      </c>
      <c r="C48" t="s">
        <v>137</v>
      </c>
      <c r="D48" t="s">
        <v>138</v>
      </c>
      <c r="E48">
        <v>14</v>
      </c>
      <c r="F48">
        <v>627</v>
      </c>
      <c r="G48">
        <v>0</v>
      </c>
      <c r="H48">
        <v>3577.6566073855688</v>
      </c>
      <c r="I48">
        <v>255.54690052754071</v>
      </c>
      <c r="J48">
        <v>60.212456099133448</v>
      </c>
      <c r="K48" t="s">
        <v>14</v>
      </c>
      <c r="L48" t="s">
        <v>45</v>
      </c>
      <c r="Q48" s="1"/>
      <c r="R48" s="1"/>
      <c r="S48" s="1"/>
      <c r="T48" s="1"/>
      <c r="U48" s="1"/>
      <c r="V48" s="1"/>
    </row>
    <row r="49" spans="1:22" x14ac:dyDescent="0.3">
      <c r="A49" s="2">
        <v>67</v>
      </c>
      <c r="B49" t="s">
        <v>139</v>
      </c>
      <c r="C49" t="s">
        <v>140</v>
      </c>
      <c r="D49" t="s">
        <v>141</v>
      </c>
      <c r="E49">
        <v>20</v>
      </c>
      <c r="F49">
        <v>936</v>
      </c>
      <c r="G49">
        <v>0</v>
      </c>
      <c r="H49">
        <v>5018.9227669767497</v>
      </c>
      <c r="I49">
        <v>250.94613834883751</v>
      </c>
      <c r="J49">
        <v>59.667974058663063</v>
      </c>
      <c r="K49" t="s">
        <v>14</v>
      </c>
      <c r="L49" t="s">
        <v>22</v>
      </c>
      <c r="Q49" s="1"/>
      <c r="R49" s="1"/>
      <c r="S49" s="1"/>
      <c r="T49" s="1"/>
      <c r="U49" s="1"/>
      <c r="V49" s="1"/>
    </row>
    <row r="50" spans="1:22" x14ac:dyDescent="0.3">
      <c r="A50" s="2">
        <v>38</v>
      </c>
      <c r="B50" t="s">
        <v>154</v>
      </c>
      <c r="C50" t="s">
        <v>155</v>
      </c>
      <c r="D50" t="s">
        <v>156</v>
      </c>
      <c r="E50">
        <v>19</v>
      </c>
      <c r="F50">
        <v>950</v>
      </c>
      <c r="G50">
        <v>2</v>
      </c>
      <c r="H50">
        <v>4748.5093452983056</v>
      </c>
      <c r="I50">
        <v>249.92154448938459</v>
      </c>
      <c r="J50">
        <v>59.546039585437903</v>
      </c>
      <c r="K50" t="s">
        <v>14</v>
      </c>
      <c r="L50" t="s">
        <v>33</v>
      </c>
      <c r="Q50" s="1"/>
      <c r="R50" s="1"/>
      <c r="S50" s="1"/>
      <c r="T50" s="1"/>
      <c r="U50" s="1"/>
      <c r="V50" s="1"/>
    </row>
    <row r="51" spans="1:22" x14ac:dyDescent="0.3">
      <c r="A51" s="2">
        <v>127</v>
      </c>
      <c r="B51" t="s">
        <v>130</v>
      </c>
      <c r="C51" t="s">
        <v>130</v>
      </c>
      <c r="D51" t="s">
        <v>131</v>
      </c>
      <c r="E51">
        <v>17</v>
      </c>
      <c r="F51">
        <v>5346</v>
      </c>
      <c r="G51">
        <v>8</v>
      </c>
      <c r="H51">
        <v>4196.7462140746238</v>
      </c>
      <c r="I51">
        <v>246.8674243573308</v>
      </c>
      <c r="J51">
        <v>59.181085498413189</v>
      </c>
      <c r="K51" t="s">
        <v>14</v>
      </c>
      <c r="L51" t="s">
        <v>132</v>
      </c>
      <c r="Q51" s="1"/>
      <c r="R51" s="1"/>
      <c r="S51" s="1"/>
      <c r="T51" s="1"/>
      <c r="U51" s="1"/>
      <c r="V51" s="1"/>
    </row>
    <row r="52" spans="1:22" x14ac:dyDescent="0.3">
      <c r="A52" s="2">
        <v>90</v>
      </c>
      <c r="B52" t="s">
        <v>150</v>
      </c>
      <c r="C52" t="s">
        <v>150</v>
      </c>
      <c r="D52" t="s">
        <v>151</v>
      </c>
      <c r="E52">
        <v>21</v>
      </c>
      <c r="F52">
        <v>1322</v>
      </c>
      <c r="G52">
        <v>1</v>
      </c>
      <c r="H52">
        <v>5164.1827590545736</v>
      </c>
      <c r="I52">
        <v>245.91346471688439</v>
      </c>
      <c r="J52">
        <v>59.066629301266993</v>
      </c>
      <c r="K52" t="s">
        <v>14</v>
      </c>
      <c r="L52" t="s">
        <v>18</v>
      </c>
      <c r="Q52" s="1"/>
      <c r="R52" s="1"/>
      <c r="S52" s="1"/>
      <c r="T52" s="1"/>
      <c r="U52" s="1"/>
      <c r="V52" s="1"/>
    </row>
    <row r="53" spans="1:22" x14ac:dyDescent="0.3">
      <c r="A53" s="2">
        <v>40</v>
      </c>
      <c r="B53" t="s">
        <v>163</v>
      </c>
      <c r="C53" t="s">
        <v>164</v>
      </c>
      <c r="D53" t="s">
        <v>165</v>
      </c>
      <c r="E53">
        <v>20</v>
      </c>
      <c r="F53">
        <v>1381</v>
      </c>
      <c r="G53">
        <v>4</v>
      </c>
      <c r="H53">
        <v>4872.0284375599404</v>
      </c>
      <c r="I53">
        <v>243.60142187799701</v>
      </c>
      <c r="J53">
        <v>58.788305612423471</v>
      </c>
      <c r="K53" t="s">
        <v>14</v>
      </c>
      <c r="L53" t="s">
        <v>22</v>
      </c>
      <c r="Q53" s="1"/>
      <c r="R53" s="1"/>
      <c r="S53" s="1"/>
      <c r="T53" s="1"/>
      <c r="U53" s="1"/>
      <c r="V53" s="1"/>
    </row>
    <row r="54" spans="1:22" x14ac:dyDescent="0.3">
      <c r="A54" s="2">
        <v>159</v>
      </c>
      <c r="B54" t="s">
        <v>152</v>
      </c>
      <c r="C54" t="s">
        <v>152</v>
      </c>
      <c r="D54" t="s">
        <v>153</v>
      </c>
      <c r="E54">
        <v>10</v>
      </c>
      <c r="F54">
        <v>890</v>
      </c>
      <c r="G54">
        <v>1</v>
      </c>
      <c r="H54">
        <v>2409.2719396062589</v>
      </c>
      <c r="I54">
        <v>240.92719396062591</v>
      </c>
      <c r="J54">
        <v>58.464729545164232</v>
      </c>
      <c r="K54" t="s">
        <v>14</v>
      </c>
      <c r="L54" t="s">
        <v>36</v>
      </c>
      <c r="Q54" s="1"/>
      <c r="R54" s="1"/>
      <c r="S54" s="1"/>
      <c r="T54" s="1"/>
      <c r="U54" s="1"/>
      <c r="V54" s="1"/>
    </row>
    <row r="55" spans="1:22" x14ac:dyDescent="0.3">
      <c r="A55" s="2">
        <v>178</v>
      </c>
      <c r="B55" t="s">
        <v>148</v>
      </c>
      <c r="C55" t="s">
        <v>148</v>
      </c>
      <c r="D55" t="s">
        <v>149</v>
      </c>
      <c r="E55">
        <v>16</v>
      </c>
      <c r="F55">
        <v>624</v>
      </c>
      <c r="G55">
        <v>0</v>
      </c>
      <c r="H55">
        <v>3784.577720387455</v>
      </c>
      <c r="I55">
        <v>236.53610752421591</v>
      </c>
      <c r="J55">
        <v>57.929496874056632</v>
      </c>
      <c r="K55" t="s">
        <v>14</v>
      </c>
      <c r="L55" t="s">
        <v>45</v>
      </c>
      <c r="Q55" s="1"/>
      <c r="R55" s="1"/>
      <c r="S55" s="1"/>
      <c r="T55" s="1"/>
      <c r="U55" s="1"/>
      <c r="V55" s="1"/>
    </row>
    <row r="56" spans="1:22" x14ac:dyDescent="0.3">
      <c r="A56" s="2">
        <v>0</v>
      </c>
      <c r="B56" t="s">
        <v>159</v>
      </c>
      <c r="C56" t="s">
        <v>159</v>
      </c>
      <c r="D56" t="s">
        <v>160</v>
      </c>
      <c r="E56">
        <v>63</v>
      </c>
      <c r="F56">
        <v>10018</v>
      </c>
      <c r="G56">
        <v>14</v>
      </c>
      <c r="H56">
        <v>14692.457932430099</v>
      </c>
      <c r="I56">
        <v>233.21361797508101</v>
      </c>
      <c r="J56">
        <v>57.521206531269002</v>
      </c>
      <c r="K56" t="s">
        <v>14</v>
      </c>
      <c r="L56" t="s">
        <v>26</v>
      </c>
      <c r="Q56" s="1"/>
      <c r="R56" s="1"/>
      <c r="S56" s="1"/>
      <c r="T56" s="1"/>
      <c r="U56" s="1"/>
      <c r="V56" s="1"/>
    </row>
    <row r="57" spans="1:22" x14ac:dyDescent="0.3">
      <c r="A57" s="2">
        <v>9</v>
      </c>
      <c r="B57" t="s">
        <v>168</v>
      </c>
      <c r="C57" t="s">
        <v>169</v>
      </c>
      <c r="D57" t="s">
        <v>170</v>
      </c>
      <c r="E57">
        <v>28</v>
      </c>
      <c r="F57">
        <v>2735</v>
      </c>
      <c r="G57">
        <v>4</v>
      </c>
      <c r="H57">
        <v>6498.4889676144549</v>
      </c>
      <c r="I57">
        <v>232.08889170051631</v>
      </c>
      <c r="J57">
        <v>57.382334273467627</v>
      </c>
      <c r="K57" t="s">
        <v>14</v>
      </c>
      <c r="L57" t="s">
        <v>26</v>
      </c>
      <c r="Q57" s="1"/>
      <c r="R57" s="1"/>
      <c r="S57" s="1"/>
      <c r="T57" s="1"/>
      <c r="U57" s="1"/>
      <c r="V57" s="1"/>
    </row>
    <row r="58" spans="1:22" x14ac:dyDescent="0.3">
      <c r="A58" s="2">
        <v>155</v>
      </c>
      <c r="B58" t="s">
        <v>166</v>
      </c>
      <c r="C58" t="s">
        <v>166</v>
      </c>
      <c r="D58" t="s">
        <v>167</v>
      </c>
      <c r="E58">
        <v>15</v>
      </c>
      <c r="F58">
        <v>1355</v>
      </c>
      <c r="G58">
        <v>2</v>
      </c>
      <c r="H58">
        <v>3454.4084643718938</v>
      </c>
      <c r="I58">
        <v>230.29389762479289</v>
      </c>
      <c r="J58">
        <v>57.160003774157389</v>
      </c>
      <c r="K58" t="s">
        <v>14</v>
      </c>
      <c r="L58" t="s">
        <v>36</v>
      </c>
      <c r="Q58" s="1"/>
      <c r="R58" s="1"/>
      <c r="S58" s="1"/>
      <c r="T58" s="1"/>
      <c r="U58" s="1"/>
      <c r="V58" s="1"/>
    </row>
    <row r="59" spans="1:22" x14ac:dyDescent="0.3">
      <c r="A59" s="2">
        <v>201</v>
      </c>
      <c r="B59" t="s">
        <v>123</v>
      </c>
      <c r="C59" t="s">
        <v>123</v>
      </c>
      <c r="D59" t="s">
        <v>124</v>
      </c>
      <c r="E59">
        <v>16</v>
      </c>
      <c r="F59">
        <v>4106</v>
      </c>
      <c r="G59">
        <v>9</v>
      </c>
      <c r="H59">
        <v>3680.800973271027</v>
      </c>
      <c r="I59">
        <v>230.05006082943919</v>
      </c>
      <c r="J59">
        <v>57.129735053236431</v>
      </c>
      <c r="K59" t="s">
        <v>14</v>
      </c>
      <c r="L59" t="s">
        <v>36</v>
      </c>
      <c r="Q59" s="1"/>
      <c r="R59" s="1"/>
      <c r="S59" s="1"/>
      <c r="T59" s="1"/>
      <c r="U59" s="1"/>
      <c r="V59" s="1"/>
    </row>
    <row r="60" spans="1:22" x14ac:dyDescent="0.3">
      <c r="A60" s="2">
        <v>33</v>
      </c>
      <c r="B60" t="s">
        <v>161</v>
      </c>
      <c r="C60" t="s">
        <v>161</v>
      </c>
      <c r="D60" t="s">
        <v>162</v>
      </c>
      <c r="E60">
        <v>23</v>
      </c>
      <c r="F60">
        <v>2085</v>
      </c>
      <c r="G60">
        <v>4</v>
      </c>
      <c r="H60">
        <v>5249.3322843703663</v>
      </c>
      <c r="I60">
        <v>228.2318384508855</v>
      </c>
      <c r="J60">
        <v>56.903522064852382</v>
      </c>
      <c r="K60" t="s">
        <v>14</v>
      </c>
      <c r="L60" t="s">
        <v>18</v>
      </c>
      <c r="Q60" s="1"/>
      <c r="R60" s="1"/>
      <c r="S60" s="1"/>
      <c r="T60" s="1"/>
      <c r="U60" s="1"/>
      <c r="V60" s="1"/>
    </row>
    <row r="61" spans="1:22" x14ac:dyDescent="0.3">
      <c r="A61" s="2">
        <v>107</v>
      </c>
      <c r="B61" t="s">
        <v>194</v>
      </c>
      <c r="C61" t="s">
        <v>194</v>
      </c>
      <c r="D61" t="s">
        <v>195</v>
      </c>
      <c r="E61">
        <v>13</v>
      </c>
      <c r="F61">
        <v>849</v>
      </c>
      <c r="G61">
        <v>0</v>
      </c>
      <c r="H61">
        <v>2954.7522462706961</v>
      </c>
      <c r="I61">
        <v>227.28863432851509</v>
      </c>
      <c r="J61">
        <v>56.785818935743158</v>
      </c>
      <c r="K61" t="s">
        <v>14</v>
      </c>
      <c r="L61" t="s">
        <v>196</v>
      </c>
      <c r="Q61" s="1"/>
      <c r="R61" s="1"/>
      <c r="S61" s="1"/>
      <c r="T61" s="1"/>
      <c r="U61" s="1"/>
      <c r="V61" s="1"/>
    </row>
    <row r="62" spans="1:22" x14ac:dyDescent="0.3">
      <c r="A62" s="2">
        <v>222</v>
      </c>
      <c r="B62" t="s">
        <v>157</v>
      </c>
      <c r="C62" t="s">
        <v>157</v>
      </c>
      <c r="D62" t="s">
        <v>158</v>
      </c>
      <c r="E62">
        <v>24</v>
      </c>
      <c r="F62">
        <v>3496</v>
      </c>
      <c r="G62">
        <v>5</v>
      </c>
      <c r="H62">
        <v>5320.9619183050709</v>
      </c>
      <c r="I62">
        <v>221.70674659604461</v>
      </c>
      <c r="J62">
        <v>56.08419469159147</v>
      </c>
      <c r="K62" t="s">
        <v>69</v>
      </c>
      <c r="L62" t="s">
        <v>5</v>
      </c>
      <c r="Q62" s="1"/>
      <c r="R62" s="1"/>
      <c r="S62" s="1"/>
      <c r="T62" s="1"/>
      <c r="U62" s="1"/>
      <c r="V62" s="1"/>
    </row>
    <row r="63" spans="1:22" x14ac:dyDescent="0.3">
      <c r="A63" s="2">
        <v>197</v>
      </c>
      <c r="B63" t="s">
        <v>185</v>
      </c>
      <c r="C63" t="s">
        <v>185</v>
      </c>
      <c r="D63" t="s">
        <v>186</v>
      </c>
      <c r="E63">
        <v>30</v>
      </c>
      <c r="F63">
        <v>2371</v>
      </c>
      <c r="G63">
        <v>6</v>
      </c>
      <c r="H63">
        <v>6621.775469432675</v>
      </c>
      <c r="I63">
        <v>220.7258489810892</v>
      </c>
      <c r="J63">
        <v>55.959990451071377</v>
      </c>
      <c r="K63" t="s">
        <v>69</v>
      </c>
      <c r="L63" t="s">
        <v>5</v>
      </c>
      <c r="Q63" s="1"/>
      <c r="R63" s="1"/>
      <c r="S63" s="1"/>
      <c r="T63" s="1"/>
      <c r="U63" s="1"/>
      <c r="V63" s="1"/>
    </row>
    <row r="64" spans="1:22" x14ac:dyDescent="0.3">
      <c r="A64" s="2">
        <v>30</v>
      </c>
      <c r="B64" t="s">
        <v>187</v>
      </c>
      <c r="C64" t="s">
        <v>188</v>
      </c>
      <c r="D64" t="s">
        <v>189</v>
      </c>
      <c r="E64">
        <v>31</v>
      </c>
      <c r="F64">
        <v>1512</v>
      </c>
      <c r="G64">
        <v>1</v>
      </c>
      <c r="H64">
        <v>6837.3407551419969</v>
      </c>
      <c r="I64">
        <v>220.55937919812891</v>
      </c>
      <c r="J64">
        <v>55.938884167828128</v>
      </c>
      <c r="K64" t="s">
        <v>14</v>
      </c>
      <c r="L64" t="s">
        <v>33</v>
      </c>
      <c r="Q64" s="1"/>
      <c r="R64" s="1"/>
      <c r="S64" s="1"/>
      <c r="T64" s="1"/>
      <c r="U64" s="1"/>
      <c r="V64" s="1"/>
    </row>
    <row r="65" spans="1:22" x14ac:dyDescent="0.3">
      <c r="A65" s="2">
        <v>162</v>
      </c>
      <c r="B65" t="s">
        <v>192</v>
      </c>
      <c r="C65" t="s">
        <v>192</v>
      </c>
      <c r="D65" t="s">
        <v>193</v>
      </c>
      <c r="E65">
        <v>8</v>
      </c>
      <c r="F65">
        <v>270</v>
      </c>
      <c r="G65">
        <v>0</v>
      </c>
      <c r="H65">
        <v>1744.489373651787</v>
      </c>
      <c r="I65">
        <v>218.0611717064734</v>
      </c>
      <c r="J65">
        <v>55.621180802368798</v>
      </c>
      <c r="K65" t="s">
        <v>14</v>
      </c>
      <c r="L65" t="s">
        <v>45</v>
      </c>
      <c r="Q65" s="1"/>
      <c r="R65" s="1"/>
      <c r="S65" s="1"/>
      <c r="T65" s="1"/>
      <c r="U65" s="1"/>
      <c r="V65" s="1"/>
    </row>
    <row r="66" spans="1:22" x14ac:dyDescent="0.3">
      <c r="A66" s="2">
        <v>76</v>
      </c>
      <c r="B66" t="s">
        <v>180</v>
      </c>
      <c r="C66" t="s">
        <v>181</v>
      </c>
      <c r="D66" t="s">
        <v>182</v>
      </c>
      <c r="E66">
        <v>10</v>
      </c>
      <c r="F66">
        <v>626</v>
      </c>
      <c r="G66">
        <v>1</v>
      </c>
      <c r="H66">
        <v>2175.9402654338151</v>
      </c>
      <c r="I66">
        <v>217.59402654338149</v>
      </c>
      <c r="J66">
        <v>55.561571161605357</v>
      </c>
      <c r="K66" t="s">
        <v>14</v>
      </c>
      <c r="L66" t="s">
        <v>15</v>
      </c>
      <c r="Q66" s="1"/>
      <c r="R66" s="1"/>
      <c r="S66" s="1"/>
      <c r="T66" s="1"/>
      <c r="U66" s="1"/>
      <c r="V66" s="1"/>
    </row>
    <row r="67" spans="1:22" x14ac:dyDescent="0.3">
      <c r="A67" s="2">
        <v>63</v>
      </c>
      <c r="B67" t="s">
        <v>175</v>
      </c>
      <c r="C67" t="s">
        <v>176</v>
      </c>
      <c r="D67" t="s">
        <v>177</v>
      </c>
      <c r="E67">
        <v>33</v>
      </c>
      <c r="F67">
        <v>1496</v>
      </c>
      <c r="G67">
        <v>0</v>
      </c>
      <c r="H67">
        <v>7176.9731507044489</v>
      </c>
      <c r="I67">
        <v>217.48403486983179</v>
      </c>
      <c r="J67">
        <v>55.547526468395027</v>
      </c>
      <c r="K67" t="s">
        <v>14</v>
      </c>
      <c r="L67" t="s">
        <v>22</v>
      </c>
      <c r="Q67" s="1"/>
      <c r="R67" s="1"/>
      <c r="S67" s="1"/>
      <c r="T67" s="1"/>
      <c r="U67" s="1"/>
      <c r="V67" s="1"/>
    </row>
    <row r="68" spans="1:22" x14ac:dyDescent="0.3">
      <c r="A68" s="2">
        <v>56</v>
      </c>
      <c r="B68" t="s">
        <v>183</v>
      </c>
      <c r="C68" t="s">
        <v>183</v>
      </c>
      <c r="D68" t="s">
        <v>184</v>
      </c>
      <c r="E68">
        <v>6</v>
      </c>
      <c r="F68">
        <v>574</v>
      </c>
      <c r="G68">
        <v>1</v>
      </c>
      <c r="H68">
        <v>1292.981244279048</v>
      </c>
      <c r="I68">
        <v>215.49687404650811</v>
      </c>
      <c r="J68">
        <v>55.293174078854278</v>
      </c>
      <c r="K68" t="s">
        <v>14</v>
      </c>
      <c r="L68" t="s">
        <v>54</v>
      </c>
      <c r="Q68" s="1"/>
      <c r="R68" s="1"/>
      <c r="S68" s="1"/>
      <c r="T68" s="1"/>
      <c r="U68" s="1"/>
      <c r="V68" s="1"/>
    </row>
    <row r="69" spans="1:22" x14ac:dyDescent="0.3">
      <c r="A69" s="2">
        <v>45</v>
      </c>
      <c r="B69" t="s">
        <v>173</v>
      </c>
      <c r="C69" t="s">
        <v>173</v>
      </c>
      <c r="D69" t="s">
        <v>174</v>
      </c>
      <c r="E69">
        <v>17</v>
      </c>
      <c r="F69">
        <v>1991</v>
      </c>
      <c r="G69">
        <v>2</v>
      </c>
      <c r="H69">
        <v>3633.3917645138772</v>
      </c>
      <c r="I69">
        <v>213.7289273243457</v>
      </c>
      <c r="J69">
        <v>55.065893032520798</v>
      </c>
      <c r="K69" t="s">
        <v>14</v>
      </c>
      <c r="L69" t="s">
        <v>54</v>
      </c>
      <c r="Q69" s="1"/>
      <c r="R69" s="1"/>
      <c r="S69" s="1"/>
      <c r="T69" s="1"/>
      <c r="U69" s="1"/>
      <c r="V69" s="1"/>
    </row>
    <row r="70" spans="1:22" x14ac:dyDescent="0.3">
      <c r="A70" s="2">
        <v>109</v>
      </c>
      <c r="B70" t="s">
        <v>212</v>
      </c>
      <c r="C70" t="s">
        <v>212</v>
      </c>
      <c r="D70" t="s">
        <v>213</v>
      </c>
      <c r="E70">
        <v>8</v>
      </c>
      <c r="F70">
        <v>390</v>
      </c>
      <c r="G70">
        <v>1</v>
      </c>
      <c r="H70">
        <v>1704.0541397173499</v>
      </c>
      <c r="I70">
        <v>213.00676746466871</v>
      </c>
      <c r="J70">
        <v>54.972784378027598</v>
      </c>
      <c r="K70" t="s">
        <v>14</v>
      </c>
      <c r="L70" t="s">
        <v>196</v>
      </c>
      <c r="Q70" s="1"/>
      <c r="R70" s="1"/>
      <c r="S70" s="1"/>
      <c r="T70" s="1"/>
      <c r="U70" s="1"/>
      <c r="V70" s="1"/>
    </row>
    <row r="71" spans="1:22" x14ac:dyDescent="0.3">
      <c r="A71" s="2">
        <v>148</v>
      </c>
      <c r="B71" t="s">
        <v>204</v>
      </c>
      <c r="C71" t="s">
        <v>204</v>
      </c>
      <c r="D71" t="s">
        <v>205</v>
      </c>
      <c r="E71">
        <v>12</v>
      </c>
      <c r="F71">
        <v>867</v>
      </c>
      <c r="G71">
        <v>1</v>
      </c>
      <c r="H71">
        <v>2534.996776055822</v>
      </c>
      <c r="I71">
        <v>211.2497313379852</v>
      </c>
      <c r="J71">
        <v>54.74558695222921</v>
      </c>
      <c r="K71" t="s">
        <v>14</v>
      </c>
      <c r="L71" t="s">
        <v>36</v>
      </c>
      <c r="Q71" s="1"/>
      <c r="R71" s="1"/>
      <c r="S71" s="1"/>
      <c r="T71" s="1"/>
      <c r="U71" s="1"/>
      <c r="V71" s="1"/>
    </row>
    <row r="72" spans="1:22" x14ac:dyDescent="0.3">
      <c r="A72" s="2">
        <v>175</v>
      </c>
      <c r="B72" t="s">
        <v>200</v>
      </c>
      <c r="C72" t="s">
        <v>200</v>
      </c>
      <c r="D72" t="s">
        <v>201</v>
      </c>
      <c r="E72">
        <v>4</v>
      </c>
      <c r="F72">
        <v>266</v>
      </c>
      <c r="G72">
        <v>1</v>
      </c>
      <c r="H72">
        <v>842.62698993481581</v>
      </c>
      <c r="I72">
        <v>210.65674748370401</v>
      </c>
      <c r="J72">
        <v>54.66869676569425</v>
      </c>
      <c r="K72" t="s">
        <v>14</v>
      </c>
      <c r="L72" t="s">
        <v>45</v>
      </c>
      <c r="Q72" s="1"/>
      <c r="R72" s="1"/>
      <c r="S72" s="1"/>
      <c r="T72" s="1"/>
      <c r="U72" s="1"/>
      <c r="V72" s="1"/>
    </row>
    <row r="73" spans="1:22" x14ac:dyDescent="0.3">
      <c r="A73" s="2">
        <v>147</v>
      </c>
      <c r="B73" t="s">
        <v>190</v>
      </c>
      <c r="C73" t="s">
        <v>190</v>
      </c>
      <c r="D73" t="s">
        <v>191</v>
      </c>
      <c r="E73">
        <v>9</v>
      </c>
      <c r="F73">
        <v>673</v>
      </c>
      <c r="G73">
        <v>2</v>
      </c>
      <c r="H73">
        <v>1878.8559720577659</v>
      </c>
      <c r="I73">
        <v>208.76177467308511</v>
      </c>
      <c r="J73">
        <v>54.422253857975392</v>
      </c>
      <c r="K73" t="s">
        <v>14</v>
      </c>
      <c r="L73" t="s">
        <v>36</v>
      </c>
      <c r="Q73" s="1"/>
      <c r="R73" s="1"/>
      <c r="S73" s="1"/>
      <c r="T73" s="1"/>
      <c r="U73" s="1"/>
      <c r="V73" s="1"/>
    </row>
    <row r="74" spans="1:22" x14ac:dyDescent="0.3">
      <c r="A74" s="2">
        <v>140</v>
      </c>
      <c r="B74" t="s">
        <v>197</v>
      </c>
      <c r="C74" t="s">
        <v>197</v>
      </c>
      <c r="D74" t="s">
        <v>198</v>
      </c>
      <c r="E74">
        <v>15</v>
      </c>
      <c r="F74">
        <v>4263</v>
      </c>
      <c r="G74">
        <v>5</v>
      </c>
      <c r="H74">
        <v>3120.0726441281049</v>
      </c>
      <c r="I74">
        <v>208.00484294187359</v>
      </c>
      <c r="J74">
        <v>54.323501729758803</v>
      </c>
      <c r="K74" t="s">
        <v>14</v>
      </c>
      <c r="L74" t="s">
        <v>199</v>
      </c>
      <c r="Q74" s="1"/>
      <c r="R74" s="1"/>
      <c r="S74" s="1"/>
      <c r="T74" s="1"/>
      <c r="U74" s="1"/>
      <c r="V74" s="1"/>
    </row>
    <row r="75" spans="1:22" x14ac:dyDescent="0.3">
      <c r="A75" s="2">
        <v>128</v>
      </c>
      <c r="B75" t="s">
        <v>208</v>
      </c>
      <c r="C75" t="s">
        <v>208</v>
      </c>
      <c r="D75" t="s">
        <v>209</v>
      </c>
      <c r="E75">
        <v>10</v>
      </c>
      <c r="F75">
        <v>557</v>
      </c>
      <c r="G75">
        <v>1</v>
      </c>
      <c r="H75">
        <v>2078.5099370337971</v>
      </c>
      <c r="I75">
        <v>207.85099370337969</v>
      </c>
      <c r="J75">
        <v>54.303408026069853</v>
      </c>
      <c r="K75" t="s">
        <v>14</v>
      </c>
      <c r="L75" t="s">
        <v>54</v>
      </c>
      <c r="Q75" s="1"/>
      <c r="R75" s="1"/>
      <c r="S75" s="1"/>
      <c r="T75" s="1"/>
      <c r="U75" s="1"/>
      <c r="V75" s="1"/>
    </row>
    <row r="76" spans="1:22" x14ac:dyDescent="0.3">
      <c r="A76" s="2">
        <v>143</v>
      </c>
      <c r="B76" t="s">
        <v>206</v>
      </c>
      <c r="C76" t="s">
        <v>206</v>
      </c>
      <c r="D76" t="s">
        <v>207</v>
      </c>
      <c r="E76">
        <v>18</v>
      </c>
      <c r="F76">
        <v>2462</v>
      </c>
      <c r="G76">
        <v>5</v>
      </c>
      <c r="H76">
        <v>3706.3307579451971</v>
      </c>
      <c r="I76">
        <v>205.90726433028871</v>
      </c>
      <c r="J76">
        <v>54.048901048050737</v>
      </c>
      <c r="K76" t="s">
        <v>14</v>
      </c>
      <c r="L76" t="s">
        <v>196</v>
      </c>
      <c r="Q76" s="1"/>
      <c r="R76" s="1"/>
      <c r="S76" s="1"/>
      <c r="T76" s="1"/>
      <c r="U76" s="1"/>
      <c r="V76" s="1"/>
    </row>
    <row r="77" spans="1:22" x14ac:dyDescent="0.3">
      <c r="A77" s="2">
        <v>170</v>
      </c>
      <c r="B77" t="s">
        <v>218</v>
      </c>
      <c r="C77" t="s">
        <v>218</v>
      </c>
      <c r="D77" t="s">
        <v>219</v>
      </c>
      <c r="E77">
        <v>11</v>
      </c>
      <c r="F77">
        <v>412</v>
      </c>
      <c r="G77">
        <v>0</v>
      </c>
      <c r="H77">
        <v>2204.02556562683</v>
      </c>
      <c r="I77">
        <v>200.36596051152989</v>
      </c>
      <c r="J77">
        <v>53.316668554325233</v>
      </c>
      <c r="K77" t="s">
        <v>14</v>
      </c>
      <c r="L77" t="s">
        <v>45</v>
      </c>
      <c r="Q77" s="1"/>
      <c r="R77" s="1"/>
      <c r="S77" s="1"/>
      <c r="T77" s="1"/>
      <c r="U77" s="1"/>
      <c r="V77" s="1"/>
    </row>
    <row r="78" spans="1:22" x14ac:dyDescent="0.3">
      <c r="A78" s="2">
        <v>10</v>
      </c>
      <c r="B78" t="s">
        <v>171</v>
      </c>
      <c r="C78" t="s">
        <v>171</v>
      </c>
      <c r="D78" t="s">
        <v>172</v>
      </c>
      <c r="E78">
        <v>8</v>
      </c>
      <c r="F78">
        <v>463</v>
      </c>
      <c r="G78">
        <v>0</v>
      </c>
      <c r="H78">
        <v>1591.748862446271</v>
      </c>
      <c r="I78">
        <v>198.96860780578379</v>
      </c>
      <c r="J78">
        <v>53.130427986271172</v>
      </c>
      <c r="K78" t="s">
        <v>14</v>
      </c>
      <c r="L78" t="s">
        <v>54</v>
      </c>
      <c r="Q78" s="1"/>
      <c r="R78" s="1"/>
      <c r="S78" s="1"/>
      <c r="T78" s="1"/>
      <c r="U78" s="1"/>
      <c r="V78" s="1"/>
    </row>
    <row r="79" spans="1:22" x14ac:dyDescent="0.3">
      <c r="A79" s="2">
        <v>229</v>
      </c>
      <c r="B79" t="s">
        <v>178</v>
      </c>
      <c r="C79" t="s">
        <v>178</v>
      </c>
      <c r="D79" t="s">
        <v>179</v>
      </c>
      <c r="E79">
        <v>16</v>
      </c>
      <c r="F79">
        <v>2736</v>
      </c>
      <c r="G79">
        <v>8</v>
      </c>
      <c r="H79">
        <v>3036.9715926851609</v>
      </c>
      <c r="I79">
        <v>189.81072454282261</v>
      </c>
      <c r="J79">
        <v>51.893314098780372</v>
      </c>
      <c r="K79" t="s">
        <v>69</v>
      </c>
      <c r="L79" t="s">
        <v>5</v>
      </c>
      <c r="Q79" s="1"/>
      <c r="R79" s="1"/>
      <c r="S79" s="1"/>
      <c r="T79" s="1"/>
      <c r="U79" s="1"/>
      <c r="V79" s="1"/>
    </row>
    <row r="80" spans="1:22" x14ac:dyDescent="0.3">
      <c r="A80" s="2">
        <v>141</v>
      </c>
      <c r="B80" t="s">
        <v>214</v>
      </c>
      <c r="C80" t="s">
        <v>214</v>
      </c>
      <c r="D80" t="s">
        <v>215</v>
      </c>
      <c r="E80">
        <v>13</v>
      </c>
      <c r="F80">
        <v>3341</v>
      </c>
      <c r="G80">
        <v>6</v>
      </c>
      <c r="H80">
        <v>2444.6445269880801</v>
      </c>
      <c r="I80">
        <v>188.04957899908311</v>
      </c>
      <c r="J80">
        <v>51.65200881652374</v>
      </c>
      <c r="K80" t="s">
        <v>14</v>
      </c>
      <c r="L80" t="s">
        <v>144</v>
      </c>
      <c r="Q80" s="1"/>
      <c r="R80" s="1"/>
      <c r="S80" s="1"/>
      <c r="T80" s="1"/>
      <c r="U80" s="1"/>
      <c r="V80" s="1"/>
    </row>
    <row r="81" spans="1:22" x14ac:dyDescent="0.3">
      <c r="A81" s="2">
        <v>117</v>
      </c>
      <c r="B81" t="s">
        <v>226</v>
      </c>
      <c r="C81" t="s">
        <v>226</v>
      </c>
      <c r="D81" t="s">
        <v>227</v>
      </c>
      <c r="E81">
        <v>23</v>
      </c>
      <c r="F81">
        <v>1592</v>
      </c>
      <c r="G81">
        <v>3</v>
      </c>
      <c r="H81">
        <v>4320.7154886333319</v>
      </c>
      <c r="I81">
        <v>187.85719515797089</v>
      </c>
      <c r="J81">
        <v>51.625580800246468</v>
      </c>
      <c r="K81" t="s">
        <v>14</v>
      </c>
      <c r="L81" t="s">
        <v>228</v>
      </c>
      <c r="Q81" s="1"/>
      <c r="R81" s="1"/>
      <c r="S81" s="1"/>
      <c r="T81" s="1"/>
      <c r="U81" s="1"/>
      <c r="V81" s="1"/>
    </row>
    <row r="82" spans="1:22" x14ac:dyDescent="0.3">
      <c r="A82" s="2">
        <v>49</v>
      </c>
      <c r="B82" t="s">
        <v>235</v>
      </c>
      <c r="C82" t="s">
        <v>236</v>
      </c>
      <c r="D82" t="s">
        <v>237</v>
      </c>
      <c r="E82">
        <v>46</v>
      </c>
      <c r="F82">
        <v>2852</v>
      </c>
      <c r="G82">
        <v>6</v>
      </c>
      <c r="H82">
        <v>8602.2244329036967</v>
      </c>
      <c r="I82">
        <v>187.0048789761673</v>
      </c>
      <c r="J82">
        <v>51.508333919220497</v>
      </c>
      <c r="K82" t="s">
        <v>14</v>
      </c>
      <c r="L82" t="s">
        <v>238</v>
      </c>
      <c r="Q82" s="1"/>
      <c r="R82" s="1"/>
      <c r="S82" s="1"/>
      <c r="T82" s="1"/>
      <c r="U82" s="1"/>
      <c r="V82" s="1"/>
    </row>
    <row r="83" spans="1:22" x14ac:dyDescent="0.3">
      <c r="A83" s="2">
        <v>75</v>
      </c>
      <c r="B83" t="s">
        <v>239</v>
      </c>
      <c r="C83" t="s">
        <v>240</v>
      </c>
      <c r="D83" t="s">
        <v>241</v>
      </c>
      <c r="E83">
        <v>28</v>
      </c>
      <c r="F83">
        <v>1949</v>
      </c>
      <c r="G83">
        <v>2</v>
      </c>
      <c r="H83">
        <v>5120.5869957070863</v>
      </c>
      <c r="I83">
        <v>182.87810698953879</v>
      </c>
      <c r="J83">
        <v>50.936827529894217</v>
      </c>
      <c r="K83" t="s">
        <v>14</v>
      </c>
      <c r="L83" t="s">
        <v>15</v>
      </c>
      <c r="Q83" s="1"/>
      <c r="R83" s="1"/>
      <c r="S83" s="1"/>
      <c r="T83" s="1"/>
      <c r="U83" s="1"/>
      <c r="V83" s="1"/>
    </row>
    <row r="84" spans="1:22" x14ac:dyDescent="0.3">
      <c r="A84" s="2">
        <v>87</v>
      </c>
      <c r="B84" t="s">
        <v>202</v>
      </c>
      <c r="C84" t="s">
        <v>202</v>
      </c>
      <c r="D84" t="s">
        <v>203</v>
      </c>
      <c r="E84">
        <v>5</v>
      </c>
      <c r="F84">
        <v>489</v>
      </c>
      <c r="G84">
        <v>1</v>
      </c>
      <c r="H84">
        <v>906.19464242736581</v>
      </c>
      <c r="I84">
        <v>181.2389284854732</v>
      </c>
      <c r="J84">
        <v>50.708034448639303</v>
      </c>
      <c r="K84" t="s">
        <v>14</v>
      </c>
      <c r="L84" t="s">
        <v>54</v>
      </c>
      <c r="Q84" s="1"/>
      <c r="R84" s="1"/>
      <c r="S84" s="1"/>
      <c r="T84" s="1"/>
      <c r="U84" s="1"/>
      <c r="V84" s="1"/>
    </row>
    <row r="85" spans="1:22" x14ac:dyDescent="0.3">
      <c r="A85" s="2">
        <v>125</v>
      </c>
      <c r="B85" t="s">
        <v>222</v>
      </c>
      <c r="C85" t="s">
        <v>222</v>
      </c>
      <c r="D85" t="s">
        <v>223</v>
      </c>
      <c r="E85">
        <v>9</v>
      </c>
      <c r="F85">
        <v>518</v>
      </c>
      <c r="G85">
        <v>0</v>
      </c>
      <c r="H85">
        <v>1614.9868481174949</v>
      </c>
      <c r="I85">
        <v>179.44298312416609</v>
      </c>
      <c r="J85">
        <v>50.456169158866857</v>
      </c>
      <c r="K85" t="s">
        <v>14</v>
      </c>
      <c r="L85" t="s">
        <v>54</v>
      </c>
      <c r="Q85" s="1"/>
      <c r="R85" s="1"/>
      <c r="S85" s="1"/>
      <c r="T85" s="1"/>
      <c r="U85" s="1"/>
      <c r="V85" s="1"/>
    </row>
    <row r="86" spans="1:22" x14ac:dyDescent="0.3">
      <c r="A86" s="2">
        <v>85</v>
      </c>
      <c r="B86" t="s">
        <v>253</v>
      </c>
      <c r="C86" t="s">
        <v>253</v>
      </c>
      <c r="D86" t="s">
        <v>254</v>
      </c>
      <c r="E86">
        <v>6</v>
      </c>
      <c r="F86">
        <v>147</v>
      </c>
      <c r="G86">
        <v>0</v>
      </c>
      <c r="H86">
        <v>1076.239336757639</v>
      </c>
      <c r="I86">
        <v>179.3732227929398</v>
      </c>
      <c r="J86">
        <v>50.446360524470322</v>
      </c>
      <c r="K86" t="s">
        <v>14</v>
      </c>
      <c r="L86" t="s">
        <v>54</v>
      </c>
      <c r="Q86" s="1"/>
      <c r="R86" s="1"/>
      <c r="S86" s="1"/>
      <c r="T86" s="1"/>
      <c r="U86" s="1"/>
      <c r="V86" s="1"/>
    </row>
    <row r="87" spans="1:22" x14ac:dyDescent="0.3">
      <c r="A87" s="2">
        <v>138</v>
      </c>
      <c r="B87" t="s">
        <v>244</v>
      </c>
      <c r="C87" t="s">
        <v>244</v>
      </c>
      <c r="D87" t="s">
        <v>245</v>
      </c>
      <c r="E87">
        <v>31</v>
      </c>
      <c r="F87">
        <v>3830</v>
      </c>
      <c r="G87">
        <v>6</v>
      </c>
      <c r="H87">
        <v>5544.7895391082184</v>
      </c>
      <c r="I87">
        <v>178.8641786809103</v>
      </c>
      <c r="J87">
        <v>50.374728685462827</v>
      </c>
      <c r="K87" t="s">
        <v>14</v>
      </c>
      <c r="L87" t="s">
        <v>246</v>
      </c>
      <c r="Q87" s="1"/>
      <c r="R87" s="1"/>
      <c r="S87" s="1"/>
      <c r="T87" s="1"/>
      <c r="U87" s="1"/>
      <c r="V87" s="1"/>
    </row>
    <row r="88" spans="1:22" x14ac:dyDescent="0.3">
      <c r="A88" s="2">
        <v>145</v>
      </c>
      <c r="B88" t="s">
        <v>233</v>
      </c>
      <c r="C88" t="s">
        <v>233</v>
      </c>
      <c r="D88" t="s">
        <v>234</v>
      </c>
      <c r="E88">
        <v>12</v>
      </c>
      <c r="F88">
        <v>1888</v>
      </c>
      <c r="G88">
        <v>5</v>
      </c>
      <c r="H88">
        <v>2123.1763766945342</v>
      </c>
      <c r="I88">
        <v>176.93136472454449</v>
      </c>
      <c r="J88">
        <v>50.101813664850582</v>
      </c>
      <c r="K88" t="s">
        <v>69</v>
      </c>
      <c r="L88" t="s">
        <v>5</v>
      </c>
      <c r="Q88" s="1"/>
      <c r="R88" s="1"/>
      <c r="S88" s="1"/>
      <c r="T88" s="1"/>
      <c r="U88" s="1"/>
      <c r="V88" s="1"/>
    </row>
    <row r="89" spans="1:22" x14ac:dyDescent="0.3">
      <c r="A89" s="2">
        <v>91</v>
      </c>
      <c r="B89" t="s">
        <v>231</v>
      </c>
      <c r="C89" t="s">
        <v>231</v>
      </c>
      <c r="D89" t="s">
        <v>232</v>
      </c>
      <c r="E89">
        <v>9</v>
      </c>
      <c r="F89">
        <v>656</v>
      </c>
      <c r="G89">
        <v>1</v>
      </c>
      <c r="H89">
        <v>1592.1497317871419</v>
      </c>
      <c r="I89">
        <v>176.9055257541269</v>
      </c>
      <c r="J89">
        <v>50.098155109027097</v>
      </c>
      <c r="K89" t="s">
        <v>14</v>
      </c>
      <c r="L89" t="s">
        <v>54</v>
      </c>
      <c r="Q89" s="1"/>
      <c r="R89" s="1"/>
      <c r="S89" s="1"/>
      <c r="T89" s="1"/>
      <c r="U89" s="1"/>
      <c r="V89" s="1"/>
    </row>
    <row r="90" spans="1:22" x14ac:dyDescent="0.3">
      <c r="A90" s="2">
        <v>98</v>
      </c>
      <c r="B90" t="s">
        <v>260</v>
      </c>
      <c r="C90" t="s">
        <v>260</v>
      </c>
      <c r="D90" t="s">
        <v>261</v>
      </c>
      <c r="E90">
        <v>11</v>
      </c>
      <c r="F90">
        <v>601</v>
      </c>
      <c r="G90">
        <v>1</v>
      </c>
      <c r="H90">
        <v>1897.6993163055311</v>
      </c>
      <c r="I90">
        <v>172.51811966413919</v>
      </c>
      <c r="J90">
        <v>49.47301655526401</v>
      </c>
      <c r="K90" t="s">
        <v>14</v>
      </c>
      <c r="L90" t="s">
        <v>54</v>
      </c>
      <c r="Q90" s="1"/>
      <c r="R90" s="1"/>
      <c r="S90" s="1"/>
      <c r="T90" s="1"/>
      <c r="U90" s="1"/>
      <c r="V90" s="1"/>
    </row>
    <row r="91" spans="1:22" x14ac:dyDescent="0.3">
      <c r="A91" s="2">
        <v>164</v>
      </c>
      <c r="B91" t="s">
        <v>210</v>
      </c>
      <c r="C91" t="s">
        <v>210</v>
      </c>
      <c r="D91" t="s">
        <v>211</v>
      </c>
      <c r="E91">
        <v>7</v>
      </c>
      <c r="F91">
        <v>113</v>
      </c>
      <c r="G91">
        <v>0</v>
      </c>
      <c r="H91">
        <v>1197.6975535323791</v>
      </c>
      <c r="I91">
        <v>171.09965050462549</v>
      </c>
      <c r="J91">
        <v>49.269209576452248</v>
      </c>
      <c r="K91" t="s">
        <v>14</v>
      </c>
      <c r="L91" t="s">
        <v>45</v>
      </c>
      <c r="Q91" s="1"/>
      <c r="R91" s="1"/>
      <c r="S91" s="1"/>
      <c r="T91" s="1"/>
      <c r="U91" s="1"/>
      <c r="V91" s="1"/>
    </row>
    <row r="92" spans="1:22" x14ac:dyDescent="0.3">
      <c r="A92" s="2">
        <v>213</v>
      </c>
      <c r="B92" t="s">
        <v>229</v>
      </c>
      <c r="C92" t="s">
        <v>229</v>
      </c>
      <c r="D92" t="s">
        <v>230</v>
      </c>
      <c r="E92">
        <v>10</v>
      </c>
      <c r="F92">
        <v>338</v>
      </c>
      <c r="G92">
        <v>0</v>
      </c>
      <c r="H92">
        <v>1707.268098515191</v>
      </c>
      <c r="I92">
        <v>170.72680985151911</v>
      </c>
      <c r="J92">
        <v>49.21549940711472</v>
      </c>
      <c r="K92" t="s">
        <v>14</v>
      </c>
      <c r="L92" t="s">
        <v>54</v>
      </c>
      <c r="Q92" s="1"/>
      <c r="R92" s="1"/>
      <c r="S92" s="1"/>
      <c r="T92" s="1"/>
      <c r="U92" s="1"/>
      <c r="V92" s="1"/>
    </row>
    <row r="93" spans="1:22" x14ac:dyDescent="0.3">
      <c r="A93" s="2">
        <v>169</v>
      </c>
      <c r="B93" t="s">
        <v>247</v>
      </c>
      <c r="C93" t="s">
        <v>247</v>
      </c>
      <c r="D93" t="s">
        <v>248</v>
      </c>
      <c r="E93">
        <v>16</v>
      </c>
      <c r="F93">
        <v>674</v>
      </c>
      <c r="G93">
        <v>0</v>
      </c>
      <c r="H93">
        <v>2728.17814500548</v>
      </c>
      <c r="I93">
        <v>170.5111340628425</v>
      </c>
      <c r="J93">
        <v>49.184403101622877</v>
      </c>
      <c r="K93" t="s">
        <v>14</v>
      </c>
      <c r="L93" t="s">
        <v>45</v>
      </c>
      <c r="Q93" s="1"/>
      <c r="R93" s="1"/>
      <c r="S93" s="1"/>
      <c r="T93" s="1"/>
      <c r="U93" s="1"/>
      <c r="V93" s="1"/>
    </row>
    <row r="94" spans="1:22" x14ac:dyDescent="0.3">
      <c r="A94" s="2">
        <v>4</v>
      </c>
      <c r="B94" t="s">
        <v>249</v>
      </c>
      <c r="C94" t="s">
        <v>249</v>
      </c>
      <c r="D94" t="s">
        <v>250</v>
      </c>
      <c r="E94">
        <v>12</v>
      </c>
      <c r="F94">
        <v>773</v>
      </c>
      <c r="G94">
        <v>0</v>
      </c>
      <c r="H94">
        <v>2042.7099699470989</v>
      </c>
      <c r="I94">
        <v>170.2258308289249</v>
      </c>
      <c r="J94">
        <v>49.143237625477958</v>
      </c>
      <c r="K94" t="s">
        <v>14</v>
      </c>
      <c r="L94" t="s">
        <v>26</v>
      </c>
      <c r="Q94" s="1"/>
      <c r="R94" s="1"/>
      <c r="S94" s="1"/>
      <c r="T94" s="1"/>
      <c r="U94" s="1"/>
      <c r="V94" s="1"/>
    </row>
    <row r="95" spans="1:22" x14ac:dyDescent="0.3">
      <c r="A95" s="2">
        <v>29</v>
      </c>
      <c r="B95" t="s">
        <v>258</v>
      </c>
      <c r="C95" t="s">
        <v>258</v>
      </c>
      <c r="D95" t="s">
        <v>259</v>
      </c>
      <c r="E95">
        <v>11</v>
      </c>
      <c r="F95">
        <v>704</v>
      </c>
      <c r="G95">
        <v>1</v>
      </c>
      <c r="H95">
        <v>1870.480878389086</v>
      </c>
      <c r="I95">
        <v>170.04371621718971</v>
      </c>
      <c r="J95">
        <v>49.116942859967857</v>
      </c>
      <c r="K95" t="s">
        <v>14</v>
      </c>
      <c r="L95" t="s">
        <v>33</v>
      </c>
      <c r="Q95" s="1"/>
      <c r="R95" s="1"/>
      <c r="S95" s="1"/>
      <c r="T95" s="1"/>
      <c r="U95" s="1"/>
      <c r="V95" s="1"/>
    </row>
    <row r="96" spans="1:22" x14ac:dyDescent="0.3">
      <c r="A96" s="2">
        <v>17</v>
      </c>
      <c r="B96" t="s">
        <v>262</v>
      </c>
      <c r="C96" t="s">
        <v>263</v>
      </c>
      <c r="D96" t="s">
        <v>264</v>
      </c>
      <c r="E96">
        <v>19</v>
      </c>
      <c r="F96">
        <v>913</v>
      </c>
      <c r="G96">
        <v>0</v>
      </c>
      <c r="H96">
        <v>3163.2535772376968</v>
      </c>
      <c r="I96">
        <v>166.4870303809314</v>
      </c>
      <c r="J96">
        <v>48.600555942743831</v>
      </c>
      <c r="K96" t="s">
        <v>14</v>
      </c>
      <c r="L96" t="s">
        <v>26</v>
      </c>
      <c r="Q96" s="1"/>
      <c r="R96" s="1"/>
      <c r="S96" s="1"/>
      <c r="T96" s="1"/>
      <c r="U96" s="1"/>
      <c r="V96" s="1"/>
    </row>
    <row r="97" spans="1:22" x14ac:dyDescent="0.3">
      <c r="A97" s="2">
        <v>174</v>
      </c>
      <c r="B97" t="s">
        <v>267</v>
      </c>
      <c r="C97" t="s">
        <v>267</v>
      </c>
      <c r="D97" t="s">
        <v>268</v>
      </c>
      <c r="E97">
        <v>8</v>
      </c>
      <c r="F97">
        <v>386</v>
      </c>
      <c r="G97">
        <v>1</v>
      </c>
      <c r="H97">
        <v>1322.372306071346</v>
      </c>
      <c r="I97">
        <v>165.29653825891819</v>
      </c>
      <c r="J97">
        <v>48.426481175296132</v>
      </c>
      <c r="K97" t="s">
        <v>14</v>
      </c>
      <c r="L97" t="s">
        <v>45</v>
      </c>
      <c r="Q97" s="1"/>
      <c r="R97" s="1"/>
      <c r="S97" s="1"/>
      <c r="T97" s="1"/>
      <c r="U97" s="1"/>
      <c r="V97" s="1"/>
    </row>
    <row r="98" spans="1:22" x14ac:dyDescent="0.3">
      <c r="A98" s="2">
        <v>59</v>
      </c>
      <c r="B98" t="s">
        <v>255</v>
      </c>
      <c r="C98" t="s">
        <v>256</v>
      </c>
      <c r="D98" t="s">
        <v>257</v>
      </c>
      <c r="E98">
        <v>18</v>
      </c>
      <c r="F98">
        <v>1786</v>
      </c>
      <c r="G98">
        <v>4</v>
      </c>
      <c r="H98">
        <v>2957.6852093037401</v>
      </c>
      <c r="I98">
        <v>164.3158449613189</v>
      </c>
      <c r="J98">
        <v>48.282611930466771</v>
      </c>
      <c r="K98" t="s">
        <v>14</v>
      </c>
      <c r="L98" t="s">
        <v>22</v>
      </c>
      <c r="Q98" s="1"/>
      <c r="R98" s="1"/>
      <c r="S98" s="1"/>
      <c r="T98" s="1"/>
      <c r="U98" s="1"/>
      <c r="V98" s="1"/>
    </row>
    <row r="99" spans="1:22" x14ac:dyDescent="0.3">
      <c r="A99" s="2">
        <v>6</v>
      </c>
      <c r="B99" t="s">
        <v>265</v>
      </c>
      <c r="C99" t="s">
        <v>265</v>
      </c>
      <c r="D99" t="s">
        <v>266</v>
      </c>
      <c r="E99">
        <v>19</v>
      </c>
      <c r="F99">
        <v>1184</v>
      </c>
      <c r="G99">
        <v>2</v>
      </c>
      <c r="H99">
        <v>3057.401243995947</v>
      </c>
      <c r="I99">
        <v>160.91585494715511</v>
      </c>
      <c r="J99">
        <v>47.78047382928056</v>
      </c>
      <c r="K99" t="s">
        <v>14</v>
      </c>
      <c r="L99" t="s">
        <v>196</v>
      </c>
      <c r="Q99" s="1"/>
      <c r="R99" s="1"/>
      <c r="S99" s="1"/>
      <c r="T99" s="1"/>
      <c r="U99" s="1"/>
      <c r="V99" s="1"/>
    </row>
    <row r="100" spans="1:22" x14ac:dyDescent="0.3">
      <c r="A100" s="2">
        <v>103</v>
      </c>
      <c r="B100" t="s">
        <v>251</v>
      </c>
      <c r="C100" t="s">
        <v>251</v>
      </c>
      <c r="D100" t="s">
        <v>252</v>
      </c>
      <c r="E100">
        <v>5</v>
      </c>
      <c r="F100">
        <v>1006</v>
      </c>
      <c r="G100">
        <v>2</v>
      </c>
      <c r="H100">
        <v>793.79365520678152</v>
      </c>
      <c r="I100">
        <v>158.7587310413563</v>
      </c>
      <c r="J100">
        <v>47.459137710384923</v>
      </c>
      <c r="K100" t="s">
        <v>14</v>
      </c>
      <c r="L100" t="s">
        <v>196</v>
      </c>
      <c r="Q100" s="1"/>
      <c r="R100" s="1"/>
      <c r="S100" s="1"/>
      <c r="T100" s="1"/>
      <c r="U100" s="1"/>
      <c r="V100" s="1"/>
    </row>
    <row r="101" spans="1:22" x14ac:dyDescent="0.3">
      <c r="A101" s="2">
        <v>110</v>
      </c>
      <c r="B101" t="s">
        <v>216</v>
      </c>
      <c r="C101" t="s">
        <v>216</v>
      </c>
      <c r="D101" t="s">
        <v>217</v>
      </c>
      <c r="E101">
        <v>11</v>
      </c>
      <c r="F101">
        <v>1663</v>
      </c>
      <c r="G101">
        <v>3</v>
      </c>
      <c r="H101">
        <v>1707.2967756516409</v>
      </c>
      <c r="I101">
        <v>155.20879778651289</v>
      </c>
      <c r="J101">
        <v>46.925531596953967</v>
      </c>
      <c r="K101" t="s">
        <v>69</v>
      </c>
      <c r="L101" t="s">
        <v>5</v>
      </c>
      <c r="Q101" s="1"/>
      <c r="R101" s="1"/>
      <c r="S101" s="1"/>
      <c r="T101" s="1"/>
      <c r="U101" s="1"/>
      <c r="V101" s="1"/>
    </row>
    <row r="102" spans="1:22" x14ac:dyDescent="0.3">
      <c r="A102" s="2">
        <v>115</v>
      </c>
      <c r="B102" t="s">
        <v>220</v>
      </c>
      <c r="C102" t="s">
        <v>220</v>
      </c>
      <c r="D102" t="s">
        <v>221</v>
      </c>
      <c r="E102">
        <v>12</v>
      </c>
      <c r="F102">
        <v>2180</v>
      </c>
      <c r="G102">
        <v>3</v>
      </c>
      <c r="H102">
        <v>1845.8097351360479</v>
      </c>
      <c r="I102">
        <v>153.817477928004</v>
      </c>
      <c r="J102">
        <v>46.714733630827723</v>
      </c>
      <c r="K102" t="s">
        <v>69</v>
      </c>
      <c r="L102" t="s">
        <v>5</v>
      </c>
      <c r="Q102" s="1"/>
      <c r="R102" s="1"/>
      <c r="S102" s="1"/>
      <c r="T102" s="1"/>
      <c r="U102" s="1"/>
      <c r="V102" s="1"/>
    </row>
    <row r="103" spans="1:22" x14ac:dyDescent="0.3">
      <c r="A103" s="2">
        <v>12</v>
      </c>
      <c r="B103" t="s">
        <v>269</v>
      </c>
      <c r="C103" t="s">
        <v>269</v>
      </c>
      <c r="D103" t="s">
        <v>270</v>
      </c>
      <c r="E103">
        <v>12</v>
      </c>
      <c r="F103">
        <v>762</v>
      </c>
      <c r="G103">
        <v>0</v>
      </c>
      <c r="H103">
        <v>1832.499531359492</v>
      </c>
      <c r="I103">
        <v>152.70829427995761</v>
      </c>
      <c r="J103">
        <v>46.545998035695753</v>
      </c>
      <c r="K103" t="s">
        <v>14</v>
      </c>
      <c r="L103" t="s">
        <v>54</v>
      </c>
      <c r="Q103" s="1"/>
      <c r="R103" s="1"/>
      <c r="S103" s="1"/>
      <c r="T103" s="1"/>
      <c r="U103" s="1"/>
      <c r="V103" s="1"/>
    </row>
    <row r="104" spans="1:22" x14ac:dyDescent="0.3">
      <c r="A104" s="2">
        <v>2</v>
      </c>
      <c r="B104" t="s">
        <v>242</v>
      </c>
      <c r="C104" t="s">
        <v>242</v>
      </c>
      <c r="D104" t="s">
        <v>243</v>
      </c>
      <c r="E104">
        <v>5</v>
      </c>
      <c r="F104">
        <v>334</v>
      </c>
      <c r="G104">
        <v>1</v>
      </c>
      <c r="H104">
        <v>759.42795419097047</v>
      </c>
      <c r="I104">
        <v>151.8855908381941</v>
      </c>
      <c r="J104">
        <v>46.420447330638588</v>
      </c>
      <c r="K104" t="s">
        <v>14</v>
      </c>
      <c r="L104" t="s">
        <v>26</v>
      </c>
      <c r="Q104" s="1"/>
      <c r="R104" s="1"/>
      <c r="S104" s="1"/>
      <c r="T104" s="1"/>
      <c r="U104" s="1"/>
      <c r="V104" s="1"/>
    </row>
    <row r="105" spans="1:22" x14ac:dyDescent="0.3">
      <c r="A105" s="2">
        <v>320</v>
      </c>
      <c r="B105" t="s">
        <v>224</v>
      </c>
      <c r="C105" t="s">
        <v>224</v>
      </c>
      <c r="D105" t="s">
        <v>225</v>
      </c>
      <c r="E105">
        <v>15</v>
      </c>
      <c r="F105">
        <v>2664</v>
      </c>
      <c r="G105">
        <v>5</v>
      </c>
      <c r="H105">
        <v>2261.3712159093848</v>
      </c>
      <c r="I105">
        <v>150.75808106062561</v>
      </c>
      <c r="J105">
        <v>46.247827253104319</v>
      </c>
      <c r="K105" t="s">
        <v>69</v>
      </c>
      <c r="L105" t="s">
        <v>5</v>
      </c>
      <c r="Q105" s="1"/>
      <c r="R105" s="1"/>
      <c r="S105" s="1"/>
      <c r="T105" s="1"/>
      <c r="U105" s="1"/>
      <c r="V105" s="1"/>
    </row>
    <row r="106" spans="1:22" x14ac:dyDescent="0.3">
      <c r="A106" s="2">
        <v>225</v>
      </c>
      <c r="B106" t="s">
        <v>277</v>
      </c>
      <c r="C106" t="s">
        <v>277</v>
      </c>
      <c r="D106" t="s">
        <v>278</v>
      </c>
      <c r="E106">
        <v>11</v>
      </c>
      <c r="F106">
        <v>350</v>
      </c>
      <c r="G106">
        <v>1</v>
      </c>
      <c r="H106">
        <v>1587.2653807814499</v>
      </c>
      <c r="I106">
        <v>144.29685279831369</v>
      </c>
      <c r="J106">
        <v>45.245924161504519</v>
      </c>
      <c r="K106" t="s">
        <v>14</v>
      </c>
      <c r="L106" t="s">
        <v>54</v>
      </c>
      <c r="Q106" s="1"/>
      <c r="R106" s="1"/>
      <c r="S106" s="1"/>
      <c r="T106" s="1"/>
      <c r="U106" s="1"/>
      <c r="V106" s="1"/>
    </row>
    <row r="107" spans="1:22" x14ac:dyDescent="0.3">
      <c r="A107" s="2">
        <v>83</v>
      </c>
      <c r="B107" t="s">
        <v>298</v>
      </c>
      <c r="C107" t="s">
        <v>299</v>
      </c>
      <c r="D107" t="s">
        <v>300</v>
      </c>
      <c r="E107">
        <v>15</v>
      </c>
      <c r="F107">
        <v>294</v>
      </c>
      <c r="G107">
        <v>0</v>
      </c>
      <c r="H107">
        <v>2143.5270410916851</v>
      </c>
      <c r="I107">
        <v>142.9018027394456</v>
      </c>
      <c r="J107">
        <v>45.026676026744411</v>
      </c>
      <c r="K107" t="s">
        <v>14</v>
      </c>
      <c r="L107" t="s">
        <v>22</v>
      </c>
      <c r="Q107" s="1"/>
      <c r="R107" s="1"/>
      <c r="S107" s="1"/>
      <c r="T107" s="1"/>
      <c r="U107" s="1"/>
      <c r="V107" s="1"/>
    </row>
    <row r="108" spans="1:22" x14ac:dyDescent="0.3">
      <c r="A108" s="2">
        <v>64</v>
      </c>
      <c r="B108" t="s">
        <v>281</v>
      </c>
      <c r="C108" t="s">
        <v>282</v>
      </c>
      <c r="D108" t="s">
        <v>283</v>
      </c>
      <c r="E108">
        <v>13</v>
      </c>
      <c r="F108">
        <v>672</v>
      </c>
      <c r="G108">
        <v>0</v>
      </c>
      <c r="H108">
        <v>1842.6106101105891</v>
      </c>
      <c r="I108">
        <v>141.7392777008146</v>
      </c>
      <c r="J108">
        <v>44.843153040483493</v>
      </c>
      <c r="K108" t="s">
        <v>14</v>
      </c>
      <c r="L108" t="s">
        <v>54</v>
      </c>
      <c r="Q108" s="1"/>
      <c r="R108" s="1"/>
      <c r="S108" s="1"/>
      <c r="T108" s="1"/>
      <c r="U108" s="1"/>
      <c r="V108" s="1"/>
    </row>
    <row r="109" spans="1:22" x14ac:dyDescent="0.3">
      <c r="A109" s="2">
        <v>95</v>
      </c>
      <c r="B109" t="s">
        <v>293</v>
      </c>
      <c r="C109" t="s">
        <v>294</v>
      </c>
      <c r="D109" t="s">
        <v>295</v>
      </c>
      <c r="E109">
        <v>20</v>
      </c>
      <c r="F109">
        <v>708</v>
      </c>
      <c r="G109">
        <v>0</v>
      </c>
      <c r="H109">
        <v>2720.1943938299278</v>
      </c>
      <c r="I109">
        <v>136.0097196914964</v>
      </c>
      <c r="J109">
        <v>43.927451359328487</v>
      </c>
      <c r="K109" t="s">
        <v>14</v>
      </c>
      <c r="L109" t="s">
        <v>26</v>
      </c>
      <c r="Q109" s="1"/>
      <c r="R109" s="1"/>
      <c r="S109" s="1"/>
      <c r="T109" s="1"/>
      <c r="U109" s="1"/>
      <c r="V109" s="1"/>
    </row>
    <row r="110" spans="1:22" x14ac:dyDescent="0.3">
      <c r="A110" s="2">
        <v>7</v>
      </c>
      <c r="B110" t="s">
        <v>284</v>
      </c>
      <c r="C110" t="s">
        <v>285</v>
      </c>
      <c r="D110" t="s">
        <v>286</v>
      </c>
      <c r="E110">
        <v>28</v>
      </c>
      <c r="F110">
        <v>1902</v>
      </c>
      <c r="G110">
        <v>2</v>
      </c>
      <c r="H110">
        <v>3765.2815871040848</v>
      </c>
      <c r="I110">
        <v>134.47434239657451</v>
      </c>
      <c r="J110">
        <v>43.678805026071771</v>
      </c>
      <c r="K110" t="s">
        <v>14</v>
      </c>
      <c r="L110" t="s">
        <v>238</v>
      </c>
      <c r="Q110" s="1"/>
      <c r="R110" s="1"/>
      <c r="S110" s="1"/>
      <c r="T110" s="1"/>
      <c r="U110" s="1"/>
      <c r="V110" s="1"/>
    </row>
    <row r="111" spans="1:22" x14ac:dyDescent="0.3">
      <c r="A111" s="2">
        <v>43</v>
      </c>
      <c r="B111" t="s">
        <v>296</v>
      </c>
      <c r="C111" t="s">
        <v>296</v>
      </c>
      <c r="D111" t="s">
        <v>297</v>
      </c>
      <c r="E111">
        <v>22</v>
      </c>
      <c r="F111">
        <v>1645</v>
      </c>
      <c r="G111">
        <v>1</v>
      </c>
      <c r="H111">
        <v>2842.3608777739469</v>
      </c>
      <c r="I111">
        <v>129.19822171699761</v>
      </c>
      <c r="J111">
        <v>42.81335892618506</v>
      </c>
      <c r="K111" t="s">
        <v>14</v>
      </c>
      <c r="L111" t="s">
        <v>26</v>
      </c>
      <c r="Q111" s="1"/>
      <c r="R111" s="1"/>
      <c r="S111" s="1"/>
      <c r="T111" s="1"/>
      <c r="U111" s="1"/>
      <c r="V111" s="1"/>
    </row>
    <row r="112" spans="1:22" x14ac:dyDescent="0.3">
      <c r="A112" s="2">
        <v>3</v>
      </c>
      <c r="B112" t="s">
        <v>305</v>
      </c>
      <c r="C112" t="s">
        <v>306</v>
      </c>
      <c r="D112" t="s">
        <v>307</v>
      </c>
      <c r="E112">
        <v>21</v>
      </c>
      <c r="F112">
        <v>852</v>
      </c>
      <c r="G112">
        <v>1</v>
      </c>
      <c r="H112">
        <v>2672.673523235118</v>
      </c>
      <c r="I112">
        <v>127.27016777310079</v>
      </c>
      <c r="J112">
        <v>42.492701455669753</v>
      </c>
      <c r="K112" t="s">
        <v>14</v>
      </c>
      <c r="L112" t="s">
        <v>26</v>
      </c>
      <c r="Q112" s="1"/>
      <c r="R112" s="1"/>
      <c r="S112" s="1"/>
      <c r="T112" s="1"/>
      <c r="U112" s="1"/>
      <c r="V112" s="1"/>
    </row>
    <row r="113" spans="1:22" x14ac:dyDescent="0.3">
      <c r="A113" s="2">
        <v>21</v>
      </c>
      <c r="B113" t="s">
        <v>271</v>
      </c>
      <c r="C113" t="s">
        <v>271</v>
      </c>
      <c r="D113" t="s">
        <v>272</v>
      </c>
      <c r="E113">
        <v>13</v>
      </c>
      <c r="F113">
        <v>3261</v>
      </c>
      <c r="G113">
        <v>4</v>
      </c>
      <c r="H113">
        <v>1640.0689294722879</v>
      </c>
      <c r="I113">
        <v>126.1591484209452</v>
      </c>
      <c r="J113">
        <v>42.306822477193158</v>
      </c>
      <c r="K113" t="s">
        <v>69</v>
      </c>
      <c r="L113" t="s">
        <v>5</v>
      </c>
      <c r="Q113" s="1"/>
      <c r="R113" s="1"/>
      <c r="S113" s="1"/>
      <c r="T113" s="1"/>
      <c r="U113" s="1"/>
      <c r="V113" s="1"/>
    </row>
    <row r="114" spans="1:22" x14ac:dyDescent="0.3">
      <c r="A114" s="2">
        <v>106</v>
      </c>
      <c r="B114" t="s">
        <v>319</v>
      </c>
      <c r="C114" t="s">
        <v>320</v>
      </c>
      <c r="D114" t="s">
        <v>321</v>
      </c>
      <c r="E114">
        <v>26</v>
      </c>
      <c r="F114">
        <v>818</v>
      </c>
      <c r="G114">
        <v>0</v>
      </c>
      <c r="H114">
        <v>3254.1610427696642</v>
      </c>
      <c r="I114">
        <v>125.1600401065255</v>
      </c>
      <c r="J114">
        <v>42.138966564957073</v>
      </c>
      <c r="K114" t="s">
        <v>14</v>
      </c>
      <c r="L114" t="s">
        <v>33</v>
      </c>
      <c r="Q114" s="1"/>
      <c r="R114" s="1"/>
      <c r="S114" s="1"/>
      <c r="T114" s="1"/>
      <c r="U114" s="1"/>
      <c r="V114" s="1"/>
    </row>
    <row r="115" spans="1:22" x14ac:dyDescent="0.3">
      <c r="A115" s="2">
        <v>36</v>
      </c>
      <c r="B115" t="s">
        <v>308</v>
      </c>
      <c r="C115" t="s">
        <v>308</v>
      </c>
      <c r="D115" t="s">
        <v>309</v>
      </c>
      <c r="E115">
        <v>21</v>
      </c>
      <c r="F115">
        <v>1934</v>
      </c>
      <c r="G115">
        <v>3</v>
      </c>
      <c r="H115">
        <v>2593.2232237522612</v>
      </c>
      <c r="I115">
        <v>123.4868201786791</v>
      </c>
      <c r="J115">
        <v>41.856348425663313</v>
      </c>
      <c r="K115" t="s">
        <v>14</v>
      </c>
      <c r="L115" t="s">
        <v>45</v>
      </c>
      <c r="Q115" s="1"/>
      <c r="R115" s="1"/>
      <c r="S115" s="1"/>
      <c r="T115" s="1"/>
      <c r="U115" s="1"/>
      <c r="V115" s="1"/>
    </row>
    <row r="116" spans="1:22" x14ac:dyDescent="0.3">
      <c r="A116" s="2">
        <v>173</v>
      </c>
      <c r="B116" t="s">
        <v>301</v>
      </c>
      <c r="C116" t="s">
        <v>301</v>
      </c>
      <c r="D116" t="s">
        <v>302</v>
      </c>
      <c r="E116">
        <v>9</v>
      </c>
      <c r="F116">
        <v>830</v>
      </c>
      <c r="G116">
        <v>0</v>
      </c>
      <c r="H116">
        <v>1072.246673821239</v>
      </c>
      <c r="I116">
        <v>119.13851931347099</v>
      </c>
      <c r="J116">
        <v>41.112807320748061</v>
      </c>
      <c r="K116" t="s">
        <v>14</v>
      </c>
      <c r="L116" t="s">
        <v>54</v>
      </c>
      <c r="Q116" s="1"/>
      <c r="R116" s="1"/>
      <c r="S116" s="1"/>
      <c r="T116" s="1"/>
      <c r="U116" s="1"/>
      <c r="V116" s="1"/>
    </row>
    <row r="117" spans="1:22" x14ac:dyDescent="0.3">
      <c r="A117" s="2">
        <v>94</v>
      </c>
      <c r="B117" t="s">
        <v>324</v>
      </c>
      <c r="C117" t="s">
        <v>324</v>
      </c>
      <c r="D117" t="s">
        <v>325</v>
      </c>
      <c r="E117">
        <v>9</v>
      </c>
      <c r="F117">
        <v>544</v>
      </c>
      <c r="G117">
        <v>1</v>
      </c>
      <c r="H117">
        <v>1068.217741126027</v>
      </c>
      <c r="I117">
        <v>118.6908601251141</v>
      </c>
      <c r="J117">
        <v>41.035494595927837</v>
      </c>
      <c r="K117" t="s">
        <v>14</v>
      </c>
      <c r="L117" t="s">
        <v>54</v>
      </c>
      <c r="Q117" s="1"/>
      <c r="R117" s="1"/>
      <c r="S117" s="1"/>
      <c r="T117" s="1"/>
      <c r="U117" s="1"/>
      <c r="V117" s="1"/>
    </row>
    <row r="118" spans="1:22" x14ac:dyDescent="0.3">
      <c r="A118" s="2">
        <v>86</v>
      </c>
      <c r="B118" t="s">
        <v>303</v>
      </c>
      <c r="C118" t="s">
        <v>303</v>
      </c>
      <c r="D118" t="s">
        <v>304</v>
      </c>
      <c r="E118">
        <v>15</v>
      </c>
      <c r="F118">
        <v>850</v>
      </c>
      <c r="G118">
        <v>1</v>
      </c>
      <c r="H118">
        <v>1756.1573071058749</v>
      </c>
      <c r="I118">
        <v>117.07715380705829</v>
      </c>
      <c r="J118">
        <v>40.755583164000043</v>
      </c>
      <c r="K118" t="s">
        <v>14</v>
      </c>
      <c r="L118" t="s">
        <v>54</v>
      </c>
      <c r="Q118" s="1"/>
      <c r="R118" s="1"/>
      <c r="S118" s="1"/>
      <c r="T118" s="1"/>
      <c r="U118" s="1"/>
      <c r="V118" s="1"/>
    </row>
    <row r="119" spans="1:22" x14ac:dyDescent="0.3">
      <c r="A119" s="2">
        <v>57</v>
      </c>
      <c r="B119" t="s">
        <v>310</v>
      </c>
      <c r="C119" t="s">
        <v>310</v>
      </c>
      <c r="D119" t="s">
        <v>311</v>
      </c>
      <c r="E119">
        <v>10</v>
      </c>
      <c r="F119">
        <v>886</v>
      </c>
      <c r="G119">
        <v>1</v>
      </c>
      <c r="H119">
        <v>1165.4357944859839</v>
      </c>
      <c r="I119">
        <v>116.54357944859839</v>
      </c>
      <c r="J119">
        <v>40.662606153398642</v>
      </c>
      <c r="K119" t="s">
        <v>14</v>
      </c>
      <c r="L119" t="s">
        <v>36</v>
      </c>
      <c r="Q119" s="1"/>
      <c r="R119" s="1"/>
      <c r="S119" s="1"/>
      <c r="T119" s="1"/>
      <c r="U119" s="1"/>
      <c r="V119" s="1"/>
    </row>
    <row r="120" spans="1:22" x14ac:dyDescent="0.3">
      <c r="A120" s="2">
        <v>149</v>
      </c>
      <c r="B120" t="s">
        <v>275</v>
      </c>
      <c r="C120" t="s">
        <v>275</v>
      </c>
      <c r="D120" t="s">
        <v>276</v>
      </c>
      <c r="E120">
        <v>33</v>
      </c>
      <c r="F120">
        <v>4648</v>
      </c>
      <c r="G120">
        <v>5</v>
      </c>
      <c r="H120">
        <v>3839.4231930218471</v>
      </c>
      <c r="I120">
        <v>116.34615736429841</v>
      </c>
      <c r="J120">
        <v>40.62815080603977</v>
      </c>
      <c r="K120" t="s">
        <v>69</v>
      </c>
      <c r="L120" t="s">
        <v>5</v>
      </c>
      <c r="Q120" s="1"/>
      <c r="R120" s="1"/>
      <c r="S120" s="1"/>
      <c r="T120" s="1"/>
      <c r="U120" s="1"/>
      <c r="V120" s="1"/>
    </row>
    <row r="121" spans="1:22" x14ac:dyDescent="0.3">
      <c r="A121" s="2">
        <v>101</v>
      </c>
      <c r="B121" t="s">
        <v>317</v>
      </c>
      <c r="C121" t="s">
        <v>317</v>
      </c>
      <c r="D121" t="s">
        <v>318</v>
      </c>
      <c r="E121">
        <v>8</v>
      </c>
      <c r="F121">
        <v>399</v>
      </c>
      <c r="G121">
        <v>1</v>
      </c>
      <c r="H121">
        <v>927.3363722862789</v>
      </c>
      <c r="I121">
        <v>115.91704653578491</v>
      </c>
      <c r="J121">
        <v>40.553158710589251</v>
      </c>
      <c r="K121" t="s">
        <v>14</v>
      </c>
      <c r="L121" t="s">
        <v>54</v>
      </c>
      <c r="Q121" s="1"/>
      <c r="R121" s="1"/>
      <c r="S121" s="1"/>
      <c r="T121" s="1"/>
      <c r="U121" s="1"/>
      <c r="V121" s="1"/>
    </row>
    <row r="122" spans="1:22" x14ac:dyDescent="0.3">
      <c r="A122" s="2">
        <v>69</v>
      </c>
      <c r="B122" t="s">
        <v>338</v>
      </c>
      <c r="C122" t="s">
        <v>338</v>
      </c>
      <c r="D122" t="s">
        <v>339</v>
      </c>
      <c r="E122">
        <v>8</v>
      </c>
      <c r="F122">
        <v>183</v>
      </c>
      <c r="G122">
        <v>0</v>
      </c>
      <c r="H122">
        <v>925.51817795027227</v>
      </c>
      <c r="I122">
        <v>115.68977224378401</v>
      </c>
      <c r="J122">
        <v>40.513383660884557</v>
      </c>
      <c r="K122" t="s">
        <v>14</v>
      </c>
      <c r="L122" t="s">
        <v>45</v>
      </c>
      <c r="Q122" s="1"/>
      <c r="R122" s="1"/>
      <c r="S122" s="1"/>
      <c r="T122" s="1"/>
      <c r="U122" s="1"/>
      <c r="V122" s="1"/>
    </row>
    <row r="123" spans="1:22" x14ac:dyDescent="0.3">
      <c r="A123" s="2">
        <v>168</v>
      </c>
      <c r="B123" t="s">
        <v>332</v>
      </c>
      <c r="C123" t="s">
        <v>332</v>
      </c>
      <c r="D123" t="s">
        <v>333</v>
      </c>
      <c r="E123">
        <v>14</v>
      </c>
      <c r="F123">
        <v>916</v>
      </c>
      <c r="G123">
        <v>0</v>
      </c>
      <c r="H123">
        <v>1617.278296660103</v>
      </c>
      <c r="I123">
        <v>115.51987833286449</v>
      </c>
      <c r="J123">
        <v>40.483625170211091</v>
      </c>
      <c r="K123" t="s">
        <v>14</v>
      </c>
      <c r="L123" t="s">
        <v>196</v>
      </c>
      <c r="Q123" s="1"/>
      <c r="R123" s="1"/>
      <c r="S123" s="1"/>
      <c r="T123" s="1"/>
      <c r="U123" s="1"/>
      <c r="V123" s="1"/>
    </row>
    <row r="124" spans="1:22" x14ac:dyDescent="0.3">
      <c r="A124" s="2">
        <v>108</v>
      </c>
      <c r="B124" t="s">
        <v>322</v>
      </c>
      <c r="C124" t="s">
        <v>322</v>
      </c>
      <c r="D124" t="s">
        <v>323</v>
      </c>
      <c r="E124">
        <v>9</v>
      </c>
      <c r="F124">
        <v>390</v>
      </c>
      <c r="G124">
        <v>0</v>
      </c>
      <c r="H124">
        <v>1027.756773219204</v>
      </c>
      <c r="I124">
        <v>114.19519702435601</v>
      </c>
      <c r="J124">
        <v>40.250840433524687</v>
      </c>
      <c r="K124" t="s">
        <v>14</v>
      </c>
      <c r="L124" t="s">
        <v>45</v>
      </c>
      <c r="Q124" s="1"/>
      <c r="R124" s="1"/>
      <c r="S124" s="1"/>
      <c r="T124" s="1"/>
      <c r="U124" s="1"/>
      <c r="V124" s="1"/>
    </row>
    <row r="125" spans="1:22" x14ac:dyDescent="0.3">
      <c r="A125" s="2">
        <v>166</v>
      </c>
      <c r="B125" t="s">
        <v>273</v>
      </c>
      <c r="C125" t="s">
        <v>273</v>
      </c>
      <c r="D125" t="s">
        <v>274</v>
      </c>
      <c r="E125">
        <v>16</v>
      </c>
      <c r="F125">
        <v>3222</v>
      </c>
      <c r="G125">
        <v>4</v>
      </c>
      <c r="H125">
        <v>1819.5289795287099</v>
      </c>
      <c r="I125">
        <v>113.7205612205444</v>
      </c>
      <c r="J125">
        <v>40.167104938840012</v>
      </c>
      <c r="K125" t="s">
        <v>69</v>
      </c>
      <c r="L125" t="s">
        <v>5</v>
      </c>
      <c r="Q125" s="1"/>
      <c r="R125" s="1"/>
      <c r="S125" s="1"/>
      <c r="T125" s="1"/>
      <c r="U125" s="1"/>
      <c r="V125" s="1"/>
    </row>
    <row r="126" spans="1:22" x14ac:dyDescent="0.3">
      <c r="A126" s="2">
        <v>105</v>
      </c>
      <c r="B126" t="s">
        <v>328</v>
      </c>
      <c r="C126" t="s">
        <v>328</v>
      </c>
      <c r="D126" t="s">
        <v>329</v>
      </c>
      <c r="E126">
        <v>30</v>
      </c>
      <c r="F126">
        <v>2298</v>
      </c>
      <c r="G126">
        <v>4</v>
      </c>
      <c r="H126">
        <v>3352.5581831969698</v>
      </c>
      <c r="I126">
        <v>111.751939439899</v>
      </c>
      <c r="J126">
        <v>39.817919866406463</v>
      </c>
      <c r="K126" t="s">
        <v>14</v>
      </c>
      <c r="L126" t="s">
        <v>196</v>
      </c>
      <c r="Q126" s="1"/>
      <c r="R126" s="1"/>
      <c r="S126" s="1"/>
      <c r="T126" s="1"/>
      <c r="U126" s="1"/>
      <c r="V126" s="1"/>
    </row>
    <row r="127" spans="1:22" x14ac:dyDescent="0.3">
      <c r="A127" s="2">
        <v>104</v>
      </c>
      <c r="B127" t="s">
        <v>330</v>
      </c>
      <c r="C127" t="s">
        <v>330</v>
      </c>
      <c r="D127" t="s">
        <v>331</v>
      </c>
      <c r="E127">
        <v>11</v>
      </c>
      <c r="F127">
        <v>689</v>
      </c>
      <c r="G127">
        <v>1</v>
      </c>
      <c r="H127">
        <v>1208.3219880531669</v>
      </c>
      <c r="I127">
        <v>109.8474534593788</v>
      </c>
      <c r="J127">
        <v>39.477171688144153</v>
      </c>
      <c r="K127" t="s">
        <v>14</v>
      </c>
      <c r="L127" t="s">
        <v>36</v>
      </c>
      <c r="Q127" s="1"/>
      <c r="R127" s="1"/>
      <c r="S127" s="1"/>
      <c r="T127" s="1"/>
      <c r="U127" s="1"/>
      <c r="V127" s="1"/>
    </row>
    <row r="128" spans="1:22" x14ac:dyDescent="0.3">
      <c r="A128" s="2">
        <v>158</v>
      </c>
      <c r="B128" t="s">
        <v>312</v>
      </c>
      <c r="C128" t="s">
        <v>313</v>
      </c>
      <c r="D128" t="s">
        <v>314</v>
      </c>
      <c r="E128">
        <v>3</v>
      </c>
      <c r="F128">
        <v>114</v>
      </c>
      <c r="G128">
        <v>0</v>
      </c>
      <c r="H128">
        <v>310.09739481872032</v>
      </c>
      <c r="I128">
        <v>103.3657982729068</v>
      </c>
      <c r="J128">
        <v>38.294769977697683</v>
      </c>
      <c r="K128" t="s">
        <v>14</v>
      </c>
      <c r="L128" t="s">
        <v>26</v>
      </c>
      <c r="Q128" s="1"/>
      <c r="R128" s="1"/>
      <c r="S128" s="1"/>
      <c r="T128" s="1"/>
      <c r="U128" s="1"/>
      <c r="V128" s="1"/>
    </row>
    <row r="129" spans="1:22" x14ac:dyDescent="0.3">
      <c r="A129" s="2">
        <v>27</v>
      </c>
      <c r="B129" t="s">
        <v>340</v>
      </c>
      <c r="C129" t="s">
        <v>341</v>
      </c>
      <c r="D129" t="s">
        <v>342</v>
      </c>
      <c r="E129">
        <v>61</v>
      </c>
      <c r="F129">
        <v>2414</v>
      </c>
      <c r="G129">
        <v>2</v>
      </c>
      <c r="H129">
        <v>6270.3553242685066</v>
      </c>
      <c r="I129">
        <v>102.7927102339099</v>
      </c>
      <c r="J129">
        <v>38.188464126815433</v>
      </c>
      <c r="K129" t="s">
        <v>14</v>
      </c>
      <c r="L129" t="s">
        <v>238</v>
      </c>
      <c r="Q129" s="1"/>
      <c r="R129" s="1"/>
      <c r="S129" s="1"/>
      <c r="T129" s="1"/>
      <c r="U129" s="1"/>
      <c r="V129" s="1"/>
    </row>
    <row r="130" spans="1:22" x14ac:dyDescent="0.3">
      <c r="A130" s="2">
        <v>50</v>
      </c>
      <c r="B130" t="s">
        <v>279</v>
      </c>
      <c r="C130" t="s">
        <v>279</v>
      </c>
      <c r="D130" t="s">
        <v>280</v>
      </c>
      <c r="E130">
        <v>15</v>
      </c>
      <c r="F130">
        <v>3690</v>
      </c>
      <c r="G130">
        <v>7</v>
      </c>
      <c r="H130">
        <v>1540.2768699458809</v>
      </c>
      <c r="I130">
        <v>102.6851246630587</v>
      </c>
      <c r="J130">
        <v>38.168474366403117</v>
      </c>
      <c r="K130" t="s">
        <v>69</v>
      </c>
      <c r="L130" t="s">
        <v>5</v>
      </c>
      <c r="Q130" s="1"/>
      <c r="R130" s="1"/>
      <c r="S130" s="1"/>
      <c r="T130" s="1"/>
      <c r="U130" s="1"/>
      <c r="V130" s="1"/>
    </row>
    <row r="131" spans="1:22" x14ac:dyDescent="0.3">
      <c r="A131" s="2">
        <v>189</v>
      </c>
      <c r="B131" t="s">
        <v>289</v>
      </c>
      <c r="C131" t="s">
        <v>289</v>
      </c>
      <c r="D131" t="s">
        <v>290</v>
      </c>
      <c r="E131">
        <v>17</v>
      </c>
      <c r="F131">
        <v>3366</v>
      </c>
      <c r="G131">
        <v>5</v>
      </c>
      <c r="H131">
        <v>1744.048411079918</v>
      </c>
      <c r="I131">
        <v>102.59108300470101</v>
      </c>
      <c r="J131">
        <v>38.150992531342553</v>
      </c>
      <c r="K131" t="s">
        <v>69</v>
      </c>
      <c r="L131" t="s">
        <v>5</v>
      </c>
      <c r="Q131" s="1"/>
      <c r="R131" s="1"/>
      <c r="S131" s="1"/>
      <c r="T131" s="1"/>
      <c r="U131" s="1"/>
      <c r="V131" s="1"/>
    </row>
    <row r="132" spans="1:22" x14ac:dyDescent="0.3">
      <c r="A132" s="2">
        <v>224</v>
      </c>
      <c r="B132" t="s">
        <v>287</v>
      </c>
      <c r="C132" t="s">
        <v>287</v>
      </c>
      <c r="D132" t="s">
        <v>288</v>
      </c>
      <c r="E132">
        <v>5</v>
      </c>
      <c r="F132">
        <v>693</v>
      </c>
      <c r="G132">
        <v>2</v>
      </c>
      <c r="H132">
        <v>511.89766550474309</v>
      </c>
      <c r="I132">
        <v>102.37953310094861</v>
      </c>
      <c r="J132">
        <v>38.111637240835137</v>
      </c>
      <c r="K132" t="s">
        <v>14</v>
      </c>
      <c r="L132" t="s">
        <v>36</v>
      </c>
      <c r="Q132" s="1"/>
      <c r="R132" s="1"/>
      <c r="S132" s="1"/>
      <c r="T132" s="1"/>
      <c r="U132" s="1"/>
      <c r="V132" s="1"/>
    </row>
    <row r="133" spans="1:22" x14ac:dyDescent="0.3">
      <c r="A133" s="2">
        <v>160</v>
      </c>
      <c r="B133" t="s">
        <v>315</v>
      </c>
      <c r="C133" t="s">
        <v>315</v>
      </c>
      <c r="D133" t="s">
        <v>316</v>
      </c>
      <c r="E133">
        <v>26</v>
      </c>
      <c r="F133">
        <v>3533</v>
      </c>
      <c r="G133">
        <v>5</v>
      </c>
      <c r="H133">
        <v>2551.5664242318321</v>
      </c>
      <c r="I133">
        <v>98.137170162762757</v>
      </c>
      <c r="J133">
        <v>37.313655631736573</v>
      </c>
      <c r="K133" t="s">
        <v>69</v>
      </c>
      <c r="L133" t="s">
        <v>5</v>
      </c>
      <c r="Q133" s="1"/>
      <c r="R133" s="1"/>
      <c r="S133" s="1"/>
      <c r="T133" s="1"/>
      <c r="U133" s="1"/>
      <c r="V133" s="1"/>
    </row>
    <row r="134" spans="1:22" x14ac:dyDescent="0.3">
      <c r="A134" s="2">
        <v>102</v>
      </c>
      <c r="B134" t="s">
        <v>334</v>
      </c>
      <c r="C134" t="s">
        <v>334</v>
      </c>
      <c r="D134" t="s">
        <v>335</v>
      </c>
      <c r="E134">
        <v>26</v>
      </c>
      <c r="F134">
        <v>3163</v>
      </c>
      <c r="G134">
        <v>7</v>
      </c>
      <c r="H134">
        <v>2436.2056739562322</v>
      </c>
      <c r="I134">
        <v>93.700218229085849</v>
      </c>
      <c r="J134">
        <v>36.460392110585843</v>
      </c>
      <c r="K134" t="s">
        <v>69</v>
      </c>
      <c r="L134" t="s">
        <v>5</v>
      </c>
      <c r="Q134" s="1"/>
      <c r="R134" s="1"/>
      <c r="S134" s="1"/>
      <c r="T134" s="1"/>
      <c r="U134" s="1"/>
      <c r="V134" s="1"/>
    </row>
    <row r="135" spans="1:22" x14ac:dyDescent="0.3">
      <c r="A135" s="2">
        <v>130</v>
      </c>
      <c r="B135" t="s">
        <v>348</v>
      </c>
      <c r="C135" t="s">
        <v>349</v>
      </c>
      <c r="D135" t="s">
        <v>350</v>
      </c>
      <c r="E135">
        <v>34</v>
      </c>
      <c r="F135">
        <v>574</v>
      </c>
      <c r="G135">
        <v>0</v>
      </c>
      <c r="H135">
        <v>3113.5753263242641</v>
      </c>
      <c r="I135">
        <v>91.575744891890125</v>
      </c>
      <c r="J135">
        <v>36.044687425496839</v>
      </c>
      <c r="K135" t="s">
        <v>14</v>
      </c>
      <c r="L135" t="s">
        <v>33</v>
      </c>
      <c r="Q135" s="1"/>
      <c r="R135" s="1"/>
      <c r="S135" s="1"/>
      <c r="T135" s="1"/>
      <c r="U135" s="1"/>
      <c r="V135" s="1"/>
    </row>
    <row r="136" spans="1:22" x14ac:dyDescent="0.3">
      <c r="A136" s="2">
        <v>41</v>
      </c>
      <c r="B136" t="s">
        <v>351</v>
      </c>
      <c r="C136" t="s">
        <v>351</v>
      </c>
      <c r="D136" t="s">
        <v>352</v>
      </c>
      <c r="E136">
        <v>16</v>
      </c>
      <c r="F136">
        <v>799</v>
      </c>
      <c r="G136">
        <v>1</v>
      </c>
      <c r="H136">
        <v>1450.3251756163079</v>
      </c>
      <c r="I136">
        <v>90.645323476019243</v>
      </c>
      <c r="J136">
        <v>35.861110600180012</v>
      </c>
      <c r="K136" t="s">
        <v>14</v>
      </c>
      <c r="L136" t="s">
        <v>54</v>
      </c>
      <c r="Q136" s="1"/>
      <c r="R136" s="1"/>
      <c r="S136" s="1"/>
      <c r="T136" s="1"/>
      <c r="U136" s="1"/>
      <c r="V136" s="1"/>
    </row>
    <row r="137" spans="1:22" x14ac:dyDescent="0.3">
      <c r="A137" s="2">
        <v>78</v>
      </c>
      <c r="B137" t="s">
        <v>336</v>
      </c>
      <c r="C137" t="s">
        <v>336</v>
      </c>
      <c r="D137" t="s">
        <v>337</v>
      </c>
      <c r="E137">
        <v>5</v>
      </c>
      <c r="F137">
        <v>110</v>
      </c>
      <c r="G137">
        <v>0</v>
      </c>
      <c r="H137">
        <v>451.6659616845302</v>
      </c>
      <c r="I137">
        <v>90.333192336906038</v>
      </c>
      <c r="J137">
        <v>35.799314682842223</v>
      </c>
      <c r="K137" t="s">
        <v>14</v>
      </c>
      <c r="L137" t="s">
        <v>36</v>
      </c>
      <c r="Q137" s="1"/>
      <c r="R137" s="1"/>
      <c r="S137" s="1"/>
      <c r="T137" s="1"/>
      <c r="U137" s="1"/>
      <c r="V137" s="1"/>
    </row>
    <row r="138" spans="1:22" x14ac:dyDescent="0.3">
      <c r="A138" s="2">
        <v>154</v>
      </c>
      <c r="B138" t="s">
        <v>372</v>
      </c>
      <c r="C138" t="s">
        <v>373</v>
      </c>
      <c r="D138" t="s">
        <v>374</v>
      </c>
      <c r="E138">
        <v>9</v>
      </c>
      <c r="F138">
        <v>264</v>
      </c>
      <c r="G138">
        <v>0</v>
      </c>
      <c r="H138">
        <v>810.32390243949339</v>
      </c>
      <c r="I138">
        <v>90.035989159943711</v>
      </c>
      <c r="J138">
        <v>35.740374909203787</v>
      </c>
      <c r="K138" t="s">
        <v>14</v>
      </c>
      <c r="L138" t="s">
        <v>26</v>
      </c>
      <c r="Q138" s="1"/>
      <c r="R138" s="1"/>
      <c r="S138" s="1"/>
      <c r="T138" s="1"/>
      <c r="U138" s="1"/>
      <c r="V138" s="1"/>
    </row>
    <row r="139" spans="1:22" x14ac:dyDescent="0.3">
      <c r="A139" s="2">
        <v>25</v>
      </c>
      <c r="B139" t="s">
        <v>361</v>
      </c>
      <c r="C139" t="s">
        <v>362</v>
      </c>
      <c r="D139" t="s">
        <v>363</v>
      </c>
      <c r="E139">
        <v>9</v>
      </c>
      <c r="F139">
        <v>288</v>
      </c>
      <c r="G139">
        <v>0</v>
      </c>
      <c r="H139">
        <v>806.95776119774041</v>
      </c>
      <c r="I139">
        <v>89.661973466415603</v>
      </c>
      <c r="J139">
        <v>35.666063667216378</v>
      </c>
      <c r="K139" t="s">
        <v>14</v>
      </c>
      <c r="L139" t="s">
        <v>15</v>
      </c>
      <c r="Q139" s="1"/>
      <c r="R139" s="1"/>
      <c r="S139" s="1"/>
      <c r="T139" s="1"/>
      <c r="U139" s="1"/>
      <c r="V139" s="1"/>
    </row>
    <row r="140" spans="1:22" x14ac:dyDescent="0.3">
      <c r="A140" s="2">
        <v>71</v>
      </c>
      <c r="B140" t="s">
        <v>345</v>
      </c>
      <c r="C140" t="s">
        <v>346</v>
      </c>
      <c r="D140" t="s">
        <v>347</v>
      </c>
      <c r="E140">
        <v>19</v>
      </c>
      <c r="F140">
        <v>405</v>
      </c>
      <c r="G140">
        <v>0</v>
      </c>
      <c r="H140">
        <v>1680.7323695785431</v>
      </c>
      <c r="I140">
        <v>88.459598398870668</v>
      </c>
      <c r="J140">
        <v>35.426113966671423</v>
      </c>
      <c r="K140" t="s">
        <v>14</v>
      </c>
      <c r="L140" t="s">
        <v>238</v>
      </c>
      <c r="Q140" s="1"/>
      <c r="R140" s="1"/>
      <c r="S140" s="1"/>
      <c r="T140" s="1"/>
      <c r="U140" s="1"/>
      <c r="V140" s="1"/>
    </row>
    <row r="141" spans="1:22" x14ac:dyDescent="0.3">
      <c r="A141" s="2">
        <v>47</v>
      </c>
      <c r="B141" t="s">
        <v>343</v>
      </c>
      <c r="C141" t="s">
        <v>343</v>
      </c>
      <c r="D141" t="s">
        <v>344</v>
      </c>
      <c r="E141">
        <v>25</v>
      </c>
      <c r="F141">
        <v>3184</v>
      </c>
      <c r="G141">
        <v>4</v>
      </c>
      <c r="H141">
        <v>2175.366288413642</v>
      </c>
      <c r="I141">
        <v>87.014651536545685</v>
      </c>
      <c r="J141">
        <v>35.135588039406301</v>
      </c>
      <c r="K141" t="s">
        <v>69</v>
      </c>
      <c r="L141" t="s">
        <v>5</v>
      </c>
      <c r="Q141" s="1"/>
      <c r="R141" s="1"/>
      <c r="S141" s="1"/>
      <c r="T141" s="1"/>
      <c r="U141" s="1"/>
      <c r="V141" s="1"/>
    </row>
    <row r="142" spans="1:22" x14ac:dyDescent="0.3">
      <c r="A142" s="2">
        <v>113</v>
      </c>
      <c r="B142" t="s">
        <v>355</v>
      </c>
      <c r="C142" t="s">
        <v>355</v>
      </c>
      <c r="D142" t="s">
        <v>356</v>
      </c>
      <c r="E142">
        <v>11</v>
      </c>
      <c r="F142">
        <v>255</v>
      </c>
      <c r="G142">
        <v>0</v>
      </c>
      <c r="H142">
        <v>956.69498758108512</v>
      </c>
      <c r="I142">
        <v>86.972271598280471</v>
      </c>
      <c r="J142">
        <v>35.127030713845187</v>
      </c>
      <c r="K142" t="s">
        <v>14</v>
      </c>
      <c r="L142" t="s">
        <v>54</v>
      </c>
      <c r="Q142" s="1"/>
      <c r="R142" s="1"/>
      <c r="S142" s="1"/>
      <c r="T142" s="1"/>
      <c r="U142" s="1"/>
      <c r="V142" s="1"/>
    </row>
    <row r="143" spans="1:22" x14ac:dyDescent="0.3">
      <c r="A143" s="2">
        <v>13</v>
      </c>
      <c r="B143" t="s">
        <v>359</v>
      </c>
      <c r="C143" t="s">
        <v>359</v>
      </c>
      <c r="D143" t="s">
        <v>360</v>
      </c>
      <c r="E143">
        <v>18</v>
      </c>
      <c r="F143">
        <v>2548</v>
      </c>
      <c r="G143">
        <v>8</v>
      </c>
      <c r="H143">
        <v>1513.126434310459</v>
      </c>
      <c r="I143">
        <v>84.062579683914379</v>
      </c>
      <c r="J143">
        <v>34.534437806451074</v>
      </c>
      <c r="K143" t="s">
        <v>69</v>
      </c>
      <c r="L143" t="s">
        <v>5</v>
      </c>
      <c r="Q143" s="1"/>
      <c r="R143" s="1"/>
      <c r="S143" s="1"/>
      <c r="T143" s="1"/>
      <c r="U143" s="1"/>
      <c r="V143" s="1"/>
    </row>
    <row r="144" spans="1:22" x14ac:dyDescent="0.3">
      <c r="A144" s="2">
        <v>309</v>
      </c>
      <c r="B144" t="s">
        <v>291</v>
      </c>
      <c r="C144" t="s">
        <v>291</v>
      </c>
      <c r="D144" t="s">
        <v>292</v>
      </c>
      <c r="E144">
        <v>28</v>
      </c>
      <c r="F144">
        <v>28583</v>
      </c>
      <c r="G144">
        <v>10</v>
      </c>
      <c r="H144">
        <v>2290.9470200516939</v>
      </c>
      <c r="I144">
        <v>81.819536430417656</v>
      </c>
      <c r="J144">
        <v>34.070581113483641</v>
      </c>
      <c r="K144" t="s">
        <v>69</v>
      </c>
      <c r="L144" t="s">
        <v>5</v>
      </c>
      <c r="Q144" s="1"/>
      <c r="R144" s="1"/>
      <c r="S144" s="1"/>
      <c r="T144" s="1"/>
      <c r="U144" s="1"/>
      <c r="V144" s="1"/>
    </row>
    <row r="145" spans="1:22" x14ac:dyDescent="0.3">
      <c r="A145" s="2">
        <v>77</v>
      </c>
      <c r="B145" t="s">
        <v>375</v>
      </c>
      <c r="C145" t="s">
        <v>375</v>
      </c>
      <c r="D145" t="s">
        <v>376</v>
      </c>
      <c r="E145">
        <v>7</v>
      </c>
      <c r="F145">
        <v>145</v>
      </c>
      <c r="G145">
        <v>0</v>
      </c>
      <c r="H145">
        <v>568.14982897954155</v>
      </c>
      <c r="I145">
        <v>81.164261282791657</v>
      </c>
      <c r="J145">
        <v>33.933874856085843</v>
      </c>
      <c r="K145" t="s">
        <v>14</v>
      </c>
      <c r="L145" t="s">
        <v>45</v>
      </c>
      <c r="Q145" s="1"/>
      <c r="R145" s="1"/>
      <c r="S145" s="1"/>
      <c r="T145" s="1"/>
      <c r="U145" s="1"/>
      <c r="V145" s="1"/>
    </row>
    <row r="146" spans="1:22" x14ac:dyDescent="0.3">
      <c r="A146" s="2">
        <v>177</v>
      </c>
      <c r="B146" t="s">
        <v>370</v>
      </c>
      <c r="C146" t="s">
        <v>370</v>
      </c>
      <c r="D146" t="s">
        <v>371</v>
      </c>
      <c r="E146">
        <v>6</v>
      </c>
      <c r="F146">
        <v>94</v>
      </c>
      <c r="G146">
        <v>0</v>
      </c>
      <c r="H146">
        <v>479.72668498319132</v>
      </c>
      <c r="I146">
        <v>79.954447497198558</v>
      </c>
      <c r="J146">
        <v>33.680020488814748</v>
      </c>
      <c r="K146" t="s">
        <v>14</v>
      </c>
      <c r="L146" t="s">
        <v>45</v>
      </c>
      <c r="Q146" s="1"/>
      <c r="R146" s="1"/>
      <c r="S146" s="1"/>
      <c r="T146" s="1"/>
      <c r="U146" s="1"/>
      <c r="V146" s="1"/>
    </row>
    <row r="147" spans="1:22" x14ac:dyDescent="0.3">
      <c r="A147" s="2">
        <v>176</v>
      </c>
      <c r="B147" t="s">
        <v>389</v>
      </c>
      <c r="C147" t="s">
        <v>389</v>
      </c>
      <c r="D147" t="s">
        <v>390</v>
      </c>
      <c r="E147">
        <v>15</v>
      </c>
      <c r="F147">
        <v>369</v>
      </c>
      <c r="G147">
        <v>1</v>
      </c>
      <c r="H147">
        <v>1177.98908138826</v>
      </c>
      <c r="I147">
        <v>78.532605425884</v>
      </c>
      <c r="J147">
        <v>33.379208687014057</v>
      </c>
      <c r="K147" t="s">
        <v>14</v>
      </c>
      <c r="L147" t="s">
        <v>196</v>
      </c>
      <c r="Q147" s="1"/>
      <c r="R147" s="1"/>
      <c r="S147" s="1"/>
      <c r="T147" s="1"/>
      <c r="U147" s="1"/>
      <c r="V147" s="1"/>
    </row>
    <row r="148" spans="1:22" x14ac:dyDescent="0.3">
      <c r="A148" s="2">
        <v>112</v>
      </c>
      <c r="B148" t="s">
        <v>413</v>
      </c>
      <c r="C148" t="s">
        <v>414</v>
      </c>
      <c r="D148" t="s">
        <v>415</v>
      </c>
      <c r="E148">
        <v>20</v>
      </c>
      <c r="F148">
        <v>391</v>
      </c>
      <c r="G148">
        <v>0</v>
      </c>
      <c r="H148">
        <v>1529.125153855605</v>
      </c>
      <c r="I148">
        <v>76.45625769278027</v>
      </c>
      <c r="J148">
        <v>32.934991230272487</v>
      </c>
      <c r="K148" t="s">
        <v>14</v>
      </c>
      <c r="L148" t="s">
        <v>238</v>
      </c>
      <c r="Q148" s="1"/>
      <c r="R148" s="1"/>
      <c r="S148" s="1"/>
      <c r="T148" s="1"/>
      <c r="U148" s="1"/>
      <c r="V148" s="1"/>
    </row>
    <row r="149" spans="1:22" x14ac:dyDescent="0.3">
      <c r="A149" s="2">
        <v>42</v>
      </c>
      <c r="B149" t="s">
        <v>403</v>
      </c>
      <c r="C149" t="s">
        <v>403</v>
      </c>
      <c r="D149" t="s">
        <v>404</v>
      </c>
      <c r="E149">
        <v>20</v>
      </c>
      <c r="F149">
        <v>464</v>
      </c>
      <c r="G149">
        <v>0</v>
      </c>
      <c r="H149">
        <v>1525.896145415629</v>
      </c>
      <c r="I149">
        <v>76.294807270781433</v>
      </c>
      <c r="J149">
        <v>32.900198928809118</v>
      </c>
      <c r="K149" t="s">
        <v>14</v>
      </c>
      <c r="L149" t="s">
        <v>54</v>
      </c>
      <c r="Q149" s="1"/>
      <c r="R149" s="1"/>
      <c r="S149" s="1"/>
      <c r="T149" s="1"/>
      <c r="U149" s="1"/>
      <c r="V149" s="1"/>
    </row>
    <row r="150" spans="1:22" x14ac:dyDescent="0.3">
      <c r="A150" s="2">
        <v>26</v>
      </c>
      <c r="B150" t="s">
        <v>405</v>
      </c>
      <c r="C150" t="s">
        <v>406</v>
      </c>
      <c r="D150" t="s">
        <v>407</v>
      </c>
      <c r="E150">
        <v>13</v>
      </c>
      <c r="F150">
        <v>1048</v>
      </c>
      <c r="G150">
        <v>1</v>
      </c>
      <c r="H150">
        <v>971.11519284388487</v>
      </c>
      <c r="I150">
        <v>74.701168680298835</v>
      </c>
      <c r="J150">
        <v>32.554777533407957</v>
      </c>
      <c r="K150" t="s">
        <v>14</v>
      </c>
      <c r="L150" t="s">
        <v>26</v>
      </c>
      <c r="Q150" s="1"/>
      <c r="R150" s="1"/>
      <c r="S150" s="1"/>
      <c r="T150" s="1"/>
      <c r="U150" s="1"/>
      <c r="V150" s="1"/>
    </row>
    <row r="151" spans="1:22" x14ac:dyDescent="0.3">
      <c r="A151" s="2">
        <v>20</v>
      </c>
      <c r="B151" t="s">
        <v>410</v>
      </c>
      <c r="C151" t="s">
        <v>411</v>
      </c>
      <c r="D151" t="s">
        <v>412</v>
      </c>
      <c r="E151">
        <v>13</v>
      </c>
      <c r="F151">
        <v>380</v>
      </c>
      <c r="G151">
        <v>0</v>
      </c>
      <c r="H151">
        <v>957.33276931200612</v>
      </c>
      <c r="I151">
        <v>73.640982254769696</v>
      </c>
      <c r="J151">
        <v>32.322937323057253</v>
      </c>
      <c r="K151" t="s">
        <v>14</v>
      </c>
      <c r="L151" t="s">
        <v>15</v>
      </c>
      <c r="Q151" s="1"/>
      <c r="R151" s="1"/>
      <c r="S151" s="1"/>
      <c r="T151" s="1"/>
      <c r="U151" s="1"/>
      <c r="V151" s="1"/>
    </row>
    <row r="152" spans="1:22" x14ac:dyDescent="0.3">
      <c r="A152" s="2">
        <v>73</v>
      </c>
      <c r="B152" t="s">
        <v>399</v>
      </c>
      <c r="C152" t="s">
        <v>399</v>
      </c>
      <c r="D152" t="s">
        <v>400</v>
      </c>
      <c r="E152">
        <v>17</v>
      </c>
      <c r="F152">
        <v>471</v>
      </c>
      <c r="G152">
        <v>0</v>
      </c>
      <c r="H152">
        <v>1242.6593477014651</v>
      </c>
      <c r="I152">
        <v>73.097608688321486</v>
      </c>
      <c r="J152">
        <v>32.203466153418141</v>
      </c>
      <c r="K152" t="s">
        <v>14</v>
      </c>
      <c r="L152" t="s">
        <v>54</v>
      </c>
      <c r="Q152" s="1"/>
      <c r="R152" s="1"/>
      <c r="S152" s="1"/>
      <c r="T152" s="1"/>
      <c r="U152" s="1"/>
      <c r="V152" s="1"/>
    </row>
    <row r="153" spans="1:22" x14ac:dyDescent="0.3">
      <c r="A153" s="2">
        <v>46</v>
      </c>
      <c r="B153" t="s">
        <v>353</v>
      </c>
      <c r="C153" t="s">
        <v>353</v>
      </c>
      <c r="D153" t="s">
        <v>354</v>
      </c>
      <c r="E153">
        <v>13</v>
      </c>
      <c r="F153">
        <v>1780</v>
      </c>
      <c r="G153">
        <v>4</v>
      </c>
      <c r="H153">
        <v>935.00227656049685</v>
      </c>
      <c r="I153">
        <v>71.923252043115141</v>
      </c>
      <c r="J153">
        <v>31.943734807350769</v>
      </c>
      <c r="K153" t="s">
        <v>69</v>
      </c>
      <c r="L153" t="s">
        <v>5</v>
      </c>
      <c r="Q153" s="1"/>
      <c r="R153" s="1"/>
      <c r="S153" s="1"/>
      <c r="T153" s="1"/>
      <c r="U153" s="1"/>
      <c r="V153" s="1"/>
    </row>
    <row r="154" spans="1:22" x14ac:dyDescent="0.3">
      <c r="A154" s="2">
        <v>111</v>
      </c>
      <c r="B154" t="s">
        <v>326</v>
      </c>
      <c r="C154" t="s">
        <v>326</v>
      </c>
      <c r="D154" t="s">
        <v>327</v>
      </c>
      <c r="E154">
        <v>34</v>
      </c>
      <c r="F154">
        <v>29054</v>
      </c>
      <c r="G154">
        <v>17</v>
      </c>
      <c r="H154">
        <v>2376.8569318019909</v>
      </c>
      <c r="I154">
        <v>69.907556817705611</v>
      </c>
      <c r="J154">
        <v>31.492932034330359</v>
      </c>
      <c r="K154" t="s">
        <v>69</v>
      </c>
      <c r="L154" t="s">
        <v>5</v>
      </c>
      <c r="Q154" s="1"/>
      <c r="R154" s="1"/>
      <c r="S154" s="1"/>
      <c r="T154" s="1"/>
      <c r="U154" s="1"/>
      <c r="V154" s="1"/>
    </row>
    <row r="155" spans="1:22" x14ac:dyDescent="0.3">
      <c r="A155" s="2">
        <v>142</v>
      </c>
      <c r="B155" t="s">
        <v>394</v>
      </c>
      <c r="C155" t="s">
        <v>395</v>
      </c>
      <c r="D155" t="s">
        <v>396</v>
      </c>
      <c r="E155">
        <v>19</v>
      </c>
      <c r="F155">
        <v>570</v>
      </c>
      <c r="G155">
        <v>0</v>
      </c>
      <c r="H155">
        <v>1325.373015919082</v>
      </c>
      <c r="I155">
        <v>69.756474522056948</v>
      </c>
      <c r="J155">
        <v>31.458882797060241</v>
      </c>
      <c r="K155" t="s">
        <v>14</v>
      </c>
      <c r="L155" t="s">
        <v>397</v>
      </c>
      <c r="Q155" s="1"/>
      <c r="R155" s="1"/>
      <c r="S155" s="1"/>
      <c r="T155" s="1"/>
      <c r="U155" s="1"/>
      <c r="V155" s="1"/>
    </row>
    <row r="156" spans="1:22" x14ac:dyDescent="0.3">
      <c r="A156" s="2">
        <v>44</v>
      </c>
      <c r="B156" t="s">
        <v>357</v>
      </c>
      <c r="C156" t="s">
        <v>357</v>
      </c>
      <c r="D156" t="s">
        <v>358</v>
      </c>
      <c r="E156">
        <v>16</v>
      </c>
      <c r="F156">
        <v>3275</v>
      </c>
      <c r="G156">
        <v>6</v>
      </c>
      <c r="H156">
        <v>1110.3181623733469</v>
      </c>
      <c r="I156">
        <v>69.394885148334197</v>
      </c>
      <c r="J156">
        <v>31.37724179352718</v>
      </c>
      <c r="K156" t="s">
        <v>69</v>
      </c>
      <c r="L156" t="s">
        <v>5</v>
      </c>
      <c r="Q156" s="1"/>
      <c r="R156" s="1"/>
      <c r="S156" s="1"/>
      <c r="T156" s="1"/>
      <c r="U156" s="1"/>
      <c r="V156" s="1"/>
    </row>
    <row r="157" spans="1:22" x14ac:dyDescent="0.3">
      <c r="A157" s="2">
        <v>319</v>
      </c>
      <c r="B157" t="s">
        <v>366</v>
      </c>
      <c r="C157" t="s">
        <v>367</v>
      </c>
      <c r="D157" t="s">
        <v>368</v>
      </c>
      <c r="E157">
        <v>15</v>
      </c>
      <c r="F157">
        <v>236</v>
      </c>
      <c r="G157">
        <v>0</v>
      </c>
      <c r="H157">
        <v>1039.1637812619911</v>
      </c>
      <c r="I157">
        <v>69.277585417466071</v>
      </c>
      <c r="J157">
        <v>31.35071174991182</v>
      </c>
      <c r="K157" t="s">
        <v>14</v>
      </c>
      <c r="L157" t="s">
        <v>369</v>
      </c>
      <c r="Q157" s="1"/>
      <c r="R157" s="1"/>
      <c r="S157" s="1"/>
      <c r="T157" s="1"/>
      <c r="U157" s="1"/>
      <c r="V157" s="1"/>
    </row>
    <row r="158" spans="1:22" x14ac:dyDescent="0.3">
      <c r="A158" s="2">
        <v>55</v>
      </c>
      <c r="B158" t="s">
        <v>428</v>
      </c>
      <c r="C158" t="s">
        <v>429</v>
      </c>
      <c r="D158" t="s">
        <v>430</v>
      </c>
      <c r="E158">
        <v>16</v>
      </c>
      <c r="F158">
        <v>410</v>
      </c>
      <c r="G158">
        <v>0</v>
      </c>
      <c r="H158">
        <v>1072.914163496946</v>
      </c>
      <c r="I158">
        <v>67.057135218559097</v>
      </c>
      <c r="J158">
        <v>30.844201500136769</v>
      </c>
      <c r="K158" t="s">
        <v>14</v>
      </c>
      <c r="L158" t="s">
        <v>26</v>
      </c>
      <c r="Q158" s="1"/>
      <c r="R158" s="1"/>
      <c r="S158" s="1"/>
      <c r="T158" s="1"/>
      <c r="U158" s="1"/>
      <c r="V158" s="1"/>
    </row>
    <row r="159" spans="1:22" x14ac:dyDescent="0.3">
      <c r="A159" s="2">
        <v>23</v>
      </c>
      <c r="B159" t="s">
        <v>424</v>
      </c>
      <c r="C159" t="s">
        <v>424</v>
      </c>
      <c r="D159" t="s">
        <v>425</v>
      </c>
      <c r="E159">
        <v>11</v>
      </c>
      <c r="F159">
        <v>506</v>
      </c>
      <c r="G159">
        <v>0</v>
      </c>
      <c r="H159">
        <v>736.64294250023443</v>
      </c>
      <c r="I159">
        <v>66.967540227294037</v>
      </c>
      <c r="J159">
        <v>30.823589154820631</v>
      </c>
      <c r="K159" t="s">
        <v>14</v>
      </c>
      <c r="L159" t="s">
        <v>54</v>
      </c>
      <c r="Q159" s="1"/>
      <c r="R159" s="1"/>
      <c r="S159" s="1"/>
      <c r="T159" s="1"/>
      <c r="U159" s="1"/>
      <c r="V159" s="1"/>
    </row>
    <row r="160" spans="1:22" x14ac:dyDescent="0.3">
      <c r="A160" s="2">
        <v>99</v>
      </c>
      <c r="B160" t="s">
        <v>418</v>
      </c>
      <c r="C160" t="s">
        <v>418</v>
      </c>
      <c r="D160" t="s">
        <v>419</v>
      </c>
      <c r="E160">
        <v>14</v>
      </c>
      <c r="F160">
        <v>1498</v>
      </c>
      <c r="G160">
        <v>0</v>
      </c>
      <c r="H160">
        <v>933.5991862131425</v>
      </c>
      <c r="I160">
        <v>66.685656158081613</v>
      </c>
      <c r="J160">
        <v>30.758648429514238</v>
      </c>
      <c r="K160" t="s">
        <v>14</v>
      </c>
      <c r="L160" t="s">
        <v>196</v>
      </c>
      <c r="Q160" s="1"/>
      <c r="R160" s="1"/>
      <c r="S160" s="1"/>
      <c r="T160" s="1"/>
      <c r="U160" s="1"/>
      <c r="V160" s="1"/>
    </row>
    <row r="161" spans="1:22" x14ac:dyDescent="0.3">
      <c r="A161" s="2">
        <v>288</v>
      </c>
      <c r="B161" t="s">
        <v>426</v>
      </c>
      <c r="C161" t="s">
        <v>426</v>
      </c>
      <c r="D161" t="s">
        <v>427</v>
      </c>
      <c r="E161">
        <v>28</v>
      </c>
      <c r="F161">
        <v>878</v>
      </c>
      <c r="G161">
        <v>0</v>
      </c>
      <c r="H161">
        <v>1855.32592661275</v>
      </c>
      <c r="I161">
        <v>66.261640236169654</v>
      </c>
      <c r="J161">
        <v>30.66070416758491</v>
      </c>
      <c r="K161" t="s">
        <v>14</v>
      </c>
      <c r="L161" t="s">
        <v>196</v>
      </c>
      <c r="Q161" s="1"/>
      <c r="R161" s="1"/>
      <c r="S161" s="1"/>
      <c r="T161" s="1"/>
      <c r="U161" s="1"/>
      <c r="V161" s="1"/>
    </row>
    <row r="162" spans="1:22" x14ac:dyDescent="0.3">
      <c r="A162" s="2">
        <v>123</v>
      </c>
      <c r="B162" t="s">
        <v>383</v>
      </c>
      <c r="C162" t="s">
        <v>383</v>
      </c>
      <c r="D162" t="s">
        <v>384</v>
      </c>
      <c r="E162">
        <v>6</v>
      </c>
      <c r="F162">
        <v>110</v>
      </c>
      <c r="G162">
        <v>0</v>
      </c>
      <c r="H162">
        <v>395.82654057668111</v>
      </c>
      <c r="I162">
        <v>65.971090096113514</v>
      </c>
      <c r="J162">
        <v>30.593408376235619</v>
      </c>
      <c r="K162" t="s">
        <v>14</v>
      </c>
      <c r="L162" t="s">
        <v>45</v>
      </c>
      <c r="Q162" s="1"/>
      <c r="R162" s="1"/>
      <c r="S162" s="1"/>
      <c r="T162" s="1"/>
      <c r="U162" s="1"/>
      <c r="V162" s="1"/>
    </row>
    <row r="163" spans="1:22" x14ac:dyDescent="0.3">
      <c r="A163" s="2">
        <v>165</v>
      </c>
      <c r="B163" t="s">
        <v>420</v>
      </c>
      <c r="C163" t="s">
        <v>420</v>
      </c>
      <c r="D163" t="s">
        <v>421</v>
      </c>
      <c r="E163">
        <v>9</v>
      </c>
      <c r="F163">
        <v>342</v>
      </c>
      <c r="G163">
        <v>0</v>
      </c>
      <c r="H163">
        <v>590.23886275457221</v>
      </c>
      <c r="I163">
        <v>65.582095861619138</v>
      </c>
      <c r="J163">
        <v>30.503079004446391</v>
      </c>
      <c r="K163" t="s">
        <v>14</v>
      </c>
      <c r="L163" t="s">
        <v>54</v>
      </c>
      <c r="Q163" s="1"/>
      <c r="R163" s="1"/>
      <c r="S163" s="1"/>
      <c r="T163" s="1"/>
      <c r="U163" s="1"/>
      <c r="V163" s="1"/>
    </row>
    <row r="164" spans="1:22" x14ac:dyDescent="0.3">
      <c r="A164" s="2">
        <v>11</v>
      </c>
      <c r="B164" t="s">
        <v>433</v>
      </c>
      <c r="C164" t="s">
        <v>434</v>
      </c>
      <c r="D164" t="s">
        <v>435</v>
      </c>
      <c r="E164">
        <v>7</v>
      </c>
      <c r="F164">
        <v>145</v>
      </c>
      <c r="G164">
        <v>0</v>
      </c>
      <c r="H164">
        <v>456.01755817606949</v>
      </c>
      <c r="I164">
        <v>65.145365453724224</v>
      </c>
      <c r="J164">
        <v>30.401344878221821</v>
      </c>
      <c r="K164" t="s">
        <v>14</v>
      </c>
      <c r="L164" t="s">
        <v>26</v>
      </c>
      <c r="Q164" s="1"/>
      <c r="R164" s="1"/>
      <c r="S164" s="1"/>
      <c r="T164" s="1"/>
      <c r="U164" s="1"/>
      <c r="V164" s="1"/>
    </row>
    <row r="165" spans="1:22" x14ac:dyDescent="0.3">
      <c r="A165" s="2">
        <v>18</v>
      </c>
      <c r="B165" t="s">
        <v>416</v>
      </c>
      <c r="C165" t="s">
        <v>416</v>
      </c>
      <c r="D165" t="s">
        <v>417</v>
      </c>
      <c r="E165">
        <v>13</v>
      </c>
      <c r="F165">
        <v>431</v>
      </c>
      <c r="G165">
        <v>0</v>
      </c>
      <c r="H165">
        <v>846.82508899755271</v>
      </c>
      <c r="I165">
        <v>65.140391461350205</v>
      </c>
      <c r="J165">
        <v>30.40018425119133</v>
      </c>
      <c r="K165" t="s">
        <v>14</v>
      </c>
      <c r="L165" t="s">
        <v>54</v>
      </c>
      <c r="Q165" s="1"/>
      <c r="R165" s="1"/>
      <c r="S165" s="1"/>
      <c r="T165" s="1"/>
      <c r="U165" s="1"/>
      <c r="V165" s="1"/>
    </row>
    <row r="166" spans="1:22" x14ac:dyDescent="0.3">
      <c r="A166" s="2">
        <v>88</v>
      </c>
      <c r="B166" t="s">
        <v>387</v>
      </c>
      <c r="C166" t="s">
        <v>387</v>
      </c>
      <c r="D166" t="s">
        <v>388</v>
      </c>
      <c r="E166">
        <v>11</v>
      </c>
      <c r="F166">
        <v>788</v>
      </c>
      <c r="G166">
        <v>1</v>
      </c>
      <c r="H166">
        <v>713.92733533776129</v>
      </c>
      <c r="I166">
        <v>64.902485030705577</v>
      </c>
      <c r="J166">
        <v>30.344619533114152</v>
      </c>
      <c r="K166" t="s">
        <v>14</v>
      </c>
      <c r="L166" t="s">
        <v>36</v>
      </c>
      <c r="Q166" s="1"/>
      <c r="R166" s="1"/>
      <c r="S166" s="1"/>
      <c r="T166" s="1"/>
      <c r="U166" s="1"/>
      <c r="V166" s="1"/>
    </row>
    <row r="167" spans="1:22" x14ac:dyDescent="0.3">
      <c r="A167" s="2">
        <v>153</v>
      </c>
      <c r="B167" t="s">
        <v>364</v>
      </c>
      <c r="C167" t="s">
        <v>364</v>
      </c>
      <c r="D167" t="s">
        <v>365</v>
      </c>
      <c r="E167">
        <v>26</v>
      </c>
      <c r="F167">
        <v>4974</v>
      </c>
      <c r="G167">
        <v>6</v>
      </c>
      <c r="H167">
        <v>1683.856854091224</v>
      </c>
      <c r="I167">
        <v>64.76372515735477</v>
      </c>
      <c r="J167">
        <v>30.312164161661489</v>
      </c>
      <c r="K167" t="s">
        <v>69</v>
      </c>
      <c r="L167" t="s">
        <v>5</v>
      </c>
      <c r="Q167" s="1"/>
      <c r="R167" s="1"/>
      <c r="S167" s="1"/>
      <c r="T167" s="1"/>
      <c r="U167" s="1"/>
      <c r="V167" s="1"/>
    </row>
    <row r="168" spans="1:22" x14ac:dyDescent="0.3">
      <c r="A168" s="2">
        <v>118</v>
      </c>
      <c r="B168" t="s">
        <v>377</v>
      </c>
      <c r="C168" t="s">
        <v>377</v>
      </c>
      <c r="D168" t="s">
        <v>378</v>
      </c>
      <c r="E168">
        <v>54</v>
      </c>
      <c r="F168">
        <v>4634</v>
      </c>
      <c r="G168">
        <v>6</v>
      </c>
      <c r="H168">
        <v>3394.276969349989</v>
      </c>
      <c r="I168">
        <v>62.856980913888677</v>
      </c>
      <c r="J168">
        <v>29.862612065029889</v>
      </c>
      <c r="K168" t="s">
        <v>69</v>
      </c>
      <c r="L168" t="s">
        <v>5</v>
      </c>
      <c r="Q168" s="1"/>
      <c r="R168" s="1"/>
      <c r="S168" s="1"/>
      <c r="T168" s="1"/>
      <c r="U168" s="1"/>
      <c r="V168" s="1"/>
    </row>
    <row r="169" spans="1:22" x14ac:dyDescent="0.3">
      <c r="A169" s="2">
        <v>194</v>
      </c>
      <c r="B169" t="s">
        <v>439</v>
      </c>
      <c r="C169" t="s">
        <v>440</v>
      </c>
      <c r="D169" t="s">
        <v>441</v>
      </c>
      <c r="E169">
        <v>13</v>
      </c>
      <c r="F169">
        <v>546</v>
      </c>
      <c r="G169">
        <v>0</v>
      </c>
      <c r="H169">
        <v>803.80307143539915</v>
      </c>
      <c r="I169">
        <v>61.831005495030702</v>
      </c>
      <c r="J169">
        <v>29.61789494021275</v>
      </c>
      <c r="K169" t="s">
        <v>14</v>
      </c>
      <c r="L169" t="s">
        <v>369</v>
      </c>
      <c r="Q169" s="1"/>
      <c r="R169" s="1"/>
      <c r="S169" s="1"/>
      <c r="T169" s="1"/>
      <c r="U169" s="1"/>
      <c r="V169" s="1"/>
    </row>
    <row r="170" spans="1:22" x14ac:dyDescent="0.3">
      <c r="A170" s="2">
        <v>58</v>
      </c>
      <c r="B170" t="s">
        <v>446</v>
      </c>
      <c r="C170" t="s">
        <v>447</v>
      </c>
      <c r="D170" t="s">
        <v>448</v>
      </c>
      <c r="E170">
        <v>12</v>
      </c>
      <c r="F170">
        <v>434</v>
      </c>
      <c r="G170">
        <v>1</v>
      </c>
      <c r="H170">
        <v>730.07848902693354</v>
      </c>
      <c r="I170">
        <v>60.839874085577797</v>
      </c>
      <c r="J170">
        <v>29.379553214480001</v>
      </c>
      <c r="K170" t="s">
        <v>14</v>
      </c>
      <c r="L170" t="s">
        <v>26</v>
      </c>
      <c r="Q170" s="1"/>
      <c r="R170" s="1"/>
      <c r="S170" s="1"/>
      <c r="T170" s="1"/>
      <c r="U170" s="1"/>
      <c r="V170" s="1"/>
    </row>
    <row r="171" spans="1:22" x14ac:dyDescent="0.3">
      <c r="A171" s="2">
        <v>24</v>
      </c>
      <c r="B171" t="s">
        <v>455</v>
      </c>
      <c r="C171" t="s">
        <v>455</v>
      </c>
      <c r="D171" t="s">
        <v>456</v>
      </c>
      <c r="E171">
        <v>13</v>
      </c>
      <c r="F171">
        <v>322</v>
      </c>
      <c r="G171">
        <v>0</v>
      </c>
      <c r="H171">
        <v>784.10340292147134</v>
      </c>
      <c r="I171">
        <v>60.315646378574719</v>
      </c>
      <c r="J171">
        <v>29.252704690101329</v>
      </c>
      <c r="K171" t="s">
        <v>14</v>
      </c>
      <c r="L171" t="s">
        <v>54</v>
      </c>
      <c r="Q171" s="1"/>
      <c r="R171" s="1"/>
      <c r="S171" s="1"/>
      <c r="T171" s="1"/>
      <c r="U171" s="1"/>
      <c r="V171" s="1"/>
    </row>
    <row r="172" spans="1:22" x14ac:dyDescent="0.3">
      <c r="A172" s="2">
        <v>5</v>
      </c>
      <c r="B172" t="s">
        <v>379</v>
      </c>
      <c r="C172" t="s">
        <v>379</v>
      </c>
      <c r="D172" t="s">
        <v>380</v>
      </c>
      <c r="E172">
        <v>41</v>
      </c>
      <c r="F172">
        <v>3436</v>
      </c>
      <c r="G172">
        <v>7</v>
      </c>
      <c r="H172">
        <v>2426.084979297369</v>
      </c>
      <c r="I172">
        <v>59.172804373106551</v>
      </c>
      <c r="J172">
        <v>28.974243784198549</v>
      </c>
      <c r="K172" t="s">
        <v>69</v>
      </c>
      <c r="L172" t="s">
        <v>5</v>
      </c>
      <c r="Q172" s="1"/>
      <c r="R172" s="1"/>
      <c r="S172" s="1"/>
      <c r="T172" s="1"/>
      <c r="U172" s="1"/>
      <c r="V172" s="1"/>
    </row>
    <row r="173" spans="1:22" x14ac:dyDescent="0.3">
      <c r="A173" s="2">
        <v>186</v>
      </c>
      <c r="B173" t="s">
        <v>436</v>
      </c>
      <c r="C173" t="s">
        <v>437</v>
      </c>
      <c r="D173" t="s">
        <v>438</v>
      </c>
      <c r="E173">
        <v>36</v>
      </c>
      <c r="F173">
        <v>1561</v>
      </c>
      <c r="G173">
        <v>1</v>
      </c>
      <c r="H173">
        <v>2054.259726168375</v>
      </c>
      <c r="I173">
        <v>57.06277017134375</v>
      </c>
      <c r="J173">
        <v>28.452960391644009</v>
      </c>
      <c r="K173" t="s">
        <v>14</v>
      </c>
      <c r="L173" t="s">
        <v>15</v>
      </c>
      <c r="Q173" s="1"/>
      <c r="R173" s="1"/>
      <c r="S173" s="1"/>
      <c r="T173" s="1"/>
      <c r="U173" s="1"/>
      <c r="V173" s="1"/>
    </row>
    <row r="174" spans="1:22" x14ac:dyDescent="0.3">
      <c r="A174" s="2">
        <v>114</v>
      </c>
      <c r="B174" t="s">
        <v>398</v>
      </c>
      <c r="C174" t="s">
        <v>398</v>
      </c>
      <c r="D174" t="s">
        <v>408</v>
      </c>
      <c r="E174">
        <v>67</v>
      </c>
      <c r="F174">
        <v>4850</v>
      </c>
      <c r="G174">
        <v>4</v>
      </c>
      <c r="H174">
        <v>3803.1586868222439</v>
      </c>
      <c r="I174">
        <v>56.763562489884237</v>
      </c>
      <c r="J174">
        <v>28.378266037224421</v>
      </c>
      <c r="K174" t="s">
        <v>14</v>
      </c>
      <c r="L174" t="s">
        <v>409</v>
      </c>
      <c r="Q174" s="1"/>
      <c r="R174" s="1"/>
      <c r="S174" s="1"/>
      <c r="T174" s="1"/>
      <c r="U174" s="1"/>
      <c r="V174" s="1"/>
    </row>
    <row r="175" spans="1:22" x14ac:dyDescent="0.3">
      <c r="A175" s="2">
        <v>72</v>
      </c>
      <c r="B175" t="s">
        <v>381</v>
      </c>
      <c r="C175" t="s">
        <v>381</v>
      </c>
      <c r="D175" t="s">
        <v>382</v>
      </c>
      <c r="E175">
        <v>7</v>
      </c>
      <c r="F175">
        <v>654</v>
      </c>
      <c r="G175">
        <v>2</v>
      </c>
      <c r="H175">
        <v>397.21782461295788</v>
      </c>
      <c r="I175">
        <v>56.745403516136847</v>
      </c>
      <c r="J175">
        <v>28.373726492969361</v>
      </c>
      <c r="K175" t="s">
        <v>14</v>
      </c>
      <c r="L175" t="s">
        <v>36</v>
      </c>
      <c r="Q175" s="1"/>
      <c r="R175" s="1"/>
      <c r="S175" s="1"/>
      <c r="T175" s="1"/>
      <c r="U175" s="1"/>
      <c r="V175" s="1"/>
    </row>
    <row r="176" spans="1:22" x14ac:dyDescent="0.3">
      <c r="A176" s="2">
        <v>65</v>
      </c>
      <c r="B176" t="s">
        <v>391</v>
      </c>
      <c r="C176" t="s">
        <v>391</v>
      </c>
      <c r="D176" t="s">
        <v>392</v>
      </c>
      <c r="E176">
        <v>58</v>
      </c>
      <c r="F176">
        <v>5782</v>
      </c>
      <c r="G176">
        <v>6</v>
      </c>
      <c r="H176">
        <v>3206.4314222584539</v>
      </c>
      <c r="I176">
        <v>55.283300383766438</v>
      </c>
      <c r="J176">
        <v>28.005802055030038</v>
      </c>
      <c r="K176" t="s">
        <v>69</v>
      </c>
      <c r="L176" t="s">
        <v>393</v>
      </c>
      <c r="Q176" s="1"/>
      <c r="R176" s="1"/>
      <c r="S176" s="1"/>
      <c r="T176" s="1"/>
      <c r="U176" s="1"/>
      <c r="V176" s="1"/>
    </row>
    <row r="177" spans="1:22" x14ac:dyDescent="0.3">
      <c r="A177" s="2">
        <v>161</v>
      </c>
      <c r="B177" t="s">
        <v>431</v>
      </c>
      <c r="C177" t="s">
        <v>431</v>
      </c>
      <c r="D177" t="s">
        <v>432</v>
      </c>
      <c r="E177">
        <v>35</v>
      </c>
      <c r="F177">
        <v>2215</v>
      </c>
      <c r="G177">
        <v>4</v>
      </c>
      <c r="H177">
        <v>1928.974891074062</v>
      </c>
      <c r="I177">
        <v>55.113568316401782</v>
      </c>
      <c r="J177">
        <v>27.962776974917059</v>
      </c>
      <c r="K177" t="s">
        <v>69</v>
      </c>
      <c r="L177" t="s">
        <v>5</v>
      </c>
      <c r="Q177" s="1"/>
      <c r="R177" s="1"/>
      <c r="S177" s="1"/>
      <c r="T177" s="1"/>
      <c r="U177" s="1"/>
      <c r="V177" s="1"/>
    </row>
    <row r="178" spans="1:22" x14ac:dyDescent="0.3">
      <c r="A178" s="2">
        <v>193</v>
      </c>
      <c r="B178" t="s">
        <v>385</v>
      </c>
      <c r="C178" t="s">
        <v>385</v>
      </c>
      <c r="D178" t="s">
        <v>386</v>
      </c>
      <c r="E178">
        <v>24</v>
      </c>
      <c r="F178">
        <v>5214</v>
      </c>
      <c r="G178">
        <v>5</v>
      </c>
      <c r="H178">
        <v>1281.3006569310339</v>
      </c>
      <c r="I178">
        <v>53.387527372126407</v>
      </c>
      <c r="J178">
        <v>27.52142628781338</v>
      </c>
      <c r="K178" t="s">
        <v>69</v>
      </c>
      <c r="L178" t="s">
        <v>5</v>
      </c>
      <c r="Q178" s="1"/>
      <c r="R178" s="1"/>
      <c r="S178" s="1"/>
      <c r="T178" s="1"/>
      <c r="U178" s="1"/>
      <c r="V178" s="1"/>
    </row>
    <row r="179" spans="1:22" x14ac:dyDescent="0.3">
      <c r="A179" s="2">
        <v>122</v>
      </c>
      <c r="B179" t="s">
        <v>449</v>
      </c>
      <c r="C179" t="s">
        <v>449</v>
      </c>
      <c r="D179" t="s">
        <v>450</v>
      </c>
      <c r="E179">
        <v>14</v>
      </c>
      <c r="F179">
        <v>907</v>
      </c>
      <c r="G179">
        <v>2</v>
      </c>
      <c r="H179">
        <v>714.47357637643654</v>
      </c>
      <c r="I179">
        <v>51.033826884031178</v>
      </c>
      <c r="J179">
        <v>26.90791838780325</v>
      </c>
      <c r="K179" t="s">
        <v>14</v>
      </c>
      <c r="L179" t="s">
        <v>54</v>
      </c>
      <c r="Q179" s="1"/>
      <c r="R179" s="1"/>
      <c r="S179" s="1"/>
      <c r="T179" s="1"/>
      <c r="U179" s="1"/>
      <c r="V179" s="1"/>
    </row>
    <row r="180" spans="1:22" x14ac:dyDescent="0.3">
      <c r="A180" s="2">
        <v>221</v>
      </c>
      <c r="B180" t="s">
        <v>442</v>
      </c>
      <c r="C180" t="s">
        <v>442</v>
      </c>
      <c r="D180" t="s">
        <v>443</v>
      </c>
      <c r="E180">
        <v>74</v>
      </c>
      <c r="F180">
        <v>6924</v>
      </c>
      <c r="G180">
        <v>8</v>
      </c>
      <c r="H180">
        <v>3426.2780624073612</v>
      </c>
      <c r="I180">
        <v>46.301054897396767</v>
      </c>
      <c r="J180">
        <v>25.629874326800881</v>
      </c>
      <c r="K180" t="s">
        <v>69</v>
      </c>
      <c r="L180" t="s">
        <v>5</v>
      </c>
      <c r="Q180" s="1"/>
      <c r="R180" s="1"/>
      <c r="S180" s="1"/>
      <c r="T180" s="1"/>
      <c r="U180" s="1"/>
      <c r="V180" s="1"/>
    </row>
    <row r="181" spans="1:22" x14ac:dyDescent="0.3">
      <c r="A181" s="2">
        <v>14</v>
      </c>
      <c r="B181" t="s">
        <v>422</v>
      </c>
      <c r="C181" t="s">
        <v>422</v>
      </c>
      <c r="D181" t="s">
        <v>423</v>
      </c>
      <c r="E181">
        <v>14</v>
      </c>
      <c r="F181">
        <v>2047</v>
      </c>
      <c r="G181">
        <v>5</v>
      </c>
      <c r="H181">
        <v>647.42870592484667</v>
      </c>
      <c r="I181">
        <v>46.244907566060483</v>
      </c>
      <c r="J181">
        <v>25.61432948033541</v>
      </c>
      <c r="K181" t="s">
        <v>69</v>
      </c>
      <c r="L181" t="s">
        <v>5</v>
      </c>
      <c r="Q181" s="1"/>
      <c r="R181" s="1"/>
      <c r="S181" s="1"/>
      <c r="T181" s="1"/>
      <c r="U181" s="1"/>
      <c r="V181" s="1"/>
    </row>
    <row r="182" spans="1:22" x14ac:dyDescent="0.3">
      <c r="A182" s="2">
        <v>182</v>
      </c>
      <c r="B182" t="s">
        <v>401</v>
      </c>
      <c r="C182" t="s">
        <v>401</v>
      </c>
      <c r="D182" t="s">
        <v>402</v>
      </c>
      <c r="E182">
        <v>10</v>
      </c>
      <c r="F182">
        <v>3398</v>
      </c>
      <c r="G182">
        <v>5</v>
      </c>
      <c r="H182">
        <v>456.76925428963278</v>
      </c>
      <c r="I182">
        <v>45.676925428963287</v>
      </c>
      <c r="J182">
        <v>25.456545303628019</v>
      </c>
      <c r="K182" t="s">
        <v>69</v>
      </c>
      <c r="L182" t="s">
        <v>5</v>
      </c>
      <c r="Q182" s="1"/>
      <c r="R182" s="1"/>
      <c r="S182" s="1"/>
      <c r="T182" s="1"/>
      <c r="U182" s="1"/>
      <c r="V182" s="1"/>
    </row>
    <row r="183" spans="1:22" x14ac:dyDescent="0.3">
      <c r="A183" s="2">
        <v>226</v>
      </c>
      <c r="B183" t="s">
        <v>444</v>
      </c>
      <c r="C183" t="s">
        <v>444</v>
      </c>
      <c r="D183" t="s">
        <v>445</v>
      </c>
      <c r="E183">
        <v>69</v>
      </c>
      <c r="F183">
        <v>5409</v>
      </c>
      <c r="G183">
        <v>4</v>
      </c>
      <c r="H183">
        <v>3138.232000574601</v>
      </c>
      <c r="I183">
        <v>45.481623196733338</v>
      </c>
      <c r="J183">
        <v>25.402064338654949</v>
      </c>
      <c r="K183" t="s">
        <v>69</v>
      </c>
      <c r="L183" t="s">
        <v>5</v>
      </c>
      <c r="Q183" s="1"/>
      <c r="R183" s="1"/>
      <c r="S183" s="1"/>
      <c r="T183" s="1"/>
      <c r="U183" s="1"/>
      <c r="V183" s="1"/>
    </row>
    <row r="184" spans="1:22" x14ac:dyDescent="0.3">
      <c r="A184" s="2">
        <v>230</v>
      </c>
      <c r="B184" t="s">
        <v>465</v>
      </c>
      <c r="C184" t="s">
        <v>465</v>
      </c>
      <c r="D184" t="s">
        <v>466</v>
      </c>
      <c r="E184">
        <v>18</v>
      </c>
      <c r="F184">
        <v>311</v>
      </c>
      <c r="G184">
        <v>0</v>
      </c>
      <c r="H184">
        <v>807.41055314091341</v>
      </c>
      <c r="I184">
        <v>44.856141841161858</v>
      </c>
      <c r="J184">
        <v>25.226790000366378</v>
      </c>
      <c r="K184" t="s">
        <v>14</v>
      </c>
      <c r="L184" t="s">
        <v>54</v>
      </c>
      <c r="Q184" s="1"/>
      <c r="R184" s="1"/>
      <c r="S184" s="1"/>
      <c r="T184" s="1"/>
      <c r="U184" s="1"/>
      <c r="V184" s="1"/>
    </row>
    <row r="185" spans="1:22" x14ac:dyDescent="0.3">
      <c r="A185" s="2">
        <v>121</v>
      </c>
      <c r="B185" t="s">
        <v>451</v>
      </c>
      <c r="C185" t="s">
        <v>451</v>
      </c>
      <c r="D185" t="s">
        <v>452</v>
      </c>
      <c r="E185">
        <v>21</v>
      </c>
      <c r="F185">
        <v>1319</v>
      </c>
      <c r="G185">
        <v>5</v>
      </c>
      <c r="H185">
        <v>842.72661611616991</v>
      </c>
      <c r="I185">
        <v>40.12983886267476</v>
      </c>
      <c r="J185">
        <v>23.86078577947648</v>
      </c>
      <c r="K185" t="s">
        <v>69</v>
      </c>
      <c r="L185" t="s">
        <v>5</v>
      </c>
      <c r="Q185" s="1"/>
      <c r="R185" s="1"/>
      <c r="S185" s="1"/>
      <c r="T185" s="1"/>
      <c r="U185" s="1"/>
      <c r="V185" s="1"/>
    </row>
    <row r="186" spans="1:22" x14ac:dyDescent="0.3">
      <c r="A186" s="2">
        <v>96</v>
      </c>
      <c r="B186" t="s">
        <v>471</v>
      </c>
      <c r="C186" t="s">
        <v>472</v>
      </c>
      <c r="D186" t="s">
        <v>473</v>
      </c>
      <c r="E186">
        <v>18</v>
      </c>
      <c r="F186">
        <v>408</v>
      </c>
      <c r="G186">
        <v>0</v>
      </c>
      <c r="H186">
        <v>691.24701252805141</v>
      </c>
      <c r="I186">
        <v>38.402611807113971</v>
      </c>
      <c r="J186">
        <v>23.34164259374889</v>
      </c>
      <c r="K186" t="s">
        <v>14</v>
      </c>
      <c r="L186" t="s">
        <v>238</v>
      </c>
      <c r="Q186" s="1"/>
      <c r="R186" s="1"/>
      <c r="S186" s="1"/>
      <c r="T186" s="1"/>
      <c r="U186" s="1"/>
      <c r="V186" s="1"/>
    </row>
    <row r="187" spans="1:22" x14ac:dyDescent="0.3">
      <c r="A187" s="2">
        <v>223</v>
      </c>
      <c r="B187" t="s">
        <v>453</v>
      </c>
      <c r="C187" t="s">
        <v>453</v>
      </c>
      <c r="D187" t="s">
        <v>454</v>
      </c>
      <c r="E187">
        <v>11</v>
      </c>
      <c r="F187">
        <v>2031</v>
      </c>
      <c r="G187">
        <v>9</v>
      </c>
      <c r="H187">
        <v>421.56509584912658</v>
      </c>
      <c r="I187">
        <v>38.324099622647879</v>
      </c>
      <c r="J187">
        <v>23.317769986033579</v>
      </c>
      <c r="K187" t="s">
        <v>69</v>
      </c>
      <c r="L187" t="s">
        <v>5</v>
      </c>
      <c r="Q187" s="1"/>
      <c r="R187" s="1"/>
      <c r="S187" s="1"/>
      <c r="T187" s="1"/>
      <c r="U187" s="1"/>
      <c r="V187" s="1"/>
    </row>
    <row r="188" spans="1:22" x14ac:dyDescent="0.3">
      <c r="A188" s="2">
        <v>48</v>
      </c>
      <c r="B188" t="s">
        <v>484</v>
      </c>
      <c r="C188" t="s">
        <v>485</v>
      </c>
      <c r="D188" t="s">
        <v>486</v>
      </c>
      <c r="E188">
        <v>18</v>
      </c>
      <c r="F188">
        <v>494</v>
      </c>
      <c r="G188">
        <v>0</v>
      </c>
      <c r="H188">
        <v>667.33441755794979</v>
      </c>
      <c r="I188">
        <v>37.074134308774987</v>
      </c>
      <c r="J188">
        <v>22.93435566319954</v>
      </c>
      <c r="K188" t="s">
        <v>14</v>
      </c>
      <c r="L188" t="s">
        <v>369</v>
      </c>
      <c r="Q188" s="1"/>
      <c r="R188" s="1"/>
      <c r="S188" s="1"/>
      <c r="T188" s="1"/>
      <c r="U188" s="1"/>
      <c r="V188" s="1"/>
    </row>
    <row r="189" spans="1:22" x14ac:dyDescent="0.3">
      <c r="A189" s="2">
        <v>181</v>
      </c>
      <c r="B189" t="s">
        <v>459</v>
      </c>
      <c r="C189" t="s">
        <v>459</v>
      </c>
      <c r="D189" t="s">
        <v>460</v>
      </c>
      <c r="E189">
        <v>12</v>
      </c>
      <c r="F189">
        <v>910</v>
      </c>
      <c r="G189">
        <v>0</v>
      </c>
      <c r="H189">
        <v>442.87231087687582</v>
      </c>
      <c r="I189">
        <v>36.906025906406313</v>
      </c>
      <c r="J189">
        <v>22.882299985682359</v>
      </c>
      <c r="K189" t="s">
        <v>14</v>
      </c>
      <c r="L189" t="s">
        <v>36</v>
      </c>
      <c r="Q189" s="1"/>
      <c r="R189" s="1"/>
      <c r="S189" s="1"/>
      <c r="T189" s="1"/>
      <c r="U189" s="1"/>
      <c r="V189" s="1"/>
    </row>
    <row r="190" spans="1:22" x14ac:dyDescent="0.3">
      <c r="A190" s="2">
        <v>51</v>
      </c>
      <c r="B190" t="s">
        <v>461</v>
      </c>
      <c r="C190" t="s">
        <v>461</v>
      </c>
      <c r="D190" t="s">
        <v>462</v>
      </c>
      <c r="E190">
        <v>36</v>
      </c>
      <c r="F190">
        <v>2689</v>
      </c>
      <c r="G190">
        <v>5</v>
      </c>
      <c r="H190">
        <v>1300.468475136797</v>
      </c>
      <c r="I190">
        <v>36.124124309355473</v>
      </c>
      <c r="J190">
        <v>22.63860686901457</v>
      </c>
      <c r="K190" t="s">
        <v>69</v>
      </c>
      <c r="L190" t="s">
        <v>5</v>
      </c>
      <c r="Q190" s="1"/>
      <c r="R190" s="1"/>
      <c r="S190" s="1"/>
      <c r="T190" s="1"/>
      <c r="U190" s="1"/>
      <c r="V190" s="1"/>
    </row>
    <row r="191" spans="1:22" x14ac:dyDescent="0.3">
      <c r="A191" s="2">
        <v>151</v>
      </c>
      <c r="B191" t="s">
        <v>463</v>
      </c>
      <c r="C191" t="s">
        <v>463</v>
      </c>
      <c r="D191" t="s">
        <v>464</v>
      </c>
      <c r="E191">
        <v>48</v>
      </c>
      <c r="F191">
        <v>3264</v>
      </c>
      <c r="G191">
        <v>4</v>
      </c>
      <c r="H191">
        <v>1688.8462546118781</v>
      </c>
      <c r="I191">
        <v>35.184296971080791</v>
      </c>
      <c r="J191">
        <v>22.34217620313774</v>
      </c>
      <c r="K191" t="s">
        <v>69</v>
      </c>
      <c r="L191" t="s">
        <v>5</v>
      </c>
      <c r="Q191" s="1"/>
      <c r="R191" s="1"/>
      <c r="S191" s="1"/>
      <c r="T191" s="1"/>
      <c r="U191" s="1"/>
      <c r="V191" s="1"/>
    </row>
    <row r="192" spans="1:22" x14ac:dyDescent="0.3">
      <c r="A192" s="2">
        <v>217</v>
      </c>
      <c r="B192" t="s">
        <v>482</v>
      </c>
      <c r="C192" t="s">
        <v>482</v>
      </c>
      <c r="D192" t="s">
        <v>483</v>
      </c>
      <c r="E192">
        <v>23</v>
      </c>
      <c r="F192">
        <v>884</v>
      </c>
      <c r="G192">
        <v>0</v>
      </c>
      <c r="H192">
        <v>797.324517857508</v>
      </c>
      <c r="I192">
        <v>34.666283385109047</v>
      </c>
      <c r="J192">
        <v>22.17709593623939</v>
      </c>
      <c r="K192" t="s">
        <v>14</v>
      </c>
      <c r="L192" t="s">
        <v>54</v>
      </c>
      <c r="Q192" s="1"/>
      <c r="R192" s="1"/>
      <c r="S192" s="1"/>
      <c r="T192" s="1"/>
      <c r="U192" s="1"/>
      <c r="V192" s="1"/>
    </row>
    <row r="193" spans="1:22" x14ac:dyDescent="0.3">
      <c r="A193" s="2">
        <v>318</v>
      </c>
      <c r="B193" t="s">
        <v>487</v>
      </c>
      <c r="C193" t="s">
        <v>487</v>
      </c>
      <c r="D193" t="s">
        <v>488</v>
      </c>
      <c r="E193">
        <v>12</v>
      </c>
      <c r="F193">
        <v>786</v>
      </c>
      <c r="G193">
        <v>1</v>
      </c>
      <c r="H193">
        <v>405.40245200955383</v>
      </c>
      <c r="I193">
        <v>33.783537667462817</v>
      </c>
      <c r="J193">
        <v>21.89291527140665</v>
      </c>
      <c r="K193" t="s">
        <v>14</v>
      </c>
      <c r="L193" t="s">
        <v>54</v>
      </c>
      <c r="Q193" s="1"/>
      <c r="R193" s="1"/>
      <c r="S193" s="1"/>
      <c r="T193" s="1"/>
      <c r="U193" s="1"/>
      <c r="V193" s="1"/>
    </row>
    <row r="194" spans="1:22" x14ac:dyDescent="0.3">
      <c r="A194" s="2">
        <v>97</v>
      </c>
      <c r="B194" t="s">
        <v>457</v>
      </c>
      <c r="C194" t="s">
        <v>457</v>
      </c>
      <c r="D194" t="s">
        <v>458</v>
      </c>
      <c r="E194">
        <v>33</v>
      </c>
      <c r="F194">
        <v>11387</v>
      </c>
      <c r="G194">
        <v>11</v>
      </c>
      <c r="H194">
        <v>1034.758200175771</v>
      </c>
      <c r="I194">
        <v>31.356309096235488</v>
      </c>
      <c r="J194">
        <v>21.091793086297741</v>
      </c>
      <c r="K194" t="s">
        <v>69</v>
      </c>
      <c r="L194" t="s">
        <v>5</v>
      </c>
      <c r="Q194" s="1"/>
      <c r="R194" s="1"/>
      <c r="S194" s="1"/>
      <c r="T194" s="1"/>
      <c r="U194" s="1"/>
      <c r="V194" s="1"/>
    </row>
    <row r="195" spans="1:22" x14ac:dyDescent="0.3">
      <c r="A195" s="2">
        <v>70</v>
      </c>
      <c r="B195" t="s">
        <v>474</v>
      </c>
      <c r="C195" t="s">
        <v>474</v>
      </c>
      <c r="D195" t="s">
        <v>475</v>
      </c>
      <c r="E195">
        <v>16</v>
      </c>
      <c r="F195">
        <v>1855</v>
      </c>
      <c r="G195">
        <v>9</v>
      </c>
      <c r="H195">
        <v>468.52257751323998</v>
      </c>
      <c r="I195">
        <v>29.282661094577499</v>
      </c>
      <c r="J195">
        <v>20.382446184553419</v>
      </c>
      <c r="K195" t="s">
        <v>69</v>
      </c>
      <c r="L195" t="s">
        <v>5</v>
      </c>
      <c r="Q195" s="1"/>
      <c r="R195" s="1"/>
      <c r="S195" s="1"/>
      <c r="T195" s="1"/>
      <c r="U195" s="1"/>
      <c r="V195" s="1"/>
    </row>
    <row r="196" spans="1:22" x14ac:dyDescent="0.3">
      <c r="A196" s="2">
        <v>190</v>
      </c>
      <c r="B196" t="s">
        <v>499</v>
      </c>
      <c r="C196" t="s">
        <v>500</v>
      </c>
      <c r="D196" t="s">
        <v>501</v>
      </c>
      <c r="E196">
        <v>10</v>
      </c>
      <c r="F196">
        <v>334</v>
      </c>
      <c r="G196">
        <v>1</v>
      </c>
      <c r="H196">
        <v>291.52678757907307</v>
      </c>
      <c r="I196">
        <v>29.15267875790731</v>
      </c>
      <c r="J196">
        <v>20.337158214221908</v>
      </c>
      <c r="K196" t="s">
        <v>14</v>
      </c>
      <c r="L196" t="s">
        <v>369</v>
      </c>
      <c r="Q196" s="1"/>
      <c r="R196" s="1"/>
      <c r="S196" s="1"/>
      <c r="T196" s="1"/>
      <c r="U196" s="1"/>
      <c r="V196" s="1"/>
    </row>
    <row r="197" spans="1:22" x14ac:dyDescent="0.3">
      <c r="A197" s="2">
        <v>52</v>
      </c>
      <c r="B197" t="s">
        <v>467</v>
      </c>
      <c r="C197" t="s">
        <v>467</v>
      </c>
      <c r="D197" t="s">
        <v>468</v>
      </c>
      <c r="E197">
        <v>30</v>
      </c>
      <c r="F197">
        <v>7445</v>
      </c>
      <c r="G197">
        <v>5</v>
      </c>
      <c r="H197">
        <v>872.25780807929186</v>
      </c>
      <c r="I197">
        <v>29.07526026930973</v>
      </c>
      <c r="J197">
        <v>20.31013636221244</v>
      </c>
      <c r="K197" t="s">
        <v>69</v>
      </c>
      <c r="L197" t="s">
        <v>5</v>
      </c>
      <c r="Q197" s="1"/>
      <c r="R197" s="1"/>
      <c r="S197" s="1"/>
      <c r="T197" s="1"/>
      <c r="U197" s="1"/>
      <c r="V197" s="1"/>
    </row>
    <row r="198" spans="1:22" x14ac:dyDescent="0.3">
      <c r="A198" s="2">
        <v>54</v>
      </c>
      <c r="B198" t="s">
        <v>469</v>
      </c>
      <c r="C198" t="s">
        <v>469</v>
      </c>
      <c r="D198" t="s">
        <v>470</v>
      </c>
      <c r="E198">
        <v>25</v>
      </c>
      <c r="F198">
        <v>3737</v>
      </c>
      <c r="G198">
        <v>9</v>
      </c>
      <c r="H198">
        <v>724.13170169572459</v>
      </c>
      <c r="I198">
        <v>28.96526806782898</v>
      </c>
      <c r="J198">
        <v>20.271683165751622</v>
      </c>
      <c r="K198" t="s">
        <v>69</v>
      </c>
      <c r="L198" t="s">
        <v>5</v>
      </c>
      <c r="Q198" s="1"/>
      <c r="R198" s="1"/>
      <c r="S198" s="1"/>
      <c r="T198" s="1"/>
      <c r="U198" s="1"/>
      <c r="V198" s="1"/>
    </row>
    <row r="199" spans="1:22" x14ac:dyDescent="0.3">
      <c r="A199" s="2">
        <v>216</v>
      </c>
      <c r="B199" t="s">
        <v>476</v>
      </c>
      <c r="C199" t="s">
        <v>476</v>
      </c>
      <c r="D199" t="s">
        <v>477</v>
      </c>
      <c r="E199">
        <v>25</v>
      </c>
      <c r="F199">
        <v>2631</v>
      </c>
      <c r="G199">
        <v>5</v>
      </c>
      <c r="H199">
        <v>707.2914208689615</v>
      </c>
      <c r="I199">
        <v>28.291656834758459</v>
      </c>
      <c r="J199">
        <v>20.034579176484211</v>
      </c>
      <c r="K199" t="s">
        <v>69</v>
      </c>
      <c r="L199" t="s">
        <v>5</v>
      </c>
      <c r="Q199" s="1"/>
      <c r="R199" s="1"/>
      <c r="S199" s="1"/>
      <c r="T199" s="1"/>
      <c r="U199" s="1"/>
      <c r="V199" s="1"/>
    </row>
    <row r="200" spans="1:22" x14ac:dyDescent="0.3">
      <c r="A200" s="2">
        <v>74</v>
      </c>
      <c r="B200" t="s">
        <v>480</v>
      </c>
      <c r="C200" t="s">
        <v>480</v>
      </c>
      <c r="D200" t="s">
        <v>481</v>
      </c>
      <c r="E200">
        <v>40</v>
      </c>
      <c r="F200">
        <v>3619</v>
      </c>
      <c r="G200">
        <v>7</v>
      </c>
      <c r="H200">
        <v>1101.9337753630921</v>
      </c>
      <c r="I200">
        <v>27.5483443840773</v>
      </c>
      <c r="J200">
        <v>19.769641115324571</v>
      </c>
      <c r="K200" t="s">
        <v>69</v>
      </c>
      <c r="L200" t="s">
        <v>5</v>
      </c>
      <c r="Q200" s="1"/>
      <c r="R200" s="1"/>
      <c r="S200" s="1"/>
      <c r="T200" s="1"/>
      <c r="U200" s="1"/>
      <c r="V200" s="1"/>
    </row>
    <row r="201" spans="1:22" x14ac:dyDescent="0.3">
      <c r="A201" s="2">
        <v>219</v>
      </c>
      <c r="B201" t="s">
        <v>489</v>
      </c>
      <c r="C201" t="s">
        <v>489</v>
      </c>
      <c r="D201" t="s">
        <v>490</v>
      </c>
      <c r="E201">
        <v>25</v>
      </c>
      <c r="F201">
        <v>2402</v>
      </c>
      <c r="G201">
        <v>5</v>
      </c>
      <c r="H201">
        <v>681.67133203461572</v>
      </c>
      <c r="I201">
        <v>27.26685328138463</v>
      </c>
      <c r="J201">
        <v>19.6683779152639</v>
      </c>
      <c r="K201" t="s">
        <v>69</v>
      </c>
      <c r="L201" t="s">
        <v>5</v>
      </c>
      <c r="Q201" s="1"/>
      <c r="R201" s="1"/>
      <c r="S201" s="1"/>
      <c r="T201" s="1"/>
      <c r="U201" s="1"/>
      <c r="V201" s="1"/>
    </row>
    <row r="202" spans="1:22" x14ac:dyDescent="0.3">
      <c r="A202" s="2">
        <v>187</v>
      </c>
      <c r="B202" t="s">
        <v>491</v>
      </c>
      <c r="C202" t="s">
        <v>491</v>
      </c>
      <c r="D202" t="s">
        <v>492</v>
      </c>
      <c r="E202">
        <v>66</v>
      </c>
      <c r="F202">
        <v>4398</v>
      </c>
      <c r="G202">
        <v>5</v>
      </c>
      <c r="H202">
        <v>1749.3475307299821</v>
      </c>
      <c r="I202">
        <v>26.505265617120941</v>
      </c>
      <c r="J202">
        <v>19.391754937284531</v>
      </c>
      <c r="K202" t="s">
        <v>69</v>
      </c>
      <c r="L202" t="s">
        <v>5</v>
      </c>
      <c r="Q202" s="1"/>
      <c r="R202" s="1"/>
      <c r="S202" s="1"/>
      <c r="T202" s="1"/>
      <c r="U202" s="1"/>
      <c r="V202" s="1"/>
    </row>
    <row r="203" spans="1:22" x14ac:dyDescent="0.3">
      <c r="A203" s="2">
        <v>220</v>
      </c>
      <c r="B203" t="s">
        <v>478</v>
      </c>
      <c r="C203" t="s">
        <v>478</v>
      </c>
      <c r="D203" t="s">
        <v>479</v>
      </c>
      <c r="E203">
        <v>13</v>
      </c>
      <c r="F203">
        <v>1930</v>
      </c>
      <c r="G203">
        <v>5</v>
      </c>
      <c r="H203">
        <v>335.58031402585078</v>
      </c>
      <c r="I203">
        <v>25.81387030968083</v>
      </c>
      <c r="J203">
        <v>19.13716474848194</v>
      </c>
      <c r="K203" t="s">
        <v>69</v>
      </c>
      <c r="L203" t="s">
        <v>5</v>
      </c>
      <c r="Q203" s="1"/>
      <c r="R203" s="1"/>
      <c r="S203" s="1"/>
      <c r="T203" s="1"/>
      <c r="U203" s="1"/>
      <c r="V203" s="1"/>
    </row>
    <row r="204" spans="1:22" x14ac:dyDescent="0.3">
      <c r="A204" s="2">
        <v>210</v>
      </c>
      <c r="B204" t="s">
        <v>493</v>
      </c>
      <c r="C204" t="s">
        <v>493</v>
      </c>
      <c r="D204" t="s">
        <v>494</v>
      </c>
      <c r="E204">
        <v>76</v>
      </c>
      <c r="F204">
        <v>3760</v>
      </c>
      <c r="G204">
        <v>5</v>
      </c>
      <c r="H204">
        <v>1928.582165949158</v>
      </c>
      <c r="I204">
        <v>25.37608113090997</v>
      </c>
      <c r="J204">
        <v>18.974192870409532</v>
      </c>
      <c r="K204" t="s">
        <v>69</v>
      </c>
      <c r="L204" t="s">
        <v>5</v>
      </c>
      <c r="Q204" s="1"/>
      <c r="R204" s="1"/>
      <c r="S204" s="1"/>
      <c r="T204" s="1"/>
      <c r="U204" s="1"/>
      <c r="V204" s="1"/>
    </row>
    <row r="205" spans="1:22" x14ac:dyDescent="0.3">
      <c r="A205" s="2">
        <v>244</v>
      </c>
      <c r="B205" t="s">
        <v>495</v>
      </c>
      <c r="C205" t="s">
        <v>495</v>
      </c>
      <c r="D205" t="s">
        <v>496</v>
      </c>
      <c r="E205">
        <v>85</v>
      </c>
      <c r="F205">
        <v>6651</v>
      </c>
      <c r="G205">
        <v>9</v>
      </c>
      <c r="H205">
        <v>2065.710681830506</v>
      </c>
      <c r="I205">
        <v>24.30247860977066</v>
      </c>
      <c r="J205">
        <v>18.568478473912759</v>
      </c>
      <c r="K205" t="s">
        <v>69</v>
      </c>
      <c r="L205" t="s">
        <v>5</v>
      </c>
      <c r="Q205" s="1"/>
      <c r="R205" s="1"/>
      <c r="S205" s="1"/>
      <c r="T205" s="1"/>
      <c r="U205" s="1"/>
      <c r="V205" s="1"/>
    </row>
    <row r="206" spans="1:22" x14ac:dyDescent="0.3">
      <c r="A206" s="2">
        <v>209</v>
      </c>
      <c r="B206" t="s">
        <v>497</v>
      </c>
      <c r="C206" t="s">
        <v>497</v>
      </c>
      <c r="D206" t="s">
        <v>498</v>
      </c>
      <c r="E206">
        <v>85</v>
      </c>
      <c r="F206">
        <v>4759</v>
      </c>
      <c r="G206">
        <v>4</v>
      </c>
      <c r="H206">
        <v>2018.513470833386</v>
      </c>
      <c r="I206">
        <v>23.747217303922181</v>
      </c>
      <c r="J206">
        <v>18.355127134289479</v>
      </c>
      <c r="K206" t="s">
        <v>69</v>
      </c>
      <c r="L206" t="s">
        <v>5</v>
      </c>
      <c r="Q206" s="1"/>
      <c r="R206" s="1"/>
      <c r="S206" s="1"/>
      <c r="T206" s="1"/>
      <c r="U206" s="1"/>
      <c r="V206" s="1"/>
    </row>
    <row r="207" spans="1:22" x14ac:dyDescent="0.3">
      <c r="A207" s="2">
        <v>34</v>
      </c>
      <c r="B207" t="s">
        <v>506</v>
      </c>
      <c r="C207" t="s">
        <v>506</v>
      </c>
      <c r="D207" t="s">
        <v>507</v>
      </c>
      <c r="E207">
        <v>46</v>
      </c>
      <c r="F207">
        <v>2827</v>
      </c>
      <c r="G207">
        <v>9</v>
      </c>
      <c r="H207">
        <v>986.55209821312656</v>
      </c>
      <c r="I207">
        <v>21.446784743763619</v>
      </c>
      <c r="J207">
        <v>17.4434397774024</v>
      </c>
      <c r="K207" t="s">
        <v>69</v>
      </c>
      <c r="L207" t="s">
        <v>5</v>
      </c>
      <c r="Q207" s="1"/>
      <c r="R207" s="1"/>
      <c r="S207" s="1"/>
      <c r="T207" s="1"/>
      <c r="U207" s="1"/>
      <c r="V207" s="1"/>
    </row>
    <row r="208" spans="1:22" x14ac:dyDescent="0.3">
      <c r="A208" s="2">
        <v>312</v>
      </c>
      <c r="B208" t="s">
        <v>504</v>
      </c>
      <c r="C208" t="s">
        <v>504</v>
      </c>
      <c r="D208" t="s">
        <v>505</v>
      </c>
      <c r="E208">
        <v>7</v>
      </c>
      <c r="F208">
        <v>324</v>
      </c>
      <c r="G208">
        <v>0</v>
      </c>
      <c r="H208">
        <v>117.5040150177914</v>
      </c>
      <c r="I208">
        <v>16.786287859684489</v>
      </c>
      <c r="J208">
        <v>15.43221861365423</v>
      </c>
      <c r="K208" t="s">
        <v>14</v>
      </c>
      <c r="L208" t="s">
        <v>36</v>
      </c>
      <c r="Q208" s="1"/>
      <c r="R208" s="1"/>
      <c r="S208" s="1"/>
      <c r="T208" s="1"/>
      <c r="U208" s="1"/>
      <c r="V208" s="1"/>
    </row>
    <row r="209" spans="1:22" x14ac:dyDescent="0.3">
      <c r="A209" s="2">
        <v>306</v>
      </c>
      <c r="B209" t="s">
        <v>508</v>
      </c>
      <c r="C209" t="s">
        <v>508</v>
      </c>
      <c r="D209" t="s">
        <v>509</v>
      </c>
      <c r="E209">
        <v>42</v>
      </c>
      <c r="F209">
        <v>3551</v>
      </c>
      <c r="G209">
        <v>6</v>
      </c>
      <c r="H209">
        <v>693.6754773399814</v>
      </c>
      <c r="I209">
        <v>16.51608279380908</v>
      </c>
      <c r="J209">
        <v>15.307510266932811</v>
      </c>
      <c r="K209" t="s">
        <v>69</v>
      </c>
      <c r="L209" t="s">
        <v>5</v>
      </c>
      <c r="Q209" s="1"/>
      <c r="R209" s="1"/>
      <c r="S209" s="1"/>
      <c r="T209" s="1"/>
      <c r="U209" s="1"/>
      <c r="V209" s="1"/>
    </row>
    <row r="210" spans="1:22" x14ac:dyDescent="0.3">
      <c r="A210" s="2">
        <v>152</v>
      </c>
      <c r="B210" t="s">
        <v>514</v>
      </c>
      <c r="C210" t="s">
        <v>514</v>
      </c>
      <c r="D210" t="s">
        <v>515</v>
      </c>
      <c r="E210">
        <v>89</v>
      </c>
      <c r="F210">
        <v>5946</v>
      </c>
      <c r="G210">
        <v>9</v>
      </c>
      <c r="H210">
        <v>1454.038949381589</v>
      </c>
      <c r="I210">
        <v>16.3375162851864</v>
      </c>
      <c r="J210">
        <v>15.22453547531253</v>
      </c>
      <c r="K210" t="s">
        <v>69</v>
      </c>
      <c r="L210" t="s">
        <v>5</v>
      </c>
      <c r="Q210" s="1"/>
      <c r="R210" s="1"/>
      <c r="S210" s="1"/>
      <c r="T210" s="1"/>
      <c r="U210" s="1"/>
      <c r="V210" s="1"/>
    </row>
    <row r="211" spans="1:22" x14ac:dyDescent="0.3">
      <c r="A211" s="2">
        <v>195</v>
      </c>
      <c r="B211" t="s">
        <v>520</v>
      </c>
      <c r="C211" t="s">
        <v>520</v>
      </c>
      <c r="D211" t="s">
        <v>521</v>
      </c>
      <c r="E211">
        <v>45</v>
      </c>
      <c r="F211">
        <v>1953</v>
      </c>
      <c r="G211">
        <v>4</v>
      </c>
      <c r="H211">
        <v>704.38527874395754</v>
      </c>
      <c r="I211">
        <v>15.653006194310169</v>
      </c>
      <c r="J211">
        <v>14.902183687486639</v>
      </c>
      <c r="K211" t="s">
        <v>69</v>
      </c>
      <c r="L211" t="s">
        <v>5</v>
      </c>
      <c r="Q211" s="1"/>
      <c r="R211" s="1"/>
      <c r="S211" s="1"/>
      <c r="T211" s="1"/>
      <c r="U211" s="1"/>
      <c r="V211" s="1"/>
    </row>
    <row r="212" spans="1:22" x14ac:dyDescent="0.3">
      <c r="A212" s="2">
        <v>82</v>
      </c>
      <c r="B212" t="s">
        <v>502</v>
      </c>
      <c r="C212" t="s">
        <v>502</v>
      </c>
      <c r="D212" t="s">
        <v>503</v>
      </c>
      <c r="E212">
        <v>19</v>
      </c>
      <c r="F212">
        <v>1153</v>
      </c>
      <c r="G212">
        <v>6</v>
      </c>
      <c r="H212">
        <v>293.3351348610164</v>
      </c>
      <c r="I212">
        <v>15.438691308474549</v>
      </c>
      <c r="J212">
        <v>14.79981462271131</v>
      </c>
      <c r="K212" t="s">
        <v>69</v>
      </c>
      <c r="L212" t="s">
        <v>5</v>
      </c>
      <c r="Q212" s="1"/>
      <c r="R212" s="1"/>
      <c r="S212" s="1"/>
      <c r="T212" s="1"/>
      <c r="U212" s="1"/>
      <c r="V212" s="1"/>
    </row>
    <row r="213" spans="1:22" x14ac:dyDescent="0.3">
      <c r="A213" s="2">
        <v>323</v>
      </c>
      <c r="B213" t="s">
        <v>516</v>
      </c>
      <c r="C213" t="s">
        <v>516</v>
      </c>
      <c r="D213" t="s">
        <v>517</v>
      </c>
      <c r="E213">
        <v>53</v>
      </c>
      <c r="F213">
        <v>2835</v>
      </c>
      <c r="G213">
        <v>5</v>
      </c>
      <c r="H213">
        <v>808.17700038673615</v>
      </c>
      <c r="I213">
        <v>15.248622648806339</v>
      </c>
      <c r="J213">
        <v>14.70843082711246</v>
      </c>
      <c r="K213" t="s">
        <v>69</v>
      </c>
      <c r="L213" t="s">
        <v>5</v>
      </c>
      <c r="Q213" s="1"/>
      <c r="R213" s="1"/>
      <c r="S213" s="1"/>
      <c r="T213" s="1"/>
      <c r="U213" s="1"/>
      <c r="V213" s="1"/>
    </row>
    <row r="214" spans="1:22" x14ac:dyDescent="0.3">
      <c r="A214" s="2">
        <v>199</v>
      </c>
      <c r="B214" t="s">
        <v>510</v>
      </c>
      <c r="C214" t="s">
        <v>510</v>
      </c>
      <c r="D214" t="s">
        <v>511</v>
      </c>
      <c r="E214">
        <v>56</v>
      </c>
      <c r="F214">
        <v>5275</v>
      </c>
      <c r="G214">
        <v>6</v>
      </c>
      <c r="H214">
        <v>838.20171788014773</v>
      </c>
      <c r="I214">
        <v>14.96788781928835</v>
      </c>
      <c r="J214">
        <v>14.572407039211861</v>
      </c>
      <c r="K214" t="s">
        <v>69</v>
      </c>
      <c r="L214" t="s">
        <v>5</v>
      </c>
      <c r="Q214" s="1"/>
      <c r="R214" s="1"/>
      <c r="S214" s="1"/>
      <c r="T214" s="1"/>
      <c r="U214" s="1"/>
      <c r="V214" s="1"/>
    </row>
    <row r="215" spans="1:22" x14ac:dyDescent="0.3">
      <c r="A215" s="2">
        <v>124</v>
      </c>
      <c r="B215" t="s">
        <v>518</v>
      </c>
      <c r="C215" t="s">
        <v>518</v>
      </c>
      <c r="D215" t="s">
        <v>519</v>
      </c>
      <c r="E215">
        <v>42</v>
      </c>
      <c r="F215">
        <v>3028</v>
      </c>
      <c r="G215">
        <v>5</v>
      </c>
      <c r="H215">
        <v>598.31960366660951</v>
      </c>
      <c r="I215">
        <v>14.245704849204991</v>
      </c>
      <c r="J215">
        <v>14.21651032583409</v>
      </c>
      <c r="K215" t="s">
        <v>69</v>
      </c>
      <c r="L215" t="s">
        <v>5</v>
      </c>
      <c r="Q215" s="1"/>
      <c r="R215" s="1"/>
      <c r="S215" s="1"/>
      <c r="T215" s="1"/>
      <c r="U215" s="1"/>
      <c r="V215" s="1"/>
    </row>
    <row r="216" spans="1:22" x14ac:dyDescent="0.3">
      <c r="A216" s="2">
        <v>296</v>
      </c>
      <c r="B216" t="s">
        <v>530</v>
      </c>
      <c r="C216" t="s">
        <v>530</v>
      </c>
      <c r="D216" t="s">
        <v>531</v>
      </c>
      <c r="E216">
        <v>151</v>
      </c>
      <c r="F216">
        <v>9147</v>
      </c>
      <c r="G216">
        <v>5</v>
      </c>
      <c r="H216">
        <v>2116.946894841793</v>
      </c>
      <c r="I216">
        <v>14.019515859879419</v>
      </c>
      <c r="J216">
        <v>14.10319600973706</v>
      </c>
      <c r="K216" t="s">
        <v>69</v>
      </c>
      <c r="L216" t="s">
        <v>5</v>
      </c>
      <c r="Q216" s="1"/>
      <c r="R216" s="1"/>
      <c r="S216" s="1"/>
      <c r="T216" s="1"/>
      <c r="U216" s="1"/>
      <c r="V216" s="1"/>
    </row>
    <row r="217" spans="1:22" x14ac:dyDescent="0.3">
      <c r="A217" s="2">
        <v>303</v>
      </c>
      <c r="B217" t="s">
        <v>512</v>
      </c>
      <c r="C217" t="s">
        <v>512</v>
      </c>
      <c r="D217" t="s">
        <v>513</v>
      </c>
      <c r="E217">
        <v>31</v>
      </c>
      <c r="F217">
        <v>2950</v>
      </c>
      <c r="G217">
        <v>5</v>
      </c>
      <c r="H217">
        <v>429.41660483026828</v>
      </c>
      <c r="I217">
        <v>13.85214854291188</v>
      </c>
      <c r="J217">
        <v>14.018760098334351</v>
      </c>
      <c r="K217" t="s">
        <v>69</v>
      </c>
      <c r="L217" t="s">
        <v>5</v>
      </c>
      <c r="Q217" s="1"/>
      <c r="R217" s="1"/>
      <c r="S217" s="1"/>
      <c r="T217" s="1"/>
      <c r="U217" s="1"/>
      <c r="V217" s="1"/>
    </row>
    <row r="218" spans="1:22" x14ac:dyDescent="0.3">
      <c r="A218" s="2">
        <v>208</v>
      </c>
      <c r="B218" t="s">
        <v>534</v>
      </c>
      <c r="C218" t="s">
        <v>534</v>
      </c>
      <c r="D218" t="s">
        <v>535</v>
      </c>
      <c r="E218">
        <v>98</v>
      </c>
      <c r="F218">
        <v>5681</v>
      </c>
      <c r="G218">
        <v>5</v>
      </c>
      <c r="H218">
        <v>1355.6732944904741</v>
      </c>
      <c r="I218">
        <v>13.83340096418851</v>
      </c>
      <c r="J218">
        <v>14.009270350489491</v>
      </c>
      <c r="K218" t="s">
        <v>69</v>
      </c>
      <c r="L218" t="s">
        <v>5</v>
      </c>
      <c r="Q218" s="1"/>
      <c r="R218" s="1"/>
      <c r="S218" s="1"/>
      <c r="T218" s="1"/>
      <c r="U218" s="1"/>
      <c r="V218" s="1"/>
    </row>
    <row r="219" spans="1:22" x14ac:dyDescent="0.3">
      <c r="A219" s="2">
        <v>215</v>
      </c>
      <c r="B219" t="s">
        <v>526</v>
      </c>
      <c r="C219" t="s">
        <v>526</v>
      </c>
      <c r="D219" t="s">
        <v>527</v>
      </c>
      <c r="E219">
        <v>51</v>
      </c>
      <c r="F219">
        <v>3352</v>
      </c>
      <c r="G219">
        <v>5</v>
      </c>
      <c r="H219">
        <v>705.25724224398391</v>
      </c>
      <c r="I219">
        <v>13.82857337733302</v>
      </c>
      <c r="J219">
        <v>14.006825656264409</v>
      </c>
      <c r="K219" t="s">
        <v>69</v>
      </c>
      <c r="L219" t="s">
        <v>5</v>
      </c>
      <c r="Q219" s="1"/>
      <c r="R219" s="1"/>
      <c r="S219" s="1"/>
      <c r="T219" s="1"/>
      <c r="U219" s="1"/>
      <c r="V219" s="1"/>
    </row>
    <row r="220" spans="1:22" x14ac:dyDescent="0.3">
      <c r="A220" s="2">
        <v>203</v>
      </c>
      <c r="B220" t="s">
        <v>542</v>
      </c>
      <c r="C220" t="s">
        <v>542</v>
      </c>
      <c r="D220" t="s">
        <v>543</v>
      </c>
      <c r="E220">
        <v>18</v>
      </c>
      <c r="F220">
        <v>1782</v>
      </c>
      <c r="G220">
        <v>0</v>
      </c>
      <c r="H220">
        <v>247.75802993877249</v>
      </c>
      <c r="I220">
        <v>13.764334996598469</v>
      </c>
      <c r="J220">
        <v>13.974254575020669</v>
      </c>
      <c r="K220" t="s">
        <v>14</v>
      </c>
      <c r="L220" t="s">
        <v>196</v>
      </c>
      <c r="Q220" s="1"/>
      <c r="R220" s="1"/>
      <c r="S220" s="1"/>
      <c r="T220" s="1"/>
      <c r="U220" s="1"/>
      <c r="V220" s="1"/>
    </row>
    <row r="221" spans="1:22" x14ac:dyDescent="0.3">
      <c r="A221" s="2">
        <v>211</v>
      </c>
      <c r="B221" t="s">
        <v>522</v>
      </c>
      <c r="C221" t="s">
        <v>522</v>
      </c>
      <c r="D221" t="s">
        <v>523</v>
      </c>
      <c r="E221">
        <v>65</v>
      </c>
      <c r="F221">
        <v>5355</v>
      </c>
      <c r="G221">
        <v>9</v>
      </c>
      <c r="H221">
        <v>853.65826572261813</v>
      </c>
      <c r="I221">
        <v>13.13320408804028</v>
      </c>
      <c r="J221">
        <v>13.65011720295939</v>
      </c>
      <c r="K221" t="s">
        <v>69</v>
      </c>
      <c r="L221" t="s">
        <v>5</v>
      </c>
      <c r="Q221" s="1"/>
      <c r="R221" s="1"/>
      <c r="S221" s="1"/>
      <c r="T221" s="1"/>
      <c r="U221" s="1"/>
      <c r="V221" s="1"/>
    </row>
    <row r="222" spans="1:22" x14ac:dyDescent="0.3">
      <c r="A222" s="2">
        <v>144</v>
      </c>
      <c r="B222" t="s">
        <v>524</v>
      </c>
      <c r="C222" t="s">
        <v>524</v>
      </c>
      <c r="D222" t="s">
        <v>525</v>
      </c>
      <c r="E222">
        <v>22</v>
      </c>
      <c r="F222">
        <v>1910</v>
      </c>
      <c r="G222">
        <v>5</v>
      </c>
      <c r="H222">
        <v>287.78513640344812</v>
      </c>
      <c r="I222">
        <v>13.08114256379309</v>
      </c>
      <c r="J222">
        <v>13.623035023592781</v>
      </c>
      <c r="K222" t="s">
        <v>69</v>
      </c>
      <c r="L222" t="s">
        <v>5</v>
      </c>
      <c r="Q222" s="1"/>
      <c r="R222" s="1"/>
      <c r="S222" s="1"/>
      <c r="T222" s="1"/>
      <c r="U222" s="1"/>
      <c r="V222" s="1"/>
    </row>
    <row r="223" spans="1:22" x14ac:dyDescent="0.3">
      <c r="A223" s="2">
        <v>307</v>
      </c>
      <c r="B223" t="s">
        <v>540</v>
      </c>
      <c r="C223" t="s">
        <v>540</v>
      </c>
      <c r="D223" t="s">
        <v>541</v>
      </c>
      <c r="E223">
        <v>13</v>
      </c>
      <c r="F223">
        <v>1899</v>
      </c>
      <c r="G223">
        <v>4</v>
      </c>
      <c r="H223">
        <v>167.32351550999891</v>
      </c>
      <c r="I223">
        <v>12.8710396546153</v>
      </c>
      <c r="J223">
        <v>13.513188904180311</v>
      </c>
      <c r="K223" t="s">
        <v>69</v>
      </c>
      <c r="L223" t="s">
        <v>5</v>
      </c>
      <c r="Q223" s="1"/>
      <c r="R223" s="1"/>
      <c r="S223" s="1"/>
      <c r="T223" s="1"/>
      <c r="U223" s="1"/>
      <c r="V223" s="1"/>
    </row>
    <row r="224" spans="1:22" x14ac:dyDescent="0.3">
      <c r="A224" s="2">
        <v>301</v>
      </c>
      <c r="B224" t="s">
        <v>528</v>
      </c>
      <c r="C224" t="s">
        <v>528</v>
      </c>
      <c r="D224" t="s">
        <v>529</v>
      </c>
      <c r="E224">
        <v>74</v>
      </c>
      <c r="F224">
        <v>9126</v>
      </c>
      <c r="G224">
        <v>15</v>
      </c>
      <c r="H224">
        <v>944.96305611538867</v>
      </c>
      <c r="I224">
        <v>12.76977102858633</v>
      </c>
      <c r="J224">
        <v>13.459923414448079</v>
      </c>
      <c r="K224" t="s">
        <v>69</v>
      </c>
      <c r="L224" t="s">
        <v>5</v>
      </c>
      <c r="Q224" s="1"/>
      <c r="R224" s="1"/>
      <c r="S224" s="1"/>
      <c r="T224" s="1"/>
      <c r="U224" s="1"/>
      <c r="V224" s="1"/>
    </row>
    <row r="225" spans="1:22" x14ac:dyDescent="0.3">
      <c r="A225" s="2">
        <v>273</v>
      </c>
      <c r="B225" t="s">
        <v>538</v>
      </c>
      <c r="C225" t="s">
        <v>538</v>
      </c>
      <c r="D225" t="s">
        <v>539</v>
      </c>
      <c r="E225">
        <v>46</v>
      </c>
      <c r="F225">
        <v>3358</v>
      </c>
      <c r="G225">
        <v>5</v>
      </c>
      <c r="H225">
        <v>551.93581061890416</v>
      </c>
      <c r="I225">
        <v>11.998604578671831</v>
      </c>
      <c r="J225">
        <v>13.047172499156099</v>
      </c>
      <c r="K225" t="s">
        <v>69</v>
      </c>
      <c r="L225" t="s">
        <v>5</v>
      </c>
      <c r="Q225" s="1"/>
      <c r="R225" s="1"/>
      <c r="S225" s="1"/>
      <c r="T225" s="1"/>
      <c r="U225" s="1"/>
      <c r="V225" s="1"/>
    </row>
    <row r="226" spans="1:22" x14ac:dyDescent="0.3">
      <c r="A226" s="2">
        <v>261</v>
      </c>
      <c r="B226" t="s">
        <v>532</v>
      </c>
      <c r="C226" t="s">
        <v>532</v>
      </c>
      <c r="D226" t="s">
        <v>533</v>
      </c>
      <c r="E226">
        <v>13</v>
      </c>
      <c r="F226">
        <v>2272</v>
      </c>
      <c r="G226">
        <v>7</v>
      </c>
      <c r="H226">
        <v>150.429467657511</v>
      </c>
      <c r="I226">
        <v>11.571497512116229</v>
      </c>
      <c r="J226">
        <v>12.812852213080481</v>
      </c>
      <c r="K226" t="s">
        <v>69</v>
      </c>
      <c r="L226" t="s">
        <v>5</v>
      </c>
      <c r="Q226" s="1"/>
      <c r="R226" s="1"/>
      <c r="S226" s="1"/>
      <c r="T226" s="1"/>
      <c r="U226" s="1"/>
      <c r="V226" s="1"/>
    </row>
    <row r="227" spans="1:22" x14ac:dyDescent="0.3">
      <c r="A227" s="2">
        <v>212</v>
      </c>
      <c r="B227" t="s">
        <v>552</v>
      </c>
      <c r="C227" t="s">
        <v>552</v>
      </c>
      <c r="D227" t="s">
        <v>553</v>
      </c>
      <c r="E227">
        <v>13</v>
      </c>
      <c r="F227">
        <v>2312</v>
      </c>
      <c r="G227">
        <v>5</v>
      </c>
      <c r="H227">
        <v>149.73000317609049</v>
      </c>
      <c r="I227">
        <v>11.51769255200696</v>
      </c>
      <c r="J227">
        <v>12.783029009365601</v>
      </c>
      <c r="K227" t="s">
        <v>69</v>
      </c>
      <c r="L227" t="s">
        <v>5</v>
      </c>
      <c r="Q227" s="1"/>
      <c r="R227" s="1"/>
      <c r="S227" s="1"/>
      <c r="T227" s="1"/>
      <c r="U227" s="1"/>
      <c r="V227" s="1"/>
    </row>
    <row r="228" spans="1:22" x14ac:dyDescent="0.3">
      <c r="A228" s="2">
        <v>238</v>
      </c>
      <c r="B228" t="s">
        <v>536</v>
      </c>
      <c r="C228" t="s">
        <v>536</v>
      </c>
      <c r="D228" t="s">
        <v>537</v>
      </c>
      <c r="E228">
        <v>33</v>
      </c>
      <c r="F228">
        <v>3405</v>
      </c>
      <c r="G228">
        <v>6</v>
      </c>
      <c r="H228">
        <v>380.04270735042309</v>
      </c>
      <c r="I228">
        <v>11.516445677285549</v>
      </c>
      <c r="J228">
        <v>12.78233706229981</v>
      </c>
      <c r="K228" t="s">
        <v>69</v>
      </c>
      <c r="L228" t="s">
        <v>5</v>
      </c>
      <c r="Q228" s="1"/>
      <c r="R228" s="1"/>
      <c r="S228" s="1"/>
      <c r="T228" s="1"/>
      <c r="U228" s="1"/>
      <c r="V228" s="1"/>
    </row>
    <row r="229" spans="1:22" x14ac:dyDescent="0.3">
      <c r="A229" s="2">
        <v>311</v>
      </c>
      <c r="B229" t="s">
        <v>554</v>
      </c>
      <c r="C229" t="s">
        <v>554</v>
      </c>
      <c r="D229" t="s">
        <v>555</v>
      </c>
      <c r="E229">
        <v>71</v>
      </c>
      <c r="F229">
        <v>2941</v>
      </c>
      <c r="G229">
        <v>4</v>
      </c>
      <c r="H229">
        <v>759.84524968069468</v>
      </c>
      <c r="I229">
        <v>10.70204577015063</v>
      </c>
      <c r="J229">
        <v>12.322091680258501</v>
      </c>
      <c r="K229" t="s">
        <v>69</v>
      </c>
      <c r="L229" t="s">
        <v>5</v>
      </c>
      <c r="Q229" s="1"/>
      <c r="R229" s="1"/>
      <c r="S229" s="1"/>
      <c r="T229" s="1"/>
      <c r="U229" s="1"/>
      <c r="V229" s="1"/>
    </row>
    <row r="230" spans="1:22" x14ac:dyDescent="0.3">
      <c r="A230" s="2">
        <v>196</v>
      </c>
      <c r="B230" t="s">
        <v>544</v>
      </c>
      <c r="C230" t="s">
        <v>544</v>
      </c>
      <c r="D230" t="s">
        <v>545</v>
      </c>
      <c r="E230">
        <v>77</v>
      </c>
      <c r="F230">
        <v>5831</v>
      </c>
      <c r="G230">
        <v>7</v>
      </c>
      <c r="H230">
        <v>818.35820602605259</v>
      </c>
      <c r="I230">
        <v>10.628028649688989</v>
      </c>
      <c r="J230">
        <v>12.279406935413251</v>
      </c>
      <c r="K230" t="s">
        <v>69</v>
      </c>
      <c r="L230" t="s">
        <v>5</v>
      </c>
      <c r="Q230" s="1"/>
      <c r="R230" s="1"/>
      <c r="S230" s="1"/>
      <c r="T230" s="1"/>
      <c r="U230" s="1"/>
      <c r="V230" s="1"/>
    </row>
    <row r="231" spans="1:22" x14ac:dyDescent="0.3">
      <c r="A231" s="2">
        <v>305</v>
      </c>
      <c r="B231" t="s">
        <v>548</v>
      </c>
      <c r="C231" t="s">
        <v>548</v>
      </c>
      <c r="D231" t="s">
        <v>549</v>
      </c>
      <c r="E231">
        <v>70</v>
      </c>
      <c r="F231">
        <v>9123</v>
      </c>
      <c r="G231">
        <v>11</v>
      </c>
      <c r="H231">
        <v>711.99863056475658</v>
      </c>
      <c r="I231">
        <v>10.17140900806795</v>
      </c>
      <c r="J231">
        <v>12.01272659759835</v>
      </c>
      <c r="K231" t="s">
        <v>69</v>
      </c>
      <c r="L231" t="s">
        <v>5</v>
      </c>
      <c r="Q231" s="1"/>
      <c r="R231" s="1"/>
      <c r="S231" s="1"/>
      <c r="T231" s="1"/>
      <c r="U231" s="1"/>
      <c r="V231" s="1"/>
    </row>
    <row r="232" spans="1:22" x14ac:dyDescent="0.3">
      <c r="A232" s="2">
        <v>184</v>
      </c>
      <c r="B232" t="s">
        <v>550</v>
      </c>
      <c r="C232" t="s">
        <v>550</v>
      </c>
      <c r="D232" t="s">
        <v>551</v>
      </c>
      <c r="E232">
        <v>141</v>
      </c>
      <c r="F232">
        <v>9395</v>
      </c>
      <c r="G232">
        <v>11</v>
      </c>
      <c r="H232">
        <v>1423.3537329527551</v>
      </c>
      <c r="I232">
        <v>10.09470732590607</v>
      </c>
      <c r="J232">
        <v>11.967347439268909</v>
      </c>
      <c r="K232" t="s">
        <v>14</v>
      </c>
      <c r="L232" t="s">
        <v>54</v>
      </c>
      <c r="Q232" s="1"/>
      <c r="R232" s="1"/>
      <c r="S232" s="1"/>
      <c r="T232" s="1"/>
      <c r="U232" s="1"/>
      <c r="V232" s="1"/>
    </row>
    <row r="233" spans="1:22" x14ac:dyDescent="0.3">
      <c r="A233" s="2">
        <v>180</v>
      </c>
      <c r="B233" t="s">
        <v>546</v>
      </c>
      <c r="C233" t="s">
        <v>546</v>
      </c>
      <c r="D233" t="s">
        <v>547</v>
      </c>
      <c r="E233">
        <v>49</v>
      </c>
      <c r="F233">
        <v>3203</v>
      </c>
      <c r="G233">
        <v>7</v>
      </c>
      <c r="H233">
        <v>467.55614383501319</v>
      </c>
      <c r="I233">
        <v>9.5419621190819033</v>
      </c>
      <c r="J233">
        <v>11.63509350430545</v>
      </c>
      <c r="K233" t="s">
        <v>69</v>
      </c>
      <c r="L233" t="s">
        <v>5</v>
      </c>
      <c r="Q233" s="1"/>
      <c r="R233" s="1"/>
      <c r="S233" s="1"/>
      <c r="T233" s="1"/>
      <c r="U233" s="1"/>
      <c r="V233" s="1"/>
    </row>
    <row r="234" spans="1:22" x14ac:dyDescent="0.3">
      <c r="A234" s="2">
        <v>89</v>
      </c>
      <c r="B234" t="s">
        <v>562</v>
      </c>
      <c r="C234" t="s">
        <v>562</v>
      </c>
      <c r="D234" t="s">
        <v>563</v>
      </c>
      <c r="E234">
        <v>66</v>
      </c>
      <c r="F234">
        <v>3423</v>
      </c>
      <c r="G234">
        <v>5</v>
      </c>
      <c r="H234">
        <v>609.01853464071428</v>
      </c>
      <c r="I234">
        <v>9.2275535551623378</v>
      </c>
      <c r="J234">
        <v>11.441799179130349</v>
      </c>
      <c r="K234" t="s">
        <v>69</v>
      </c>
      <c r="L234" t="s">
        <v>5</v>
      </c>
      <c r="Q234" s="1"/>
      <c r="R234" s="1"/>
      <c r="S234" s="1"/>
      <c r="T234" s="1"/>
      <c r="U234" s="1"/>
      <c r="V234" s="1"/>
    </row>
    <row r="235" spans="1:22" x14ac:dyDescent="0.3">
      <c r="A235" s="2">
        <v>272</v>
      </c>
      <c r="B235" t="s">
        <v>556</v>
      </c>
      <c r="C235" t="s">
        <v>556</v>
      </c>
      <c r="D235" t="s">
        <v>557</v>
      </c>
      <c r="E235">
        <v>58</v>
      </c>
      <c r="F235">
        <v>3978</v>
      </c>
      <c r="G235">
        <v>9</v>
      </c>
      <c r="H235">
        <v>532.47786279859565</v>
      </c>
      <c r="I235">
        <v>9.1806528068723381</v>
      </c>
      <c r="J235">
        <v>11.41268460626662</v>
      </c>
      <c r="K235" t="s">
        <v>69</v>
      </c>
      <c r="L235" t="s">
        <v>5</v>
      </c>
      <c r="Q235" s="1"/>
      <c r="R235" s="1"/>
      <c r="S235" s="1"/>
      <c r="T235" s="1"/>
      <c r="U235" s="1"/>
      <c r="V235" s="1"/>
    </row>
    <row r="236" spans="1:22" x14ac:dyDescent="0.3">
      <c r="A236" s="2">
        <v>119</v>
      </c>
      <c r="B236" t="s">
        <v>560</v>
      </c>
      <c r="C236" t="s">
        <v>560</v>
      </c>
      <c r="D236" t="s">
        <v>561</v>
      </c>
      <c r="E236">
        <v>60</v>
      </c>
      <c r="F236">
        <v>3474</v>
      </c>
      <c r="G236">
        <v>5</v>
      </c>
      <c r="H236">
        <v>542.54377635625235</v>
      </c>
      <c r="I236">
        <v>9.042396272604206</v>
      </c>
      <c r="J236">
        <v>11.326423642828029</v>
      </c>
      <c r="K236" t="s">
        <v>69</v>
      </c>
      <c r="L236" t="s">
        <v>5</v>
      </c>
      <c r="Q236" s="1"/>
      <c r="R236" s="1"/>
      <c r="S236" s="1"/>
      <c r="T236" s="1"/>
      <c r="U236" s="1"/>
      <c r="V236" s="1"/>
    </row>
    <row r="237" spans="1:22" x14ac:dyDescent="0.3">
      <c r="A237" s="2">
        <v>294</v>
      </c>
      <c r="B237" t="s">
        <v>575</v>
      </c>
      <c r="C237" t="s">
        <v>575</v>
      </c>
      <c r="D237" t="s">
        <v>576</v>
      </c>
      <c r="E237">
        <v>79</v>
      </c>
      <c r="F237">
        <v>8890</v>
      </c>
      <c r="G237">
        <v>6</v>
      </c>
      <c r="H237">
        <v>695.08942981071255</v>
      </c>
      <c r="I237">
        <v>8.798600377350791</v>
      </c>
      <c r="J237">
        <v>11.1726920924729</v>
      </c>
      <c r="K237" t="s">
        <v>69</v>
      </c>
      <c r="L237" t="s">
        <v>5</v>
      </c>
      <c r="Q237" s="1"/>
      <c r="R237" s="1"/>
      <c r="S237" s="1"/>
      <c r="T237" s="1"/>
      <c r="U237" s="1"/>
      <c r="V237" s="1"/>
    </row>
    <row r="238" spans="1:22" x14ac:dyDescent="0.3">
      <c r="A238" s="2">
        <v>214</v>
      </c>
      <c r="B238" t="s">
        <v>564</v>
      </c>
      <c r="C238" t="s">
        <v>564</v>
      </c>
      <c r="D238" t="s">
        <v>565</v>
      </c>
      <c r="E238">
        <v>67</v>
      </c>
      <c r="F238">
        <v>3524</v>
      </c>
      <c r="G238">
        <v>6</v>
      </c>
      <c r="H238">
        <v>589.11005089380308</v>
      </c>
      <c r="I238">
        <v>8.79268732677318</v>
      </c>
      <c r="J238">
        <v>11.16893718862848</v>
      </c>
      <c r="K238" t="s">
        <v>69</v>
      </c>
      <c r="L238" t="s">
        <v>5</v>
      </c>
      <c r="Q238" s="1"/>
      <c r="R238" s="1"/>
      <c r="S238" s="1"/>
      <c r="T238" s="1"/>
      <c r="U238" s="1"/>
      <c r="V238" s="1"/>
    </row>
    <row r="239" spans="1:22" x14ac:dyDescent="0.3">
      <c r="A239" s="2">
        <v>192</v>
      </c>
      <c r="B239" t="s">
        <v>573</v>
      </c>
      <c r="C239" t="s">
        <v>573</v>
      </c>
      <c r="D239" t="s">
        <v>574</v>
      </c>
      <c r="E239">
        <v>81</v>
      </c>
      <c r="F239">
        <v>4900</v>
      </c>
      <c r="G239">
        <v>9</v>
      </c>
      <c r="H239">
        <v>707.3756720703002</v>
      </c>
      <c r="I239">
        <v>8.7330329885222255</v>
      </c>
      <c r="J239">
        <v>11.130984656294221</v>
      </c>
      <c r="K239" t="s">
        <v>69</v>
      </c>
      <c r="L239" t="s">
        <v>5</v>
      </c>
      <c r="Q239" s="1"/>
      <c r="R239" s="1"/>
      <c r="S239" s="1"/>
      <c r="T239" s="1"/>
      <c r="U239" s="1"/>
      <c r="V239" s="1"/>
    </row>
    <row r="240" spans="1:22" x14ac:dyDescent="0.3">
      <c r="A240" s="2">
        <v>321</v>
      </c>
      <c r="B240" t="s">
        <v>571</v>
      </c>
      <c r="C240" t="s">
        <v>571</v>
      </c>
      <c r="D240" t="s">
        <v>572</v>
      </c>
      <c r="E240">
        <v>69</v>
      </c>
      <c r="F240">
        <v>5601</v>
      </c>
      <c r="G240">
        <v>10</v>
      </c>
      <c r="H240">
        <v>592.10096700813995</v>
      </c>
      <c r="I240">
        <v>8.5811734349005793</v>
      </c>
      <c r="J240">
        <v>11.03378135038267</v>
      </c>
      <c r="K240" t="s">
        <v>69</v>
      </c>
      <c r="L240" t="s">
        <v>5</v>
      </c>
    </row>
    <row r="241" spans="1:22" x14ac:dyDescent="0.3">
      <c r="A241" s="2">
        <v>79</v>
      </c>
      <c r="B241" t="s">
        <v>568</v>
      </c>
      <c r="C241" t="s">
        <v>569</v>
      </c>
      <c r="D241" t="s">
        <v>570</v>
      </c>
      <c r="E241">
        <v>20</v>
      </c>
      <c r="F241">
        <v>2142</v>
      </c>
      <c r="G241">
        <v>5</v>
      </c>
      <c r="H241">
        <v>170.570486315408</v>
      </c>
      <c r="I241">
        <v>8.5285243157704009</v>
      </c>
      <c r="J241">
        <v>10.999880820183259</v>
      </c>
      <c r="K241" t="s">
        <v>69</v>
      </c>
      <c r="L241" t="s">
        <v>5</v>
      </c>
      <c r="Q241" s="1"/>
      <c r="R241" s="1"/>
      <c r="S241" s="1"/>
      <c r="T241" s="1"/>
      <c r="U241" s="1"/>
      <c r="V241" s="1"/>
    </row>
    <row r="242" spans="1:22" x14ac:dyDescent="0.3">
      <c r="A242" s="2">
        <v>282</v>
      </c>
      <c r="B242" t="s">
        <v>558</v>
      </c>
      <c r="C242" t="s">
        <v>558</v>
      </c>
      <c r="D242" t="s">
        <v>559</v>
      </c>
      <c r="E242">
        <v>27</v>
      </c>
      <c r="F242">
        <v>1581</v>
      </c>
      <c r="G242">
        <v>6</v>
      </c>
      <c r="H242">
        <v>229.2926076668704</v>
      </c>
      <c r="I242">
        <v>8.4923188024766798</v>
      </c>
      <c r="J242">
        <v>10.9765074974316</v>
      </c>
      <c r="K242" t="s">
        <v>69</v>
      </c>
      <c r="L242" t="s">
        <v>5</v>
      </c>
      <c r="Q242" s="1"/>
      <c r="R242" s="1"/>
      <c r="S242" s="1"/>
      <c r="T242" s="1"/>
      <c r="U242" s="1"/>
      <c r="V242" s="1"/>
    </row>
    <row r="243" spans="1:22" x14ac:dyDescent="0.3">
      <c r="A243" s="2">
        <v>302</v>
      </c>
      <c r="B243" t="s">
        <v>577</v>
      </c>
      <c r="C243" t="s">
        <v>577</v>
      </c>
      <c r="D243" t="s">
        <v>578</v>
      </c>
      <c r="E243">
        <v>128</v>
      </c>
      <c r="F243">
        <v>7246</v>
      </c>
      <c r="G243">
        <v>9</v>
      </c>
      <c r="H243">
        <v>1069.785355080121</v>
      </c>
      <c r="I243">
        <v>8.3576980865634454</v>
      </c>
      <c r="J243">
        <v>10.8891598471417</v>
      </c>
      <c r="K243" t="s">
        <v>69</v>
      </c>
      <c r="L243" t="s">
        <v>5</v>
      </c>
      <c r="Q243" s="1"/>
      <c r="R243" s="1"/>
      <c r="S243" s="1"/>
      <c r="T243" s="1"/>
      <c r="U243" s="1"/>
      <c r="V243" s="1"/>
    </row>
    <row r="244" spans="1:22" x14ac:dyDescent="0.3">
      <c r="A244" s="2">
        <v>292</v>
      </c>
      <c r="B244" t="s">
        <v>592</v>
      </c>
      <c r="C244" t="s">
        <v>592</v>
      </c>
      <c r="D244" t="s">
        <v>593</v>
      </c>
      <c r="E244">
        <v>152</v>
      </c>
      <c r="F244">
        <v>3446</v>
      </c>
      <c r="G244">
        <v>6</v>
      </c>
      <c r="H244">
        <v>1215.6810157295749</v>
      </c>
      <c r="I244">
        <v>7.9979014192735223</v>
      </c>
      <c r="J244">
        <v>10.652193750888159</v>
      </c>
      <c r="K244" t="s">
        <v>69</v>
      </c>
      <c r="L244" t="s">
        <v>5</v>
      </c>
      <c r="Q244" s="1"/>
      <c r="R244" s="1"/>
      <c r="S244" s="1"/>
      <c r="T244" s="1"/>
      <c r="U244" s="1"/>
      <c r="V244" s="1"/>
    </row>
    <row r="245" spans="1:22" x14ac:dyDescent="0.3">
      <c r="A245" s="2">
        <v>308</v>
      </c>
      <c r="B245" t="s">
        <v>586</v>
      </c>
      <c r="C245" t="s">
        <v>586</v>
      </c>
      <c r="D245" t="s">
        <v>587</v>
      </c>
      <c r="E245">
        <v>95</v>
      </c>
      <c r="F245">
        <v>5847</v>
      </c>
      <c r="G245">
        <v>7</v>
      </c>
      <c r="H245">
        <v>754.97260360601967</v>
      </c>
      <c r="I245">
        <v>7.9470800379581021</v>
      </c>
      <c r="J245">
        <v>10.618295987566899</v>
      </c>
      <c r="K245" t="s">
        <v>69</v>
      </c>
      <c r="L245" t="s">
        <v>5</v>
      </c>
      <c r="Q245" s="1"/>
      <c r="R245" s="1"/>
      <c r="S245" s="1"/>
      <c r="T245" s="1"/>
      <c r="U245" s="1"/>
      <c r="V245" s="1"/>
    </row>
    <row r="246" spans="1:22" x14ac:dyDescent="0.3">
      <c r="A246" s="2">
        <v>191</v>
      </c>
      <c r="B246" t="s">
        <v>566</v>
      </c>
      <c r="C246" t="s">
        <v>566</v>
      </c>
      <c r="D246" t="s">
        <v>567</v>
      </c>
      <c r="E246">
        <v>26</v>
      </c>
      <c r="F246">
        <v>781</v>
      </c>
      <c r="G246">
        <v>7</v>
      </c>
      <c r="H246">
        <v>204.4767170293608</v>
      </c>
      <c r="I246">
        <v>7.8644891165138757</v>
      </c>
      <c r="J246">
        <v>10.562975965759881</v>
      </c>
      <c r="K246" t="s">
        <v>69</v>
      </c>
      <c r="L246" t="s">
        <v>5</v>
      </c>
      <c r="Q246" s="1"/>
      <c r="R246" s="1"/>
      <c r="S246" s="1"/>
      <c r="T246" s="1"/>
      <c r="U246" s="1"/>
      <c r="V246" s="1"/>
    </row>
    <row r="247" spans="1:22" x14ac:dyDescent="0.3">
      <c r="A247" s="2">
        <v>297</v>
      </c>
      <c r="B247" t="s">
        <v>579</v>
      </c>
      <c r="C247" t="s">
        <v>579</v>
      </c>
      <c r="D247" t="s">
        <v>580</v>
      </c>
      <c r="E247">
        <v>47</v>
      </c>
      <c r="F247">
        <v>2748</v>
      </c>
      <c r="G247">
        <v>10</v>
      </c>
      <c r="H247">
        <v>369.62821295263888</v>
      </c>
      <c r="I247">
        <v>7.8644300628221044</v>
      </c>
      <c r="J247">
        <v>10.562936307500539</v>
      </c>
      <c r="K247" t="s">
        <v>69</v>
      </c>
      <c r="L247" t="s">
        <v>5</v>
      </c>
      <c r="Q247" s="1"/>
      <c r="R247" s="1"/>
      <c r="S247" s="1"/>
      <c r="T247" s="1"/>
      <c r="U247" s="1"/>
      <c r="V247" s="1"/>
    </row>
    <row r="248" spans="1:22" x14ac:dyDescent="0.3">
      <c r="A248" s="2">
        <v>316</v>
      </c>
      <c r="B248" t="s">
        <v>594</v>
      </c>
      <c r="C248" t="s">
        <v>594</v>
      </c>
      <c r="D248" t="s">
        <v>595</v>
      </c>
      <c r="E248">
        <v>85</v>
      </c>
      <c r="F248">
        <v>3435</v>
      </c>
      <c r="G248">
        <v>5</v>
      </c>
      <c r="H248">
        <v>662.97815782742828</v>
      </c>
      <c r="I248">
        <v>7.7997430332638622</v>
      </c>
      <c r="J248">
        <v>10.519405128115549</v>
      </c>
      <c r="K248" t="s">
        <v>69</v>
      </c>
      <c r="L248" t="s">
        <v>5</v>
      </c>
      <c r="Q248" s="1"/>
      <c r="R248" s="1"/>
      <c r="S248" s="1"/>
      <c r="T248" s="1"/>
      <c r="U248" s="1"/>
      <c r="V248" s="1"/>
    </row>
    <row r="249" spans="1:22" x14ac:dyDescent="0.3">
      <c r="A249" s="2">
        <v>258</v>
      </c>
      <c r="B249" t="s">
        <v>581</v>
      </c>
      <c r="C249" t="s">
        <v>582</v>
      </c>
      <c r="D249" t="s">
        <v>583</v>
      </c>
      <c r="E249">
        <v>56</v>
      </c>
      <c r="F249">
        <v>2605</v>
      </c>
      <c r="G249">
        <v>17</v>
      </c>
      <c r="H249">
        <v>435.09206480034482</v>
      </c>
      <c r="I249">
        <v>7.7695011571490147</v>
      </c>
      <c r="J249">
        <v>10.498991922711079</v>
      </c>
      <c r="K249" t="s">
        <v>69</v>
      </c>
      <c r="L249" t="s">
        <v>5</v>
      </c>
      <c r="Q249" s="1"/>
      <c r="R249" s="1"/>
      <c r="S249" s="1"/>
      <c r="T249" s="1"/>
      <c r="U249" s="1"/>
      <c r="V249" s="1"/>
    </row>
    <row r="250" spans="1:22" x14ac:dyDescent="0.3">
      <c r="A250" s="2">
        <v>206</v>
      </c>
      <c r="B250" t="s">
        <v>590</v>
      </c>
      <c r="C250" t="s">
        <v>590</v>
      </c>
      <c r="D250" t="s">
        <v>591</v>
      </c>
      <c r="E250">
        <v>76</v>
      </c>
      <c r="F250">
        <v>4076</v>
      </c>
      <c r="G250">
        <v>10</v>
      </c>
      <c r="H250">
        <v>587.19204664966662</v>
      </c>
      <c r="I250">
        <v>7.7262111401271927</v>
      </c>
      <c r="J250">
        <v>10.469701985277769</v>
      </c>
      <c r="K250" t="s">
        <v>69</v>
      </c>
      <c r="L250" t="s">
        <v>5</v>
      </c>
      <c r="Q250" s="1"/>
      <c r="R250" s="1"/>
      <c r="S250" s="1"/>
      <c r="T250" s="1"/>
      <c r="U250" s="1"/>
      <c r="V250" s="1"/>
    </row>
    <row r="251" spans="1:22" x14ac:dyDescent="0.3">
      <c r="A251" s="2">
        <v>264</v>
      </c>
      <c r="B251" t="s">
        <v>584</v>
      </c>
      <c r="C251" t="s">
        <v>584</v>
      </c>
      <c r="D251" t="s">
        <v>585</v>
      </c>
      <c r="E251">
        <v>13</v>
      </c>
      <c r="F251">
        <v>1177</v>
      </c>
      <c r="G251">
        <v>5</v>
      </c>
      <c r="H251">
        <v>99.00827107224805</v>
      </c>
      <c r="I251">
        <v>7.6160208517113883</v>
      </c>
      <c r="J251">
        <v>10.39477506479709</v>
      </c>
      <c r="K251" t="s">
        <v>69</v>
      </c>
      <c r="L251" t="s">
        <v>5</v>
      </c>
      <c r="Q251" s="1"/>
      <c r="R251" s="1"/>
      <c r="S251" s="1"/>
      <c r="T251" s="1"/>
      <c r="U251" s="1"/>
      <c r="V251" s="1"/>
    </row>
    <row r="252" spans="1:22" x14ac:dyDescent="0.3">
      <c r="A252" s="2">
        <v>263</v>
      </c>
      <c r="B252" t="s">
        <v>610</v>
      </c>
      <c r="C252" t="s">
        <v>610</v>
      </c>
      <c r="D252" t="s">
        <v>611</v>
      </c>
      <c r="E252">
        <v>45</v>
      </c>
      <c r="F252">
        <v>4042</v>
      </c>
      <c r="G252">
        <v>10</v>
      </c>
      <c r="H252">
        <v>339.32431427212248</v>
      </c>
      <c r="I252">
        <v>7.5405403171582783</v>
      </c>
      <c r="J252">
        <v>10.34313675589204</v>
      </c>
      <c r="K252" t="s">
        <v>69</v>
      </c>
      <c r="L252" t="s">
        <v>5</v>
      </c>
      <c r="Q252" s="1"/>
      <c r="R252" s="1"/>
      <c r="S252" s="1"/>
      <c r="T252" s="1"/>
      <c r="U252" s="1"/>
      <c r="V252" s="1"/>
    </row>
    <row r="253" spans="1:22" x14ac:dyDescent="0.3">
      <c r="A253" s="2">
        <v>227</v>
      </c>
      <c r="B253" t="s">
        <v>596</v>
      </c>
      <c r="C253" t="s">
        <v>596</v>
      </c>
      <c r="D253" t="s">
        <v>597</v>
      </c>
      <c r="E253">
        <v>36</v>
      </c>
      <c r="F253">
        <v>1780</v>
      </c>
      <c r="G253">
        <v>4</v>
      </c>
      <c r="H253">
        <v>271.35051522719851</v>
      </c>
      <c r="I253">
        <v>7.5375143118666257</v>
      </c>
      <c r="J253">
        <v>10.3410612065371</v>
      </c>
      <c r="K253" t="s">
        <v>69</v>
      </c>
      <c r="L253" t="s">
        <v>5</v>
      </c>
      <c r="Q253" s="1"/>
      <c r="R253" s="1"/>
      <c r="S253" s="1"/>
      <c r="T253" s="1"/>
      <c r="U253" s="1"/>
      <c r="V253" s="1"/>
    </row>
    <row r="254" spans="1:22" x14ac:dyDescent="0.3">
      <c r="A254" s="2">
        <v>286</v>
      </c>
      <c r="B254" t="s">
        <v>588</v>
      </c>
      <c r="C254" t="s">
        <v>588</v>
      </c>
      <c r="D254" t="s">
        <v>589</v>
      </c>
      <c r="E254">
        <v>51</v>
      </c>
      <c r="F254">
        <v>2862</v>
      </c>
      <c r="G254">
        <v>20</v>
      </c>
      <c r="H254">
        <v>379.60949910906851</v>
      </c>
      <c r="I254">
        <v>7.4433235119425198</v>
      </c>
      <c r="J254">
        <v>10.276245745295469</v>
      </c>
      <c r="K254" t="s">
        <v>69</v>
      </c>
      <c r="L254" t="s">
        <v>5</v>
      </c>
      <c r="Q254" s="1"/>
      <c r="R254" s="1"/>
      <c r="S254" s="1"/>
      <c r="T254" s="1"/>
      <c r="U254" s="1"/>
      <c r="V254" s="1"/>
    </row>
    <row r="255" spans="1:22" x14ac:dyDescent="0.3">
      <c r="A255" s="2">
        <v>313</v>
      </c>
      <c r="B255" t="s">
        <v>608</v>
      </c>
      <c r="C255" t="s">
        <v>608</v>
      </c>
      <c r="D255" t="s">
        <v>609</v>
      </c>
      <c r="E255">
        <v>108</v>
      </c>
      <c r="F255">
        <v>5345</v>
      </c>
      <c r="G255">
        <v>5</v>
      </c>
      <c r="H255">
        <v>775.06770576091594</v>
      </c>
      <c r="I255">
        <v>7.1765528311195919</v>
      </c>
      <c r="J255">
        <v>10.09041380524835</v>
      </c>
      <c r="K255" t="s">
        <v>69</v>
      </c>
      <c r="L255" t="s">
        <v>5</v>
      </c>
      <c r="Q255" s="1"/>
      <c r="R255" s="1"/>
      <c r="S255" s="1"/>
      <c r="T255" s="1"/>
      <c r="U255" s="1"/>
      <c r="V255" s="1"/>
    </row>
    <row r="256" spans="1:22" x14ac:dyDescent="0.3">
      <c r="A256" s="2">
        <v>269</v>
      </c>
      <c r="B256" t="s">
        <v>602</v>
      </c>
      <c r="C256" t="s">
        <v>602</v>
      </c>
      <c r="D256" t="s">
        <v>603</v>
      </c>
      <c r="E256">
        <v>190</v>
      </c>
      <c r="F256">
        <v>12853</v>
      </c>
      <c r="G256">
        <v>12</v>
      </c>
      <c r="H256">
        <v>1350.562863398809</v>
      </c>
      <c r="I256">
        <v>7.1082255968358394</v>
      </c>
      <c r="J256">
        <v>10.042264018757781</v>
      </c>
      <c r="K256" t="s">
        <v>69</v>
      </c>
      <c r="L256" t="s">
        <v>5</v>
      </c>
      <c r="Q256" s="1"/>
      <c r="R256" s="1"/>
      <c r="S256" s="1"/>
      <c r="T256" s="1"/>
      <c r="U256" s="1"/>
      <c r="V256" s="1"/>
    </row>
    <row r="257" spans="1:22" x14ac:dyDescent="0.3">
      <c r="A257" s="2">
        <v>202</v>
      </c>
      <c r="B257" t="s">
        <v>600</v>
      </c>
      <c r="C257" t="s">
        <v>600</v>
      </c>
      <c r="D257" t="s">
        <v>601</v>
      </c>
      <c r="E257">
        <v>20</v>
      </c>
      <c r="F257">
        <v>1693</v>
      </c>
      <c r="G257">
        <v>6</v>
      </c>
      <c r="H257">
        <v>140.636143846019</v>
      </c>
      <c r="I257">
        <v>7.0318071923009509</v>
      </c>
      <c r="J257">
        <v>9.9881374646161571</v>
      </c>
      <c r="K257" t="s">
        <v>69</v>
      </c>
      <c r="L257" t="s">
        <v>5</v>
      </c>
      <c r="Q257" s="1"/>
      <c r="R257" s="1"/>
      <c r="S257" s="1"/>
      <c r="T257" s="1"/>
      <c r="U257" s="1"/>
      <c r="V257" s="1"/>
    </row>
    <row r="258" spans="1:22" x14ac:dyDescent="0.3">
      <c r="A258" s="2">
        <v>265</v>
      </c>
      <c r="B258" t="s">
        <v>604</v>
      </c>
      <c r="C258" t="s">
        <v>604</v>
      </c>
      <c r="D258" t="s">
        <v>605</v>
      </c>
      <c r="E258">
        <v>24</v>
      </c>
      <c r="F258">
        <v>2094</v>
      </c>
      <c r="G258">
        <v>5</v>
      </c>
      <c r="H258">
        <v>167.10480333238939</v>
      </c>
      <c r="I258">
        <v>6.9627001388495566</v>
      </c>
      <c r="J258">
        <v>9.9389356716855151</v>
      </c>
      <c r="K258" t="s">
        <v>69</v>
      </c>
      <c r="L258" t="s">
        <v>5</v>
      </c>
      <c r="Q258" s="1"/>
      <c r="R258" s="1"/>
      <c r="S258" s="1"/>
      <c r="T258" s="1"/>
      <c r="U258" s="1"/>
      <c r="V258" s="1"/>
    </row>
    <row r="259" spans="1:22" x14ac:dyDescent="0.3">
      <c r="A259" s="2">
        <v>198</v>
      </c>
      <c r="B259" t="s">
        <v>598</v>
      </c>
      <c r="C259" t="s">
        <v>598</v>
      </c>
      <c r="D259" t="s">
        <v>599</v>
      </c>
      <c r="E259">
        <v>12</v>
      </c>
      <c r="F259">
        <v>948</v>
      </c>
      <c r="G259">
        <v>5</v>
      </c>
      <c r="H259">
        <v>82.52530525870111</v>
      </c>
      <c r="I259">
        <v>6.8771087715584258</v>
      </c>
      <c r="J259">
        <v>9.8776578907780266</v>
      </c>
      <c r="K259" t="s">
        <v>69</v>
      </c>
      <c r="L259" t="s">
        <v>5</v>
      </c>
      <c r="Q259" s="1"/>
      <c r="R259" s="1"/>
      <c r="S259" s="1"/>
      <c r="T259" s="1"/>
      <c r="U259" s="1"/>
      <c r="V259" s="1"/>
    </row>
    <row r="260" spans="1:22" x14ac:dyDescent="0.3">
      <c r="A260" s="2">
        <v>274</v>
      </c>
      <c r="B260" t="s">
        <v>606</v>
      </c>
      <c r="C260" t="s">
        <v>606</v>
      </c>
      <c r="D260" t="s">
        <v>607</v>
      </c>
      <c r="E260">
        <v>74</v>
      </c>
      <c r="F260">
        <v>4506</v>
      </c>
      <c r="G260">
        <v>12</v>
      </c>
      <c r="H260">
        <v>501.47130815811829</v>
      </c>
      <c r="I260">
        <v>6.7766392994340308</v>
      </c>
      <c r="J260">
        <v>9.8052397862891461</v>
      </c>
      <c r="K260" t="s">
        <v>69</v>
      </c>
      <c r="L260" t="s">
        <v>5</v>
      </c>
      <c r="Q260" s="1"/>
      <c r="R260" s="1"/>
      <c r="S260" s="1"/>
      <c r="T260" s="1"/>
      <c r="U260" s="1"/>
      <c r="V260" s="1"/>
    </row>
    <row r="261" spans="1:22" x14ac:dyDescent="0.3">
      <c r="A261" s="2">
        <v>283</v>
      </c>
      <c r="B261" t="s">
        <v>612</v>
      </c>
      <c r="C261" t="s">
        <v>612</v>
      </c>
      <c r="D261" t="s">
        <v>613</v>
      </c>
      <c r="E261">
        <v>88</v>
      </c>
      <c r="F261">
        <v>4281</v>
      </c>
      <c r="G261">
        <v>7</v>
      </c>
      <c r="H261">
        <v>582.33225925752106</v>
      </c>
      <c r="I261">
        <v>6.6174120370172851</v>
      </c>
      <c r="J261">
        <v>9.6893606746676575</v>
      </c>
      <c r="K261" t="s">
        <v>69</v>
      </c>
      <c r="L261" t="s">
        <v>5</v>
      </c>
      <c r="Q261" s="1"/>
      <c r="R261" s="1"/>
      <c r="S261" s="1"/>
      <c r="T261" s="1"/>
      <c r="U261" s="1"/>
      <c r="V261" s="1"/>
    </row>
    <row r="262" spans="1:22" x14ac:dyDescent="0.3">
      <c r="A262" s="2">
        <v>250</v>
      </c>
      <c r="B262" t="s">
        <v>618</v>
      </c>
      <c r="C262" t="s">
        <v>618</v>
      </c>
      <c r="D262" t="s">
        <v>619</v>
      </c>
      <c r="E262">
        <v>147</v>
      </c>
      <c r="F262">
        <v>5076</v>
      </c>
      <c r="G262">
        <v>14</v>
      </c>
      <c r="H262">
        <v>941.53294478898385</v>
      </c>
      <c r="I262">
        <v>6.4049860189726786</v>
      </c>
      <c r="J262">
        <v>9.5325727152586541</v>
      </c>
      <c r="K262" t="s">
        <v>69</v>
      </c>
      <c r="L262" t="s">
        <v>5</v>
      </c>
      <c r="Q262" s="1"/>
      <c r="R262" s="1"/>
      <c r="S262" s="1"/>
      <c r="T262" s="1"/>
      <c r="U262" s="1"/>
      <c r="V262" s="1"/>
    </row>
    <row r="263" spans="1:22" x14ac:dyDescent="0.3">
      <c r="A263" s="2">
        <v>183</v>
      </c>
      <c r="B263" t="s">
        <v>638</v>
      </c>
      <c r="C263" t="s">
        <v>638</v>
      </c>
      <c r="D263" t="s">
        <v>639</v>
      </c>
      <c r="E263">
        <v>113</v>
      </c>
      <c r="F263">
        <v>4734</v>
      </c>
      <c r="G263">
        <v>7</v>
      </c>
      <c r="H263">
        <v>719.08701509869275</v>
      </c>
      <c r="I263">
        <v>6.3636019035282541</v>
      </c>
      <c r="J263">
        <v>9.5017267157431657</v>
      </c>
      <c r="K263" t="s">
        <v>69</v>
      </c>
      <c r="L263" t="s">
        <v>5</v>
      </c>
      <c r="Q263" s="1"/>
      <c r="R263" s="1"/>
      <c r="S263" s="1"/>
      <c r="T263" s="1"/>
      <c r="U263" s="1"/>
      <c r="V263" s="1"/>
    </row>
    <row r="264" spans="1:22" x14ac:dyDescent="0.3">
      <c r="A264" s="2">
        <v>298</v>
      </c>
      <c r="B264" t="s">
        <v>616</v>
      </c>
      <c r="C264" t="s">
        <v>616</v>
      </c>
      <c r="D264" t="s">
        <v>617</v>
      </c>
      <c r="E264">
        <v>11</v>
      </c>
      <c r="F264">
        <v>681</v>
      </c>
      <c r="G264">
        <v>4</v>
      </c>
      <c r="H264">
        <v>68.668095802011592</v>
      </c>
      <c r="I264">
        <v>6.2425541638192357</v>
      </c>
      <c r="J264">
        <v>9.4109224217372915</v>
      </c>
      <c r="K264" t="s">
        <v>69</v>
      </c>
      <c r="L264" t="s">
        <v>5</v>
      </c>
      <c r="Q264" s="1"/>
      <c r="R264" s="1"/>
      <c r="S264" s="1"/>
      <c r="T264" s="1"/>
      <c r="U264" s="1"/>
      <c r="V264" s="1"/>
    </row>
    <row r="265" spans="1:22" x14ac:dyDescent="0.3">
      <c r="A265" s="2">
        <v>287</v>
      </c>
      <c r="B265" t="s">
        <v>624</v>
      </c>
      <c r="C265" t="s">
        <v>624</v>
      </c>
      <c r="D265" t="s">
        <v>625</v>
      </c>
      <c r="E265">
        <v>135</v>
      </c>
      <c r="F265">
        <v>6900</v>
      </c>
      <c r="G265">
        <v>7</v>
      </c>
      <c r="H265">
        <v>832.20050673363312</v>
      </c>
      <c r="I265">
        <v>6.1644481980269124</v>
      </c>
      <c r="J265">
        <v>9.3518630310824946</v>
      </c>
      <c r="K265" t="s">
        <v>69</v>
      </c>
      <c r="L265" t="s">
        <v>5</v>
      </c>
      <c r="Q265" s="1"/>
      <c r="R265" s="1"/>
      <c r="S265" s="1"/>
      <c r="T265" s="1"/>
      <c r="U265" s="1"/>
      <c r="V265" s="1"/>
    </row>
    <row r="266" spans="1:22" x14ac:dyDescent="0.3">
      <c r="A266" s="2">
        <v>293</v>
      </c>
      <c r="B266" t="s">
        <v>614</v>
      </c>
      <c r="C266" t="s">
        <v>614</v>
      </c>
      <c r="D266" t="s">
        <v>615</v>
      </c>
      <c r="E266">
        <v>20</v>
      </c>
      <c r="F266">
        <v>604</v>
      </c>
      <c r="G266">
        <v>7</v>
      </c>
      <c r="H266">
        <v>123.2371415458089</v>
      </c>
      <c r="I266">
        <v>6.1618570772904473</v>
      </c>
      <c r="J266">
        <v>9.349897376384952</v>
      </c>
      <c r="K266" t="s">
        <v>69</v>
      </c>
      <c r="L266" t="s">
        <v>5</v>
      </c>
      <c r="Q266" s="1"/>
      <c r="R266" s="1"/>
      <c r="S266" s="1"/>
      <c r="T266" s="1"/>
      <c r="U266" s="1"/>
      <c r="V266" s="1"/>
    </row>
    <row r="267" spans="1:22" x14ac:dyDescent="0.3">
      <c r="A267" s="2">
        <v>304</v>
      </c>
      <c r="B267" t="s">
        <v>622</v>
      </c>
      <c r="C267" t="s">
        <v>622</v>
      </c>
      <c r="D267" t="s">
        <v>623</v>
      </c>
      <c r="E267">
        <v>44</v>
      </c>
      <c r="F267">
        <v>4242</v>
      </c>
      <c r="G267">
        <v>16</v>
      </c>
      <c r="H267">
        <v>267.52580199837462</v>
      </c>
      <c r="I267">
        <v>6.0801318635994228</v>
      </c>
      <c r="J267">
        <v>9.2876861835257021</v>
      </c>
      <c r="K267" t="s">
        <v>69</v>
      </c>
      <c r="L267" t="s">
        <v>5</v>
      </c>
      <c r="Q267" s="1"/>
      <c r="R267" s="1"/>
      <c r="S267" s="1"/>
      <c r="T267" s="1"/>
      <c r="U267" s="1"/>
      <c r="V267" s="1"/>
    </row>
    <row r="268" spans="1:22" x14ac:dyDescent="0.3">
      <c r="A268" s="2">
        <v>188</v>
      </c>
      <c r="B268" t="s">
        <v>642</v>
      </c>
      <c r="C268" t="s">
        <v>642</v>
      </c>
      <c r="D268" t="s">
        <v>643</v>
      </c>
      <c r="E268">
        <v>50</v>
      </c>
      <c r="F268">
        <v>1284</v>
      </c>
      <c r="G268">
        <v>6</v>
      </c>
      <c r="H268">
        <v>288.32314704502971</v>
      </c>
      <c r="I268">
        <v>5.7664629409005927</v>
      </c>
      <c r="J268">
        <v>9.0449420016439603</v>
      </c>
      <c r="K268" t="s">
        <v>69</v>
      </c>
      <c r="L268" t="s">
        <v>5</v>
      </c>
      <c r="Q268" s="1"/>
      <c r="R268" s="1"/>
      <c r="S268" s="1"/>
      <c r="T268" s="1"/>
      <c r="U268" s="1"/>
      <c r="V268" s="1"/>
    </row>
    <row r="269" spans="1:22" x14ac:dyDescent="0.3">
      <c r="A269" s="2">
        <v>237</v>
      </c>
      <c r="B269" t="s">
        <v>630</v>
      </c>
      <c r="C269" t="s">
        <v>630</v>
      </c>
      <c r="D269" t="s">
        <v>631</v>
      </c>
      <c r="E269">
        <v>113</v>
      </c>
      <c r="F269">
        <v>4013</v>
      </c>
      <c r="G269">
        <v>4</v>
      </c>
      <c r="H269">
        <v>646.27501130291478</v>
      </c>
      <c r="I269">
        <v>5.7192478876364143</v>
      </c>
      <c r="J269">
        <v>9.0078364836923228</v>
      </c>
      <c r="K269" t="s">
        <v>69</v>
      </c>
      <c r="L269" t="s">
        <v>5</v>
      </c>
      <c r="Q269" s="1"/>
      <c r="R269" s="1"/>
      <c r="S269" s="1"/>
      <c r="T269" s="1"/>
      <c r="U269" s="1"/>
      <c r="V269" s="1"/>
    </row>
    <row r="270" spans="1:22" x14ac:dyDescent="0.3">
      <c r="A270" s="2">
        <v>322</v>
      </c>
      <c r="B270" t="s">
        <v>626</v>
      </c>
      <c r="C270" t="s">
        <v>626</v>
      </c>
      <c r="D270" t="s">
        <v>627</v>
      </c>
      <c r="E270">
        <v>90</v>
      </c>
      <c r="F270">
        <v>3928</v>
      </c>
      <c r="G270">
        <v>4</v>
      </c>
      <c r="H270">
        <v>510.97856379115842</v>
      </c>
      <c r="I270">
        <v>5.6775395976795382</v>
      </c>
      <c r="J270">
        <v>8.9749310270516034</v>
      </c>
      <c r="K270" t="s">
        <v>69</v>
      </c>
      <c r="L270" t="s">
        <v>5</v>
      </c>
      <c r="Q270" s="1"/>
      <c r="R270" s="1"/>
      <c r="S270" s="1"/>
      <c r="T270" s="1"/>
      <c r="U270" s="1"/>
      <c r="V270" s="1"/>
    </row>
    <row r="271" spans="1:22" x14ac:dyDescent="0.3">
      <c r="A271" s="2">
        <v>279</v>
      </c>
      <c r="B271" t="s">
        <v>628</v>
      </c>
      <c r="C271" t="s">
        <v>628</v>
      </c>
      <c r="D271" t="s">
        <v>629</v>
      </c>
      <c r="E271">
        <v>19</v>
      </c>
      <c r="F271">
        <v>1152</v>
      </c>
      <c r="G271">
        <v>5</v>
      </c>
      <c r="H271">
        <v>106.0585617169292</v>
      </c>
      <c r="I271">
        <v>5.5820295640489066</v>
      </c>
      <c r="J271">
        <v>8.8991207552515412</v>
      </c>
      <c r="K271" t="s">
        <v>69</v>
      </c>
      <c r="L271" t="s">
        <v>5</v>
      </c>
      <c r="Q271" s="1"/>
      <c r="R271" s="1"/>
      <c r="S271" s="1"/>
      <c r="T271" s="1"/>
      <c r="U271" s="1"/>
      <c r="V271" s="1"/>
    </row>
    <row r="272" spans="1:22" x14ac:dyDescent="0.3">
      <c r="A272" s="2">
        <v>284</v>
      </c>
      <c r="B272" t="s">
        <v>620</v>
      </c>
      <c r="C272" t="s">
        <v>620</v>
      </c>
      <c r="D272" t="s">
        <v>621</v>
      </c>
      <c r="E272">
        <v>9</v>
      </c>
      <c r="F272">
        <v>472</v>
      </c>
      <c r="G272">
        <v>5</v>
      </c>
      <c r="H272">
        <v>50.14795472538917</v>
      </c>
      <c r="I272">
        <v>5.5719949694876858</v>
      </c>
      <c r="J272">
        <v>8.8911183579001722</v>
      </c>
      <c r="K272" t="s">
        <v>69</v>
      </c>
      <c r="L272" t="s">
        <v>5</v>
      </c>
      <c r="Q272" s="1"/>
      <c r="R272" s="1"/>
      <c r="S272" s="1"/>
      <c r="T272" s="1"/>
      <c r="U272" s="1"/>
      <c r="V272" s="1"/>
    </row>
    <row r="273" spans="1:22" x14ac:dyDescent="0.3">
      <c r="A273" s="2">
        <v>300</v>
      </c>
      <c r="B273" t="s">
        <v>634</v>
      </c>
      <c r="C273" t="s">
        <v>634</v>
      </c>
      <c r="D273" t="s">
        <v>635</v>
      </c>
      <c r="E273">
        <v>24</v>
      </c>
      <c r="F273">
        <v>739</v>
      </c>
      <c r="G273">
        <v>4</v>
      </c>
      <c r="H273">
        <v>132.61355916084261</v>
      </c>
      <c r="I273">
        <v>5.5255649650351089</v>
      </c>
      <c r="J273">
        <v>8.8539971617572188</v>
      </c>
      <c r="K273" t="s">
        <v>69</v>
      </c>
      <c r="L273" t="s">
        <v>5</v>
      </c>
      <c r="Q273" s="1"/>
      <c r="R273" s="1"/>
      <c r="S273" s="1"/>
      <c r="T273" s="1"/>
      <c r="U273" s="1"/>
      <c r="V273" s="1"/>
    </row>
    <row r="274" spans="1:22" x14ac:dyDescent="0.3">
      <c r="A274" s="2">
        <v>239</v>
      </c>
      <c r="B274" t="s">
        <v>632</v>
      </c>
      <c r="C274" t="s">
        <v>632</v>
      </c>
      <c r="D274" t="s">
        <v>633</v>
      </c>
      <c r="E274">
        <v>64</v>
      </c>
      <c r="F274">
        <v>5366</v>
      </c>
      <c r="G274">
        <v>17</v>
      </c>
      <c r="H274">
        <v>349.14077009496708</v>
      </c>
      <c r="I274">
        <v>5.4553245327338606</v>
      </c>
      <c r="J274">
        <v>8.7975416079017243</v>
      </c>
      <c r="K274" t="s">
        <v>69</v>
      </c>
      <c r="L274" t="s">
        <v>5</v>
      </c>
      <c r="Q274" s="1"/>
      <c r="R274" s="1"/>
      <c r="S274" s="1"/>
      <c r="T274" s="1"/>
      <c r="U274" s="1"/>
      <c r="V274" s="1"/>
    </row>
    <row r="275" spans="1:22" x14ac:dyDescent="0.3">
      <c r="A275" s="2">
        <v>291</v>
      </c>
      <c r="B275" t="s">
        <v>636</v>
      </c>
      <c r="C275" t="s">
        <v>636</v>
      </c>
      <c r="D275" t="s">
        <v>637</v>
      </c>
      <c r="E275">
        <v>33</v>
      </c>
      <c r="F275">
        <v>566</v>
      </c>
      <c r="G275">
        <v>4</v>
      </c>
      <c r="H275">
        <v>175.7971435542087</v>
      </c>
      <c r="I275">
        <v>5.3271861683093542</v>
      </c>
      <c r="J275">
        <v>8.6936063422347978</v>
      </c>
      <c r="K275" t="s">
        <v>69</v>
      </c>
      <c r="L275" t="s">
        <v>5</v>
      </c>
      <c r="Q275" s="1"/>
      <c r="R275" s="1"/>
      <c r="S275" s="1"/>
      <c r="T275" s="1"/>
      <c r="U275" s="1"/>
      <c r="V275" s="1"/>
    </row>
    <row r="276" spans="1:22" x14ac:dyDescent="0.3">
      <c r="A276" s="2">
        <v>245</v>
      </c>
      <c r="B276" t="s">
        <v>640</v>
      </c>
      <c r="C276" t="s">
        <v>640</v>
      </c>
      <c r="D276" t="s">
        <v>641</v>
      </c>
      <c r="E276">
        <v>20</v>
      </c>
      <c r="F276">
        <v>646</v>
      </c>
      <c r="G276">
        <v>4</v>
      </c>
      <c r="H276">
        <v>104.0250891054383</v>
      </c>
      <c r="I276">
        <v>5.2012544552719149</v>
      </c>
      <c r="J276">
        <v>8.5902357777214853</v>
      </c>
      <c r="K276" t="s">
        <v>69</v>
      </c>
      <c r="L276" t="s">
        <v>5</v>
      </c>
      <c r="Q276" s="1"/>
      <c r="R276" s="1"/>
      <c r="S276" s="1"/>
      <c r="T276" s="1"/>
      <c r="U276" s="1"/>
      <c r="V276" s="1"/>
    </row>
    <row r="277" spans="1:22" x14ac:dyDescent="0.3">
      <c r="A277" s="2">
        <v>236</v>
      </c>
      <c r="B277" t="s">
        <v>646</v>
      </c>
      <c r="C277" t="s">
        <v>646</v>
      </c>
      <c r="D277" t="s">
        <v>647</v>
      </c>
      <c r="E277">
        <v>115</v>
      </c>
      <c r="F277">
        <v>4969</v>
      </c>
      <c r="G277">
        <v>4</v>
      </c>
      <c r="H277">
        <v>577.48332284408912</v>
      </c>
      <c r="I277">
        <v>5.0215941116877314</v>
      </c>
      <c r="J277">
        <v>8.440571185421291</v>
      </c>
      <c r="K277" t="s">
        <v>69</v>
      </c>
      <c r="L277" t="s">
        <v>5</v>
      </c>
      <c r="Q277" s="1"/>
      <c r="R277" s="1"/>
      <c r="S277" s="1"/>
      <c r="T277" s="1"/>
      <c r="U277" s="1"/>
      <c r="V277" s="1"/>
    </row>
    <row r="278" spans="1:22" x14ac:dyDescent="0.3">
      <c r="A278" s="2">
        <v>260</v>
      </c>
      <c r="B278" t="s">
        <v>648</v>
      </c>
      <c r="C278" t="s">
        <v>648</v>
      </c>
      <c r="D278" t="s">
        <v>649</v>
      </c>
      <c r="E278">
        <v>10</v>
      </c>
      <c r="F278">
        <v>1324</v>
      </c>
      <c r="G278">
        <v>4</v>
      </c>
      <c r="H278">
        <v>49.18953677452869</v>
      </c>
      <c r="I278">
        <v>4.918953677452869</v>
      </c>
      <c r="J278">
        <v>8.3538639886340853</v>
      </c>
      <c r="K278" t="s">
        <v>69</v>
      </c>
      <c r="L278" t="s">
        <v>5</v>
      </c>
      <c r="Q278" s="1"/>
      <c r="R278" s="1"/>
      <c r="S278" s="1"/>
      <c r="T278" s="1"/>
      <c r="U278" s="1"/>
      <c r="V278" s="1"/>
    </row>
    <row r="279" spans="1:22" x14ac:dyDescent="0.3">
      <c r="A279" s="2">
        <v>295</v>
      </c>
      <c r="B279" t="s">
        <v>654</v>
      </c>
      <c r="C279" t="s">
        <v>654</v>
      </c>
      <c r="D279" t="s">
        <v>655</v>
      </c>
      <c r="E279">
        <v>58</v>
      </c>
      <c r="F279">
        <v>2237</v>
      </c>
      <c r="G279">
        <v>9</v>
      </c>
      <c r="H279">
        <v>277.2698489939292</v>
      </c>
      <c r="I279">
        <v>4.7805146378263652</v>
      </c>
      <c r="J279">
        <v>8.2354694391529311</v>
      </c>
      <c r="K279" t="s">
        <v>69</v>
      </c>
      <c r="L279" t="s">
        <v>5</v>
      </c>
      <c r="Q279" s="1"/>
      <c r="R279" s="1"/>
      <c r="S279" s="1"/>
      <c r="T279" s="1"/>
      <c r="U279" s="1"/>
      <c r="V279" s="1"/>
    </row>
    <row r="280" spans="1:22" x14ac:dyDescent="0.3">
      <c r="A280" s="2">
        <v>252</v>
      </c>
      <c r="B280" t="s">
        <v>650</v>
      </c>
      <c r="C280" t="s">
        <v>650</v>
      </c>
      <c r="D280" t="s">
        <v>651</v>
      </c>
      <c r="E280">
        <v>15</v>
      </c>
      <c r="F280">
        <v>663</v>
      </c>
      <c r="G280">
        <v>4</v>
      </c>
      <c r="H280">
        <v>71.29427995155541</v>
      </c>
      <c r="I280">
        <v>4.7529519967703608</v>
      </c>
      <c r="J280">
        <v>8.2116938168162505</v>
      </c>
      <c r="K280" t="s">
        <v>69</v>
      </c>
      <c r="L280" t="s">
        <v>5</v>
      </c>
      <c r="Q280" s="1"/>
      <c r="R280" s="1"/>
      <c r="S280" s="1"/>
      <c r="T280" s="1"/>
      <c r="U280" s="1"/>
      <c r="V280" s="1"/>
    </row>
    <row r="281" spans="1:22" x14ac:dyDescent="0.3">
      <c r="A281" s="2">
        <v>271</v>
      </c>
      <c r="B281" t="s">
        <v>658</v>
      </c>
      <c r="C281" t="s">
        <v>658</v>
      </c>
      <c r="D281" t="s">
        <v>659</v>
      </c>
      <c r="E281">
        <v>123</v>
      </c>
      <c r="F281">
        <v>9282</v>
      </c>
      <c r="G281">
        <v>6</v>
      </c>
      <c r="H281">
        <v>583.79574895007852</v>
      </c>
      <c r="I281">
        <v>4.746306902033159</v>
      </c>
      <c r="J281">
        <v>8.2059514308816368</v>
      </c>
      <c r="K281" t="s">
        <v>69</v>
      </c>
      <c r="L281" t="s">
        <v>5</v>
      </c>
      <c r="Q281" s="1"/>
      <c r="R281" s="1"/>
      <c r="S281" s="1"/>
      <c r="T281" s="1"/>
      <c r="U281" s="1"/>
      <c r="V281" s="1"/>
    </row>
    <row r="282" spans="1:22" x14ac:dyDescent="0.3">
      <c r="A282" s="2">
        <v>251</v>
      </c>
      <c r="B282" t="s">
        <v>656</v>
      </c>
      <c r="C282" t="s">
        <v>656</v>
      </c>
      <c r="D282" t="s">
        <v>657</v>
      </c>
      <c r="E282">
        <v>31</v>
      </c>
      <c r="F282">
        <v>1505</v>
      </c>
      <c r="G282">
        <v>6</v>
      </c>
      <c r="H282">
        <v>145.4323185592454</v>
      </c>
      <c r="I282">
        <v>4.6913651148143671</v>
      </c>
      <c r="J282">
        <v>8.1583183998173165</v>
      </c>
      <c r="K282" t="s">
        <v>69</v>
      </c>
      <c r="L282" t="s">
        <v>5</v>
      </c>
      <c r="Q282" s="1"/>
      <c r="R282" s="1"/>
      <c r="S282" s="1"/>
      <c r="T282" s="1"/>
      <c r="U282" s="1"/>
      <c r="V282" s="1"/>
    </row>
    <row r="283" spans="1:22" x14ac:dyDescent="0.3">
      <c r="A283" s="2">
        <v>289</v>
      </c>
      <c r="B283" t="s">
        <v>664</v>
      </c>
      <c r="C283" t="s">
        <v>664</v>
      </c>
      <c r="D283" t="s">
        <v>665</v>
      </c>
      <c r="E283">
        <v>32</v>
      </c>
      <c r="F283">
        <v>1426</v>
      </c>
      <c r="G283">
        <v>4</v>
      </c>
      <c r="H283">
        <v>150.10154252651421</v>
      </c>
      <c r="I283">
        <v>4.690673203953569</v>
      </c>
      <c r="J283">
        <v>8.1577167585980508</v>
      </c>
      <c r="K283" t="s">
        <v>69</v>
      </c>
      <c r="L283" t="s">
        <v>5</v>
      </c>
      <c r="Q283" s="1"/>
      <c r="R283" s="1"/>
      <c r="S283" s="1"/>
      <c r="T283" s="1"/>
      <c r="U283" s="1"/>
      <c r="V283" s="1"/>
    </row>
    <row r="284" spans="1:22" x14ac:dyDescent="0.3">
      <c r="A284" s="2">
        <v>278</v>
      </c>
      <c r="B284" t="s">
        <v>674</v>
      </c>
      <c r="C284" t="s">
        <v>674</v>
      </c>
      <c r="D284" t="s">
        <v>675</v>
      </c>
      <c r="E284">
        <v>71</v>
      </c>
      <c r="F284">
        <v>1735</v>
      </c>
      <c r="G284">
        <v>5</v>
      </c>
      <c r="H284">
        <v>329.90588996043812</v>
      </c>
      <c r="I284">
        <v>4.6465618304287064</v>
      </c>
      <c r="J284">
        <v>8.1192683221858957</v>
      </c>
      <c r="K284" t="s">
        <v>69</v>
      </c>
      <c r="L284" t="s">
        <v>5</v>
      </c>
      <c r="Q284" s="1"/>
      <c r="R284" s="1"/>
      <c r="S284" s="1"/>
      <c r="T284" s="1"/>
      <c r="U284" s="1"/>
      <c r="V284" s="1"/>
    </row>
    <row r="285" spans="1:22" x14ac:dyDescent="0.3">
      <c r="A285" s="2">
        <v>255</v>
      </c>
      <c r="B285" t="s">
        <v>660</v>
      </c>
      <c r="C285" t="s">
        <v>660</v>
      </c>
      <c r="D285" t="s">
        <v>661</v>
      </c>
      <c r="E285">
        <v>195</v>
      </c>
      <c r="F285">
        <v>9713</v>
      </c>
      <c r="G285">
        <v>35</v>
      </c>
      <c r="H285">
        <v>899.56785699495413</v>
      </c>
      <c r="I285">
        <v>4.6131684974100224</v>
      </c>
      <c r="J285">
        <v>8.0900404404734676</v>
      </c>
      <c r="K285" t="s">
        <v>69</v>
      </c>
      <c r="L285" t="s">
        <v>5</v>
      </c>
      <c r="Q285" s="1"/>
      <c r="R285" s="1"/>
      <c r="S285" s="1"/>
      <c r="T285" s="1"/>
      <c r="U285" s="1"/>
      <c r="V285" s="1"/>
    </row>
    <row r="286" spans="1:22" x14ac:dyDescent="0.3">
      <c r="A286" s="2">
        <v>270</v>
      </c>
      <c r="B286" t="s">
        <v>680</v>
      </c>
      <c r="C286" t="s">
        <v>680</v>
      </c>
      <c r="D286" t="s">
        <v>681</v>
      </c>
      <c r="E286">
        <v>70</v>
      </c>
      <c r="F286">
        <v>2786</v>
      </c>
      <c r="G286">
        <v>5</v>
      </c>
      <c r="H286">
        <v>322.61215551445628</v>
      </c>
      <c r="I286">
        <v>4.6087450787779467</v>
      </c>
      <c r="J286">
        <v>8.08616087069651</v>
      </c>
      <c r="K286" t="s">
        <v>69</v>
      </c>
      <c r="L286" t="s">
        <v>5</v>
      </c>
      <c r="Q286" s="1"/>
      <c r="R286" s="1"/>
      <c r="S286" s="1"/>
      <c r="T286" s="1"/>
      <c r="U286" s="1"/>
      <c r="V286" s="1"/>
    </row>
    <row r="287" spans="1:22" x14ac:dyDescent="0.3">
      <c r="A287" s="2">
        <v>120</v>
      </c>
      <c r="B287" t="s">
        <v>676</v>
      </c>
      <c r="C287" t="s">
        <v>676</v>
      </c>
      <c r="D287" t="s">
        <v>677</v>
      </c>
      <c r="E287">
        <v>39</v>
      </c>
      <c r="F287">
        <v>859</v>
      </c>
      <c r="G287">
        <v>6</v>
      </c>
      <c r="H287">
        <v>178.8748803830193</v>
      </c>
      <c r="I287">
        <v>4.5865353944363934</v>
      </c>
      <c r="J287">
        <v>8.0666536117743277</v>
      </c>
      <c r="K287" t="s">
        <v>69</v>
      </c>
      <c r="L287" t="s">
        <v>5</v>
      </c>
      <c r="Q287" s="1"/>
      <c r="R287" s="1"/>
      <c r="S287" s="1"/>
      <c r="T287" s="1"/>
      <c r="U287" s="1"/>
      <c r="V287" s="1"/>
    </row>
    <row r="288" spans="1:22" x14ac:dyDescent="0.3">
      <c r="A288" s="2">
        <v>257</v>
      </c>
      <c r="B288" t="s">
        <v>652</v>
      </c>
      <c r="C288" t="s">
        <v>652</v>
      </c>
      <c r="D288" t="s">
        <v>653</v>
      </c>
      <c r="E288">
        <v>8</v>
      </c>
      <c r="F288">
        <v>436</v>
      </c>
      <c r="G288">
        <v>4</v>
      </c>
      <c r="H288">
        <v>36.558630081797283</v>
      </c>
      <c r="I288">
        <v>4.5698287602246603</v>
      </c>
      <c r="J288">
        <v>8.051948658383024</v>
      </c>
      <c r="K288" t="s">
        <v>69</v>
      </c>
      <c r="L288" t="s">
        <v>5</v>
      </c>
      <c r="Q288" s="1"/>
      <c r="R288" s="1"/>
      <c r="S288" s="1"/>
      <c r="T288" s="1"/>
      <c r="U288" s="1"/>
      <c r="V288" s="1"/>
    </row>
    <row r="289" spans="1:22" x14ac:dyDescent="0.3">
      <c r="A289" s="2">
        <v>317</v>
      </c>
      <c r="B289" t="s">
        <v>644</v>
      </c>
      <c r="C289" t="s">
        <v>644</v>
      </c>
      <c r="D289" t="s">
        <v>645</v>
      </c>
      <c r="E289">
        <v>10</v>
      </c>
      <c r="F289">
        <v>391</v>
      </c>
      <c r="G289">
        <v>5</v>
      </c>
      <c r="H289">
        <v>45.576033392407147</v>
      </c>
      <c r="I289">
        <v>4.5576033392407158</v>
      </c>
      <c r="J289">
        <v>8.0411709692974576</v>
      </c>
      <c r="K289" t="s">
        <v>69</v>
      </c>
      <c r="L289" t="s">
        <v>5</v>
      </c>
      <c r="Q289" s="1"/>
      <c r="R289" s="1"/>
      <c r="S289" s="1"/>
      <c r="T289" s="1"/>
      <c r="U289" s="1"/>
      <c r="V289" s="1"/>
    </row>
    <row r="290" spans="1:22" x14ac:dyDescent="0.3">
      <c r="A290" s="2">
        <v>253</v>
      </c>
      <c r="B290" t="s">
        <v>662</v>
      </c>
      <c r="C290" t="s">
        <v>662</v>
      </c>
      <c r="D290" t="s">
        <v>663</v>
      </c>
      <c r="E290">
        <v>123</v>
      </c>
      <c r="F290">
        <v>4700</v>
      </c>
      <c r="G290">
        <v>4</v>
      </c>
      <c r="H290">
        <v>560.46050118580354</v>
      </c>
      <c r="I290">
        <v>4.5565894405349878</v>
      </c>
      <c r="J290">
        <v>8.0402764875146424</v>
      </c>
      <c r="K290" t="s">
        <v>69</v>
      </c>
      <c r="L290" t="s">
        <v>5</v>
      </c>
      <c r="Q290" s="1"/>
      <c r="R290" s="1"/>
      <c r="S290" s="1"/>
      <c r="T290" s="1"/>
      <c r="U290" s="1"/>
      <c r="V290" s="1"/>
    </row>
    <row r="291" spans="1:22" x14ac:dyDescent="0.3">
      <c r="A291" s="2">
        <v>290</v>
      </c>
      <c r="B291" t="s">
        <v>670</v>
      </c>
      <c r="C291" t="s">
        <v>670</v>
      </c>
      <c r="D291" t="s">
        <v>671</v>
      </c>
      <c r="E291">
        <v>88</v>
      </c>
      <c r="F291">
        <v>3237</v>
      </c>
      <c r="G291">
        <v>5</v>
      </c>
      <c r="H291">
        <v>394.47270291588478</v>
      </c>
      <c r="I291">
        <v>4.482644351316873</v>
      </c>
      <c r="J291">
        <v>7.9747701683979031</v>
      </c>
      <c r="K291" t="s">
        <v>69</v>
      </c>
      <c r="L291" t="s">
        <v>5</v>
      </c>
      <c r="Q291" s="1"/>
      <c r="R291" s="1"/>
      <c r="S291" s="1"/>
      <c r="T291" s="1"/>
      <c r="U291" s="1"/>
      <c r="V291" s="1"/>
    </row>
    <row r="292" spans="1:22" x14ac:dyDescent="0.3">
      <c r="A292" s="2">
        <v>231</v>
      </c>
      <c r="B292" t="s">
        <v>672</v>
      </c>
      <c r="C292" t="s">
        <v>672</v>
      </c>
      <c r="D292" t="s">
        <v>673</v>
      </c>
      <c r="E292">
        <v>73</v>
      </c>
      <c r="F292">
        <v>2563</v>
      </c>
      <c r="G292">
        <v>10</v>
      </c>
      <c r="H292">
        <v>324.58921172485282</v>
      </c>
      <c r="I292">
        <v>4.4464275578746957</v>
      </c>
      <c r="J292">
        <v>7.9424894073585302</v>
      </c>
      <c r="K292" t="s">
        <v>69</v>
      </c>
      <c r="L292" t="s">
        <v>5</v>
      </c>
      <c r="Q292" s="1"/>
      <c r="R292" s="1"/>
      <c r="S292" s="1"/>
      <c r="T292" s="1"/>
      <c r="U292" s="1"/>
      <c r="V292" s="1"/>
    </row>
    <row r="293" spans="1:22" x14ac:dyDescent="0.3">
      <c r="A293" s="2">
        <v>246</v>
      </c>
      <c r="B293" t="s">
        <v>666</v>
      </c>
      <c r="C293" t="s">
        <v>666</v>
      </c>
      <c r="D293" t="s">
        <v>667</v>
      </c>
      <c r="E293">
        <v>17</v>
      </c>
      <c r="F293">
        <v>1461</v>
      </c>
      <c r="G293">
        <v>5</v>
      </c>
      <c r="H293">
        <v>72.496725014633057</v>
      </c>
      <c r="I293">
        <v>4.2645132361548859</v>
      </c>
      <c r="J293">
        <v>7.7783193024484998</v>
      </c>
      <c r="K293" t="s">
        <v>69</v>
      </c>
      <c r="L293" t="s">
        <v>5</v>
      </c>
      <c r="Q293" s="1"/>
      <c r="R293" s="1"/>
      <c r="S293" s="1"/>
      <c r="T293" s="1"/>
      <c r="U293" s="1"/>
      <c r="V293" s="1"/>
    </row>
    <row r="294" spans="1:22" x14ac:dyDescent="0.3">
      <c r="A294" s="2">
        <v>205</v>
      </c>
      <c r="B294" t="s">
        <v>678</v>
      </c>
      <c r="C294" t="s">
        <v>678</v>
      </c>
      <c r="D294" t="s">
        <v>679</v>
      </c>
      <c r="E294">
        <v>189</v>
      </c>
      <c r="F294">
        <v>6239</v>
      </c>
      <c r="G294">
        <v>6</v>
      </c>
      <c r="H294">
        <v>805.52866713125525</v>
      </c>
      <c r="I294">
        <v>4.2620564398479113</v>
      </c>
      <c r="J294">
        <v>7.7760784254522193</v>
      </c>
      <c r="K294" t="s">
        <v>69</v>
      </c>
      <c r="L294" t="s">
        <v>5</v>
      </c>
      <c r="Q294" s="1"/>
      <c r="R294" s="1"/>
      <c r="S294" s="1"/>
      <c r="T294" s="1"/>
      <c r="U294" s="1"/>
      <c r="V294" s="1"/>
    </row>
    <row r="295" spans="1:22" x14ac:dyDescent="0.3">
      <c r="A295" s="2">
        <v>280</v>
      </c>
      <c r="B295" t="s">
        <v>668</v>
      </c>
      <c r="C295" t="s">
        <v>668</v>
      </c>
      <c r="D295" t="s">
        <v>669</v>
      </c>
      <c r="E295">
        <v>22</v>
      </c>
      <c r="F295">
        <v>1672</v>
      </c>
      <c r="G295">
        <v>5</v>
      </c>
      <c r="H295">
        <v>92.653460771222655</v>
      </c>
      <c r="I295">
        <v>4.2115209441464847</v>
      </c>
      <c r="J295">
        <v>7.7298402065305183</v>
      </c>
      <c r="K295" t="s">
        <v>69</v>
      </c>
      <c r="L295" t="s">
        <v>5</v>
      </c>
      <c r="Q295" s="1"/>
      <c r="R295" s="1"/>
      <c r="S295" s="1"/>
      <c r="T295" s="1"/>
      <c r="U295" s="1"/>
      <c r="V295" s="1"/>
    </row>
    <row r="296" spans="1:22" x14ac:dyDescent="0.3">
      <c r="A296" s="2">
        <v>275</v>
      </c>
      <c r="B296" t="s">
        <v>686</v>
      </c>
      <c r="C296" t="s">
        <v>686</v>
      </c>
      <c r="D296" t="s">
        <v>687</v>
      </c>
      <c r="E296">
        <v>141</v>
      </c>
      <c r="F296">
        <v>5280</v>
      </c>
      <c r="G296">
        <v>7</v>
      </c>
      <c r="H296">
        <v>567.44034720422383</v>
      </c>
      <c r="I296">
        <v>4.0243996255618706</v>
      </c>
      <c r="J296">
        <v>7.5561676253838046</v>
      </c>
      <c r="K296" t="s">
        <v>69</v>
      </c>
      <c r="L296" t="s">
        <v>5</v>
      </c>
      <c r="Q296" s="1"/>
      <c r="R296" s="1"/>
      <c r="S296" s="1"/>
      <c r="T296" s="1"/>
      <c r="U296" s="1"/>
      <c r="V296" s="1"/>
    </row>
    <row r="297" spans="1:22" x14ac:dyDescent="0.3">
      <c r="A297" s="2">
        <v>259</v>
      </c>
      <c r="B297" t="s">
        <v>682</v>
      </c>
      <c r="C297" t="s">
        <v>682</v>
      </c>
      <c r="D297" t="s">
        <v>683</v>
      </c>
      <c r="E297">
        <v>53</v>
      </c>
      <c r="F297">
        <v>1933</v>
      </c>
      <c r="G297">
        <v>7</v>
      </c>
      <c r="H297">
        <v>211.4530193607487</v>
      </c>
      <c r="I297">
        <v>3.9896796105801648</v>
      </c>
      <c r="J297">
        <v>7.5235020627623204</v>
      </c>
      <c r="K297" t="s">
        <v>69</v>
      </c>
      <c r="L297" t="s">
        <v>5</v>
      </c>
      <c r="Q297" s="1"/>
      <c r="R297" s="1"/>
      <c r="S297" s="1"/>
      <c r="T297" s="1"/>
      <c r="U297" s="1"/>
      <c r="V297" s="1"/>
    </row>
    <row r="298" spans="1:22" x14ac:dyDescent="0.3">
      <c r="A298" s="2">
        <v>277</v>
      </c>
      <c r="B298" t="s">
        <v>690</v>
      </c>
      <c r="C298" t="s">
        <v>690</v>
      </c>
      <c r="D298" t="s">
        <v>691</v>
      </c>
      <c r="E298">
        <v>48</v>
      </c>
      <c r="F298">
        <v>3093</v>
      </c>
      <c r="G298">
        <v>4</v>
      </c>
      <c r="H298">
        <v>186.3594262048554</v>
      </c>
      <c r="I298">
        <v>3.8824880459344868</v>
      </c>
      <c r="J298">
        <v>7.4217461756740013</v>
      </c>
      <c r="K298" t="s">
        <v>69</v>
      </c>
      <c r="L298" t="s">
        <v>5</v>
      </c>
      <c r="Q298" s="1"/>
      <c r="R298" s="1"/>
      <c r="S298" s="1"/>
      <c r="T298" s="1"/>
      <c r="U298" s="1"/>
      <c r="V298" s="1"/>
    </row>
    <row r="299" spans="1:22" x14ac:dyDescent="0.3">
      <c r="A299" s="2">
        <v>150</v>
      </c>
      <c r="B299" t="s">
        <v>696</v>
      </c>
      <c r="C299" t="s">
        <v>696</v>
      </c>
      <c r="D299" t="s">
        <v>697</v>
      </c>
      <c r="E299">
        <v>93</v>
      </c>
      <c r="F299">
        <v>2808</v>
      </c>
      <c r="G299">
        <v>4</v>
      </c>
      <c r="H299">
        <v>353.62170537351579</v>
      </c>
      <c r="I299">
        <v>3.8023839287474819</v>
      </c>
      <c r="J299">
        <v>7.344783801848398</v>
      </c>
      <c r="K299" t="s">
        <v>69</v>
      </c>
      <c r="L299" t="s">
        <v>5</v>
      </c>
      <c r="Q299" s="1"/>
      <c r="R299" s="1"/>
      <c r="S299" s="1"/>
      <c r="T299" s="1"/>
      <c r="U299" s="1"/>
      <c r="V299" s="1"/>
    </row>
    <row r="300" spans="1:22" x14ac:dyDescent="0.3">
      <c r="A300" s="2">
        <v>268</v>
      </c>
      <c r="B300" t="s">
        <v>688</v>
      </c>
      <c r="C300" t="s">
        <v>688</v>
      </c>
      <c r="D300" t="s">
        <v>689</v>
      </c>
      <c r="E300">
        <v>184</v>
      </c>
      <c r="F300">
        <v>5634</v>
      </c>
      <c r="G300">
        <v>6</v>
      </c>
      <c r="H300">
        <v>674.38300792753375</v>
      </c>
      <c r="I300">
        <v>3.665125043084422</v>
      </c>
      <c r="J300">
        <v>7.2109989409306259</v>
      </c>
      <c r="K300" t="s">
        <v>69</v>
      </c>
      <c r="L300" t="s">
        <v>5</v>
      </c>
      <c r="Q300" s="1"/>
      <c r="R300" s="1"/>
      <c r="S300" s="1"/>
      <c r="T300" s="1"/>
      <c r="U300" s="1"/>
      <c r="V300" s="1"/>
    </row>
    <row r="301" spans="1:22" x14ac:dyDescent="0.3">
      <c r="A301" s="2">
        <v>242</v>
      </c>
      <c r="B301" t="s">
        <v>694</v>
      </c>
      <c r="C301" t="s">
        <v>694</v>
      </c>
      <c r="D301" t="s">
        <v>695</v>
      </c>
      <c r="E301">
        <v>36</v>
      </c>
      <c r="F301">
        <v>2854</v>
      </c>
      <c r="G301">
        <v>9</v>
      </c>
      <c r="H301">
        <v>130.89940510097551</v>
      </c>
      <c r="I301">
        <v>3.636094586138209</v>
      </c>
      <c r="J301">
        <v>7.1823839864369052</v>
      </c>
      <c r="K301" t="s">
        <v>69</v>
      </c>
      <c r="L301" t="s">
        <v>5</v>
      </c>
      <c r="Q301" s="1"/>
      <c r="R301" s="1"/>
      <c r="S301" s="1"/>
      <c r="T301" s="1"/>
      <c r="U301" s="1"/>
      <c r="V301" s="1"/>
    </row>
    <row r="302" spans="1:22" x14ac:dyDescent="0.3">
      <c r="A302" s="2">
        <v>116</v>
      </c>
      <c r="B302" t="s">
        <v>684</v>
      </c>
      <c r="C302" t="s">
        <v>684</v>
      </c>
      <c r="D302" t="s">
        <v>685</v>
      </c>
      <c r="E302">
        <v>15</v>
      </c>
      <c r="F302">
        <v>1213</v>
      </c>
      <c r="G302">
        <v>4</v>
      </c>
      <c r="H302">
        <v>52.784176891716449</v>
      </c>
      <c r="I302">
        <v>3.51894512611443</v>
      </c>
      <c r="J302">
        <v>7.0657339557989571</v>
      </c>
      <c r="K302" t="s">
        <v>69</v>
      </c>
      <c r="L302" t="s">
        <v>5</v>
      </c>
      <c r="Q302" s="1"/>
      <c r="R302" s="1"/>
      <c r="S302" s="1"/>
      <c r="T302" s="1"/>
      <c r="U302" s="1"/>
      <c r="V302" s="1"/>
    </row>
    <row r="303" spans="1:22" x14ac:dyDescent="0.3">
      <c r="A303" s="2">
        <v>256</v>
      </c>
      <c r="B303" t="s">
        <v>698</v>
      </c>
      <c r="C303" t="s">
        <v>698</v>
      </c>
      <c r="D303" t="s">
        <v>699</v>
      </c>
      <c r="E303">
        <v>102</v>
      </c>
      <c r="F303">
        <v>3300</v>
      </c>
      <c r="G303">
        <v>5</v>
      </c>
      <c r="H303">
        <v>355.77364922578352</v>
      </c>
      <c r="I303">
        <v>3.487976953193956</v>
      </c>
      <c r="J303">
        <v>7.0345745594355069</v>
      </c>
      <c r="K303" t="s">
        <v>69</v>
      </c>
      <c r="L303" t="s">
        <v>5</v>
      </c>
      <c r="Q303" s="1"/>
      <c r="R303" s="1"/>
      <c r="S303" s="1"/>
      <c r="T303" s="1"/>
      <c r="U303" s="1"/>
      <c r="V303" s="1"/>
    </row>
    <row r="304" spans="1:22" x14ac:dyDescent="0.3">
      <c r="A304" s="2">
        <v>281</v>
      </c>
      <c r="B304" t="s">
        <v>692</v>
      </c>
      <c r="C304" t="s">
        <v>692</v>
      </c>
      <c r="D304" t="s">
        <v>693</v>
      </c>
      <c r="E304">
        <v>76</v>
      </c>
      <c r="F304">
        <v>3345</v>
      </c>
      <c r="G304">
        <v>11</v>
      </c>
      <c r="H304">
        <v>264.77462309665827</v>
      </c>
      <c r="I304">
        <v>3.4838766196928721</v>
      </c>
      <c r="J304">
        <v>7.0304385539352454</v>
      </c>
      <c r="K304" t="s">
        <v>69</v>
      </c>
      <c r="L304" t="s">
        <v>5</v>
      </c>
      <c r="Q304" s="1"/>
      <c r="R304" s="1"/>
      <c r="S304" s="1"/>
      <c r="T304" s="1"/>
      <c r="U304" s="1"/>
      <c r="V304" s="1"/>
    </row>
    <row r="305" spans="1:22" x14ac:dyDescent="0.3">
      <c r="A305" s="2">
        <v>262</v>
      </c>
      <c r="B305" t="s">
        <v>704</v>
      </c>
      <c r="C305" t="s">
        <v>704</v>
      </c>
      <c r="D305" t="s">
        <v>705</v>
      </c>
      <c r="E305">
        <v>426</v>
      </c>
      <c r="F305">
        <v>12549</v>
      </c>
      <c r="G305">
        <v>10</v>
      </c>
      <c r="H305">
        <v>1417.0419162140431</v>
      </c>
      <c r="I305">
        <v>3.3263894746808531</v>
      </c>
      <c r="J305">
        <v>6.8696970076629276</v>
      </c>
      <c r="K305" t="s">
        <v>69</v>
      </c>
      <c r="L305" t="s">
        <v>5</v>
      </c>
      <c r="Q305" s="1"/>
      <c r="R305" s="1"/>
      <c r="S305" s="1"/>
      <c r="T305" s="1"/>
      <c r="U305" s="1"/>
      <c r="V305" s="1"/>
    </row>
    <row r="306" spans="1:22" x14ac:dyDescent="0.3">
      <c r="A306" s="2">
        <v>249</v>
      </c>
      <c r="B306" t="s">
        <v>700</v>
      </c>
      <c r="C306" t="s">
        <v>700</v>
      </c>
      <c r="D306" t="s">
        <v>701</v>
      </c>
      <c r="E306">
        <v>60</v>
      </c>
      <c r="F306">
        <v>1588</v>
      </c>
      <c r="G306">
        <v>4</v>
      </c>
      <c r="H306">
        <v>194.25745639659959</v>
      </c>
      <c r="I306">
        <v>3.2376242732766598</v>
      </c>
      <c r="J306">
        <v>6.77741777682935</v>
      </c>
      <c r="K306" t="s">
        <v>69</v>
      </c>
      <c r="L306" t="s">
        <v>5</v>
      </c>
      <c r="Q306" s="1"/>
      <c r="R306" s="1"/>
      <c r="S306" s="1"/>
      <c r="T306" s="1"/>
      <c r="U306" s="1"/>
      <c r="V306" s="1"/>
    </row>
    <row r="307" spans="1:22" x14ac:dyDescent="0.3">
      <c r="A307" s="2">
        <v>315</v>
      </c>
      <c r="B307" t="s">
        <v>702</v>
      </c>
      <c r="C307" t="s">
        <v>702</v>
      </c>
      <c r="D307" t="s">
        <v>703</v>
      </c>
      <c r="E307">
        <v>25</v>
      </c>
      <c r="F307">
        <v>613</v>
      </c>
      <c r="G307">
        <v>5</v>
      </c>
      <c r="H307">
        <v>80.407861740587947</v>
      </c>
      <c r="I307">
        <v>3.216314469623518</v>
      </c>
      <c r="J307">
        <v>6.7550767229249002</v>
      </c>
      <c r="K307" t="s">
        <v>69</v>
      </c>
      <c r="L307" t="s">
        <v>5</v>
      </c>
      <c r="Q307" s="1"/>
      <c r="R307" s="1"/>
      <c r="S307" s="1"/>
      <c r="T307" s="1"/>
      <c r="U307" s="1"/>
      <c r="V307" s="1"/>
    </row>
    <row r="308" spans="1:22" x14ac:dyDescent="0.3">
      <c r="A308" s="2">
        <v>247</v>
      </c>
      <c r="B308" t="s">
        <v>708</v>
      </c>
      <c r="C308" t="s">
        <v>708</v>
      </c>
      <c r="D308" t="s">
        <v>709</v>
      </c>
      <c r="E308">
        <v>26</v>
      </c>
      <c r="F308">
        <v>820</v>
      </c>
      <c r="G308">
        <v>4</v>
      </c>
      <c r="H308">
        <v>80.914814455542114</v>
      </c>
      <c r="I308">
        <v>3.112108248290081</v>
      </c>
      <c r="J308">
        <v>6.6447459490417788</v>
      </c>
      <c r="K308" t="s">
        <v>69</v>
      </c>
      <c r="L308" t="s">
        <v>5</v>
      </c>
      <c r="Q308" s="1"/>
      <c r="R308" s="1"/>
      <c r="S308" s="1"/>
      <c r="T308" s="1"/>
      <c r="U308" s="1"/>
      <c r="V308" s="1"/>
    </row>
    <row r="309" spans="1:22" x14ac:dyDescent="0.3">
      <c r="A309" s="2">
        <v>310</v>
      </c>
      <c r="B309" t="s">
        <v>706</v>
      </c>
      <c r="C309" t="s">
        <v>706</v>
      </c>
      <c r="D309" t="s">
        <v>707</v>
      </c>
      <c r="E309">
        <v>26</v>
      </c>
      <c r="F309">
        <v>1069</v>
      </c>
      <c r="G309">
        <v>6</v>
      </c>
      <c r="H309">
        <v>79.380536603313743</v>
      </c>
      <c r="I309">
        <v>3.0530975616659131</v>
      </c>
      <c r="J309">
        <v>6.5814467976153868</v>
      </c>
      <c r="K309" t="s">
        <v>69</v>
      </c>
      <c r="L309" t="s">
        <v>5</v>
      </c>
      <c r="Q309" s="1"/>
      <c r="R309" s="1"/>
      <c r="S309" s="1"/>
      <c r="T309" s="1"/>
      <c r="U309" s="1"/>
      <c r="V309" s="1"/>
    </row>
    <row r="310" spans="1:22" x14ac:dyDescent="0.3">
      <c r="A310" s="2">
        <v>267</v>
      </c>
      <c r="B310" t="s">
        <v>714</v>
      </c>
      <c r="C310" t="s">
        <v>714</v>
      </c>
      <c r="D310" t="s">
        <v>715</v>
      </c>
      <c r="E310">
        <v>100</v>
      </c>
      <c r="F310">
        <v>2512</v>
      </c>
      <c r="G310">
        <v>5</v>
      </c>
      <c r="H310">
        <v>295.15844670391891</v>
      </c>
      <c r="I310">
        <v>2.9515844670391891</v>
      </c>
      <c r="J310">
        <v>6.4711079070558748</v>
      </c>
      <c r="K310" t="s">
        <v>69</v>
      </c>
      <c r="L310" t="s">
        <v>5</v>
      </c>
      <c r="Q310" s="1"/>
      <c r="R310" s="1"/>
      <c r="S310" s="1"/>
      <c r="T310" s="1"/>
      <c r="U310" s="1"/>
      <c r="V310" s="1"/>
    </row>
    <row r="311" spans="1:22" x14ac:dyDescent="0.3">
      <c r="A311" s="2">
        <v>218</v>
      </c>
      <c r="B311" t="s">
        <v>712</v>
      </c>
      <c r="C311" t="s">
        <v>712</v>
      </c>
      <c r="D311" t="s">
        <v>713</v>
      </c>
      <c r="E311">
        <v>82</v>
      </c>
      <c r="F311">
        <v>4868</v>
      </c>
      <c r="G311">
        <v>18</v>
      </c>
      <c r="H311">
        <v>240.37719803723721</v>
      </c>
      <c r="I311">
        <v>2.9314292443565519</v>
      </c>
      <c r="J311">
        <v>6.4489757194152144</v>
      </c>
      <c r="K311" t="s">
        <v>69</v>
      </c>
      <c r="L311" t="s">
        <v>5</v>
      </c>
      <c r="Q311" s="1"/>
      <c r="R311" s="1"/>
      <c r="S311" s="1"/>
      <c r="T311" s="1"/>
      <c r="U311" s="1"/>
      <c r="V311" s="1"/>
    </row>
    <row r="312" spans="1:22" x14ac:dyDescent="0.3">
      <c r="A312" s="2">
        <v>314</v>
      </c>
      <c r="B312" t="s">
        <v>710</v>
      </c>
      <c r="C312" t="s">
        <v>710</v>
      </c>
      <c r="D312" t="s">
        <v>711</v>
      </c>
      <c r="E312">
        <v>92</v>
      </c>
      <c r="F312">
        <v>2901</v>
      </c>
      <c r="G312">
        <v>13</v>
      </c>
      <c r="H312">
        <v>262.11877871761169</v>
      </c>
      <c r="I312">
        <v>2.8491171599740399</v>
      </c>
      <c r="J312">
        <v>6.3577901325368682</v>
      </c>
      <c r="K312" t="s">
        <v>69</v>
      </c>
      <c r="L312" t="s">
        <v>5</v>
      </c>
      <c r="Q312" s="1"/>
      <c r="R312" s="1"/>
      <c r="S312" s="1"/>
      <c r="T312" s="1"/>
      <c r="U312" s="1"/>
      <c r="V312" s="1"/>
    </row>
    <row r="313" spans="1:22" x14ac:dyDescent="0.3">
      <c r="A313" s="2">
        <v>276</v>
      </c>
      <c r="B313" t="s">
        <v>716</v>
      </c>
      <c r="C313" t="s">
        <v>716</v>
      </c>
      <c r="D313" t="s">
        <v>717</v>
      </c>
      <c r="E313">
        <v>96</v>
      </c>
      <c r="F313">
        <v>3194</v>
      </c>
      <c r="G313">
        <v>11</v>
      </c>
      <c r="H313">
        <v>264.63292384811172</v>
      </c>
      <c r="I313">
        <v>2.7565929567511631</v>
      </c>
      <c r="J313">
        <v>6.2537044815987253</v>
      </c>
      <c r="K313" t="s">
        <v>69</v>
      </c>
      <c r="L313" t="s">
        <v>5</v>
      </c>
      <c r="Q313" s="1"/>
      <c r="R313" s="1"/>
      <c r="S313" s="1"/>
      <c r="T313" s="1"/>
      <c r="U313" s="1"/>
      <c r="V313" s="1"/>
    </row>
    <row r="314" spans="1:22" x14ac:dyDescent="0.3">
      <c r="A314" s="2">
        <v>204</v>
      </c>
      <c r="B314" t="s">
        <v>721</v>
      </c>
      <c r="C314" t="s">
        <v>721</v>
      </c>
      <c r="D314" t="s">
        <v>722</v>
      </c>
      <c r="E314">
        <v>73</v>
      </c>
      <c r="F314">
        <v>3091</v>
      </c>
      <c r="G314">
        <v>7</v>
      </c>
      <c r="H314">
        <v>198.45599587970011</v>
      </c>
      <c r="I314">
        <v>2.718575286023289</v>
      </c>
      <c r="J314">
        <v>6.2104306427075731</v>
      </c>
      <c r="K314" t="s">
        <v>69</v>
      </c>
      <c r="L314" t="s">
        <v>5</v>
      </c>
      <c r="Q314" s="1"/>
      <c r="R314" s="1"/>
      <c r="S314" s="1"/>
      <c r="T314" s="1"/>
      <c r="U314" s="1"/>
      <c r="V314" s="1"/>
    </row>
    <row r="315" spans="1:22" x14ac:dyDescent="0.3">
      <c r="A315" s="2">
        <v>248</v>
      </c>
      <c r="B315" t="s">
        <v>718</v>
      </c>
      <c r="C315" t="s">
        <v>719</v>
      </c>
      <c r="D315" t="s">
        <v>720</v>
      </c>
      <c r="E315">
        <v>14</v>
      </c>
      <c r="F315">
        <v>668</v>
      </c>
      <c r="G315">
        <v>5</v>
      </c>
      <c r="H315">
        <v>38.010979319636007</v>
      </c>
      <c r="I315">
        <v>2.715069951402572</v>
      </c>
      <c r="J315">
        <v>6.2064254824254279</v>
      </c>
      <c r="K315" t="s">
        <v>69</v>
      </c>
      <c r="L315" t="s">
        <v>5</v>
      </c>
      <c r="Q315" s="1"/>
      <c r="R315" s="1"/>
      <c r="S315" s="1"/>
      <c r="T315" s="1"/>
      <c r="U315" s="1"/>
      <c r="V315" s="1"/>
    </row>
    <row r="316" spans="1:22" x14ac:dyDescent="0.3">
      <c r="A316" s="2">
        <v>241</v>
      </c>
      <c r="B316" t="s">
        <v>723</v>
      </c>
      <c r="C316" t="s">
        <v>723</v>
      </c>
      <c r="D316" t="s">
        <v>724</v>
      </c>
      <c r="E316">
        <v>32</v>
      </c>
      <c r="F316">
        <v>860</v>
      </c>
      <c r="G316">
        <v>8</v>
      </c>
      <c r="H316">
        <v>79.528456564466367</v>
      </c>
      <c r="I316">
        <v>2.485264267639574</v>
      </c>
      <c r="J316">
        <v>5.9379607367247091</v>
      </c>
      <c r="K316" t="s">
        <v>69</v>
      </c>
      <c r="L316" t="s">
        <v>5</v>
      </c>
      <c r="Q316" s="1"/>
      <c r="R316" s="1"/>
      <c r="S316" s="1"/>
      <c r="T316" s="1"/>
      <c r="U316" s="1"/>
      <c r="V316" s="1"/>
    </row>
    <row r="317" spans="1:22" x14ac:dyDescent="0.3">
      <c r="A317" s="2">
        <v>254</v>
      </c>
      <c r="B317" t="s">
        <v>727</v>
      </c>
      <c r="C317" t="s">
        <v>727</v>
      </c>
      <c r="D317" t="s">
        <v>728</v>
      </c>
      <c r="E317">
        <v>73</v>
      </c>
      <c r="F317">
        <v>1121</v>
      </c>
      <c r="G317">
        <v>7</v>
      </c>
      <c r="H317">
        <v>153.77634159058331</v>
      </c>
      <c r="I317">
        <v>2.1065252272682642</v>
      </c>
      <c r="J317">
        <v>5.466814856794266</v>
      </c>
      <c r="K317" t="s">
        <v>69</v>
      </c>
      <c r="L317" t="s">
        <v>5</v>
      </c>
      <c r="Q317" s="1"/>
      <c r="R317" s="1"/>
      <c r="S317" s="1"/>
      <c r="T317" s="1"/>
      <c r="U317" s="1"/>
      <c r="V317" s="1"/>
    </row>
    <row r="318" spans="1:22" x14ac:dyDescent="0.3">
      <c r="A318" s="2">
        <v>266</v>
      </c>
      <c r="B318" t="s">
        <v>725</v>
      </c>
      <c r="C318" t="s">
        <v>725</v>
      </c>
      <c r="D318" t="s">
        <v>726</v>
      </c>
      <c r="E318">
        <v>11</v>
      </c>
      <c r="F318">
        <v>639</v>
      </c>
      <c r="G318">
        <v>5</v>
      </c>
      <c r="H318">
        <v>21.699744855077238</v>
      </c>
      <c r="I318">
        <v>1.972704077734295</v>
      </c>
      <c r="J318">
        <v>5.2903207617745762</v>
      </c>
      <c r="K318" t="s">
        <v>69</v>
      </c>
      <c r="L318" t="s">
        <v>5</v>
      </c>
      <c r="Q318" s="1"/>
      <c r="R318" s="1"/>
      <c r="S318" s="1"/>
      <c r="T318" s="1"/>
      <c r="U318" s="1"/>
      <c r="V318" s="1"/>
    </row>
    <row r="319" spans="1:22" x14ac:dyDescent="0.3">
      <c r="A319" s="2">
        <v>240</v>
      </c>
      <c r="B319" t="s">
        <v>729</v>
      </c>
      <c r="C319" t="s">
        <v>729</v>
      </c>
      <c r="D319" t="s">
        <v>730</v>
      </c>
      <c r="E319">
        <v>10</v>
      </c>
      <c r="F319">
        <v>583</v>
      </c>
      <c r="G319">
        <v>5</v>
      </c>
      <c r="H319">
        <v>17.70148832466224</v>
      </c>
      <c r="I319">
        <v>1.770148832466224</v>
      </c>
      <c r="J319">
        <v>5.0113637277216201</v>
      </c>
      <c r="K319" t="s">
        <v>69</v>
      </c>
      <c r="L319" t="s">
        <v>5</v>
      </c>
      <c r="Q319" s="1"/>
      <c r="R319" s="1"/>
      <c r="S319" s="1"/>
      <c r="T319" s="1"/>
      <c r="U319" s="1"/>
      <c r="V319" s="1"/>
    </row>
    <row r="320" spans="1:22" x14ac:dyDescent="0.3">
      <c r="A320" s="2">
        <v>243</v>
      </c>
      <c r="B320" t="s">
        <v>731</v>
      </c>
      <c r="C320" t="s">
        <v>731</v>
      </c>
      <c r="D320" t="s">
        <v>732</v>
      </c>
      <c r="E320">
        <v>32</v>
      </c>
      <c r="F320">
        <v>582</v>
      </c>
      <c r="G320">
        <v>6</v>
      </c>
      <c r="H320">
        <v>54.426321063442842</v>
      </c>
      <c r="I320">
        <v>1.700822533232589</v>
      </c>
      <c r="J320">
        <v>4.9122508245293606</v>
      </c>
      <c r="K320" t="s">
        <v>69</v>
      </c>
      <c r="L320" t="s">
        <v>5</v>
      </c>
      <c r="Q320" s="1"/>
      <c r="R320" s="1"/>
      <c r="S320" s="1"/>
      <c r="T320" s="1"/>
      <c r="U320" s="1"/>
      <c r="V320" s="1"/>
    </row>
    <row r="321" spans="1:22" x14ac:dyDescent="0.3">
      <c r="A321" s="2">
        <v>185</v>
      </c>
      <c r="B321" t="s">
        <v>733</v>
      </c>
      <c r="C321" t="s">
        <v>733</v>
      </c>
      <c r="D321" t="s">
        <v>734</v>
      </c>
      <c r="E321">
        <v>73</v>
      </c>
      <c r="F321">
        <v>1650</v>
      </c>
      <c r="G321">
        <v>5</v>
      </c>
      <c r="H321">
        <v>121.6360988996484</v>
      </c>
      <c r="I321">
        <v>1.66624793013217</v>
      </c>
      <c r="J321">
        <v>4.8620659478827744</v>
      </c>
      <c r="K321" t="s">
        <v>69</v>
      </c>
      <c r="L321" t="s">
        <v>5</v>
      </c>
      <c r="Q321" s="1"/>
      <c r="R321" s="1"/>
      <c r="S321" s="1"/>
      <c r="T321" s="1"/>
      <c r="U321" s="1"/>
      <c r="V321" s="1"/>
    </row>
    <row r="322" spans="1:22" x14ac:dyDescent="0.3">
      <c r="Q322" s="1"/>
      <c r="R322" s="1"/>
      <c r="S322" s="1"/>
      <c r="T322" s="1"/>
      <c r="U322" s="1"/>
      <c r="V322" s="1"/>
    </row>
    <row r="323" spans="1:22" x14ac:dyDescent="0.3">
      <c r="Q323" s="1"/>
      <c r="R323" s="1"/>
      <c r="S323" s="1"/>
      <c r="T323" s="1"/>
      <c r="U323" s="1"/>
      <c r="V323" s="1"/>
    </row>
    <row r="324" spans="1:22" x14ac:dyDescent="0.3">
      <c r="Q324" s="1"/>
      <c r="R324" s="1"/>
      <c r="S324" s="1"/>
      <c r="T324" s="1"/>
      <c r="U324" s="1"/>
      <c r="V324" s="1"/>
    </row>
    <row r="325" spans="1:22" x14ac:dyDescent="0.3">
      <c r="Q325" s="1"/>
      <c r="R325" s="1"/>
      <c r="S325" s="1"/>
      <c r="T325" s="1"/>
      <c r="U325" s="1"/>
      <c r="V325" s="1"/>
    </row>
    <row r="326" spans="1:22" x14ac:dyDescent="0.3">
      <c r="Q326" s="1"/>
      <c r="R326" s="1"/>
      <c r="S326" s="1"/>
      <c r="T326" s="1"/>
      <c r="U326" s="1"/>
      <c r="V326" s="1"/>
    </row>
    <row r="327" spans="1:22" x14ac:dyDescent="0.3">
      <c r="Q327" s="1"/>
      <c r="R327" s="1"/>
      <c r="S327" s="1"/>
      <c r="T327" s="1"/>
      <c r="U327" s="1"/>
      <c r="V327" s="1"/>
    </row>
    <row r="328" spans="1:22" x14ac:dyDescent="0.3">
      <c r="Q328" s="1"/>
      <c r="R328" s="1"/>
      <c r="S328" s="1"/>
      <c r="T328" s="1"/>
      <c r="U328" s="1"/>
      <c r="V328" s="1"/>
    </row>
    <row r="329" spans="1:22" x14ac:dyDescent="0.3">
      <c r="Q329" s="1"/>
      <c r="R329" s="1"/>
      <c r="S329" s="1"/>
      <c r="T329" s="1"/>
      <c r="U329" s="1"/>
      <c r="V329" s="1"/>
    </row>
    <row r="330" spans="1:22" x14ac:dyDescent="0.3">
      <c r="Q330" s="1"/>
      <c r="R330" s="1"/>
      <c r="S330" s="1"/>
      <c r="T330" s="1"/>
      <c r="U330" s="1"/>
      <c r="V330" s="1"/>
    </row>
    <row r="331" spans="1:22" x14ac:dyDescent="0.3">
      <c r="Q331" s="1"/>
      <c r="R331" s="1"/>
      <c r="S331" s="1"/>
      <c r="T331" s="1"/>
      <c r="U331" s="1"/>
      <c r="V331" s="1"/>
    </row>
    <row r="332" spans="1:22" x14ac:dyDescent="0.3">
      <c r="Q332" s="1"/>
      <c r="R332" s="1"/>
      <c r="S332" s="1"/>
      <c r="T332" s="1"/>
      <c r="U332" s="1"/>
      <c r="V332" s="1"/>
    </row>
    <row r="333" spans="1:22" x14ac:dyDescent="0.3">
      <c r="Q333" s="1"/>
      <c r="R333" s="1"/>
      <c r="S333" s="1"/>
      <c r="T333" s="1"/>
      <c r="U333" s="1"/>
      <c r="V333" s="1"/>
    </row>
    <row r="334" spans="1:22" x14ac:dyDescent="0.3">
      <c r="Q334" s="1"/>
      <c r="R334" s="1"/>
      <c r="S334" s="1"/>
      <c r="T334" s="1"/>
      <c r="U334" s="1"/>
      <c r="V334" s="1"/>
    </row>
    <row r="335" spans="1:22" x14ac:dyDescent="0.3">
      <c r="Q335" s="1"/>
      <c r="R335" s="1"/>
      <c r="S335" s="1"/>
      <c r="T335" s="1"/>
      <c r="U335" s="1"/>
      <c r="V335" s="1"/>
    </row>
    <row r="336" spans="1:22" x14ac:dyDescent="0.3">
      <c r="Q336" s="1"/>
      <c r="R336" s="1"/>
      <c r="S336" s="1"/>
      <c r="T336" s="1"/>
      <c r="U336" s="1"/>
      <c r="V336" s="1"/>
    </row>
    <row r="337" spans="17:22" x14ac:dyDescent="0.3">
      <c r="Q337" s="1"/>
      <c r="R337" s="1"/>
      <c r="S337" s="1"/>
      <c r="T337" s="1"/>
      <c r="U337" s="1"/>
      <c r="V337" s="1"/>
    </row>
    <row r="338" spans="17:22" x14ac:dyDescent="0.3">
      <c r="Q338" s="1"/>
      <c r="R338" s="1"/>
      <c r="S338" s="1"/>
      <c r="T338" s="1"/>
      <c r="U338" s="1"/>
      <c r="V338" s="1"/>
    </row>
    <row r="339" spans="17:22" x14ac:dyDescent="0.3">
      <c r="Q339" s="1"/>
      <c r="R339" s="1"/>
      <c r="S339" s="1"/>
      <c r="T339" s="1"/>
      <c r="U339" s="1"/>
      <c r="V339" s="1"/>
    </row>
    <row r="340" spans="17:22" x14ac:dyDescent="0.3">
      <c r="Q340" s="1"/>
      <c r="R340" s="1"/>
      <c r="S340" s="1"/>
      <c r="T340" s="1"/>
      <c r="U340" s="1"/>
      <c r="V340" s="1"/>
    </row>
    <row r="341" spans="17:22" x14ac:dyDescent="0.3">
      <c r="Q341" s="1"/>
      <c r="R341" s="1"/>
      <c r="S341" s="1"/>
      <c r="T341" s="1"/>
      <c r="U341" s="1"/>
      <c r="V341" s="1"/>
    </row>
    <row r="342" spans="17:22" x14ac:dyDescent="0.3">
      <c r="Q342" s="1"/>
      <c r="R342" s="1"/>
      <c r="S342" s="1"/>
      <c r="T342" s="1"/>
      <c r="U342" s="1"/>
      <c r="V342" s="1"/>
    </row>
    <row r="343" spans="17:22" x14ac:dyDescent="0.3">
      <c r="Q343" s="1"/>
      <c r="R343" s="1"/>
      <c r="S343" s="1"/>
      <c r="T343" s="1"/>
      <c r="U343" s="1"/>
      <c r="V343" s="1"/>
    </row>
    <row r="344" spans="17:22" x14ac:dyDescent="0.3">
      <c r="Q344" s="1"/>
      <c r="R344" s="1"/>
      <c r="S344" s="1"/>
      <c r="T344" s="1"/>
      <c r="U344" s="1"/>
      <c r="V344" s="1"/>
    </row>
    <row r="345" spans="17:22" x14ac:dyDescent="0.3">
      <c r="Q345" s="1"/>
      <c r="R345" s="1"/>
      <c r="S345" s="1"/>
      <c r="T345" s="1"/>
      <c r="U345" s="1"/>
      <c r="V345" s="1"/>
    </row>
    <row r="346" spans="17:22" x14ac:dyDescent="0.3">
      <c r="Q346" s="1"/>
      <c r="R346" s="1"/>
      <c r="S346" s="1"/>
      <c r="T346" s="1"/>
      <c r="U346" s="1"/>
      <c r="V346" s="1"/>
    </row>
    <row r="347" spans="17:22" x14ac:dyDescent="0.3">
      <c r="Q347" s="1"/>
      <c r="R347" s="1"/>
      <c r="S347" s="1"/>
      <c r="T347" s="1"/>
      <c r="U347" s="1"/>
      <c r="V347" s="1"/>
    </row>
    <row r="348" spans="17:22" x14ac:dyDescent="0.3">
      <c r="Q348" s="1"/>
      <c r="R348" s="1"/>
      <c r="S348" s="1"/>
      <c r="T348" s="1"/>
      <c r="U348" s="1"/>
      <c r="V348" s="1"/>
    </row>
    <row r="349" spans="17:22" x14ac:dyDescent="0.3">
      <c r="Q349" s="1"/>
      <c r="R349" s="1"/>
      <c r="S349" s="1"/>
      <c r="T349" s="1"/>
      <c r="U349" s="1"/>
      <c r="V349" s="1"/>
    </row>
    <row r="350" spans="17:22" x14ac:dyDescent="0.3">
      <c r="Q350" s="1"/>
      <c r="R350" s="1"/>
      <c r="S350" s="1"/>
      <c r="T350" s="1"/>
      <c r="U350" s="1"/>
      <c r="V350" s="1"/>
    </row>
    <row r="351" spans="17:22" x14ac:dyDescent="0.3">
      <c r="Q351" s="1"/>
      <c r="R351" s="1"/>
      <c r="S351" s="1"/>
      <c r="T351" s="1"/>
      <c r="U351" s="1"/>
      <c r="V351" s="1"/>
    </row>
    <row r="352" spans="17:22" x14ac:dyDescent="0.3">
      <c r="Q352" s="1"/>
      <c r="R352" s="1"/>
      <c r="S352" s="1"/>
      <c r="T352" s="1"/>
      <c r="U352" s="1"/>
      <c r="V352" s="1"/>
    </row>
    <row r="353" spans="17:22" x14ac:dyDescent="0.3">
      <c r="Q353" s="1"/>
      <c r="R353" s="1"/>
      <c r="S353" s="1"/>
      <c r="T353" s="1"/>
      <c r="U353" s="1"/>
      <c r="V353" s="1"/>
    </row>
    <row r="354" spans="17:22" x14ac:dyDescent="0.3">
      <c r="Q354" s="1"/>
      <c r="R354" s="1"/>
      <c r="S354" s="1"/>
      <c r="T354" s="1"/>
      <c r="U354" s="1"/>
      <c r="V354" s="1"/>
    </row>
    <row r="355" spans="17:22" x14ac:dyDescent="0.3">
      <c r="Q355" s="1"/>
      <c r="R355" s="1"/>
      <c r="S355" s="1"/>
      <c r="T355" s="1"/>
      <c r="U355" s="1"/>
      <c r="V355" s="1"/>
    </row>
    <row r="356" spans="17:22" x14ac:dyDescent="0.3">
      <c r="Q356" s="1"/>
      <c r="R356" s="1"/>
      <c r="S356" s="1"/>
      <c r="T356" s="1"/>
      <c r="U356" s="1"/>
      <c r="V356" s="1"/>
    </row>
    <row r="357" spans="17:22" x14ac:dyDescent="0.3">
      <c r="Q357" s="1"/>
      <c r="R357" s="1"/>
      <c r="S357" s="1"/>
      <c r="T357" s="1"/>
      <c r="U357" s="1"/>
      <c r="V357" s="1"/>
    </row>
    <row r="358" spans="17:22" x14ac:dyDescent="0.3">
      <c r="Q358" s="1"/>
      <c r="R358" s="1"/>
      <c r="S358" s="1"/>
      <c r="T358" s="1"/>
      <c r="U358" s="1"/>
      <c r="V358" s="1"/>
    </row>
    <row r="359" spans="17:22" x14ac:dyDescent="0.3">
      <c r="Q359" s="1"/>
      <c r="R359" s="1"/>
      <c r="S359" s="1"/>
      <c r="T359" s="1"/>
      <c r="U359" s="1"/>
      <c r="V359" s="1"/>
    </row>
    <row r="360" spans="17:22" x14ac:dyDescent="0.3">
      <c r="Q360" s="1"/>
      <c r="R360" s="1"/>
      <c r="S360" s="1"/>
      <c r="T360" s="1"/>
      <c r="U360" s="1"/>
      <c r="V360" s="1"/>
    </row>
    <row r="361" spans="17:22" x14ac:dyDescent="0.3">
      <c r="Q361" s="1"/>
      <c r="R361" s="1"/>
      <c r="S361" s="1"/>
      <c r="T361" s="1"/>
      <c r="U361" s="1"/>
      <c r="V361" s="1"/>
    </row>
    <row r="362" spans="17:22" x14ac:dyDescent="0.3">
      <c r="Q362" s="1"/>
      <c r="R362" s="1"/>
      <c r="S362" s="1"/>
      <c r="T362" s="1"/>
      <c r="U362" s="1"/>
      <c r="V362" s="1"/>
    </row>
    <row r="363" spans="17:22" x14ac:dyDescent="0.3">
      <c r="Q363" s="1"/>
      <c r="R363" s="1"/>
      <c r="S363" s="1"/>
      <c r="T363" s="1"/>
      <c r="U363" s="1"/>
      <c r="V363" s="1"/>
    </row>
    <row r="364" spans="17:22" x14ac:dyDescent="0.3">
      <c r="Q364" s="1"/>
      <c r="R364" s="1"/>
      <c r="S364" s="1"/>
      <c r="T364" s="1"/>
      <c r="U364" s="1"/>
      <c r="V364" s="1"/>
    </row>
    <row r="365" spans="17:22" x14ac:dyDescent="0.3">
      <c r="Q365" s="1"/>
      <c r="R365" s="1"/>
      <c r="S365" s="1"/>
      <c r="T365" s="1"/>
      <c r="U365" s="1"/>
      <c r="V365" s="1"/>
    </row>
    <row r="366" spans="17:22" x14ac:dyDescent="0.3">
      <c r="Q366" s="1"/>
      <c r="R366" s="1"/>
      <c r="S366" s="1"/>
      <c r="T366" s="1"/>
      <c r="U366" s="1"/>
      <c r="V366" s="1"/>
    </row>
    <row r="367" spans="17:22" x14ac:dyDescent="0.3">
      <c r="Q367" s="1"/>
      <c r="R367" s="1"/>
      <c r="S367" s="1"/>
      <c r="T367" s="1"/>
      <c r="U367" s="1"/>
      <c r="V367" s="1"/>
    </row>
    <row r="368" spans="17:22" x14ac:dyDescent="0.3">
      <c r="Q368" s="1"/>
      <c r="R368" s="1"/>
      <c r="S368" s="1"/>
      <c r="T368" s="1"/>
      <c r="U368" s="1"/>
      <c r="V368" s="1"/>
    </row>
    <row r="369" spans="17:22" x14ac:dyDescent="0.3">
      <c r="Q369" s="1"/>
      <c r="R369" s="1"/>
      <c r="S369" s="1"/>
      <c r="T369" s="1"/>
      <c r="U369" s="1"/>
      <c r="V369" s="1"/>
    </row>
    <row r="370" spans="17:22" x14ac:dyDescent="0.3">
      <c r="Q370" s="1"/>
      <c r="R370" s="1"/>
      <c r="S370" s="1"/>
      <c r="T370" s="1"/>
      <c r="U370" s="1"/>
      <c r="V370" s="1"/>
    </row>
    <row r="371" spans="17:22" x14ac:dyDescent="0.3">
      <c r="Q371" s="1"/>
      <c r="R371" s="1"/>
      <c r="S371" s="1"/>
      <c r="T371" s="1"/>
      <c r="U371" s="1"/>
      <c r="V371" s="1"/>
    </row>
    <row r="372" spans="17:22" x14ac:dyDescent="0.3">
      <c r="Q372" s="1"/>
      <c r="R372" s="1"/>
      <c r="S372" s="1"/>
      <c r="T372" s="1"/>
      <c r="U372" s="1"/>
      <c r="V372" s="1"/>
    </row>
    <row r="373" spans="17:22" x14ac:dyDescent="0.3">
      <c r="Q373" s="1"/>
      <c r="R373" s="1"/>
      <c r="S373" s="1"/>
      <c r="T373" s="1"/>
      <c r="U373" s="1"/>
      <c r="V373" s="1"/>
    </row>
    <row r="374" spans="17:22" x14ac:dyDescent="0.3">
      <c r="Q374" s="1"/>
      <c r="R374" s="1"/>
      <c r="S374" s="1"/>
      <c r="T374" s="1"/>
      <c r="U374" s="1"/>
      <c r="V374" s="1"/>
    </row>
    <row r="375" spans="17:22" x14ac:dyDescent="0.3">
      <c r="Q375" s="1"/>
      <c r="R375" s="1"/>
      <c r="S375" s="1"/>
      <c r="T375" s="1"/>
      <c r="U375" s="1"/>
      <c r="V375" s="1"/>
    </row>
    <row r="376" spans="17:22" x14ac:dyDescent="0.3">
      <c r="Q376" s="1"/>
      <c r="R376" s="1"/>
      <c r="S376" s="1"/>
      <c r="T376" s="1"/>
      <c r="U376" s="1"/>
      <c r="V376" s="1"/>
    </row>
    <row r="377" spans="17:22" x14ac:dyDescent="0.3">
      <c r="Q377" s="1"/>
      <c r="R377" s="1"/>
      <c r="S377" s="1"/>
      <c r="T377" s="1"/>
      <c r="U377" s="1"/>
      <c r="V377" s="1"/>
    </row>
    <row r="378" spans="17:22" x14ac:dyDescent="0.3">
      <c r="Q378" s="1"/>
      <c r="R378" s="1"/>
      <c r="S378" s="1"/>
      <c r="T378" s="1"/>
      <c r="U378" s="1"/>
      <c r="V378" s="1"/>
    </row>
    <row r="379" spans="17:22" x14ac:dyDescent="0.3">
      <c r="Q379" s="1"/>
      <c r="R379" s="1"/>
      <c r="S379" s="1"/>
      <c r="T379" s="1"/>
      <c r="U379" s="1"/>
      <c r="V379" s="1"/>
    </row>
    <row r="380" spans="17:22" x14ac:dyDescent="0.3">
      <c r="Q380" s="1"/>
      <c r="R380" s="1"/>
      <c r="S380" s="1"/>
      <c r="T380" s="1"/>
      <c r="U380" s="1"/>
      <c r="V380" s="1"/>
    </row>
    <row r="381" spans="17:22" x14ac:dyDescent="0.3">
      <c r="Q381" s="1"/>
      <c r="R381" s="1"/>
      <c r="S381" s="1"/>
      <c r="T381" s="1"/>
      <c r="U381" s="1"/>
      <c r="V381" s="1"/>
    </row>
    <row r="382" spans="17:22" x14ac:dyDescent="0.3">
      <c r="Q382" s="1"/>
      <c r="R382" s="1"/>
      <c r="S382" s="1"/>
      <c r="T382" s="1"/>
      <c r="U382" s="1"/>
      <c r="V382" s="1"/>
    </row>
    <row r="383" spans="17:22" x14ac:dyDescent="0.3">
      <c r="Q383" s="1"/>
      <c r="R383" s="1"/>
      <c r="S383" s="1"/>
      <c r="T383" s="1"/>
      <c r="U383" s="1"/>
      <c r="V383" s="1"/>
    </row>
    <row r="384" spans="17:22" x14ac:dyDescent="0.3">
      <c r="Q384" s="1"/>
      <c r="R384" s="1"/>
      <c r="S384" s="1"/>
      <c r="T384" s="1"/>
      <c r="U384" s="1"/>
      <c r="V384" s="1"/>
    </row>
    <row r="385" spans="17:22" x14ac:dyDescent="0.3">
      <c r="Q385" s="1"/>
      <c r="R385" s="1"/>
      <c r="S385" s="1"/>
      <c r="T385" s="1"/>
      <c r="U385" s="1"/>
      <c r="V385" s="1"/>
    </row>
    <row r="386" spans="17:22" x14ac:dyDescent="0.3">
      <c r="Q386" s="1"/>
      <c r="R386" s="1"/>
      <c r="S386" s="1"/>
      <c r="T386" s="1"/>
      <c r="U386" s="1"/>
      <c r="V386" s="1"/>
    </row>
    <row r="387" spans="17:22" x14ac:dyDescent="0.3">
      <c r="Q387" s="1"/>
      <c r="R387" s="1"/>
      <c r="S387" s="1"/>
      <c r="T387" s="1"/>
      <c r="U387" s="1"/>
      <c r="V387" s="1"/>
    </row>
    <row r="388" spans="17:22" x14ac:dyDescent="0.3">
      <c r="Q388" s="1"/>
      <c r="R388" s="1"/>
      <c r="S388" s="1"/>
      <c r="T388" s="1"/>
      <c r="U388" s="1"/>
      <c r="V388" s="1"/>
    </row>
    <row r="389" spans="17:22" x14ac:dyDescent="0.3">
      <c r="Q389" s="1"/>
      <c r="R389" s="1"/>
      <c r="S389" s="1"/>
      <c r="T389" s="1"/>
      <c r="U389" s="1"/>
      <c r="V389" s="1"/>
    </row>
    <row r="390" spans="17:22" x14ac:dyDescent="0.3">
      <c r="Q390" s="1"/>
      <c r="R390" s="1"/>
      <c r="S390" s="1"/>
      <c r="T390" s="1"/>
      <c r="U390" s="1"/>
      <c r="V390" s="1"/>
    </row>
    <row r="391" spans="17:22" x14ac:dyDescent="0.3">
      <c r="Q391" s="1"/>
      <c r="R391" s="1"/>
      <c r="S391" s="1"/>
      <c r="T391" s="1"/>
      <c r="U391" s="1"/>
      <c r="V391" s="1"/>
    </row>
    <row r="392" spans="17:22" x14ac:dyDescent="0.3">
      <c r="Q392" s="1"/>
      <c r="R392" s="1"/>
      <c r="S392" s="1"/>
      <c r="T392" s="1"/>
      <c r="U392" s="1"/>
      <c r="V392" s="1"/>
    </row>
    <row r="393" spans="17:22" x14ac:dyDescent="0.3">
      <c r="Q393" s="1"/>
      <c r="R393" s="1"/>
      <c r="S393" s="1"/>
      <c r="T393" s="1"/>
      <c r="U393" s="1"/>
      <c r="V393" s="1"/>
    </row>
    <row r="394" spans="17:22" x14ac:dyDescent="0.3">
      <c r="Q394" s="1"/>
      <c r="R394" s="1"/>
      <c r="S394" s="1"/>
      <c r="T394" s="1"/>
      <c r="U394" s="1"/>
      <c r="V394" s="1"/>
    </row>
    <row r="395" spans="17:22" x14ac:dyDescent="0.3">
      <c r="Q395" s="1"/>
      <c r="R395" s="1"/>
      <c r="S395" s="1"/>
      <c r="T395" s="1"/>
      <c r="U395" s="1"/>
      <c r="V395" s="1"/>
    </row>
    <row r="396" spans="17:22" x14ac:dyDescent="0.3">
      <c r="Q396" s="1"/>
      <c r="R396" s="1"/>
      <c r="S396" s="1"/>
      <c r="T396" s="1"/>
      <c r="U396" s="1"/>
      <c r="V396" s="1"/>
    </row>
    <row r="397" spans="17:22" x14ac:dyDescent="0.3">
      <c r="Q397" s="1"/>
      <c r="R397" s="1"/>
      <c r="S397" s="1"/>
      <c r="T397" s="1"/>
      <c r="U397" s="1"/>
      <c r="V397" s="1"/>
    </row>
    <row r="398" spans="17:22" x14ac:dyDescent="0.3">
      <c r="Q398" s="1"/>
      <c r="R398" s="1"/>
      <c r="S398" s="1"/>
      <c r="T398" s="1"/>
      <c r="U398" s="1"/>
      <c r="V398" s="1"/>
    </row>
    <row r="399" spans="17:22" x14ac:dyDescent="0.3">
      <c r="Q399" s="1"/>
      <c r="R399" s="1"/>
      <c r="S399" s="1"/>
      <c r="T399" s="1"/>
      <c r="U399" s="1"/>
      <c r="V399" s="1"/>
    </row>
    <row r="400" spans="17:22" x14ac:dyDescent="0.3">
      <c r="Q400" s="1"/>
      <c r="R400" s="1"/>
      <c r="S400" s="1"/>
      <c r="T400" s="1"/>
      <c r="U400" s="1"/>
      <c r="V400" s="1"/>
    </row>
    <row r="401" spans="17:22" x14ac:dyDescent="0.3">
      <c r="Q401" s="1"/>
      <c r="R401" s="1"/>
      <c r="S401" s="1"/>
      <c r="T401" s="1"/>
      <c r="U401" s="1"/>
      <c r="V401" s="1"/>
    </row>
    <row r="402" spans="17:22" x14ac:dyDescent="0.3">
      <c r="Q402" s="1"/>
      <c r="R402" s="1"/>
      <c r="S402" s="1"/>
      <c r="T402" s="1"/>
      <c r="U402" s="1"/>
      <c r="V402" s="1"/>
    </row>
    <row r="403" spans="17:22" x14ac:dyDescent="0.3">
      <c r="Q403" s="1"/>
      <c r="R403" s="1"/>
      <c r="S403" s="1"/>
      <c r="T403" s="1"/>
      <c r="U403" s="1"/>
      <c r="V403" s="1"/>
    </row>
    <row r="404" spans="17:22" x14ac:dyDescent="0.3">
      <c r="Q404" s="1"/>
      <c r="R404" s="1"/>
      <c r="S404" s="1"/>
      <c r="T404" s="1"/>
      <c r="U404" s="1"/>
      <c r="V404" s="1"/>
    </row>
    <row r="405" spans="17:22" x14ac:dyDescent="0.3">
      <c r="Q405" s="1"/>
      <c r="R405" s="1"/>
      <c r="S405" s="1"/>
      <c r="T405" s="1"/>
      <c r="U405" s="1"/>
      <c r="V405" s="1"/>
    </row>
    <row r="406" spans="17:22" x14ac:dyDescent="0.3">
      <c r="Q406" s="1"/>
      <c r="R406" s="1"/>
      <c r="S406" s="1"/>
      <c r="T406" s="1"/>
      <c r="U406" s="1"/>
      <c r="V406" s="1"/>
    </row>
    <row r="407" spans="17:22" x14ac:dyDescent="0.3">
      <c r="Q407" s="1"/>
      <c r="R407" s="1"/>
      <c r="S407" s="1"/>
      <c r="T407" s="1"/>
      <c r="U407" s="1"/>
      <c r="V407" s="1"/>
    </row>
    <row r="408" spans="17:22" x14ac:dyDescent="0.3">
      <c r="Q408" s="1"/>
      <c r="R408" s="1"/>
      <c r="S408" s="1"/>
      <c r="T408" s="1"/>
      <c r="U408" s="1"/>
      <c r="V408" s="1"/>
    </row>
    <row r="409" spans="17:22" x14ac:dyDescent="0.3">
      <c r="Q409" s="1"/>
      <c r="R409" s="1"/>
      <c r="S409" s="1"/>
      <c r="T409" s="1"/>
      <c r="U409" s="1"/>
      <c r="V409" s="1"/>
    </row>
    <row r="410" spans="17:22" x14ac:dyDescent="0.3">
      <c r="Q410" s="1"/>
      <c r="R410" s="1"/>
      <c r="S410" s="1"/>
      <c r="T410" s="1"/>
      <c r="U410" s="1"/>
      <c r="V410" s="1"/>
    </row>
    <row r="411" spans="17:22" x14ac:dyDescent="0.3">
      <c r="Q411" s="1"/>
      <c r="R411" s="1"/>
      <c r="S411" s="1"/>
      <c r="T411" s="1"/>
      <c r="U411" s="1"/>
      <c r="V411" s="1"/>
    </row>
    <row r="412" spans="17:22" x14ac:dyDescent="0.3">
      <c r="Q412" s="1"/>
      <c r="R412" s="1"/>
      <c r="S412" s="1"/>
      <c r="T412" s="1"/>
      <c r="U412" s="1"/>
      <c r="V412" s="1"/>
    </row>
    <row r="413" spans="17:22" x14ac:dyDescent="0.3">
      <c r="Q413" s="1"/>
      <c r="R413" s="1"/>
      <c r="S413" s="1"/>
      <c r="T413" s="1"/>
      <c r="U413" s="1"/>
      <c r="V413" s="1"/>
    </row>
    <row r="414" spans="17:22" x14ac:dyDescent="0.3">
      <c r="Q414" s="1"/>
      <c r="R414" s="1"/>
      <c r="S414" s="1"/>
      <c r="T414" s="1"/>
      <c r="U414" s="1"/>
      <c r="V414" s="1"/>
    </row>
    <row r="415" spans="17:22" x14ac:dyDescent="0.3">
      <c r="Q415" s="1"/>
      <c r="R415" s="1"/>
      <c r="S415" s="1"/>
      <c r="T415" s="1"/>
      <c r="U415" s="1"/>
      <c r="V415" s="1"/>
    </row>
    <row r="416" spans="17:22" x14ac:dyDescent="0.3">
      <c r="Q416" s="1"/>
      <c r="R416" s="1"/>
      <c r="S416" s="1"/>
      <c r="T416" s="1"/>
      <c r="U416" s="1"/>
      <c r="V416" s="1"/>
    </row>
    <row r="417" spans="17:22" x14ac:dyDescent="0.3">
      <c r="Q417" s="1"/>
      <c r="R417" s="1"/>
      <c r="S417" s="1"/>
      <c r="T417" s="1"/>
      <c r="U417" s="1"/>
      <c r="V417" s="1"/>
    </row>
    <row r="418" spans="17:22" x14ac:dyDescent="0.3">
      <c r="Q418" s="1"/>
      <c r="R418" s="1"/>
      <c r="S418" s="1"/>
      <c r="T418" s="1"/>
      <c r="U418" s="1"/>
      <c r="V418" s="1"/>
    </row>
    <row r="419" spans="17:22" x14ac:dyDescent="0.3">
      <c r="Q419" s="1"/>
      <c r="R419" s="1"/>
      <c r="S419" s="1"/>
      <c r="T419" s="1"/>
      <c r="U419" s="1"/>
      <c r="V419" s="1"/>
    </row>
    <row r="420" spans="17:22" x14ac:dyDescent="0.3">
      <c r="Q420" s="1"/>
      <c r="R420" s="1"/>
      <c r="S420" s="1"/>
      <c r="T420" s="1"/>
      <c r="U420" s="1"/>
      <c r="V420" s="1"/>
    </row>
    <row r="421" spans="17:22" x14ac:dyDescent="0.3">
      <c r="Q421" s="1"/>
      <c r="R421" s="1"/>
      <c r="S421" s="1"/>
      <c r="T421" s="1"/>
      <c r="U421" s="1"/>
      <c r="V421" s="1"/>
    </row>
    <row r="422" spans="17:22" x14ac:dyDescent="0.3">
      <c r="Q422" s="1"/>
      <c r="R422" s="1"/>
      <c r="S422" s="1"/>
      <c r="T422" s="1"/>
      <c r="U422" s="1"/>
      <c r="V422" s="1"/>
    </row>
    <row r="423" spans="17:22" x14ac:dyDescent="0.3">
      <c r="Q423" s="1"/>
      <c r="R423" s="1"/>
      <c r="S423" s="1"/>
      <c r="T423" s="1"/>
      <c r="U423" s="1"/>
      <c r="V423" s="1"/>
    </row>
    <row r="424" spans="17:22" x14ac:dyDescent="0.3">
      <c r="Q424" s="1"/>
      <c r="R424" s="1"/>
      <c r="S424" s="1"/>
      <c r="T424" s="1"/>
      <c r="U424" s="1"/>
      <c r="V424" s="1"/>
    </row>
    <row r="425" spans="17:22" x14ac:dyDescent="0.3">
      <c r="Q425" s="1"/>
      <c r="R425" s="1"/>
      <c r="S425" s="1"/>
      <c r="T425" s="1"/>
      <c r="U425" s="1"/>
      <c r="V425" s="1"/>
    </row>
    <row r="426" spans="17:22" x14ac:dyDescent="0.3">
      <c r="Q426" s="1"/>
      <c r="R426" s="1"/>
      <c r="S426" s="1"/>
      <c r="T426" s="1"/>
      <c r="U426" s="1"/>
      <c r="V426" s="1"/>
    </row>
    <row r="427" spans="17:22" x14ac:dyDescent="0.3">
      <c r="Q427" s="1"/>
      <c r="R427" s="1"/>
      <c r="S427" s="1"/>
      <c r="T427" s="1"/>
      <c r="U427" s="1"/>
      <c r="V427" s="1"/>
    </row>
    <row r="428" spans="17:22" x14ac:dyDescent="0.3">
      <c r="Q428" s="1"/>
      <c r="R428" s="1"/>
      <c r="S428" s="1"/>
      <c r="T428" s="1"/>
      <c r="U428" s="1"/>
      <c r="V428" s="1"/>
    </row>
    <row r="429" spans="17:22" x14ac:dyDescent="0.3">
      <c r="Q429" s="1"/>
      <c r="R429" s="1"/>
      <c r="S429" s="1"/>
      <c r="T429" s="1"/>
      <c r="U429" s="1"/>
      <c r="V429" s="1"/>
    </row>
    <row r="430" spans="17:22" x14ac:dyDescent="0.3">
      <c r="Q430" s="1"/>
      <c r="R430" s="1"/>
      <c r="S430" s="1"/>
      <c r="T430" s="1"/>
      <c r="U430" s="1"/>
      <c r="V430" s="1"/>
    </row>
    <row r="431" spans="17:22" x14ac:dyDescent="0.3">
      <c r="Q431" s="1"/>
      <c r="R431" s="1"/>
      <c r="S431" s="1"/>
      <c r="T431" s="1"/>
      <c r="U431" s="1"/>
      <c r="V431" s="1"/>
    </row>
    <row r="432" spans="17:22" x14ac:dyDescent="0.3">
      <c r="Q432" s="1"/>
      <c r="R432" s="1"/>
      <c r="S432" s="1"/>
      <c r="T432" s="1"/>
      <c r="U432" s="1"/>
      <c r="V432" s="1"/>
    </row>
    <row r="433" spans="17:22" x14ac:dyDescent="0.3">
      <c r="Q433" s="1"/>
      <c r="R433" s="1"/>
      <c r="S433" s="1"/>
      <c r="T433" s="1"/>
      <c r="U433" s="1"/>
      <c r="V433" s="1"/>
    </row>
    <row r="434" spans="17:22" x14ac:dyDescent="0.3">
      <c r="Q434" s="1"/>
      <c r="R434" s="1"/>
      <c r="S434" s="1"/>
      <c r="T434" s="1"/>
      <c r="U434" s="1"/>
      <c r="V434" s="1"/>
    </row>
    <row r="435" spans="17:22" x14ac:dyDescent="0.3">
      <c r="Q435" s="1"/>
      <c r="R435" s="1"/>
      <c r="S435" s="1"/>
      <c r="T435" s="1"/>
      <c r="U435" s="1"/>
      <c r="V435" s="1"/>
    </row>
    <row r="436" spans="17:22" x14ac:dyDescent="0.3">
      <c r="Q436" s="1"/>
      <c r="R436" s="1"/>
      <c r="S436" s="1"/>
      <c r="T436" s="1"/>
      <c r="U436" s="1"/>
      <c r="V436" s="1"/>
    </row>
    <row r="437" spans="17:22" x14ac:dyDescent="0.3">
      <c r="Q437" s="1"/>
      <c r="R437" s="1"/>
      <c r="S437" s="1"/>
      <c r="T437" s="1"/>
      <c r="U437" s="1"/>
      <c r="V437" s="1"/>
    </row>
    <row r="438" spans="17:22" x14ac:dyDescent="0.3">
      <c r="Q438" s="1"/>
      <c r="R438" s="1"/>
      <c r="S438" s="1"/>
      <c r="T438" s="1"/>
      <c r="U438" s="1"/>
      <c r="V438" s="1"/>
    </row>
    <row r="439" spans="17:22" x14ac:dyDescent="0.3">
      <c r="Q439" s="1"/>
      <c r="R439" s="1"/>
      <c r="S439" s="1"/>
      <c r="T439" s="1"/>
      <c r="U439" s="1"/>
      <c r="V439" s="1"/>
    </row>
    <row r="440" spans="17:22" x14ac:dyDescent="0.3">
      <c r="Q440" s="1"/>
      <c r="R440" s="1"/>
      <c r="S440" s="1"/>
      <c r="T440" s="1"/>
      <c r="U440" s="1"/>
      <c r="V440" s="1"/>
    </row>
    <row r="441" spans="17:22" x14ac:dyDescent="0.3">
      <c r="Q441" s="1"/>
      <c r="R441" s="1"/>
      <c r="S441" s="1"/>
      <c r="T441" s="1"/>
      <c r="U441" s="1"/>
      <c r="V441" s="1"/>
    </row>
    <row r="442" spans="17:22" x14ac:dyDescent="0.3">
      <c r="Q442" s="1"/>
      <c r="R442" s="1"/>
      <c r="S442" s="1"/>
      <c r="T442" s="1"/>
      <c r="U442" s="1"/>
      <c r="V442" s="1"/>
    </row>
    <row r="443" spans="17:22" x14ac:dyDescent="0.3">
      <c r="Q443" s="1"/>
      <c r="R443" s="1"/>
      <c r="S443" s="1"/>
      <c r="T443" s="1"/>
      <c r="U443" s="1"/>
      <c r="V443" s="1"/>
    </row>
    <row r="444" spans="17:22" x14ac:dyDescent="0.3">
      <c r="Q444" s="1"/>
      <c r="R444" s="1"/>
      <c r="S444" s="1"/>
      <c r="T444" s="1"/>
      <c r="U444" s="1"/>
      <c r="V444" s="1"/>
    </row>
    <row r="445" spans="17:22" x14ac:dyDescent="0.3">
      <c r="Q445" s="1"/>
      <c r="R445" s="1"/>
      <c r="S445" s="1"/>
      <c r="T445" s="1"/>
      <c r="U445" s="1"/>
      <c r="V445" s="1"/>
    </row>
    <row r="446" spans="17:22" x14ac:dyDescent="0.3">
      <c r="Q446" s="1"/>
      <c r="R446" s="1"/>
      <c r="S446" s="1"/>
      <c r="T446" s="1"/>
      <c r="U446" s="1"/>
      <c r="V446" s="1"/>
    </row>
    <row r="447" spans="17:22" x14ac:dyDescent="0.3">
      <c r="Q447" s="1"/>
      <c r="R447" s="1"/>
      <c r="S447" s="1"/>
      <c r="T447" s="1"/>
      <c r="U447" s="1"/>
      <c r="V447" s="1"/>
    </row>
    <row r="448" spans="17:22" x14ac:dyDescent="0.3">
      <c r="Q448" s="1"/>
      <c r="R448" s="1"/>
      <c r="S448" s="1"/>
      <c r="T448" s="1"/>
      <c r="U448" s="1"/>
      <c r="V448" s="1"/>
    </row>
    <row r="449" spans="17:22" x14ac:dyDescent="0.3">
      <c r="Q449" s="1"/>
      <c r="R449" s="1"/>
      <c r="S449" s="1"/>
      <c r="T449" s="1"/>
      <c r="U449" s="1"/>
      <c r="V449" s="1"/>
    </row>
    <row r="450" spans="17:22" x14ac:dyDescent="0.3">
      <c r="Q450" s="1"/>
      <c r="R450" s="1"/>
      <c r="S450" s="1"/>
      <c r="T450" s="1"/>
      <c r="U450" s="1"/>
      <c r="V450" s="1"/>
    </row>
    <row r="451" spans="17:22" x14ac:dyDescent="0.3">
      <c r="Q451" s="1"/>
      <c r="R451" s="1"/>
      <c r="S451" s="1"/>
      <c r="T451" s="1"/>
      <c r="U451" s="1"/>
      <c r="V451" s="1"/>
    </row>
    <row r="452" spans="17:22" x14ac:dyDescent="0.3">
      <c r="Q452" s="1"/>
      <c r="R452" s="1"/>
      <c r="S452" s="1"/>
      <c r="T452" s="1"/>
      <c r="U452" s="1"/>
      <c r="V452" s="1"/>
    </row>
    <row r="453" spans="17:22" x14ac:dyDescent="0.3">
      <c r="Q453" s="1"/>
      <c r="R453" s="1"/>
      <c r="S453" s="1"/>
      <c r="T453" s="1"/>
      <c r="U453" s="1"/>
      <c r="V453" s="1"/>
    </row>
    <row r="454" spans="17:22" x14ac:dyDescent="0.3">
      <c r="Q454" s="1"/>
      <c r="R454" s="1"/>
      <c r="S454" s="1"/>
      <c r="T454" s="1"/>
      <c r="U454" s="1"/>
      <c r="V454" s="1"/>
    </row>
    <row r="455" spans="17:22" x14ac:dyDescent="0.3">
      <c r="Q455" s="1"/>
      <c r="R455" s="1"/>
      <c r="S455" s="1"/>
      <c r="T455" s="1"/>
      <c r="U455" s="1"/>
      <c r="V455" s="1"/>
    </row>
    <row r="456" spans="17:22" x14ac:dyDescent="0.3">
      <c r="Q456" s="1"/>
      <c r="R456" s="1"/>
      <c r="S456" s="1"/>
      <c r="T456" s="1"/>
      <c r="U456" s="1"/>
      <c r="V456" s="1"/>
    </row>
    <row r="457" spans="17:22" x14ac:dyDescent="0.3">
      <c r="Q457" s="1"/>
      <c r="R457" s="1"/>
      <c r="S457" s="1"/>
      <c r="T457" s="1"/>
      <c r="U457" s="1"/>
      <c r="V457" s="1"/>
    </row>
    <row r="458" spans="17:22" x14ac:dyDescent="0.3">
      <c r="Q458" s="1"/>
      <c r="R458" s="1"/>
      <c r="S458" s="1"/>
      <c r="T458" s="1"/>
      <c r="U458" s="1"/>
      <c r="V458" s="1"/>
    </row>
    <row r="459" spans="17:22" x14ac:dyDescent="0.3">
      <c r="Q459" s="1"/>
      <c r="R459" s="1"/>
      <c r="S459" s="1"/>
      <c r="T459" s="1"/>
      <c r="U459" s="1"/>
      <c r="V459" s="1"/>
    </row>
    <row r="460" spans="17:22" x14ac:dyDescent="0.3">
      <c r="Q460" s="1"/>
      <c r="R460" s="1"/>
      <c r="S460" s="1"/>
      <c r="T460" s="1"/>
      <c r="U460" s="1"/>
      <c r="V460" s="1"/>
    </row>
    <row r="461" spans="17:22" x14ac:dyDescent="0.3">
      <c r="Q461" s="1"/>
      <c r="R461" s="1"/>
      <c r="S461" s="1"/>
      <c r="T461" s="1"/>
      <c r="U461" s="1"/>
      <c r="V461" s="1"/>
    </row>
    <row r="462" spans="17:22" x14ac:dyDescent="0.3">
      <c r="Q462" s="1"/>
      <c r="R462" s="1"/>
      <c r="S462" s="1"/>
      <c r="T462" s="1"/>
      <c r="U462" s="1"/>
      <c r="V462" s="1"/>
    </row>
    <row r="463" spans="17:22" x14ac:dyDescent="0.3">
      <c r="Q463" s="1"/>
      <c r="R463" s="1"/>
      <c r="S463" s="1"/>
      <c r="T463" s="1"/>
      <c r="U463" s="1"/>
      <c r="V463" s="1"/>
    </row>
    <row r="464" spans="17:22" x14ac:dyDescent="0.3">
      <c r="Q464" s="1"/>
      <c r="R464" s="1"/>
      <c r="S464" s="1"/>
      <c r="T464" s="1"/>
      <c r="U464" s="1"/>
      <c r="V464" s="1"/>
    </row>
    <row r="465" spans="17:22" x14ac:dyDescent="0.3">
      <c r="Q465" s="1"/>
      <c r="R465" s="1"/>
      <c r="S465" s="1"/>
      <c r="T465" s="1"/>
      <c r="U465" s="1"/>
      <c r="V465" s="1"/>
    </row>
    <row r="466" spans="17:22" x14ac:dyDescent="0.3">
      <c r="Q466" s="1"/>
      <c r="R466" s="1"/>
      <c r="S466" s="1"/>
      <c r="T466" s="1"/>
      <c r="U466" s="1"/>
      <c r="V466" s="1"/>
    </row>
    <row r="467" spans="17:22" x14ac:dyDescent="0.3">
      <c r="Q467" s="1"/>
      <c r="R467" s="1"/>
      <c r="S467" s="1"/>
      <c r="T467" s="1"/>
      <c r="U467" s="1"/>
      <c r="V467" s="1"/>
    </row>
    <row r="468" spans="17:22" x14ac:dyDescent="0.3">
      <c r="Q468" s="1"/>
      <c r="R468" s="1"/>
      <c r="S468" s="1"/>
      <c r="T468" s="1"/>
      <c r="U468" s="1"/>
      <c r="V468" s="1"/>
    </row>
    <row r="469" spans="17:22" x14ac:dyDescent="0.3">
      <c r="Q469" s="1"/>
      <c r="R469" s="1"/>
      <c r="S469" s="1"/>
      <c r="T469" s="1"/>
      <c r="U469" s="1"/>
      <c r="V469" s="1"/>
    </row>
    <row r="470" spans="17:22" x14ac:dyDescent="0.3">
      <c r="Q470" s="1"/>
      <c r="R470" s="1"/>
      <c r="S470" s="1"/>
      <c r="T470" s="1"/>
      <c r="U470" s="1"/>
      <c r="V470" s="1"/>
    </row>
    <row r="471" spans="17:22" x14ac:dyDescent="0.3">
      <c r="Q471" s="1"/>
      <c r="R471" s="1"/>
      <c r="S471" s="1"/>
      <c r="T471" s="1"/>
      <c r="U471" s="1"/>
      <c r="V471" s="1"/>
    </row>
    <row r="472" spans="17:22" x14ac:dyDescent="0.3">
      <c r="Q472" s="1"/>
      <c r="R472" s="1"/>
      <c r="S472" s="1"/>
      <c r="T472" s="1"/>
      <c r="U472" s="1"/>
      <c r="V472" s="1"/>
    </row>
    <row r="473" spans="17:22" x14ac:dyDescent="0.3">
      <c r="Q473" s="1"/>
      <c r="R473" s="1"/>
      <c r="S473" s="1"/>
      <c r="T473" s="1"/>
      <c r="U473" s="1"/>
      <c r="V473" s="1"/>
    </row>
    <row r="474" spans="17:22" x14ac:dyDescent="0.3">
      <c r="Q474" s="1"/>
      <c r="R474" s="1"/>
      <c r="S474" s="1"/>
      <c r="T474" s="1"/>
      <c r="U474" s="1"/>
      <c r="V474" s="1"/>
    </row>
    <row r="475" spans="17:22" x14ac:dyDescent="0.3">
      <c r="Q475" s="1"/>
      <c r="R475" s="1"/>
      <c r="S475" s="1"/>
      <c r="T475" s="1"/>
      <c r="U475" s="1"/>
      <c r="V475" s="1"/>
    </row>
    <row r="476" spans="17:22" x14ac:dyDescent="0.3">
      <c r="Q476" s="1"/>
      <c r="R476" s="1"/>
      <c r="S476" s="1"/>
      <c r="T476" s="1"/>
      <c r="U476" s="1"/>
      <c r="V476" s="1"/>
    </row>
    <row r="477" spans="17:22" x14ac:dyDescent="0.3">
      <c r="Q477" s="1"/>
      <c r="R477" s="1"/>
      <c r="S477" s="1"/>
      <c r="T477" s="1"/>
      <c r="U477" s="1"/>
      <c r="V477" s="1"/>
    </row>
    <row r="478" spans="17:22" x14ac:dyDescent="0.3">
      <c r="Q478" s="1"/>
      <c r="R478" s="1"/>
      <c r="S478" s="1"/>
      <c r="T478" s="1"/>
      <c r="U478" s="1"/>
      <c r="V478" s="1"/>
    </row>
    <row r="479" spans="17:22" x14ac:dyDescent="0.3">
      <c r="Q479" s="1"/>
      <c r="R479" s="1"/>
      <c r="S479" s="1"/>
      <c r="T479" s="1"/>
      <c r="U479" s="1"/>
      <c r="V479" s="1"/>
    </row>
    <row r="480" spans="17:22" x14ac:dyDescent="0.3">
      <c r="Q480" s="1"/>
      <c r="R480" s="1"/>
      <c r="S480" s="1"/>
      <c r="T480" s="1"/>
      <c r="U480" s="1"/>
      <c r="V480" s="1"/>
    </row>
    <row r="481" spans="17:22" x14ac:dyDescent="0.3">
      <c r="Q481" s="1"/>
      <c r="R481" s="1"/>
      <c r="S481" s="1"/>
      <c r="T481" s="1"/>
      <c r="U481" s="1"/>
      <c r="V481" s="1"/>
    </row>
    <row r="482" spans="17:22" x14ac:dyDescent="0.3">
      <c r="Q482" s="1"/>
      <c r="R482" s="1"/>
      <c r="S482" s="1"/>
      <c r="T482" s="1"/>
      <c r="U482" s="1"/>
      <c r="V482" s="1"/>
    </row>
    <row r="483" spans="17:22" x14ac:dyDescent="0.3">
      <c r="Q483" s="1"/>
      <c r="R483" s="1"/>
      <c r="S483" s="1"/>
      <c r="T483" s="1"/>
      <c r="U483" s="1"/>
      <c r="V483" s="1"/>
    </row>
    <row r="484" spans="17:22" x14ac:dyDescent="0.3">
      <c r="Q484" s="1"/>
      <c r="R484" s="1"/>
      <c r="S484" s="1"/>
      <c r="T484" s="1"/>
      <c r="U484" s="1"/>
      <c r="V484" s="1"/>
    </row>
    <row r="485" spans="17:22" x14ac:dyDescent="0.3">
      <c r="Q485" s="1"/>
      <c r="R485" s="1"/>
      <c r="S485" s="1"/>
      <c r="T485" s="1"/>
      <c r="U485" s="1"/>
      <c r="V485" s="1"/>
    </row>
    <row r="486" spans="17:22" x14ac:dyDescent="0.3">
      <c r="Q486" s="1"/>
      <c r="R486" s="1"/>
      <c r="S486" s="1"/>
      <c r="T486" s="1"/>
      <c r="U486" s="1"/>
      <c r="V486" s="1"/>
    </row>
    <row r="487" spans="17:22" x14ac:dyDescent="0.3">
      <c r="Q487" s="1"/>
      <c r="R487" s="1"/>
      <c r="S487" s="1"/>
      <c r="T487" s="1"/>
      <c r="U487" s="1"/>
      <c r="V487" s="1"/>
    </row>
    <row r="488" spans="17:22" x14ac:dyDescent="0.3">
      <c r="Q488" s="1"/>
      <c r="R488" s="1"/>
      <c r="S488" s="1"/>
      <c r="T488" s="1"/>
      <c r="U488" s="1"/>
      <c r="V488" s="1"/>
    </row>
    <row r="489" spans="17:22" x14ac:dyDescent="0.3">
      <c r="Q489" s="1"/>
      <c r="R489" s="1"/>
      <c r="S489" s="1"/>
      <c r="T489" s="1"/>
      <c r="U489" s="1"/>
      <c r="V489" s="1"/>
    </row>
    <row r="490" spans="17:22" x14ac:dyDescent="0.3">
      <c r="Q490" s="1"/>
      <c r="R490" s="1"/>
      <c r="S490" s="1"/>
      <c r="T490" s="1"/>
      <c r="U490" s="1"/>
      <c r="V490" s="1"/>
    </row>
    <row r="491" spans="17:22" x14ac:dyDescent="0.3">
      <c r="Q491" s="1"/>
      <c r="R491" s="1"/>
      <c r="S491" s="1"/>
      <c r="T491" s="1"/>
      <c r="U491" s="1"/>
      <c r="V491" s="1"/>
    </row>
    <row r="492" spans="17:22" x14ac:dyDescent="0.3">
      <c r="Q492" s="1"/>
      <c r="R492" s="1"/>
      <c r="S492" s="1"/>
      <c r="T492" s="1"/>
      <c r="U492" s="1"/>
      <c r="V492" s="1"/>
    </row>
    <row r="493" spans="17:22" x14ac:dyDescent="0.3">
      <c r="Q493" s="1"/>
      <c r="R493" s="1"/>
      <c r="S493" s="1"/>
      <c r="T493" s="1"/>
      <c r="U493" s="1"/>
      <c r="V493" s="1"/>
    </row>
    <row r="494" spans="17:22" x14ac:dyDescent="0.3">
      <c r="Q494" s="1"/>
      <c r="R494" s="1"/>
      <c r="S494" s="1"/>
      <c r="T494" s="1"/>
      <c r="U494" s="1"/>
      <c r="V494" s="1"/>
    </row>
    <row r="495" spans="17:22" x14ac:dyDescent="0.3">
      <c r="Q495" s="1"/>
      <c r="R495" s="1"/>
      <c r="S495" s="1"/>
      <c r="T495" s="1"/>
      <c r="U495" s="1"/>
      <c r="V495" s="1"/>
    </row>
    <row r="496" spans="17:22" x14ac:dyDescent="0.3">
      <c r="Q496" s="1"/>
      <c r="R496" s="1"/>
      <c r="S496" s="1"/>
      <c r="T496" s="1"/>
      <c r="U496" s="1"/>
      <c r="V496" s="1"/>
    </row>
    <row r="497" spans="17:22" x14ac:dyDescent="0.3">
      <c r="Q497" s="1"/>
      <c r="R497" s="1"/>
      <c r="S497" s="1"/>
      <c r="T497" s="1"/>
      <c r="U497" s="1"/>
      <c r="V497" s="1"/>
    </row>
    <row r="498" spans="17:22" x14ac:dyDescent="0.3">
      <c r="Q498" s="1"/>
      <c r="R498" s="1"/>
      <c r="S498" s="1"/>
      <c r="T498" s="1"/>
      <c r="U498" s="1"/>
      <c r="V498" s="1"/>
    </row>
    <row r="499" spans="17:22" x14ac:dyDescent="0.3">
      <c r="Q499" s="1"/>
      <c r="R499" s="1"/>
      <c r="S499" s="1"/>
      <c r="T499" s="1"/>
      <c r="U499" s="1"/>
      <c r="V499" s="1"/>
    </row>
    <row r="500" spans="17:22" x14ac:dyDescent="0.3">
      <c r="Q500" s="1"/>
      <c r="R500" s="1"/>
      <c r="S500" s="1"/>
      <c r="T500" s="1"/>
      <c r="U500" s="1"/>
      <c r="V500" s="1"/>
    </row>
    <row r="501" spans="17:22" x14ac:dyDescent="0.3">
      <c r="Q501" s="1"/>
      <c r="R501" s="1"/>
      <c r="S501" s="1"/>
      <c r="T501" s="1"/>
      <c r="U501" s="1"/>
      <c r="V501" s="1"/>
    </row>
    <row r="502" spans="17:22" x14ac:dyDescent="0.3">
      <c r="Q502" s="1"/>
      <c r="R502" s="1"/>
      <c r="S502" s="1"/>
      <c r="T502" s="1"/>
      <c r="U502" s="1"/>
      <c r="V502" s="1"/>
    </row>
    <row r="503" spans="17:22" x14ac:dyDescent="0.3">
      <c r="Q503" s="1"/>
      <c r="R503" s="1"/>
      <c r="S503" s="1"/>
      <c r="T503" s="1"/>
      <c r="U503" s="1"/>
      <c r="V503" s="1"/>
    </row>
    <row r="504" spans="17:22" x14ac:dyDescent="0.3">
      <c r="Q504" s="1"/>
      <c r="R504" s="1"/>
      <c r="S504" s="1"/>
      <c r="T504" s="1"/>
      <c r="U504" s="1"/>
      <c r="V504" s="1"/>
    </row>
    <row r="505" spans="17:22" x14ac:dyDescent="0.3">
      <c r="Q505" s="1"/>
      <c r="R505" s="1"/>
      <c r="S505" s="1"/>
      <c r="T505" s="1"/>
      <c r="U505" s="1"/>
      <c r="V505" s="1"/>
    </row>
    <row r="506" spans="17:22" x14ac:dyDescent="0.3">
      <c r="Q506" s="1"/>
      <c r="R506" s="1"/>
      <c r="S506" s="1"/>
      <c r="T506" s="1"/>
      <c r="U506" s="1"/>
      <c r="V506" s="1"/>
    </row>
    <row r="507" spans="17:22" x14ac:dyDescent="0.3">
      <c r="Q507" s="1"/>
      <c r="R507" s="1"/>
      <c r="S507" s="1"/>
      <c r="T507" s="1"/>
      <c r="U507" s="1"/>
      <c r="V507" s="1"/>
    </row>
    <row r="508" spans="17:22" x14ac:dyDescent="0.3">
      <c r="Q508" s="1"/>
      <c r="R508" s="1"/>
      <c r="S508" s="1"/>
      <c r="T508" s="1"/>
      <c r="U508" s="1"/>
      <c r="V508" s="1"/>
    </row>
    <row r="509" spans="17:22" x14ac:dyDescent="0.3">
      <c r="Q509" s="1"/>
      <c r="R509" s="1"/>
      <c r="S509" s="1"/>
      <c r="T509" s="1"/>
      <c r="U509" s="1"/>
      <c r="V509" s="1"/>
    </row>
    <row r="510" spans="17:22" x14ac:dyDescent="0.3">
      <c r="Q510" s="1"/>
      <c r="R510" s="1"/>
      <c r="S510" s="1"/>
      <c r="T510" s="1"/>
      <c r="U510" s="1"/>
      <c r="V510" s="1"/>
    </row>
    <row r="511" spans="17:22" x14ac:dyDescent="0.3">
      <c r="Q511" s="1"/>
      <c r="R511" s="1"/>
      <c r="S511" s="1"/>
      <c r="T511" s="1"/>
      <c r="U511" s="1"/>
      <c r="V511" s="1"/>
    </row>
    <row r="512" spans="17:22" x14ac:dyDescent="0.3">
      <c r="Q512" s="1"/>
      <c r="R512" s="1"/>
      <c r="S512" s="1"/>
      <c r="T512" s="1"/>
      <c r="U512" s="1"/>
      <c r="V512" s="1"/>
    </row>
    <row r="513" spans="17:22" x14ac:dyDescent="0.3">
      <c r="Q513" s="1"/>
      <c r="R513" s="1"/>
      <c r="S513" s="1"/>
      <c r="T513" s="1"/>
      <c r="U513" s="1"/>
      <c r="V513" s="1"/>
    </row>
    <row r="514" spans="17:22" x14ac:dyDescent="0.3">
      <c r="Q514" s="1"/>
      <c r="R514" s="1"/>
      <c r="S514" s="1"/>
      <c r="T514" s="1"/>
      <c r="U514" s="1"/>
      <c r="V514" s="1"/>
    </row>
    <row r="515" spans="17:22" x14ac:dyDescent="0.3">
      <c r="Q515" s="1"/>
      <c r="R515" s="1"/>
      <c r="S515" s="1"/>
      <c r="T515" s="1"/>
      <c r="U515" s="1"/>
      <c r="V515" s="1"/>
    </row>
    <row r="516" spans="17:22" x14ac:dyDescent="0.3">
      <c r="Q516" s="1"/>
      <c r="R516" s="1"/>
      <c r="S516" s="1"/>
      <c r="T516" s="1"/>
      <c r="U516" s="1"/>
      <c r="V516" s="1"/>
    </row>
    <row r="517" spans="17:22" x14ac:dyDescent="0.3">
      <c r="Q517" s="1"/>
      <c r="R517" s="1"/>
      <c r="S517" s="1"/>
      <c r="T517" s="1"/>
      <c r="U517" s="1"/>
      <c r="V517" s="1"/>
    </row>
    <row r="518" spans="17:22" x14ac:dyDescent="0.3">
      <c r="Q518" s="1"/>
      <c r="R518" s="1"/>
      <c r="S518" s="1"/>
      <c r="T518" s="1"/>
      <c r="U518" s="1"/>
      <c r="V518" s="1"/>
    </row>
    <row r="519" spans="17:22" x14ac:dyDescent="0.3">
      <c r="Q519" s="1"/>
      <c r="R519" s="1"/>
      <c r="S519" s="1"/>
      <c r="T519" s="1"/>
      <c r="U519" s="1"/>
      <c r="V519" s="1"/>
    </row>
    <row r="520" spans="17:22" x14ac:dyDescent="0.3">
      <c r="Q520" s="1"/>
      <c r="R520" s="1"/>
      <c r="S520" s="1"/>
      <c r="T520" s="1"/>
      <c r="U520" s="1"/>
      <c r="V520" s="1"/>
    </row>
    <row r="521" spans="17:22" x14ac:dyDescent="0.3">
      <c r="Q521" s="1"/>
      <c r="R521" s="1"/>
      <c r="S521" s="1"/>
      <c r="T521" s="1"/>
      <c r="U521" s="1"/>
      <c r="V521" s="1"/>
    </row>
    <row r="522" spans="17:22" x14ac:dyDescent="0.3">
      <c r="Q522" s="1"/>
      <c r="R522" s="1"/>
      <c r="S522" s="1"/>
      <c r="T522" s="1"/>
      <c r="U522" s="1"/>
      <c r="V522" s="1"/>
    </row>
    <row r="523" spans="17:22" x14ac:dyDescent="0.3">
      <c r="Q523" s="1"/>
      <c r="R523" s="1"/>
      <c r="S523" s="1"/>
      <c r="T523" s="1"/>
      <c r="U523" s="1"/>
      <c r="V523" s="1"/>
    </row>
    <row r="524" spans="17:22" x14ac:dyDescent="0.3">
      <c r="Q524" s="1"/>
      <c r="R524" s="1"/>
      <c r="S524" s="1"/>
      <c r="T524" s="1"/>
      <c r="U524" s="1"/>
      <c r="V524" s="1"/>
    </row>
    <row r="525" spans="17:22" x14ac:dyDescent="0.3">
      <c r="Q525" s="1"/>
      <c r="R525" s="1"/>
      <c r="S525" s="1"/>
      <c r="T525" s="1"/>
      <c r="U525" s="1"/>
      <c r="V525" s="1"/>
    </row>
    <row r="526" spans="17:22" x14ac:dyDescent="0.3">
      <c r="Q526" s="1"/>
      <c r="R526" s="1"/>
      <c r="S526" s="1"/>
      <c r="T526" s="1"/>
      <c r="U526" s="1"/>
      <c r="V526" s="1"/>
    </row>
    <row r="527" spans="17:22" x14ac:dyDescent="0.3">
      <c r="Q527" s="1"/>
      <c r="R527" s="1"/>
      <c r="S527" s="1"/>
      <c r="T527" s="1"/>
      <c r="U527" s="1"/>
      <c r="V527" s="1"/>
    </row>
    <row r="528" spans="17:22" x14ac:dyDescent="0.3">
      <c r="Q528" s="1"/>
      <c r="R528" s="1"/>
      <c r="S528" s="1"/>
      <c r="T528" s="1"/>
      <c r="U528" s="1"/>
      <c r="V528" s="1"/>
    </row>
    <row r="529" spans="17:22" x14ac:dyDescent="0.3">
      <c r="Q529" s="1"/>
      <c r="R529" s="1"/>
      <c r="S529" s="1"/>
      <c r="T529" s="1"/>
      <c r="U529" s="1"/>
      <c r="V529" s="1"/>
    </row>
    <row r="530" spans="17:22" x14ac:dyDescent="0.3">
      <c r="Q530" s="1"/>
      <c r="R530" s="1"/>
      <c r="S530" s="1"/>
      <c r="T530" s="1"/>
      <c r="U530" s="1"/>
      <c r="V530" s="1"/>
    </row>
    <row r="531" spans="17:22" x14ac:dyDescent="0.3">
      <c r="Q531" s="1"/>
      <c r="R531" s="1"/>
      <c r="S531" s="1"/>
      <c r="T531" s="1"/>
      <c r="U531" s="1"/>
      <c r="V531" s="1"/>
    </row>
    <row r="532" spans="17:22" x14ac:dyDescent="0.3">
      <c r="Q532" s="1"/>
      <c r="R532" s="1"/>
      <c r="S532" s="1"/>
      <c r="T532" s="1"/>
      <c r="U532" s="1"/>
      <c r="V532" s="1"/>
    </row>
    <row r="533" spans="17:22" x14ac:dyDescent="0.3">
      <c r="Q533" s="1"/>
      <c r="R533" s="1"/>
      <c r="S533" s="1"/>
      <c r="T533" s="1"/>
      <c r="U533" s="1"/>
      <c r="V533" s="1"/>
    </row>
    <row r="534" spans="17:22" x14ac:dyDescent="0.3">
      <c r="Q534" s="1"/>
      <c r="R534" s="1"/>
      <c r="S534" s="1"/>
      <c r="T534" s="1"/>
      <c r="U534" s="1"/>
      <c r="V534" s="1"/>
    </row>
    <row r="535" spans="17:22" x14ac:dyDescent="0.3">
      <c r="Q535" s="1"/>
      <c r="R535" s="1"/>
      <c r="S535" s="1"/>
      <c r="T535" s="1"/>
      <c r="U535" s="1"/>
      <c r="V535" s="1"/>
    </row>
    <row r="536" spans="17:22" x14ac:dyDescent="0.3">
      <c r="Q536" s="1"/>
      <c r="R536" s="1"/>
      <c r="S536" s="1"/>
      <c r="T536" s="1"/>
      <c r="U536" s="1"/>
      <c r="V536" s="1"/>
    </row>
    <row r="537" spans="17:22" x14ac:dyDescent="0.3">
      <c r="Q537" s="1"/>
      <c r="R537" s="1"/>
      <c r="S537" s="1"/>
      <c r="T537" s="1"/>
      <c r="U537" s="1"/>
      <c r="V537" s="1"/>
    </row>
    <row r="538" spans="17:22" x14ac:dyDescent="0.3">
      <c r="Q538" s="1"/>
      <c r="R538" s="1"/>
      <c r="S538" s="1"/>
      <c r="T538" s="1"/>
      <c r="U538" s="1"/>
      <c r="V538" s="1"/>
    </row>
    <row r="539" spans="17:22" x14ac:dyDescent="0.3">
      <c r="Q539" s="1"/>
      <c r="R539" s="1"/>
      <c r="S539" s="1"/>
      <c r="T539" s="1"/>
      <c r="U539" s="1"/>
      <c r="V539" s="1"/>
    </row>
    <row r="540" spans="17:22" x14ac:dyDescent="0.3">
      <c r="Q540" s="1"/>
      <c r="R540" s="1"/>
      <c r="S540" s="1"/>
      <c r="T540" s="1"/>
      <c r="U540" s="1"/>
      <c r="V540" s="1"/>
    </row>
    <row r="541" spans="17:22" x14ac:dyDescent="0.3">
      <c r="Q541" s="1"/>
      <c r="R541" s="1"/>
      <c r="S541" s="1"/>
      <c r="T541" s="1"/>
      <c r="U541" s="1"/>
      <c r="V541" s="1"/>
    </row>
    <row r="542" spans="17:22" x14ac:dyDescent="0.3">
      <c r="Q542" s="1"/>
      <c r="R542" s="1"/>
      <c r="S542" s="1"/>
      <c r="T542" s="1"/>
      <c r="U542" s="1"/>
      <c r="V542" s="1"/>
    </row>
    <row r="543" spans="17:22" x14ac:dyDescent="0.3">
      <c r="Q543" s="1"/>
      <c r="R543" s="1"/>
      <c r="S543" s="1"/>
      <c r="T543" s="1"/>
      <c r="U543" s="1"/>
      <c r="V543" s="1"/>
    </row>
    <row r="544" spans="17:22" x14ac:dyDescent="0.3">
      <c r="Q544" s="1"/>
      <c r="R544" s="1"/>
      <c r="S544" s="1"/>
      <c r="T544" s="1"/>
      <c r="U544" s="1"/>
      <c r="V544" s="1"/>
    </row>
    <row r="545" spans="17:22" x14ac:dyDescent="0.3">
      <c r="Q545" s="1"/>
      <c r="R545" s="1"/>
      <c r="S545" s="1"/>
      <c r="T545" s="1"/>
      <c r="U545" s="1"/>
      <c r="V545" s="1"/>
    </row>
    <row r="546" spans="17:22" x14ac:dyDescent="0.3">
      <c r="Q546" s="1"/>
      <c r="R546" s="1"/>
      <c r="S546" s="1"/>
      <c r="T546" s="1"/>
      <c r="U546" s="1"/>
      <c r="V546" s="1"/>
    </row>
    <row r="547" spans="17:22" x14ac:dyDescent="0.3">
      <c r="Q547" s="1"/>
      <c r="R547" s="1"/>
      <c r="S547" s="1"/>
      <c r="T547" s="1"/>
      <c r="U547" s="1"/>
      <c r="V547" s="1"/>
    </row>
    <row r="548" spans="17:22" x14ac:dyDescent="0.3">
      <c r="Q548" s="1"/>
      <c r="R548" s="1"/>
      <c r="S548" s="1"/>
      <c r="T548" s="1"/>
      <c r="U548" s="1"/>
      <c r="V548" s="1"/>
    </row>
    <row r="549" spans="17:22" x14ac:dyDescent="0.3">
      <c r="Q549" s="1"/>
      <c r="R549" s="1"/>
      <c r="S549" s="1"/>
      <c r="T549" s="1"/>
      <c r="U549" s="1"/>
      <c r="V549" s="1"/>
    </row>
    <row r="550" spans="17:22" x14ac:dyDescent="0.3">
      <c r="Q550" s="1"/>
      <c r="R550" s="1"/>
      <c r="S550" s="1"/>
      <c r="T550" s="1"/>
      <c r="U550" s="1"/>
      <c r="V550" s="1"/>
    </row>
    <row r="551" spans="17:22" x14ac:dyDescent="0.3">
      <c r="Q551" s="1"/>
      <c r="R551" s="1"/>
      <c r="S551" s="1"/>
      <c r="T551" s="1"/>
      <c r="U551" s="1"/>
      <c r="V551" s="1"/>
    </row>
    <row r="552" spans="17:22" x14ac:dyDescent="0.3">
      <c r="Q552" s="1"/>
      <c r="R552" s="1"/>
      <c r="S552" s="1"/>
      <c r="T552" s="1"/>
      <c r="U552" s="1"/>
      <c r="V552" s="1"/>
    </row>
    <row r="553" spans="17:22" x14ac:dyDescent="0.3">
      <c r="Q553" s="1"/>
      <c r="R553" s="1"/>
      <c r="S553" s="1"/>
      <c r="T553" s="1"/>
      <c r="U553" s="1"/>
      <c r="V553" s="1"/>
    </row>
    <row r="554" spans="17:22" x14ac:dyDescent="0.3">
      <c r="Q554" s="1"/>
      <c r="R554" s="1"/>
      <c r="S554" s="1"/>
      <c r="T554" s="1"/>
      <c r="U554" s="1"/>
      <c r="V554" s="1"/>
    </row>
    <row r="555" spans="17:22" x14ac:dyDescent="0.3">
      <c r="Q555" s="1"/>
      <c r="R555" s="1"/>
      <c r="S555" s="1"/>
      <c r="T555" s="1"/>
      <c r="U555" s="1"/>
      <c r="V555" s="1"/>
    </row>
    <row r="556" spans="17:22" x14ac:dyDescent="0.3">
      <c r="Q556" s="1"/>
      <c r="R556" s="1"/>
      <c r="S556" s="1"/>
      <c r="T556" s="1"/>
      <c r="U556" s="1"/>
      <c r="V556" s="1"/>
    </row>
    <row r="557" spans="17:22" x14ac:dyDescent="0.3">
      <c r="Q557" s="1"/>
      <c r="R557" s="1"/>
      <c r="S557" s="1"/>
      <c r="T557" s="1"/>
      <c r="U557" s="1"/>
      <c r="V557" s="1"/>
    </row>
    <row r="558" spans="17:22" x14ac:dyDescent="0.3">
      <c r="Q558" s="1"/>
      <c r="R558" s="1"/>
      <c r="S558" s="1"/>
      <c r="T558" s="1"/>
      <c r="U558" s="1"/>
      <c r="V558" s="1"/>
    </row>
    <row r="559" spans="17:22" x14ac:dyDescent="0.3">
      <c r="Q559" s="1"/>
      <c r="R559" s="1"/>
      <c r="S559" s="1"/>
      <c r="T559" s="1"/>
      <c r="U559" s="1"/>
      <c r="V559" s="1"/>
    </row>
    <row r="560" spans="17:22" x14ac:dyDescent="0.3">
      <c r="Q560" s="1"/>
      <c r="R560" s="1"/>
      <c r="S560" s="1"/>
      <c r="T560" s="1"/>
      <c r="U560" s="1"/>
      <c r="V560" s="1"/>
    </row>
    <row r="561" spans="17:22" x14ac:dyDescent="0.3">
      <c r="Q561" s="1"/>
      <c r="R561" s="1"/>
      <c r="S561" s="1"/>
      <c r="T561" s="1"/>
      <c r="U561" s="1"/>
      <c r="V561" s="1"/>
    </row>
    <row r="562" spans="17:22" x14ac:dyDescent="0.3">
      <c r="Q562" s="1"/>
      <c r="R562" s="1"/>
      <c r="S562" s="1"/>
      <c r="T562" s="1"/>
      <c r="U562" s="1"/>
      <c r="V562" s="1"/>
    </row>
    <row r="563" spans="17:22" x14ac:dyDescent="0.3">
      <c r="Q563" s="1"/>
      <c r="R563" s="1"/>
      <c r="S563" s="1"/>
      <c r="T563" s="1"/>
      <c r="U563" s="1"/>
      <c r="V563" s="1"/>
    </row>
    <row r="564" spans="17:22" x14ac:dyDescent="0.3">
      <c r="Q564" s="1"/>
      <c r="R564" s="1"/>
      <c r="S564" s="1"/>
      <c r="T564" s="1"/>
      <c r="U564" s="1"/>
      <c r="V564" s="1"/>
    </row>
    <row r="565" spans="17:22" x14ac:dyDescent="0.3">
      <c r="Q565" s="1"/>
      <c r="R565" s="1"/>
      <c r="S565" s="1"/>
      <c r="T565" s="1"/>
      <c r="U565" s="1"/>
      <c r="V565" s="1"/>
    </row>
    <row r="566" spans="17:22" x14ac:dyDescent="0.3">
      <c r="Q566" s="1"/>
      <c r="R566" s="1"/>
      <c r="S566" s="1"/>
      <c r="T566" s="1"/>
      <c r="U566" s="1"/>
      <c r="V566" s="1"/>
    </row>
    <row r="567" spans="17:22" x14ac:dyDescent="0.3">
      <c r="Q567" s="1"/>
      <c r="R567" s="1"/>
      <c r="S567" s="1"/>
      <c r="T567" s="1"/>
      <c r="U567" s="1"/>
      <c r="V567" s="1"/>
    </row>
    <row r="568" spans="17:22" x14ac:dyDescent="0.3">
      <c r="Q568" s="1"/>
      <c r="R568" s="1"/>
      <c r="S568" s="1"/>
      <c r="T568" s="1"/>
      <c r="U568" s="1"/>
      <c r="V568" s="1"/>
    </row>
    <row r="569" spans="17:22" x14ac:dyDescent="0.3">
      <c r="Q569" s="1"/>
      <c r="R569" s="1"/>
      <c r="S569" s="1"/>
      <c r="T569" s="1"/>
      <c r="U569" s="1"/>
      <c r="V569" s="1"/>
    </row>
    <row r="570" spans="17:22" x14ac:dyDescent="0.3">
      <c r="Q570" s="1"/>
      <c r="R570" s="1"/>
      <c r="S570" s="1"/>
      <c r="T570" s="1"/>
      <c r="U570" s="1"/>
      <c r="V570" s="1"/>
    </row>
    <row r="571" spans="17:22" x14ac:dyDescent="0.3">
      <c r="Q571" s="1"/>
      <c r="R571" s="1"/>
      <c r="S571" s="1"/>
      <c r="T571" s="1"/>
      <c r="U571" s="1"/>
      <c r="V571" s="1"/>
    </row>
    <row r="572" spans="17:22" x14ac:dyDescent="0.3">
      <c r="Q572" s="1"/>
      <c r="R572" s="1"/>
      <c r="S572" s="1"/>
      <c r="T572" s="1"/>
      <c r="U572" s="1"/>
      <c r="V572" s="1"/>
    </row>
    <row r="573" spans="17:22" x14ac:dyDescent="0.3">
      <c r="Q573" s="1"/>
      <c r="R573" s="1"/>
      <c r="S573" s="1"/>
      <c r="T573" s="1"/>
      <c r="U573" s="1"/>
      <c r="V573" s="1"/>
    </row>
    <row r="574" spans="17:22" x14ac:dyDescent="0.3">
      <c r="Q574" s="1"/>
      <c r="R574" s="1"/>
      <c r="S574" s="1"/>
      <c r="T574" s="1"/>
      <c r="U574" s="1"/>
      <c r="V574" s="1"/>
    </row>
    <row r="575" spans="17:22" x14ac:dyDescent="0.3">
      <c r="Q575" s="1"/>
      <c r="R575" s="1"/>
      <c r="S575" s="1"/>
      <c r="T575" s="1"/>
      <c r="U575" s="1"/>
      <c r="V575" s="1"/>
    </row>
    <row r="576" spans="17:22" x14ac:dyDescent="0.3">
      <c r="Q576" s="1"/>
      <c r="R576" s="1"/>
      <c r="S576" s="1"/>
      <c r="T576" s="1"/>
      <c r="U576" s="1"/>
      <c r="V576" s="1"/>
    </row>
    <row r="577" spans="17:22" x14ac:dyDescent="0.3">
      <c r="Q577" s="1"/>
      <c r="R577" s="1"/>
      <c r="S577" s="1"/>
      <c r="T577" s="1"/>
      <c r="U577" s="1"/>
      <c r="V577" s="1"/>
    </row>
    <row r="578" spans="17:22" x14ac:dyDescent="0.3">
      <c r="Q578" s="1"/>
      <c r="R578" s="1"/>
      <c r="S578" s="1"/>
      <c r="T578" s="1"/>
      <c r="U578" s="1"/>
      <c r="V578" s="1"/>
    </row>
    <row r="579" spans="17:22" x14ac:dyDescent="0.3">
      <c r="Q579" s="1"/>
      <c r="R579" s="1"/>
      <c r="S579" s="1"/>
      <c r="T579" s="1"/>
      <c r="U579" s="1"/>
      <c r="V579" s="1"/>
    </row>
    <row r="580" spans="17:22" x14ac:dyDescent="0.3">
      <c r="Q580" s="1"/>
      <c r="R580" s="1"/>
      <c r="S580" s="1"/>
      <c r="T580" s="1"/>
      <c r="U580" s="1"/>
      <c r="V580" s="1"/>
    </row>
    <row r="581" spans="17:22" x14ac:dyDescent="0.3">
      <c r="Q581" s="1"/>
      <c r="R581" s="1"/>
      <c r="S581" s="1"/>
      <c r="T581" s="1"/>
      <c r="U581" s="1"/>
      <c r="V581" s="1"/>
    </row>
    <row r="582" spans="17:22" x14ac:dyDescent="0.3">
      <c r="Q582" s="1"/>
      <c r="R582" s="1"/>
      <c r="S582" s="1"/>
      <c r="T582" s="1"/>
      <c r="U582" s="1"/>
      <c r="V582" s="1"/>
    </row>
    <row r="583" spans="17:22" x14ac:dyDescent="0.3">
      <c r="Q583" s="1"/>
      <c r="R583" s="1"/>
      <c r="S583" s="1"/>
      <c r="T583" s="1"/>
      <c r="U583" s="1"/>
      <c r="V583" s="1"/>
    </row>
    <row r="584" spans="17:22" x14ac:dyDescent="0.3">
      <c r="Q584" s="1"/>
      <c r="R584" s="1"/>
      <c r="S584" s="1"/>
      <c r="T584" s="1"/>
      <c r="U584" s="1"/>
      <c r="V584" s="1"/>
    </row>
    <row r="585" spans="17:22" x14ac:dyDescent="0.3">
      <c r="Q585" s="1"/>
      <c r="R585" s="1"/>
      <c r="S585" s="1"/>
      <c r="T585" s="1"/>
      <c r="U585" s="1"/>
      <c r="V585" s="1"/>
    </row>
    <row r="586" spans="17:22" x14ac:dyDescent="0.3">
      <c r="Q586" s="1"/>
      <c r="R586" s="1"/>
      <c r="S586" s="1"/>
      <c r="T586" s="1"/>
      <c r="U586" s="1"/>
      <c r="V586" s="1"/>
    </row>
    <row r="587" spans="17:22" x14ac:dyDescent="0.3">
      <c r="Q587" s="1"/>
      <c r="R587" s="1"/>
      <c r="S587" s="1"/>
      <c r="T587" s="1"/>
      <c r="U587" s="1"/>
      <c r="V587" s="1"/>
    </row>
    <row r="588" spans="17:22" x14ac:dyDescent="0.3">
      <c r="Q588" s="1"/>
      <c r="R588" s="1"/>
      <c r="S588" s="1"/>
      <c r="T588" s="1"/>
      <c r="U588" s="1"/>
      <c r="V588" s="1"/>
    </row>
    <row r="589" spans="17:22" x14ac:dyDescent="0.3">
      <c r="Q589" s="1"/>
      <c r="R589" s="1"/>
      <c r="S589" s="1"/>
      <c r="T589" s="1"/>
      <c r="U589" s="1"/>
      <c r="V589" s="1"/>
    </row>
    <row r="590" spans="17:22" x14ac:dyDescent="0.3">
      <c r="Q590" s="1"/>
      <c r="R590" s="1"/>
      <c r="S590" s="1"/>
      <c r="T590" s="1"/>
      <c r="U590" s="1"/>
      <c r="V590" s="1"/>
    </row>
    <row r="591" spans="17:22" x14ac:dyDescent="0.3">
      <c r="Q591" s="1"/>
      <c r="R591" s="1"/>
      <c r="S591" s="1"/>
      <c r="T591" s="1"/>
      <c r="U591" s="1"/>
      <c r="V591" s="1"/>
    </row>
    <row r="592" spans="17:22" x14ac:dyDescent="0.3">
      <c r="Q592" s="1"/>
      <c r="R592" s="1"/>
      <c r="S592" s="1"/>
      <c r="T592" s="1"/>
      <c r="U592" s="1"/>
      <c r="V592" s="1"/>
    </row>
    <row r="593" spans="17:22" x14ac:dyDescent="0.3">
      <c r="Q593" s="1"/>
      <c r="R593" s="1"/>
      <c r="S593" s="1"/>
      <c r="T593" s="1"/>
      <c r="U593" s="1"/>
      <c r="V593" s="1"/>
    </row>
    <row r="594" spans="17:22" x14ac:dyDescent="0.3">
      <c r="Q594" s="1"/>
      <c r="R594" s="1"/>
      <c r="S594" s="1"/>
      <c r="T594" s="1"/>
      <c r="U594" s="1"/>
      <c r="V594" s="1"/>
    </row>
    <row r="595" spans="17:22" x14ac:dyDescent="0.3">
      <c r="Q595" s="1"/>
      <c r="R595" s="1"/>
      <c r="S595" s="1"/>
      <c r="T595" s="1"/>
      <c r="U595" s="1"/>
      <c r="V595" s="1"/>
    </row>
    <row r="596" spans="17:22" x14ac:dyDescent="0.3">
      <c r="Q596" s="1"/>
      <c r="R596" s="1"/>
      <c r="S596" s="1"/>
      <c r="T596" s="1"/>
      <c r="U596" s="1"/>
      <c r="V596" s="1"/>
    </row>
    <row r="597" spans="17:22" x14ac:dyDescent="0.3">
      <c r="Q597" s="1"/>
      <c r="R597" s="1"/>
      <c r="S597" s="1"/>
      <c r="T597" s="1"/>
      <c r="U597" s="1"/>
      <c r="V597" s="1"/>
    </row>
    <row r="598" spans="17:22" x14ac:dyDescent="0.3">
      <c r="Q598" s="1"/>
      <c r="R598" s="1"/>
      <c r="S598" s="1"/>
      <c r="T598" s="1"/>
      <c r="U598" s="1"/>
      <c r="V598" s="1"/>
    </row>
    <row r="599" spans="17:22" x14ac:dyDescent="0.3">
      <c r="Q599" s="1"/>
      <c r="R599" s="1"/>
      <c r="S599" s="1"/>
      <c r="T599" s="1"/>
      <c r="U599" s="1"/>
      <c r="V599" s="1"/>
    </row>
    <row r="600" spans="17:22" x14ac:dyDescent="0.3">
      <c r="Q600" s="1"/>
      <c r="R600" s="1"/>
      <c r="S600" s="1"/>
      <c r="T600" s="1"/>
      <c r="U600" s="1"/>
      <c r="V600" s="1"/>
    </row>
    <row r="601" spans="17:22" x14ac:dyDescent="0.3">
      <c r="Q601" s="1"/>
      <c r="R601" s="1"/>
      <c r="S601" s="1"/>
      <c r="T601" s="1"/>
      <c r="U601" s="1"/>
      <c r="V601" s="1"/>
    </row>
    <row r="602" spans="17:22" x14ac:dyDescent="0.3">
      <c r="Q602" s="1"/>
      <c r="R602" s="1"/>
      <c r="S602" s="1"/>
      <c r="T602" s="1"/>
      <c r="U602" s="1"/>
      <c r="V602" s="1"/>
    </row>
    <row r="603" spans="17:22" x14ac:dyDescent="0.3">
      <c r="Q603" s="1"/>
      <c r="R603" s="1"/>
      <c r="S603" s="1"/>
      <c r="T603" s="1"/>
      <c r="U603" s="1"/>
      <c r="V603" s="1"/>
    </row>
    <row r="604" spans="17:22" x14ac:dyDescent="0.3">
      <c r="Q604" s="1"/>
      <c r="R604" s="1"/>
      <c r="S604" s="1"/>
      <c r="T604" s="1"/>
      <c r="U604" s="1"/>
      <c r="V604" s="1"/>
    </row>
    <row r="605" spans="17:22" x14ac:dyDescent="0.3">
      <c r="Q605" s="1"/>
      <c r="R605" s="1"/>
      <c r="S605" s="1"/>
      <c r="T605" s="1"/>
      <c r="U605" s="1"/>
      <c r="V605" s="1"/>
    </row>
    <row r="606" spans="17:22" x14ac:dyDescent="0.3">
      <c r="Q606" s="1"/>
      <c r="R606" s="1"/>
      <c r="S606" s="1"/>
      <c r="T606" s="1"/>
      <c r="U606" s="1"/>
      <c r="V606" s="1"/>
    </row>
    <row r="607" spans="17:22" x14ac:dyDescent="0.3">
      <c r="Q607" s="1"/>
      <c r="R607" s="1"/>
      <c r="S607" s="1"/>
      <c r="T607" s="1"/>
      <c r="U607" s="1"/>
      <c r="V607" s="1"/>
    </row>
    <row r="608" spans="17:22" x14ac:dyDescent="0.3">
      <c r="Q608" s="1"/>
      <c r="R608" s="1"/>
      <c r="S608" s="1"/>
      <c r="T608" s="1"/>
      <c r="U608" s="1"/>
      <c r="V608" s="1"/>
    </row>
    <row r="609" spans="17:22" x14ac:dyDescent="0.3">
      <c r="Q609" s="1"/>
      <c r="R609" s="1"/>
      <c r="S609" s="1"/>
      <c r="T609" s="1"/>
      <c r="U609" s="1"/>
      <c r="V609" s="1"/>
    </row>
    <row r="610" spans="17:22" x14ac:dyDescent="0.3">
      <c r="Q610" s="1"/>
      <c r="R610" s="1"/>
      <c r="S610" s="1"/>
      <c r="T610" s="1"/>
      <c r="U610" s="1"/>
      <c r="V610" s="1"/>
    </row>
    <row r="611" spans="17:22" x14ac:dyDescent="0.3">
      <c r="Q611" s="1"/>
      <c r="R611" s="1"/>
      <c r="S611" s="1"/>
      <c r="T611" s="1"/>
      <c r="U611" s="1"/>
      <c r="V611" s="1"/>
    </row>
    <row r="612" spans="17:22" x14ac:dyDescent="0.3">
      <c r="Q612" s="1"/>
      <c r="R612" s="1"/>
      <c r="S612" s="1"/>
      <c r="T612" s="1"/>
      <c r="U612" s="1"/>
      <c r="V612" s="1"/>
    </row>
    <row r="613" spans="17:22" x14ac:dyDescent="0.3">
      <c r="Q613" s="1"/>
      <c r="R613" s="1"/>
      <c r="S613" s="1"/>
      <c r="T613" s="1"/>
      <c r="U613" s="1"/>
      <c r="V613" s="1"/>
    </row>
    <row r="614" spans="17:22" x14ac:dyDescent="0.3">
      <c r="Q614" s="1"/>
      <c r="R614" s="1"/>
      <c r="S614" s="1"/>
      <c r="T614" s="1"/>
      <c r="U614" s="1"/>
      <c r="V614" s="1"/>
    </row>
    <row r="615" spans="17:22" x14ac:dyDescent="0.3">
      <c r="Q615" s="1"/>
      <c r="R615" s="1"/>
      <c r="S615" s="1"/>
      <c r="T615" s="1"/>
      <c r="U615" s="1"/>
      <c r="V615" s="1"/>
    </row>
    <row r="616" spans="17:22" x14ac:dyDescent="0.3">
      <c r="Q616" s="1"/>
      <c r="R616" s="1"/>
      <c r="S616" s="1"/>
      <c r="T616" s="1"/>
      <c r="U616" s="1"/>
      <c r="V616" s="1"/>
    </row>
    <row r="617" spans="17:22" x14ac:dyDescent="0.3">
      <c r="Q617" s="1"/>
      <c r="R617" s="1"/>
      <c r="S617" s="1"/>
      <c r="T617" s="1"/>
      <c r="U617" s="1"/>
      <c r="V617" s="1"/>
    </row>
    <row r="618" spans="17:22" x14ac:dyDescent="0.3">
      <c r="Q618" s="1"/>
      <c r="R618" s="1"/>
      <c r="S618" s="1"/>
      <c r="T618" s="1"/>
      <c r="U618" s="1"/>
      <c r="V618" s="1"/>
    </row>
    <row r="619" spans="17:22" x14ac:dyDescent="0.3">
      <c r="Q619" s="1"/>
      <c r="R619" s="1"/>
      <c r="S619" s="1"/>
      <c r="T619" s="1"/>
      <c r="U619" s="1"/>
      <c r="V619" s="1"/>
    </row>
    <row r="620" spans="17:22" x14ac:dyDescent="0.3">
      <c r="Q620" s="1"/>
      <c r="R620" s="1"/>
      <c r="S620" s="1"/>
      <c r="T620" s="1"/>
      <c r="U620" s="1"/>
      <c r="V620" s="1"/>
    </row>
    <row r="621" spans="17:22" x14ac:dyDescent="0.3">
      <c r="Q621" s="1"/>
      <c r="R621" s="1"/>
      <c r="S621" s="1"/>
      <c r="T621" s="1"/>
      <c r="U621" s="1"/>
      <c r="V621" s="1"/>
    </row>
    <row r="622" spans="17:22" x14ac:dyDescent="0.3">
      <c r="Q622" s="1"/>
      <c r="R622" s="1"/>
      <c r="S622" s="1"/>
      <c r="T622" s="1"/>
      <c r="U622" s="1"/>
      <c r="V622" s="1"/>
    </row>
    <row r="623" spans="17:22" x14ac:dyDescent="0.3">
      <c r="Q623" s="1"/>
      <c r="R623" s="1"/>
      <c r="S623" s="1"/>
      <c r="T623" s="1"/>
      <c r="U623" s="1"/>
      <c r="V623" s="1"/>
    </row>
    <row r="624" spans="17:22" x14ac:dyDescent="0.3">
      <c r="Q624" s="1"/>
      <c r="R624" s="1"/>
      <c r="S624" s="1"/>
      <c r="T624" s="1"/>
      <c r="U624" s="1"/>
      <c r="V624" s="1"/>
    </row>
    <row r="625" spans="17:22" x14ac:dyDescent="0.3">
      <c r="Q625" s="1"/>
      <c r="R625" s="1"/>
      <c r="S625" s="1"/>
      <c r="T625" s="1"/>
      <c r="U625" s="1"/>
      <c r="V625" s="1"/>
    </row>
    <row r="626" spans="17:22" x14ac:dyDescent="0.3">
      <c r="Q626" s="1"/>
      <c r="R626" s="1"/>
      <c r="S626" s="1"/>
      <c r="T626" s="1"/>
      <c r="U626" s="1"/>
      <c r="V626" s="1"/>
    </row>
    <row r="627" spans="17:22" x14ac:dyDescent="0.3">
      <c r="Q627" s="1"/>
      <c r="R627" s="1"/>
      <c r="S627" s="1"/>
      <c r="T627" s="1"/>
      <c r="U627" s="1"/>
      <c r="V627" s="1"/>
    </row>
    <row r="628" spans="17:22" x14ac:dyDescent="0.3">
      <c r="Q628" s="1"/>
      <c r="R628" s="1"/>
      <c r="S628" s="1"/>
      <c r="T628" s="1"/>
      <c r="U628" s="1"/>
      <c r="V628" s="1"/>
    </row>
    <row r="629" spans="17:22" x14ac:dyDescent="0.3">
      <c r="Q629" s="1"/>
      <c r="R629" s="1"/>
      <c r="S629" s="1"/>
      <c r="T629" s="1"/>
      <c r="U629" s="1"/>
      <c r="V629" s="1"/>
    </row>
    <row r="630" spans="17:22" x14ac:dyDescent="0.3">
      <c r="Q630" s="1"/>
      <c r="R630" s="1"/>
      <c r="S630" s="1"/>
      <c r="T630" s="1"/>
      <c r="U630" s="1"/>
      <c r="V630" s="1"/>
    </row>
    <row r="631" spans="17:22" x14ac:dyDescent="0.3">
      <c r="Q631" s="1"/>
      <c r="R631" s="1"/>
      <c r="S631" s="1"/>
      <c r="T631" s="1"/>
      <c r="U631" s="1"/>
      <c r="V631" s="1"/>
    </row>
    <row r="632" spans="17:22" x14ac:dyDescent="0.3">
      <c r="Q632" s="1"/>
      <c r="R632" s="1"/>
      <c r="S632" s="1"/>
      <c r="T632" s="1"/>
      <c r="U632" s="1"/>
      <c r="V632" s="1"/>
    </row>
    <row r="633" spans="17:22" x14ac:dyDescent="0.3">
      <c r="Q633" s="1"/>
      <c r="R633" s="1"/>
      <c r="S633" s="1"/>
      <c r="T633" s="1"/>
      <c r="U633" s="1"/>
      <c r="V633" s="1"/>
    </row>
    <row r="634" spans="17:22" x14ac:dyDescent="0.3">
      <c r="Q634" s="1"/>
      <c r="R634" s="1"/>
      <c r="S634" s="1"/>
      <c r="T634" s="1"/>
      <c r="U634" s="1"/>
      <c r="V634" s="1"/>
    </row>
    <row r="635" spans="17:22" x14ac:dyDescent="0.3">
      <c r="Q635" s="1"/>
      <c r="R635" s="1"/>
      <c r="S635" s="1"/>
      <c r="T635" s="1"/>
      <c r="U635" s="1"/>
      <c r="V635" s="1"/>
    </row>
    <row r="636" spans="17:22" x14ac:dyDescent="0.3">
      <c r="Q636" s="1"/>
      <c r="R636" s="1"/>
      <c r="S636" s="1"/>
      <c r="T636" s="1"/>
      <c r="U636" s="1"/>
      <c r="V636" s="1"/>
    </row>
    <row r="637" spans="17:22" x14ac:dyDescent="0.3">
      <c r="Q637" s="1"/>
      <c r="R637" s="1"/>
      <c r="S637" s="1"/>
      <c r="T637" s="1"/>
      <c r="U637" s="1"/>
      <c r="V637" s="1"/>
    </row>
    <row r="638" spans="17:22" x14ac:dyDescent="0.3">
      <c r="Q638" s="1"/>
      <c r="R638" s="1"/>
      <c r="S638" s="1"/>
      <c r="T638" s="1"/>
      <c r="U638" s="1"/>
      <c r="V638" s="1"/>
    </row>
    <row r="639" spans="17:22" x14ac:dyDescent="0.3">
      <c r="Q639" s="1"/>
      <c r="R639" s="1"/>
      <c r="S639" s="1"/>
      <c r="T639" s="1"/>
      <c r="U639" s="1"/>
      <c r="V639" s="1"/>
    </row>
    <row r="640" spans="17:22" x14ac:dyDescent="0.3">
      <c r="Q640" s="1"/>
      <c r="R640" s="1"/>
      <c r="S640" s="1"/>
      <c r="T640" s="1"/>
      <c r="U640" s="1"/>
      <c r="V640" s="1"/>
    </row>
    <row r="641" spans="17:22" x14ac:dyDescent="0.3">
      <c r="Q641" s="1"/>
      <c r="R641" s="1"/>
      <c r="S641" s="1"/>
      <c r="T641" s="1"/>
      <c r="U641" s="1"/>
      <c r="V641" s="1"/>
    </row>
    <row r="642" spans="17:22" x14ac:dyDescent="0.3">
      <c r="Q642" s="1"/>
      <c r="R642" s="1"/>
      <c r="S642" s="1"/>
      <c r="T642" s="1"/>
      <c r="U642" s="1"/>
      <c r="V642" s="1"/>
    </row>
    <row r="643" spans="17:22" x14ac:dyDescent="0.3">
      <c r="Q643" s="1"/>
      <c r="R643" s="1"/>
      <c r="S643" s="1"/>
      <c r="T643" s="1"/>
      <c r="U643" s="1"/>
      <c r="V643" s="1"/>
    </row>
    <row r="644" spans="17:22" x14ac:dyDescent="0.3">
      <c r="Q644" s="1"/>
      <c r="R644" s="1"/>
      <c r="S644" s="1"/>
      <c r="T644" s="1"/>
      <c r="U644" s="1"/>
      <c r="V644" s="1"/>
    </row>
    <row r="645" spans="17:22" x14ac:dyDescent="0.3">
      <c r="Q645" s="1"/>
      <c r="R645" s="1"/>
      <c r="S645" s="1"/>
      <c r="T645" s="1"/>
      <c r="U645" s="1"/>
      <c r="V645" s="1"/>
    </row>
    <row r="646" spans="17:22" x14ac:dyDescent="0.3">
      <c r="Q646" s="1"/>
      <c r="R646" s="1"/>
      <c r="S646" s="1"/>
      <c r="T646" s="1"/>
      <c r="U646" s="1"/>
      <c r="V646" s="1"/>
    </row>
    <row r="647" spans="17:22" x14ac:dyDescent="0.3">
      <c r="Q647" s="1"/>
      <c r="R647" s="1"/>
      <c r="S647" s="1"/>
      <c r="T647" s="1"/>
      <c r="U647" s="1"/>
      <c r="V647" s="1"/>
    </row>
    <row r="648" spans="17:22" x14ac:dyDescent="0.3">
      <c r="Q648" s="1"/>
      <c r="R648" s="1"/>
      <c r="S648" s="1"/>
      <c r="T648" s="1"/>
      <c r="U648" s="1"/>
      <c r="V648" s="1"/>
    </row>
    <row r="649" spans="17:22" x14ac:dyDescent="0.3">
      <c r="Q649" s="1"/>
      <c r="R649" s="1"/>
      <c r="S649" s="1"/>
      <c r="T649" s="1"/>
      <c r="U649" s="1"/>
      <c r="V649" s="1"/>
    </row>
    <row r="650" spans="17:22" x14ac:dyDescent="0.3">
      <c r="Q650" s="1"/>
      <c r="R650" s="1"/>
      <c r="S650" s="1"/>
      <c r="T650" s="1"/>
      <c r="U650" s="1"/>
      <c r="V650" s="1"/>
    </row>
    <row r="651" spans="17:22" x14ac:dyDescent="0.3">
      <c r="Q651" s="1"/>
      <c r="R651" s="1"/>
      <c r="S651" s="1"/>
      <c r="T651" s="1"/>
      <c r="U651" s="1"/>
      <c r="V651" s="1"/>
    </row>
    <row r="652" spans="17:22" x14ac:dyDescent="0.3">
      <c r="Q652" s="1"/>
      <c r="R652" s="1"/>
      <c r="S652" s="1"/>
      <c r="T652" s="1"/>
      <c r="U652" s="1"/>
      <c r="V652" s="1"/>
    </row>
    <row r="653" spans="17:22" x14ac:dyDescent="0.3">
      <c r="Q653" s="1"/>
      <c r="R653" s="1"/>
      <c r="S653" s="1"/>
      <c r="T653" s="1"/>
      <c r="U653" s="1"/>
      <c r="V653" s="1"/>
    </row>
    <row r="654" spans="17:22" x14ac:dyDescent="0.3">
      <c r="Q654" s="1"/>
      <c r="R654" s="1"/>
      <c r="S654" s="1"/>
      <c r="T654" s="1"/>
      <c r="U654" s="1"/>
      <c r="V654" s="1"/>
    </row>
    <row r="655" spans="17:22" x14ac:dyDescent="0.3">
      <c r="Q655" s="1"/>
      <c r="R655" s="1"/>
      <c r="S655" s="1"/>
      <c r="T655" s="1"/>
      <c r="U655" s="1"/>
      <c r="V655" s="1"/>
    </row>
    <row r="656" spans="17:22" x14ac:dyDescent="0.3">
      <c r="Q656" s="1"/>
      <c r="R656" s="1"/>
      <c r="S656" s="1"/>
      <c r="T656" s="1"/>
      <c r="U656" s="1"/>
      <c r="V656" s="1"/>
    </row>
    <row r="657" spans="17:22" x14ac:dyDescent="0.3">
      <c r="Q657" s="1"/>
      <c r="R657" s="1"/>
      <c r="S657" s="1"/>
      <c r="T657" s="1"/>
      <c r="U657" s="1"/>
      <c r="V657" s="1"/>
    </row>
    <row r="658" spans="17:22" x14ac:dyDescent="0.3">
      <c r="Q658" s="1"/>
      <c r="R658" s="1"/>
      <c r="S658" s="1"/>
      <c r="T658" s="1"/>
      <c r="U658" s="1"/>
      <c r="V658" s="1"/>
    </row>
    <row r="659" spans="17:22" x14ac:dyDescent="0.3">
      <c r="Q659" s="1"/>
      <c r="R659" s="1"/>
      <c r="S659" s="1"/>
      <c r="T659" s="1"/>
      <c r="U659" s="1"/>
      <c r="V659" s="1"/>
    </row>
    <row r="660" spans="17:22" x14ac:dyDescent="0.3">
      <c r="Q660" s="1"/>
      <c r="R660" s="1"/>
      <c r="S660" s="1"/>
      <c r="T660" s="1"/>
      <c r="U660" s="1"/>
      <c r="V660" s="1"/>
    </row>
    <row r="661" spans="17:22" x14ac:dyDescent="0.3">
      <c r="Q661" s="1"/>
      <c r="R661" s="1"/>
      <c r="S661" s="1"/>
      <c r="T661" s="1"/>
      <c r="U661" s="1"/>
      <c r="V661" s="1"/>
    </row>
    <row r="662" spans="17:22" x14ac:dyDescent="0.3">
      <c r="Q662" s="1"/>
      <c r="R662" s="1"/>
      <c r="S662" s="1"/>
      <c r="T662" s="1"/>
      <c r="U662" s="1"/>
      <c r="V662" s="1"/>
    </row>
    <row r="663" spans="17:22" x14ac:dyDescent="0.3">
      <c r="Q663" s="1"/>
      <c r="R663" s="1"/>
      <c r="S663" s="1"/>
      <c r="T663" s="1"/>
      <c r="U663" s="1"/>
      <c r="V663" s="1"/>
    </row>
    <row r="664" spans="17:22" x14ac:dyDescent="0.3">
      <c r="Q664" s="1"/>
      <c r="R664" s="1"/>
      <c r="S664" s="1"/>
      <c r="T664" s="1"/>
      <c r="U664" s="1"/>
      <c r="V664" s="1"/>
    </row>
    <row r="665" spans="17:22" x14ac:dyDescent="0.3">
      <c r="Q665" s="1"/>
      <c r="R665" s="1"/>
      <c r="S665" s="1"/>
      <c r="T665" s="1"/>
      <c r="U665" s="1"/>
      <c r="V665" s="1"/>
    </row>
    <row r="666" spans="17:22" x14ac:dyDescent="0.3">
      <c r="Q666" s="1"/>
      <c r="R666" s="1"/>
      <c r="S666" s="1"/>
      <c r="T666" s="1"/>
      <c r="U666" s="1"/>
      <c r="V666" s="1"/>
    </row>
    <row r="667" spans="17:22" x14ac:dyDescent="0.3">
      <c r="Q667" s="1"/>
      <c r="R667" s="1"/>
      <c r="S667" s="1"/>
      <c r="T667" s="1"/>
      <c r="U667" s="1"/>
      <c r="V667" s="1"/>
    </row>
    <row r="668" spans="17:22" x14ac:dyDescent="0.3">
      <c r="Q668" s="1"/>
      <c r="R668" s="1"/>
      <c r="S668" s="1"/>
      <c r="T668" s="1"/>
      <c r="U668" s="1"/>
      <c r="V668" s="1"/>
    </row>
    <row r="669" spans="17:22" x14ac:dyDescent="0.3">
      <c r="Q669" s="1"/>
      <c r="R669" s="1"/>
      <c r="S669" s="1"/>
      <c r="T669" s="1"/>
      <c r="U669" s="1"/>
      <c r="V669" s="1"/>
    </row>
    <row r="670" spans="17:22" x14ac:dyDescent="0.3">
      <c r="Q670" s="1"/>
      <c r="R670" s="1"/>
      <c r="S670" s="1"/>
      <c r="T670" s="1"/>
      <c r="U670" s="1"/>
      <c r="V670" s="1"/>
    </row>
    <row r="671" spans="17:22" x14ac:dyDescent="0.3">
      <c r="Q671" s="1"/>
      <c r="R671" s="1"/>
      <c r="S671" s="1"/>
      <c r="T671" s="1"/>
      <c r="U671" s="1"/>
      <c r="V671" s="1"/>
    </row>
    <row r="672" spans="17:22" x14ac:dyDescent="0.3">
      <c r="Q672" s="1"/>
      <c r="R672" s="1"/>
      <c r="S672" s="1"/>
      <c r="T672" s="1"/>
      <c r="U672" s="1"/>
      <c r="V672" s="1"/>
    </row>
    <row r="673" spans="17:22" x14ac:dyDescent="0.3">
      <c r="Q673" s="1"/>
      <c r="R673" s="1"/>
      <c r="S673" s="1"/>
      <c r="T673" s="1"/>
      <c r="U673" s="1"/>
      <c r="V673" s="1"/>
    </row>
    <row r="674" spans="17:22" x14ac:dyDescent="0.3">
      <c r="Q674" s="1"/>
      <c r="R674" s="1"/>
      <c r="S674" s="1"/>
      <c r="T674" s="1"/>
      <c r="U674" s="1"/>
      <c r="V674" s="1"/>
    </row>
    <row r="675" spans="17:22" x14ac:dyDescent="0.3">
      <c r="Q675" s="1"/>
      <c r="R675" s="1"/>
      <c r="S675" s="1"/>
      <c r="T675" s="1"/>
      <c r="U675" s="1"/>
      <c r="V675" s="1"/>
    </row>
    <row r="676" spans="17:22" x14ac:dyDescent="0.3">
      <c r="Q676" s="1"/>
      <c r="R676" s="1"/>
      <c r="S676" s="1"/>
      <c r="T676" s="1"/>
      <c r="U676" s="1"/>
      <c r="V676" s="1"/>
    </row>
    <row r="677" spans="17:22" x14ac:dyDescent="0.3">
      <c r="Q677" s="1"/>
      <c r="R677" s="1"/>
      <c r="S677" s="1"/>
      <c r="T677" s="1"/>
      <c r="U677" s="1"/>
      <c r="V677" s="1"/>
    </row>
    <row r="678" spans="17:22" x14ac:dyDescent="0.3">
      <c r="Q678" s="1"/>
      <c r="R678" s="1"/>
      <c r="S678" s="1"/>
      <c r="T678" s="1"/>
      <c r="U678" s="1"/>
      <c r="V678" s="1"/>
    </row>
    <row r="679" spans="17:22" x14ac:dyDescent="0.3">
      <c r="Q679" s="1"/>
      <c r="R679" s="1"/>
      <c r="S679" s="1"/>
      <c r="T679" s="1"/>
      <c r="U679" s="1"/>
      <c r="V679" s="1"/>
    </row>
    <row r="680" spans="17:22" x14ac:dyDescent="0.3">
      <c r="Q680" s="1"/>
      <c r="R680" s="1"/>
      <c r="S680" s="1"/>
      <c r="T680" s="1"/>
      <c r="U680" s="1"/>
      <c r="V680" s="1"/>
    </row>
    <row r="681" spans="17:22" x14ac:dyDescent="0.3">
      <c r="Q681" s="1"/>
      <c r="R681" s="1"/>
      <c r="S681" s="1"/>
      <c r="T681" s="1"/>
      <c r="U681" s="1"/>
      <c r="V681" s="1"/>
    </row>
    <row r="682" spans="17:22" x14ac:dyDescent="0.3">
      <c r="Q682" s="1"/>
      <c r="R682" s="1"/>
      <c r="S682" s="1"/>
      <c r="T682" s="1"/>
      <c r="U682" s="1"/>
      <c r="V682" s="1"/>
    </row>
    <row r="683" spans="17:22" x14ac:dyDescent="0.3">
      <c r="Q683" s="1"/>
      <c r="R683" s="1"/>
      <c r="S683" s="1"/>
      <c r="T683" s="1"/>
      <c r="U683" s="1"/>
      <c r="V683" s="1"/>
    </row>
    <row r="684" spans="17:22" x14ac:dyDescent="0.3">
      <c r="Q684" s="1"/>
      <c r="R684" s="1"/>
      <c r="S684" s="1"/>
      <c r="T684" s="1"/>
      <c r="U684" s="1"/>
      <c r="V684" s="1"/>
    </row>
    <row r="685" spans="17:22" x14ac:dyDescent="0.3">
      <c r="Q685" s="1"/>
      <c r="R685" s="1"/>
      <c r="S685" s="1"/>
      <c r="T685" s="1"/>
      <c r="U685" s="1"/>
      <c r="V685" s="1"/>
    </row>
    <row r="686" spans="17:22" x14ac:dyDescent="0.3">
      <c r="Q686" s="1"/>
      <c r="R686" s="1"/>
      <c r="S686" s="1"/>
      <c r="T686" s="1"/>
      <c r="U686" s="1"/>
      <c r="V686" s="1"/>
    </row>
    <row r="687" spans="17:22" x14ac:dyDescent="0.3">
      <c r="Q687" s="1"/>
      <c r="R687" s="1"/>
      <c r="S687" s="1"/>
      <c r="T687" s="1"/>
      <c r="U687" s="1"/>
      <c r="V687" s="1"/>
    </row>
    <row r="688" spans="17:22" x14ac:dyDescent="0.3">
      <c r="Q688" s="1"/>
      <c r="R688" s="1"/>
      <c r="S688" s="1"/>
      <c r="T688" s="1"/>
      <c r="U688" s="1"/>
      <c r="V688" s="1"/>
    </row>
    <row r="689" spans="17:22" x14ac:dyDescent="0.3">
      <c r="Q689" s="1"/>
      <c r="R689" s="1"/>
      <c r="S689" s="1"/>
      <c r="T689" s="1"/>
      <c r="U689" s="1"/>
      <c r="V689" s="1"/>
    </row>
    <row r="690" spans="17:22" x14ac:dyDescent="0.3">
      <c r="Q690" s="1"/>
      <c r="R690" s="1"/>
      <c r="S690" s="1"/>
      <c r="T690" s="1"/>
      <c r="U690" s="1"/>
      <c r="V690" s="1"/>
    </row>
    <row r="691" spans="17:22" x14ac:dyDescent="0.3">
      <c r="Q691" s="1"/>
      <c r="R691" s="1"/>
      <c r="S691" s="1"/>
      <c r="T691" s="1"/>
      <c r="U691" s="1"/>
      <c r="V691" s="1"/>
    </row>
    <row r="692" spans="17:22" x14ac:dyDescent="0.3">
      <c r="Q692" s="1"/>
      <c r="R692" s="1"/>
      <c r="S692" s="1"/>
      <c r="T692" s="1"/>
      <c r="U692" s="1"/>
      <c r="V692" s="1"/>
    </row>
    <row r="693" spans="17:22" x14ac:dyDescent="0.3">
      <c r="Q693" s="1"/>
      <c r="R693" s="1"/>
      <c r="S693" s="1"/>
      <c r="T693" s="1"/>
      <c r="U693" s="1"/>
      <c r="V693" s="1"/>
    </row>
    <row r="694" spans="17:22" x14ac:dyDescent="0.3">
      <c r="Q694" s="1"/>
      <c r="R694" s="1"/>
      <c r="S694" s="1"/>
      <c r="T694" s="1"/>
      <c r="U694" s="1"/>
      <c r="V694" s="1"/>
    </row>
    <row r="695" spans="17:22" x14ac:dyDescent="0.3">
      <c r="Q695" s="1"/>
      <c r="R695" s="1"/>
      <c r="S695" s="1"/>
      <c r="T695" s="1"/>
      <c r="U695" s="1"/>
      <c r="V695" s="1"/>
    </row>
    <row r="696" spans="17:22" x14ac:dyDescent="0.3">
      <c r="Q696" s="1"/>
      <c r="R696" s="1"/>
      <c r="S696" s="1"/>
      <c r="T696" s="1"/>
      <c r="U696" s="1"/>
      <c r="V696" s="1"/>
    </row>
    <row r="697" spans="17:22" x14ac:dyDescent="0.3">
      <c r="Q697" s="1"/>
      <c r="R697" s="1"/>
      <c r="S697" s="1"/>
      <c r="T697" s="1"/>
      <c r="U697" s="1"/>
      <c r="V697" s="1"/>
    </row>
    <row r="698" spans="17:22" x14ac:dyDescent="0.3">
      <c r="Q698" s="1"/>
      <c r="R698" s="1"/>
      <c r="S698" s="1"/>
      <c r="T698" s="1"/>
      <c r="U698" s="1"/>
      <c r="V698" s="1"/>
    </row>
    <row r="699" spans="17:22" x14ac:dyDescent="0.3">
      <c r="Q699" s="1"/>
      <c r="R699" s="1"/>
      <c r="S699" s="1"/>
      <c r="T699" s="1"/>
      <c r="U699" s="1"/>
      <c r="V699" s="1"/>
    </row>
    <row r="700" spans="17:22" x14ac:dyDescent="0.3">
      <c r="Q700" s="1"/>
      <c r="R700" s="1"/>
      <c r="S700" s="1"/>
      <c r="T700" s="1"/>
      <c r="U700" s="1"/>
      <c r="V700" s="1"/>
    </row>
    <row r="701" spans="17:22" x14ac:dyDescent="0.3">
      <c r="Q701" s="1"/>
      <c r="R701" s="1"/>
      <c r="S701" s="1"/>
      <c r="T701" s="1"/>
      <c r="U701" s="1"/>
      <c r="V701" s="1"/>
    </row>
    <row r="702" spans="17:22" x14ac:dyDescent="0.3">
      <c r="Q702" s="1"/>
      <c r="R702" s="1"/>
      <c r="S702" s="1"/>
      <c r="T702" s="1"/>
      <c r="U702" s="1"/>
      <c r="V702" s="1"/>
    </row>
    <row r="703" spans="17:22" x14ac:dyDescent="0.3">
      <c r="Q703" s="1"/>
      <c r="R703" s="1"/>
      <c r="S703" s="1"/>
      <c r="T703" s="1"/>
      <c r="U703" s="1"/>
      <c r="V703" s="1"/>
    </row>
    <row r="704" spans="17:22" x14ac:dyDescent="0.3">
      <c r="Q704" s="1"/>
      <c r="R704" s="1"/>
      <c r="S704" s="1"/>
      <c r="T704" s="1"/>
      <c r="U704" s="1"/>
      <c r="V704" s="1"/>
    </row>
    <row r="705" spans="17:22" x14ac:dyDescent="0.3">
      <c r="Q705" s="1"/>
      <c r="R705" s="1"/>
      <c r="S705" s="1"/>
      <c r="T705" s="1"/>
      <c r="U705" s="1"/>
      <c r="V705" s="1"/>
    </row>
    <row r="706" spans="17:22" x14ac:dyDescent="0.3">
      <c r="Q706" s="1"/>
      <c r="R706" s="1"/>
      <c r="S706" s="1"/>
      <c r="T706" s="1"/>
      <c r="U706" s="1"/>
      <c r="V706" s="1"/>
    </row>
    <row r="707" spans="17:22" x14ac:dyDescent="0.3">
      <c r="Q707" s="1"/>
      <c r="R707" s="1"/>
      <c r="S707" s="1"/>
      <c r="T707" s="1"/>
      <c r="U707" s="1"/>
      <c r="V707" s="1"/>
    </row>
    <row r="708" spans="17:22" x14ac:dyDescent="0.3">
      <c r="Q708" s="1"/>
      <c r="R708" s="1"/>
      <c r="S708" s="1"/>
      <c r="T708" s="1"/>
      <c r="U708" s="1"/>
      <c r="V708" s="1"/>
    </row>
    <row r="709" spans="17:22" x14ac:dyDescent="0.3">
      <c r="Q709" s="1"/>
      <c r="R709" s="1"/>
      <c r="S709" s="1"/>
      <c r="T709" s="1"/>
      <c r="U709" s="1"/>
      <c r="V709" s="1"/>
    </row>
    <row r="710" spans="17:22" x14ac:dyDescent="0.3">
      <c r="Q710" s="1"/>
      <c r="R710" s="1"/>
      <c r="S710" s="1"/>
      <c r="T710" s="1"/>
      <c r="U710" s="1"/>
      <c r="V710" s="1"/>
    </row>
    <row r="711" spans="17:22" x14ac:dyDescent="0.3">
      <c r="Q711" s="1"/>
      <c r="R711" s="1"/>
      <c r="S711" s="1"/>
      <c r="T711" s="1"/>
      <c r="U711" s="1"/>
      <c r="V711" s="1"/>
    </row>
    <row r="712" spans="17:22" x14ac:dyDescent="0.3">
      <c r="Q712" s="1"/>
      <c r="R712" s="1"/>
      <c r="S712" s="1"/>
      <c r="T712" s="1"/>
      <c r="U712" s="1"/>
      <c r="V712" s="1"/>
    </row>
    <row r="713" spans="17:22" x14ac:dyDescent="0.3">
      <c r="Q713" s="1"/>
      <c r="R713" s="1"/>
      <c r="S713" s="1"/>
      <c r="T713" s="1"/>
      <c r="U713" s="1"/>
      <c r="V713" s="1"/>
    </row>
    <row r="714" spans="17:22" x14ac:dyDescent="0.3">
      <c r="Q714" s="1"/>
      <c r="R714" s="1"/>
      <c r="S714" s="1"/>
      <c r="T714" s="1"/>
      <c r="U714" s="1"/>
      <c r="V714" s="1"/>
    </row>
    <row r="715" spans="17:22" x14ac:dyDescent="0.3">
      <c r="Q715" s="1"/>
      <c r="R715" s="1"/>
      <c r="S715" s="1"/>
      <c r="T715" s="1"/>
      <c r="U715" s="1"/>
      <c r="V715" s="1"/>
    </row>
    <row r="716" spans="17:22" x14ac:dyDescent="0.3">
      <c r="Q716" s="1"/>
      <c r="R716" s="1"/>
      <c r="S716" s="1"/>
      <c r="T716" s="1"/>
      <c r="U716" s="1"/>
      <c r="V716" s="1"/>
    </row>
    <row r="717" spans="17:22" x14ac:dyDescent="0.3">
      <c r="Q717" s="1"/>
      <c r="R717" s="1"/>
      <c r="S717" s="1"/>
      <c r="T717" s="1"/>
      <c r="U717" s="1"/>
      <c r="V717" s="1"/>
    </row>
    <row r="718" spans="17:22" x14ac:dyDescent="0.3">
      <c r="Q718" s="1"/>
      <c r="R718" s="1"/>
      <c r="S718" s="1"/>
      <c r="T718" s="1"/>
      <c r="U718" s="1"/>
      <c r="V718" s="1"/>
    </row>
    <row r="719" spans="17:22" x14ac:dyDescent="0.3">
      <c r="Q719" s="1"/>
      <c r="R719" s="1"/>
      <c r="S719" s="1"/>
      <c r="T719" s="1"/>
      <c r="U719" s="1"/>
      <c r="V719" s="1"/>
    </row>
    <row r="720" spans="17:22" x14ac:dyDescent="0.3">
      <c r="Q720" s="1"/>
      <c r="R720" s="1"/>
      <c r="S720" s="1"/>
      <c r="T720" s="1"/>
      <c r="U720" s="1"/>
      <c r="V720" s="1"/>
    </row>
    <row r="721" spans="17:22" x14ac:dyDescent="0.3">
      <c r="Q721" s="1"/>
      <c r="R721" s="1"/>
      <c r="S721" s="1"/>
      <c r="T721" s="1"/>
      <c r="U721" s="1"/>
      <c r="V721" s="1"/>
    </row>
    <row r="722" spans="17:22" x14ac:dyDescent="0.3">
      <c r="Q722" s="1"/>
      <c r="R722" s="1"/>
      <c r="S722" s="1"/>
      <c r="T722" s="1"/>
      <c r="U722" s="1"/>
      <c r="V722" s="1"/>
    </row>
    <row r="723" spans="17:22" x14ac:dyDescent="0.3">
      <c r="Q723" s="1"/>
      <c r="R723" s="1"/>
      <c r="S723" s="1"/>
      <c r="T723" s="1"/>
      <c r="U723" s="1"/>
      <c r="V723" s="1"/>
    </row>
    <row r="724" spans="17:22" x14ac:dyDescent="0.3">
      <c r="Q724" s="1"/>
      <c r="R724" s="1"/>
      <c r="S724" s="1"/>
      <c r="T724" s="1"/>
      <c r="U724" s="1"/>
      <c r="V724" s="1"/>
    </row>
    <row r="725" spans="17:22" x14ac:dyDescent="0.3">
      <c r="Q725" s="1"/>
      <c r="R725" s="1"/>
      <c r="S725" s="1"/>
      <c r="T725" s="1"/>
      <c r="U725" s="1"/>
      <c r="V725" s="1"/>
    </row>
    <row r="726" spans="17:22" x14ac:dyDescent="0.3">
      <c r="Q726" s="1"/>
      <c r="R726" s="1"/>
      <c r="S726" s="1"/>
      <c r="T726" s="1"/>
      <c r="U726" s="1"/>
      <c r="V726" s="1"/>
    </row>
    <row r="727" spans="17:22" x14ac:dyDescent="0.3">
      <c r="Q727" s="1"/>
      <c r="R727" s="1"/>
      <c r="S727" s="1"/>
      <c r="T727" s="1"/>
      <c r="U727" s="1"/>
      <c r="V727" s="1"/>
    </row>
    <row r="728" spans="17:22" x14ac:dyDescent="0.3">
      <c r="Q728" s="1"/>
      <c r="R728" s="1"/>
      <c r="S728" s="1"/>
      <c r="T728" s="1"/>
      <c r="U728" s="1"/>
      <c r="V728" s="1"/>
    </row>
    <row r="729" spans="17:22" x14ac:dyDescent="0.3">
      <c r="Q729" s="1"/>
      <c r="R729" s="1"/>
      <c r="S729" s="1"/>
      <c r="T729" s="1"/>
      <c r="U729" s="1"/>
      <c r="V729" s="1"/>
    </row>
    <row r="730" spans="17:22" x14ac:dyDescent="0.3">
      <c r="Q730" s="1"/>
      <c r="R730" s="1"/>
      <c r="S730" s="1"/>
      <c r="T730" s="1"/>
      <c r="U730" s="1"/>
      <c r="V730" s="1"/>
    </row>
    <row r="731" spans="17:22" x14ac:dyDescent="0.3">
      <c r="Q731" s="1"/>
      <c r="R731" s="1"/>
      <c r="S731" s="1"/>
      <c r="T731" s="1"/>
      <c r="U731" s="1"/>
      <c r="V731" s="1"/>
    </row>
    <row r="732" spans="17:22" x14ac:dyDescent="0.3">
      <c r="Q732" s="1"/>
      <c r="R732" s="1"/>
      <c r="S732" s="1"/>
      <c r="T732" s="1"/>
      <c r="U732" s="1"/>
      <c r="V732" s="1"/>
    </row>
    <row r="733" spans="17:22" x14ac:dyDescent="0.3">
      <c r="Q733" s="1"/>
      <c r="R733" s="1"/>
      <c r="S733" s="1"/>
      <c r="T733" s="1"/>
      <c r="U733" s="1"/>
      <c r="V733" s="1"/>
    </row>
    <row r="734" spans="17:22" x14ac:dyDescent="0.3">
      <c r="Q734" s="1"/>
      <c r="R734" s="1"/>
      <c r="S734" s="1"/>
      <c r="T734" s="1"/>
      <c r="U734" s="1"/>
      <c r="V734" s="1"/>
    </row>
    <row r="735" spans="17:22" x14ac:dyDescent="0.3">
      <c r="Q735" s="1"/>
      <c r="R735" s="1"/>
      <c r="S735" s="1"/>
      <c r="T735" s="1"/>
      <c r="U735" s="1"/>
      <c r="V735" s="1"/>
    </row>
    <row r="736" spans="17:22" x14ac:dyDescent="0.3">
      <c r="Q736" s="1"/>
      <c r="R736" s="1"/>
      <c r="S736" s="1"/>
      <c r="T736" s="1"/>
      <c r="U736" s="1"/>
      <c r="V736" s="1"/>
    </row>
    <row r="737" spans="17:22" x14ac:dyDescent="0.3">
      <c r="Q737" s="1"/>
      <c r="R737" s="1"/>
      <c r="S737" s="1"/>
      <c r="T737" s="1"/>
      <c r="U737" s="1"/>
      <c r="V737" s="1"/>
    </row>
    <row r="738" spans="17:22" x14ac:dyDescent="0.3">
      <c r="Q738" s="1"/>
      <c r="R738" s="1"/>
      <c r="S738" s="1"/>
      <c r="T738" s="1"/>
      <c r="U738" s="1"/>
      <c r="V738" s="1"/>
    </row>
    <row r="739" spans="17:22" x14ac:dyDescent="0.3">
      <c r="Q739" s="1"/>
      <c r="R739" s="1"/>
      <c r="S739" s="1"/>
      <c r="T739" s="1"/>
      <c r="U739" s="1"/>
      <c r="V739" s="1"/>
    </row>
    <row r="740" spans="17:22" x14ac:dyDescent="0.3">
      <c r="Q740" s="1"/>
      <c r="R740" s="1"/>
      <c r="S740" s="1"/>
      <c r="T740" s="1"/>
      <c r="U740" s="1"/>
      <c r="V740" s="1"/>
    </row>
    <row r="741" spans="17:22" x14ac:dyDescent="0.3">
      <c r="Q741" s="1"/>
      <c r="R741" s="1"/>
      <c r="S741" s="1"/>
      <c r="T741" s="1"/>
      <c r="U741" s="1"/>
      <c r="V741" s="1"/>
    </row>
    <row r="742" spans="17:22" x14ac:dyDescent="0.3">
      <c r="Q742" s="1"/>
      <c r="R742" s="1"/>
      <c r="S742" s="1"/>
      <c r="T742" s="1"/>
      <c r="U742" s="1"/>
      <c r="V742" s="1"/>
    </row>
    <row r="743" spans="17:22" x14ac:dyDescent="0.3">
      <c r="Q743" s="1"/>
      <c r="R743" s="1"/>
      <c r="S743" s="1"/>
      <c r="T743" s="1"/>
      <c r="U743" s="1"/>
      <c r="V743" s="1"/>
    </row>
    <row r="744" spans="17:22" x14ac:dyDescent="0.3">
      <c r="Q744" s="1"/>
      <c r="R744" s="1"/>
      <c r="S744" s="1"/>
      <c r="T744" s="1"/>
      <c r="U744" s="1"/>
      <c r="V744" s="1"/>
    </row>
    <row r="745" spans="17:22" x14ac:dyDescent="0.3">
      <c r="Q745" s="1"/>
      <c r="R745" s="1"/>
      <c r="S745" s="1"/>
      <c r="T745" s="1"/>
      <c r="U745" s="1"/>
      <c r="V745" s="1"/>
    </row>
    <row r="746" spans="17:22" x14ac:dyDescent="0.3">
      <c r="Q746" s="1"/>
      <c r="R746" s="1"/>
      <c r="S746" s="1"/>
      <c r="T746" s="1"/>
      <c r="U746" s="1"/>
      <c r="V746" s="1"/>
    </row>
    <row r="747" spans="17:22" x14ac:dyDescent="0.3">
      <c r="Q747" s="1"/>
      <c r="R747" s="1"/>
      <c r="S747" s="1"/>
      <c r="T747" s="1"/>
      <c r="U747" s="1"/>
      <c r="V747" s="1"/>
    </row>
    <row r="748" spans="17:22" x14ac:dyDescent="0.3">
      <c r="Q748" s="1"/>
      <c r="R748" s="1"/>
      <c r="S748" s="1"/>
      <c r="T748" s="1"/>
      <c r="U748" s="1"/>
      <c r="V748" s="1"/>
    </row>
    <row r="749" spans="17:22" x14ac:dyDescent="0.3">
      <c r="Q749" s="1"/>
      <c r="R749" s="1"/>
      <c r="S749" s="1"/>
      <c r="T749" s="1"/>
      <c r="U749" s="1"/>
      <c r="V749" s="1"/>
    </row>
    <row r="750" spans="17:22" x14ac:dyDescent="0.3">
      <c r="Q750" s="1"/>
      <c r="R750" s="1"/>
      <c r="S750" s="1"/>
      <c r="T750" s="1"/>
      <c r="U750" s="1"/>
      <c r="V750" s="1"/>
    </row>
    <row r="751" spans="17:22" x14ac:dyDescent="0.3">
      <c r="Q751" s="1"/>
      <c r="R751" s="1"/>
      <c r="S751" s="1"/>
      <c r="T751" s="1"/>
      <c r="U751" s="1"/>
      <c r="V751" s="1"/>
    </row>
    <row r="752" spans="17:22" x14ac:dyDescent="0.3">
      <c r="Q752" s="1"/>
      <c r="R752" s="1"/>
      <c r="S752" s="1"/>
      <c r="T752" s="1"/>
      <c r="U752" s="1"/>
      <c r="V752" s="1"/>
    </row>
    <row r="753" spans="17:22" x14ac:dyDescent="0.3">
      <c r="Q753" s="1"/>
      <c r="R753" s="1"/>
      <c r="S753" s="1"/>
      <c r="T753" s="1"/>
      <c r="U753" s="1"/>
      <c r="V753" s="1"/>
    </row>
    <row r="754" spans="17:22" x14ac:dyDescent="0.3">
      <c r="Q754" s="1"/>
      <c r="R754" s="1"/>
      <c r="S754" s="1"/>
      <c r="T754" s="1"/>
      <c r="U754" s="1"/>
      <c r="V754" s="1"/>
    </row>
    <row r="755" spans="17:22" x14ac:dyDescent="0.3">
      <c r="Q755" s="1"/>
      <c r="R755" s="1"/>
      <c r="S755" s="1"/>
      <c r="T755" s="1"/>
      <c r="U755" s="1"/>
      <c r="V755" s="1"/>
    </row>
    <row r="756" spans="17:22" x14ac:dyDescent="0.3">
      <c r="Q756" s="1"/>
      <c r="R756" s="1"/>
      <c r="S756" s="1"/>
      <c r="T756" s="1"/>
      <c r="U756" s="1"/>
      <c r="V756" s="1"/>
    </row>
    <row r="757" spans="17:22" x14ac:dyDescent="0.3">
      <c r="Q757" s="1"/>
      <c r="R757" s="1"/>
      <c r="S757" s="1"/>
      <c r="T757" s="1"/>
      <c r="U757" s="1"/>
      <c r="V757" s="1"/>
    </row>
    <row r="758" spans="17:22" x14ac:dyDescent="0.3">
      <c r="Q758" s="1"/>
      <c r="R758" s="1"/>
      <c r="S758" s="1"/>
      <c r="T758" s="1"/>
      <c r="U758" s="1"/>
      <c r="V758" s="1"/>
    </row>
    <row r="759" spans="17:22" x14ac:dyDescent="0.3">
      <c r="Q759" s="1"/>
      <c r="R759" s="1"/>
      <c r="S759" s="1"/>
      <c r="T759" s="1"/>
      <c r="U759" s="1"/>
      <c r="V759" s="1"/>
    </row>
    <row r="760" spans="17:22" x14ac:dyDescent="0.3">
      <c r="Q760" s="1"/>
      <c r="R760" s="1"/>
      <c r="S760" s="1"/>
      <c r="T760" s="1"/>
      <c r="U760" s="1"/>
      <c r="V760" s="1"/>
    </row>
    <row r="761" spans="17:22" x14ac:dyDescent="0.3">
      <c r="Q761" s="1"/>
      <c r="R761" s="1"/>
      <c r="S761" s="1"/>
      <c r="T761" s="1"/>
      <c r="U761" s="1"/>
      <c r="V761" s="1"/>
    </row>
    <row r="762" spans="17:22" x14ac:dyDescent="0.3">
      <c r="Q762" s="1"/>
      <c r="R762" s="1"/>
      <c r="S762" s="1"/>
      <c r="T762" s="1"/>
      <c r="U762" s="1"/>
      <c r="V762" s="1"/>
    </row>
    <row r="763" spans="17:22" x14ac:dyDescent="0.3">
      <c r="Q763" s="1"/>
      <c r="R763" s="1"/>
      <c r="S763" s="1"/>
      <c r="T763" s="1"/>
      <c r="U763" s="1"/>
      <c r="V763" s="1"/>
    </row>
    <row r="764" spans="17:22" x14ac:dyDescent="0.3">
      <c r="Q764" s="1"/>
      <c r="R764" s="1"/>
      <c r="S764" s="1"/>
      <c r="T764" s="1"/>
      <c r="U764" s="1"/>
      <c r="V764" s="1"/>
    </row>
    <row r="765" spans="17:22" x14ac:dyDescent="0.3">
      <c r="Q765" s="1"/>
      <c r="R765" s="1"/>
      <c r="S765" s="1"/>
      <c r="T765" s="1"/>
      <c r="U765" s="1"/>
      <c r="V765" s="1"/>
    </row>
    <row r="766" spans="17:22" x14ac:dyDescent="0.3">
      <c r="Q766" s="1"/>
      <c r="R766" s="1"/>
      <c r="S766" s="1"/>
      <c r="T766" s="1"/>
      <c r="U766" s="1"/>
      <c r="V766" s="1"/>
    </row>
    <row r="767" spans="17:22" x14ac:dyDescent="0.3">
      <c r="Q767" s="1"/>
      <c r="R767" s="1"/>
      <c r="S767" s="1"/>
      <c r="T767" s="1"/>
      <c r="U767" s="1"/>
      <c r="V767" s="1"/>
    </row>
    <row r="768" spans="17:22" x14ac:dyDescent="0.3">
      <c r="Q768" s="1"/>
      <c r="R768" s="1"/>
      <c r="S768" s="1"/>
      <c r="T768" s="1"/>
      <c r="U768" s="1"/>
      <c r="V768" s="1"/>
    </row>
    <row r="769" spans="17:22" x14ac:dyDescent="0.3">
      <c r="Q769" s="1"/>
      <c r="R769" s="1"/>
      <c r="S769" s="1"/>
      <c r="T769" s="1"/>
      <c r="U769" s="1"/>
      <c r="V769" s="1"/>
    </row>
    <row r="770" spans="17:22" x14ac:dyDescent="0.3">
      <c r="Q770" s="1"/>
      <c r="R770" s="1"/>
      <c r="S770" s="1"/>
      <c r="T770" s="1"/>
      <c r="U770" s="1"/>
      <c r="V770" s="1"/>
    </row>
    <row r="771" spans="17:22" x14ac:dyDescent="0.3">
      <c r="Q771" s="1"/>
      <c r="R771" s="1"/>
      <c r="S771" s="1"/>
      <c r="T771" s="1"/>
      <c r="U771" s="1"/>
      <c r="V771" s="1"/>
    </row>
    <row r="772" spans="17:22" x14ac:dyDescent="0.3">
      <c r="Q772" s="1"/>
      <c r="R772" s="1"/>
      <c r="S772" s="1"/>
      <c r="T772" s="1"/>
      <c r="U772" s="1"/>
      <c r="V772" s="1"/>
    </row>
    <row r="773" spans="17:22" x14ac:dyDescent="0.3">
      <c r="Q773" s="1"/>
      <c r="R773" s="1"/>
      <c r="S773" s="1"/>
      <c r="T773" s="1"/>
      <c r="U773" s="1"/>
      <c r="V773" s="1"/>
    </row>
    <row r="774" spans="17:22" x14ac:dyDescent="0.3">
      <c r="Q774" s="1"/>
      <c r="R774" s="1"/>
      <c r="S774" s="1"/>
      <c r="T774" s="1"/>
      <c r="U774" s="1"/>
      <c r="V774" s="1"/>
    </row>
    <row r="775" spans="17:22" x14ac:dyDescent="0.3">
      <c r="Q775" s="1"/>
      <c r="R775" s="1"/>
      <c r="S775" s="1"/>
      <c r="T775" s="1"/>
      <c r="U775" s="1"/>
      <c r="V775" s="1"/>
    </row>
    <row r="776" spans="17:22" x14ac:dyDescent="0.3">
      <c r="Q776" s="1"/>
      <c r="R776" s="1"/>
      <c r="S776" s="1"/>
      <c r="T776" s="1"/>
      <c r="U776" s="1"/>
      <c r="V776" s="1"/>
    </row>
    <row r="777" spans="17:22" x14ac:dyDescent="0.3">
      <c r="Q777" s="1"/>
      <c r="R777" s="1"/>
      <c r="S777" s="1"/>
      <c r="T777" s="1"/>
      <c r="U777" s="1"/>
      <c r="V777" s="1"/>
    </row>
    <row r="778" spans="17:22" x14ac:dyDescent="0.3">
      <c r="Q778" s="1"/>
      <c r="R778" s="1"/>
      <c r="S778" s="1"/>
      <c r="T778" s="1"/>
      <c r="U778" s="1"/>
      <c r="V778" s="1"/>
    </row>
    <row r="779" spans="17:22" x14ac:dyDescent="0.3">
      <c r="Q779" s="1"/>
      <c r="R779" s="1"/>
      <c r="S779" s="1"/>
      <c r="T779" s="1"/>
      <c r="U779" s="1"/>
      <c r="V779" s="1"/>
    </row>
    <row r="780" spans="17:22" x14ac:dyDescent="0.3">
      <c r="Q780" s="1"/>
      <c r="R780" s="1"/>
      <c r="S780" s="1"/>
      <c r="T780" s="1"/>
      <c r="U780" s="1"/>
      <c r="V780" s="1"/>
    </row>
    <row r="781" spans="17:22" x14ac:dyDescent="0.3">
      <c r="Q781" s="1"/>
      <c r="R781" s="1"/>
      <c r="S781" s="1"/>
      <c r="T781" s="1"/>
      <c r="U781" s="1"/>
      <c r="V781" s="1"/>
    </row>
    <row r="782" spans="17:22" x14ac:dyDescent="0.3">
      <c r="Q782" s="1"/>
      <c r="R782" s="1"/>
      <c r="S782" s="1"/>
      <c r="T782" s="1"/>
      <c r="U782" s="1"/>
      <c r="V782" s="1"/>
    </row>
    <row r="783" spans="17:22" x14ac:dyDescent="0.3">
      <c r="Q783" s="1"/>
      <c r="R783" s="1"/>
      <c r="S783" s="1"/>
      <c r="T783" s="1"/>
      <c r="U783" s="1"/>
      <c r="V783" s="1"/>
    </row>
    <row r="784" spans="17:22" x14ac:dyDescent="0.3">
      <c r="Q784" s="1"/>
      <c r="R784" s="1"/>
      <c r="S784" s="1"/>
      <c r="T784" s="1"/>
      <c r="U784" s="1"/>
      <c r="V784" s="1"/>
    </row>
    <row r="785" spans="17:22" x14ac:dyDescent="0.3">
      <c r="Q785" s="1"/>
      <c r="R785" s="1"/>
      <c r="S785" s="1"/>
      <c r="T785" s="1"/>
      <c r="U785" s="1"/>
      <c r="V785" s="1"/>
    </row>
    <row r="786" spans="17:22" x14ac:dyDescent="0.3">
      <c r="Q786" s="1"/>
      <c r="R786" s="1"/>
      <c r="S786" s="1"/>
      <c r="T786" s="1"/>
      <c r="U786" s="1"/>
      <c r="V786" s="1"/>
    </row>
    <row r="787" spans="17:22" x14ac:dyDescent="0.3">
      <c r="Q787" s="1"/>
      <c r="R787" s="1"/>
      <c r="S787" s="1"/>
      <c r="T787" s="1"/>
      <c r="U787" s="1"/>
      <c r="V787" s="1"/>
    </row>
    <row r="788" spans="17:22" x14ac:dyDescent="0.3">
      <c r="Q788" s="1"/>
      <c r="R788" s="1"/>
      <c r="S788" s="1"/>
      <c r="T788" s="1"/>
      <c r="U788" s="1"/>
      <c r="V788" s="1"/>
    </row>
    <row r="789" spans="17:22" x14ac:dyDescent="0.3">
      <c r="Q789" s="1"/>
      <c r="R789" s="1"/>
      <c r="S789" s="1"/>
      <c r="T789" s="1"/>
      <c r="U789" s="1"/>
      <c r="V789" s="1"/>
    </row>
    <row r="790" spans="17:22" x14ac:dyDescent="0.3">
      <c r="Q790" s="1"/>
      <c r="R790" s="1"/>
      <c r="S790" s="1"/>
      <c r="T790" s="1"/>
      <c r="U790" s="1"/>
      <c r="V790" s="1"/>
    </row>
    <row r="791" spans="17:22" x14ac:dyDescent="0.3">
      <c r="Q791" s="1"/>
      <c r="R791" s="1"/>
      <c r="S791" s="1"/>
      <c r="T791" s="1"/>
      <c r="U791" s="1"/>
      <c r="V791" s="1"/>
    </row>
    <row r="792" spans="17:22" x14ac:dyDescent="0.3">
      <c r="Q792" s="1"/>
      <c r="R792" s="1"/>
      <c r="S792" s="1"/>
      <c r="T792" s="1"/>
      <c r="U792" s="1"/>
      <c r="V792" s="1"/>
    </row>
    <row r="793" spans="17:22" x14ac:dyDescent="0.3">
      <c r="Q793" s="1"/>
      <c r="R793" s="1"/>
      <c r="S793" s="1"/>
      <c r="T793" s="1"/>
      <c r="U793" s="1"/>
      <c r="V793" s="1"/>
    </row>
    <row r="794" spans="17:22" x14ac:dyDescent="0.3">
      <c r="Q794" s="1"/>
      <c r="R794" s="1"/>
      <c r="S794" s="1"/>
      <c r="T794" s="1"/>
      <c r="U794" s="1"/>
      <c r="V794" s="1"/>
    </row>
    <row r="795" spans="17:22" x14ac:dyDescent="0.3">
      <c r="Q795" s="1"/>
      <c r="R795" s="1"/>
      <c r="S795" s="1"/>
      <c r="T795" s="1"/>
      <c r="U795" s="1"/>
      <c r="V795" s="1"/>
    </row>
    <row r="796" spans="17:22" x14ac:dyDescent="0.3">
      <c r="Q796" s="1"/>
      <c r="R796" s="1"/>
      <c r="S796" s="1"/>
      <c r="T796" s="1"/>
      <c r="U796" s="1"/>
      <c r="V796" s="1"/>
    </row>
    <row r="797" spans="17:22" x14ac:dyDescent="0.3">
      <c r="Q797" s="1"/>
      <c r="R797" s="1"/>
      <c r="S797" s="1"/>
      <c r="T797" s="1"/>
      <c r="U797" s="1"/>
      <c r="V797" s="1"/>
    </row>
    <row r="798" spans="17:22" x14ac:dyDescent="0.3">
      <c r="Q798" s="1"/>
      <c r="R798" s="1"/>
      <c r="S798" s="1"/>
      <c r="T798" s="1"/>
      <c r="U798" s="1"/>
      <c r="V798" s="1"/>
    </row>
    <row r="799" spans="17:22" x14ac:dyDescent="0.3">
      <c r="Q799" s="1"/>
      <c r="R799" s="1"/>
      <c r="S799" s="1"/>
      <c r="T799" s="1"/>
      <c r="U799" s="1"/>
      <c r="V799" s="1"/>
    </row>
    <row r="800" spans="17:22" x14ac:dyDescent="0.3">
      <c r="Q800" s="1"/>
      <c r="R800" s="1"/>
      <c r="S800" s="1"/>
      <c r="T800" s="1"/>
      <c r="U800" s="1"/>
      <c r="V800" s="1"/>
    </row>
    <row r="801" spans="17:22" x14ac:dyDescent="0.3">
      <c r="Q801" s="1"/>
      <c r="R801" s="1"/>
      <c r="S801" s="1"/>
      <c r="T801" s="1"/>
      <c r="U801" s="1"/>
      <c r="V801" s="1"/>
    </row>
    <row r="802" spans="17:22" x14ac:dyDescent="0.3">
      <c r="Q802" s="1"/>
      <c r="R802" s="1"/>
      <c r="S802" s="1"/>
      <c r="T802" s="1"/>
      <c r="U802" s="1"/>
      <c r="V802" s="1"/>
    </row>
    <row r="803" spans="17:22" x14ac:dyDescent="0.3">
      <c r="Q803" s="1"/>
      <c r="R803" s="1"/>
      <c r="S803" s="1"/>
      <c r="T803" s="1"/>
      <c r="U803" s="1"/>
      <c r="V803" s="1"/>
    </row>
    <row r="804" spans="17:22" x14ac:dyDescent="0.3">
      <c r="Q804" s="1"/>
      <c r="R804" s="1"/>
      <c r="S804" s="1"/>
      <c r="T804" s="1"/>
      <c r="U804" s="1"/>
      <c r="V804" s="1"/>
    </row>
    <row r="805" spans="17:22" x14ac:dyDescent="0.3">
      <c r="Q805" s="1"/>
      <c r="R805" s="1"/>
      <c r="S805" s="1"/>
      <c r="T805" s="1"/>
      <c r="U805" s="1"/>
      <c r="V805" s="1"/>
    </row>
    <row r="806" spans="17:22" x14ac:dyDescent="0.3">
      <c r="Q806" s="1"/>
      <c r="R806" s="1"/>
      <c r="S806" s="1"/>
      <c r="T806" s="1"/>
      <c r="U806" s="1"/>
      <c r="V806" s="1"/>
    </row>
    <row r="807" spans="17:22" x14ac:dyDescent="0.3">
      <c r="Q807" s="1"/>
      <c r="R807" s="1"/>
      <c r="S807" s="1"/>
      <c r="T807" s="1"/>
      <c r="U807" s="1"/>
      <c r="V807" s="1"/>
    </row>
    <row r="808" spans="17:22" x14ac:dyDescent="0.3">
      <c r="Q808" s="1"/>
      <c r="R808" s="1"/>
      <c r="S808" s="1"/>
      <c r="T808" s="1"/>
      <c r="U808" s="1"/>
      <c r="V808" s="1"/>
    </row>
    <row r="809" spans="17:22" x14ac:dyDescent="0.3">
      <c r="Q809" s="1"/>
      <c r="R809" s="1"/>
      <c r="S809" s="1"/>
      <c r="T809" s="1"/>
      <c r="U809" s="1"/>
      <c r="V809" s="1"/>
    </row>
    <row r="810" spans="17:22" x14ac:dyDescent="0.3">
      <c r="Q810" s="1"/>
      <c r="R810" s="1"/>
      <c r="S810" s="1"/>
      <c r="T810" s="1"/>
      <c r="U810" s="1"/>
      <c r="V810" s="1"/>
    </row>
    <row r="811" spans="17:22" x14ac:dyDescent="0.3">
      <c r="Q811" s="1"/>
      <c r="R811" s="1"/>
      <c r="S811" s="1"/>
      <c r="T811" s="1"/>
      <c r="U811" s="1"/>
      <c r="V811" s="1"/>
    </row>
    <row r="812" spans="17:22" x14ac:dyDescent="0.3">
      <c r="Q812" s="1"/>
      <c r="R812" s="1"/>
      <c r="S812" s="1"/>
      <c r="T812" s="1"/>
      <c r="U812" s="1"/>
      <c r="V812" s="1"/>
    </row>
    <row r="813" spans="17:22" x14ac:dyDescent="0.3">
      <c r="Q813" s="1"/>
      <c r="R813" s="1"/>
      <c r="S813" s="1"/>
      <c r="T813" s="1"/>
      <c r="U813" s="1"/>
      <c r="V813" s="1"/>
    </row>
    <row r="814" spans="17:22" x14ac:dyDescent="0.3">
      <c r="Q814" s="1"/>
      <c r="R814" s="1"/>
      <c r="S814" s="1"/>
      <c r="T814" s="1"/>
      <c r="U814" s="1"/>
      <c r="V814" s="1"/>
    </row>
    <row r="815" spans="17:22" x14ac:dyDescent="0.3">
      <c r="Q815" s="1"/>
      <c r="R815" s="1"/>
      <c r="S815" s="1"/>
      <c r="T815" s="1"/>
      <c r="U815" s="1"/>
      <c r="V815" s="1"/>
    </row>
    <row r="816" spans="17:22" x14ac:dyDescent="0.3">
      <c r="Q816" s="1"/>
      <c r="R816" s="1"/>
      <c r="S816" s="1"/>
      <c r="T816" s="1"/>
      <c r="U816" s="1"/>
      <c r="V816" s="1"/>
    </row>
    <row r="817" spans="17:22" x14ac:dyDescent="0.3">
      <c r="Q817" s="1"/>
      <c r="R817" s="1"/>
      <c r="S817" s="1"/>
      <c r="T817" s="1"/>
      <c r="U817" s="1"/>
      <c r="V817" s="1"/>
    </row>
    <row r="818" spans="17:22" x14ac:dyDescent="0.3">
      <c r="Q818" s="1"/>
      <c r="R818" s="1"/>
      <c r="S818" s="1"/>
      <c r="T818" s="1"/>
      <c r="U818" s="1"/>
      <c r="V818" s="1"/>
    </row>
    <row r="819" spans="17:22" x14ac:dyDescent="0.3">
      <c r="Q819" s="1"/>
      <c r="R819" s="1"/>
      <c r="S819" s="1"/>
      <c r="T819" s="1"/>
      <c r="U819" s="1"/>
      <c r="V819" s="1"/>
    </row>
    <row r="820" spans="17:22" x14ac:dyDescent="0.3">
      <c r="Q820" s="1"/>
      <c r="R820" s="1"/>
      <c r="S820" s="1"/>
      <c r="T820" s="1"/>
      <c r="U820" s="1"/>
      <c r="V820" s="1"/>
    </row>
    <row r="821" spans="17:22" x14ac:dyDescent="0.3">
      <c r="Q821" s="1"/>
      <c r="R821" s="1"/>
      <c r="S821" s="1"/>
      <c r="T821" s="1"/>
      <c r="U821" s="1"/>
      <c r="V821" s="1"/>
    </row>
    <row r="822" spans="17:22" x14ac:dyDescent="0.3">
      <c r="Q822" s="1"/>
      <c r="R822" s="1"/>
      <c r="S822" s="1"/>
      <c r="T822" s="1"/>
      <c r="U822" s="1"/>
      <c r="V822" s="1"/>
    </row>
    <row r="823" spans="17:22" x14ac:dyDescent="0.3">
      <c r="Q823" s="1"/>
      <c r="R823" s="1"/>
      <c r="S823" s="1"/>
      <c r="T823" s="1"/>
      <c r="U823" s="1"/>
      <c r="V823" s="1"/>
    </row>
    <row r="824" spans="17:22" x14ac:dyDescent="0.3">
      <c r="Q824" s="1"/>
      <c r="R824" s="1"/>
      <c r="S824" s="1"/>
      <c r="T824" s="1"/>
      <c r="U824" s="1"/>
      <c r="V824" s="1"/>
    </row>
    <row r="825" spans="17:22" x14ac:dyDescent="0.3">
      <c r="Q825" s="1"/>
      <c r="R825" s="1"/>
      <c r="S825" s="1"/>
      <c r="T825" s="1"/>
      <c r="U825" s="1"/>
      <c r="V825" s="1"/>
    </row>
    <row r="826" spans="17:22" x14ac:dyDescent="0.3">
      <c r="Q826" s="1"/>
      <c r="R826" s="1"/>
      <c r="S826" s="1"/>
      <c r="T826" s="1"/>
      <c r="U826" s="1"/>
      <c r="V826" s="1"/>
    </row>
    <row r="827" spans="17:22" x14ac:dyDescent="0.3">
      <c r="Q827" s="1"/>
      <c r="R827" s="1"/>
      <c r="S827" s="1"/>
      <c r="T827" s="1"/>
      <c r="U827" s="1"/>
      <c r="V827" s="1"/>
    </row>
    <row r="828" spans="17:22" x14ac:dyDescent="0.3">
      <c r="Q828" s="1"/>
      <c r="R828" s="1"/>
      <c r="S828" s="1"/>
      <c r="T828" s="1"/>
      <c r="U828" s="1"/>
      <c r="V828" s="1"/>
    </row>
    <row r="829" spans="17:22" x14ac:dyDescent="0.3">
      <c r="Q829" s="1"/>
      <c r="R829" s="1"/>
      <c r="S829" s="1"/>
      <c r="T829" s="1"/>
      <c r="U829" s="1"/>
      <c r="V829" s="1"/>
    </row>
    <row r="830" spans="17:22" x14ac:dyDescent="0.3">
      <c r="Q830" s="1"/>
      <c r="R830" s="1"/>
      <c r="S830" s="1"/>
      <c r="T830" s="1"/>
      <c r="U830" s="1"/>
      <c r="V830" s="1"/>
    </row>
    <row r="831" spans="17:22" x14ac:dyDescent="0.3">
      <c r="Q831" s="1"/>
      <c r="R831" s="1"/>
      <c r="S831" s="1"/>
      <c r="T831" s="1"/>
      <c r="U831" s="1"/>
      <c r="V831" s="1"/>
    </row>
    <row r="832" spans="17:22" x14ac:dyDescent="0.3">
      <c r="Q832" s="1"/>
      <c r="R832" s="1"/>
      <c r="S832" s="1"/>
      <c r="T832" s="1"/>
      <c r="U832" s="1"/>
      <c r="V832" s="1"/>
    </row>
    <row r="833" spans="17:22" x14ac:dyDescent="0.3">
      <c r="Q833" s="1"/>
      <c r="R833" s="1"/>
      <c r="S833" s="1"/>
      <c r="T833" s="1"/>
      <c r="U833" s="1"/>
      <c r="V833" s="1"/>
    </row>
    <row r="834" spans="17:22" x14ac:dyDescent="0.3">
      <c r="Q834" s="1"/>
      <c r="R834" s="1"/>
      <c r="S834" s="1"/>
      <c r="T834" s="1"/>
      <c r="U834" s="1"/>
      <c r="V834" s="1"/>
    </row>
    <row r="835" spans="17:22" x14ac:dyDescent="0.3">
      <c r="Q835" s="1"/>
      <c r="R835" s="1"/>
      <c r="S835" s="1"/>
      <c r="T835" s="1"/>
      <c r="U835" s="1"/>
      <c r="V835" s="1"/>
    </row>
    <row r="836" spans="17:22" x14ac:dyDescent="0.3">
      <c r="Q836" s="1"/>
      <c r="R836" s="1"/>
      <c r="S836" s="1"/>
      <c r="T836" s="1"/>
      <c r="U836" s="1"/>
      <c r="V836" s="1"/>
    </row>
    <row r="837" spans="17:22" x14ac:dyDescent="0.3">
      <c r="Q837" s="1"/>
      <c r="R837" s="1"/>
      <c r="S837" s="1"/>
      <c r="T837" s="1"/>
      <c r="U837" s="1"/>
      <c r="V837" s="1"/>
    </row>
    <row r="838" spans="17:22" x14ac:dyDescent="0.3">
      <c r="Q838" s="1"/>
      <c r="R838" s="1"/>
      <c r="S838" s="1"/>
      <c r="T838" s="1"/>
      <c r="U838" s="1"/>
      <c r="V838" s="1"/>
    </row>
    <row r="839" spans="17:22" x14ac:dyDescent="0.3">
      <c r="Q839" s="1"/>
      <c r="R839" s="1"/>
      <c r="S839" s="1"/>
      <c r="T839" s="1"/>
      <c r="U839" s="1"/>
      <c r="V839" s="1"/>
    </row>
    <row r="840" spans="17:22" x14ac:dyDescent="0.3">
      <c r="Q840" s="1"/>
      <c r="R840" s="1"/>
      <c r="S840" s="1"/>
      <c r="T840" s="1"/>
      <c r="U840" s="1"/>
      <c r="V840" s="1"/>
    </row>
    <row r="841" spans="17:22" x14ac:dyDescent="0.3">
      <c r="Q841" s="1"/>
      <c r="R841" s="1"/>
      <c r="S841" s="1"/>
      <c r="T841" s="1"/>
      <c r="U841" s="1"/>
      <c r="V841" s="1"/>
    </row>
    <row r="842" spans="17:22" x14ac:dyDescent="0.3">
      <c r="Q842" s="1"/>
      <c r="R842" s="1"/>
      <c r="S842" s="1"/>
      <c r="T842" s="1"/>
      <c r="U842" s="1"/>
      <c r="V842" s="1"/>
    </row>
    <row r="843" spans="17:22" x14ac:dyDescent="0.3">
      <c r="Q843" s="1"/>
      <c r="R843" s="1"/>
      <c r="S843" s="1"/>
      <c r="T843" s="1"/>
      <c r="U843" s="1"/>
      <c r="V843" s="1"/>
    </row>
    <row r="844" spans="17:22" x14ac:dyDescent="0.3">
      <c r="Q844" s="1"/>
      <c r="R844" s="1"/>
      <c r="S844" s="1"/>
      <c r="T844" s="1"/>
      <c r="U844" s="1"/>
      <c r="V844" s="1"/>
    </row>
    <row r="845" spans="17:22" x14ac:dyDescent="0.3">
      <c r="Q845" s="1"/>
      <c r="R845" s="1"/>
      <c r="S845" s="1"/>
      <c r="T845" s="1"/>
      <c r="U845" s="1"/>
      <c r="V845" s="1"/>
    </row>
    <row r="846" spans="17:22" x14ac:dyDescent="0.3">
      <c r="Q846" s="1"/>
      <c r="R846" s="1"/>
      <c r="S846" s="1"/>
      <c r="T846" s="1"/>
      <c r="U846" s="1"/>
      <c r="V846" s="1"/>
    </row>
    <row r="847" spans="17:22" x14ac:dyDescent="0.3">
      <c r="Q847" s="1"/>
      <c r="R847" s="1"/>
      <c r="S847" s="1"/>
      <c r="T847" s="1"/>
      <c r="U847" s="1"/>
      <c r="V847" s="1"/>
    </row>
    <row r="848" spans="17:22" x14ac:dyDescent="0.3">
      <c r="Q848" s="1"/>
      <c r="R848" s="1"/>
      <c r="S848" s="1"/>
      <c r="T848" s="1"/>
      <c r="U848" s="1"/>
      <c r="V848" s="1"/>
    </row>
    <row r="849" spans="17:22" x14ac:dyDescent="0.3">
      <c r="Q849" s="1"/>
      <c r="R849" s="1"/>
      <c r="S849" s="1"/>
      <c r="T849" s="1"/>
      <c r="U849" s="1"/>
      <c r="V849" s="1"/>
    </row>
    <row r="850" spans="17:22" x14ac:dyDescent="0.3">
      <c r="Q850" s="1"/>
      <c r="R850" s="1"/>
      <c r="S850" s="1"/>
      <c r="T850" s="1"/>
      <c r="U850" s="1"/>
      <c r="V850" s="1"/>
    </row>
    <row r="851" spans="17:22" x14ac:dyDescent="0.3">
      <c r="Q851" s="1"/>
      <c r="R851" s="1"/>
      <c r="S851" s="1"/>
      <c r="T851" s="1"/>
      <c r="U851" s="1"/>
      <c r="V851" s="1"/>
    </row>
    <row r="852" spans="17:22" x14ac:dyDescent="0.3">
      <c r="Q852" s="1"/>
      <c r="R852" s="1"/>
      <c r="S852" s="1"/>
      <c r="T852" s="1"/>
      <c r="U852" s="1"/>
      <c r="V852" s="1"/>
    </row>
    <row r="853" spans="17:22" x14ac:dyDescent="0.3">
      <c r="Q853" s="1"/>
      <c r="R853" s="1"/>
      <c r="S853" s="1"/>
      <c r="T853" s="1"/>
      <c r="U853" s="1"/>
      <c r="V853" s="1"/>
    </row>
    <row r="854" spans="17:22" x14ac:dyDescent="0.3">
      <c r="Q854" s="1"/>
      <c r="R854" s="1"/>
      <c r="S854" s="1"/>
      <c r="T854" s="1"/>
      <c r="U854" s="1"/>
      <c r="V854" s="1"/>
    </row>
    <row r="855" spans="17:22" x14ac:dyDescent="0.3">
      <c r="Q855" s="1"/>
      <c r="R855" s="1"/>
      <c r="S855" s="1"/>
      <c r="T855" s="1"/>
      <c r="U855" s="1"/>
      <c r="V855" s="1"/>
    </row>
    <row r="856" spans="17:22" x14ac:dyDescent="0.3">
      <c r="Q856" s="1"/>
      <c r="R856" s="1"/>
      <c r="S856" s="1"/>
      <c r="T856" s="1"/>
      <c r="U856" s="1"/>
      <c r="V856" s="1"/>
    </row>
    <row r="857" spans="17:22" x14ac:dyDescent="0.3">
      <c r="Q857" s="1"/>
      <c r="R857" s="1"/>
      <c r="S857" s="1"/>
      <c r="T857" s="1"/>
      <c r="U857" s="1"/>
      <c r="V857" s="1"/>
    </row>
    <row r="858" spans="17:22" x14ac:dyDescent="0.3">
      <c r="Q858" s="1"/>
      <c r="R858" s="1"/>
      <c r="S858" s="1"/>
      <c r="T858" s="1"/>
      <c r="U858" s="1"/>
      <c r="V858" s="1"/>
    </row>
    <row r="859" spans="17:22" x14ac:dyDescent="0.3">
      <c r="Q859" s="1"/>
      <c r="R859" s="1"/>
      <c r="S859" s="1"/>
      <c r="T859" s="1"/>
      <c r="U859" s="1"/>
      <c r="V859" s="1"/>
    </row>
    <row r="860" spans="17:22" x14ac:dyDescent="0.3">
      <c r="Q860" s="1"/>
      <c r="R860" s="1"/>
      <c r="S860" s="1"/>
      <c r="T860" s="1"/>
      <c r="U860" s="1"/>
      <c r="V860" s="1"/>
    </row>
    <row r="861" spans="17:22" x14ac:dyDescent="0.3">
      <c r="Q861" s="1"/>
      <c r="R861" s="1"/>
      <c r="S861" s="1"/>
      <c r="T861" s="1"/>
      <c r="U861" s="1"/>
      <c r="V861" s="1"/>
    </row>
    <row r="862" spans="17:22" x14ac:dyDescent="0.3">
      <c r="Q862" s="1"/>
      <c r="R862" s="1"/>
      <c r="S862" s="1"/>
      <c r="T862" s="1"/>
      <c r="U862" s="1"/>
      <c r="V862" s="1"/>
    </row>
    <row r="863" spans="17:22" x14ac:dyDescent="0.3">
      <c r="Q863" s="1"/>
      <c r="R863" s="1"/>
      <c r="S863" s="1"/>
      <c r="T863" s="1"/>
      <c r="U863" s="1"/>
      <c r="V863" s="1"/>
    </row>
    <row r="864" spans="17:22" x14ac:dyDescent="0.3">
      <c r="Q864" s="1"/>
      <c r="R864" s="1"/>
      <c r="S864" s="1"/>
      <c r="T864" s="1"/>
      <c r="U864" s="1"/>
      <c r="V864" s="1"/>
    </row>
    <row r="865" spans="17:22" x14ac:dyDescent="0.3">
      <c r="Q865" s="1"/>
      <c r="R865" s="1"/>
      <c r="S865" s="1"/>
      <c r="T865" s="1"/>
      <c r="U865" s="1"/>
      <c r="V865" s="1"/>
    </row>
    <row r="866" spans="17:22" x14ac:dyDescent="0.3">
      <c r="Q866" s="1"/>
      <c r="R866" s="1"/>
      <c r="S866" s="1"/>
      <c r="T866" s="1"/>
      <c r="U866" s="1"/>
      <c r="V866" s="1"/>
    </row>
    <row r="867" spans="17:22" x14ac:dyDescent="0.3">
      <c r="Q867" s="1"/>
      <c r="R867" s="1"/>
      <c r="S867" s="1"/>
      <c r="T867" s="1"/>
      <c r="U867" s="1"/>
      <c r="V867" s="1"/>
    </row>
    <row r="868" spans="17:22" x14ac:dyDescent="0.3">
      <c r="Q868" s="1"/>
      <c r="R868" s="1"/>
      <c r="S868" s="1"/>
      <c r="T868" s="1"/>
      <c r="U868" s="1"/>
      <c r="V868" s="1"/>
    </row>
    <row r="869" spans="17:22" x14ac:dyDescent="0.3">
      <c r="Q869" s="1"/>
      <c r="R869" s="1"/>
      <c r="S869" s="1"/>
      <c r="T869" s="1"/>
      <c r="U869" s="1"/>
      <c r="V869" s="1"/>
    </row>
    <row r="870" spans="17:22" x14ac:dyDescent="0.3">
      <c r="Q870" s="1"/>
      <c r="R870" s="1"/>
      <c r="S870" s="1"/>
      <c r="T870" s="1"/>
      <c r="U870" s="1"/>
      <c r="V870" s="1"/>
    </row>
    <row r="871" spans="17:22" x14ac:dyDescent="0.3">
      <c r="Q871" s="1"/>
      <c r="R871" s="1"/>
      <c r="S871" s="1"/>
      <c r="T871" s="1"/>
      <c r="U871" s="1"/>
      <c r="V871" s="1"/>
    </row>
    <row r="872" spans="17:22" x14ac:dyDescent="0.3">
      <c r="Q872" s="1"/>
      <c r="R872" s="1"/>
      <c r="S872" s="1"/>
      <c r="T872" s="1"/>
      <c r="U872" s="1"/>
      <c r="V872" s="1"/>
    </row>
    <row r="873" spans="17:22" x14ac:dyDescent="0.3">
      <c r="Q873" s="1"/>
      <c r="R873" s="1"/>
      <c r="S873" s="1"/>
      <c r="T873" s="1"/>
      <c r="U873" s="1"/>
      <c r="V873" s="1"/>
    </row>
    <row r="874" spans="17:22" x14ac:dyDescent="0.3">
      <c r="Q874" s="1"/>
      <c r="R874" s="1"/>
      <c r="S874" s="1"/>
      <c r="T874" s="1"/>
      <c r="U874" s="1"/>
      <c r="V874" s="1"/>
    </row>
    <row r="875" spans="17:22" x14ac:dyDescent="0.3">
      <c r="Q875" s="1"/>
      <c r="R875" s="1"/>
      <c r="S875" s="1"/>
      <c r="T875" s="1"/>
      <c r="U875" s="1"/>
      <c r="V875" s="1"/>
    </row>
    <row r="876" spans="17:22" x14ac:dyDescent="0.3">
      <c r="Q876" s="1"/>
      <c r="R876" s="1"/>
      <c r="S876" s="1"/>
      <c r="T876" s="1"/>
      <c r="U876" s="1"/>
      <c r="V876" s="1"/>
    </row>
    <row r="877" spans="17:22" x14ac:dyDescent="0.3">
      <c r="Q877" s="1"/>
      <c r="R877" s="1"/>
      <c r="S877" s="1"/>
      <c r="T877" s="1"/>
      <c r="U877" s="1"/>
      <c r="V877" s="1"/>
    </row>
    <row r="878" spans="17:22" x14ac:dyDescent="0.3">
      <c r="Q878" s="1"/>
      <c r="R878" s="1"/>
      <c r="S878" s="1"/>
      <c r="T878" s="1"/>
      <c r="U878" s="1"/>
      <c r="V878" s="1"/>
    </row>
    <row r="879" spans="17:22" x14ac:dyDescent="0.3">
      <c r="Q879" s="1"/>
      <c r="R879" s="1"/>
      <c r="S879" s="1"/>
      <c r="T879" s="1"/>
      <c r="U879" s="1"/>
      <c r="V879" s="1"/>
    </row>
    <row r="880" spans="17:22" x14ac:dyDescent="0.3">
      <c r="Q880" s="1"/>
      <c r="R880" s="1"/>
      <c r="S880" s="1"/>
      <c r="T880" s="1"/>
      <c r="U880" s="1"/>
      <c r="V880" s="1"/>
    </row>
    <row r="881" spans="17:22" x14ac:dyDescent="0.3">
      <c r="Q881" s="1"/>
      <c r="R881" s="1"/>
      <c r="S881" s="1"/>
      <c r="T881" s="1"/>
      <c r="U881" s="1"/>
      <c r="V881" s="1"/>
    </row>
    <row r="882" spans="17:22" x14ac:dyDescent="0.3">
      <c r="Q882" s="1"/>
      <c r="R882" s="1"/>
      <c r="S882" s="1"/>
      <c r="T882" s="1"/>
      <c r="U882" s="1"/>
      <c r="V882" s="1"/>
    </row>
    <row r="883" spans="17:22" x14ac:dyDescent="0.3">
      <c r="Q883" s="1"/>
      <c r="R883" s="1"/>
      <c r="S883" s="1"/>
      <c r="T883" s="1"/>
      <c r="U883" s="1"/>
      <c r="V883" s="1"/>
    </row>
    <row r="884" spans="17:22" x14ac:dyDescent="0.3">
      <c r="Q884" s="1"/>
      <c r="R884" s="1"/>
      <c r="S884" s="1"/>
      <c r="T884" s="1"/>
      <c r="U884" s="1"/>
      <c r="V884" s="1"/>
    </row>
    <row r="885" spans="17:22" x14ac:dyDescent="0.3">
      <c r="Q885" s="1"/>
      <c r="R885" s="1"/>
      <c r="S885" s="1"/>
      <c r="T885" s="1"/>
      <c r="U885" s="1"/>
      <c r="V885" s="1"/>
    </row>
    <row r="886" spans="17:22" x14ac:dyDescent="0.3">
      <c r="Q886" s="1"/>
      <c r="R886" s="1"/>
      <c r="S886" s="1"/>
      <c r="T886" s="1"/>
      <c r="U886" s="1"/>
      <c r="V886" s="1"/>
    </row>
    <row r="887" spans="17:22" x14ac:dyDescent="0.3">
      <c r="Q887" s="1"/>
      <c r="R887" s="1"/>
      <c r="S887" s="1"/>
      <c r="T887" s="1"/>
      <c r="U887" s="1"/>
      <c r="V887" s="1"/>
    </row>
    <row r="888" spans="17:22" x14ac:dyDescent="0.3">
      <c r="Q888" s="1"/>
      <c r="R888" s="1"/>
      <c r="S888" s="1"/>
      <c r="T888" s="1"/>
      <c r="U888" s="1"/>
      <c r="V888" s="1"/>
    </row>
    <row r="889" spans="17:22" x14ac:dyDescent="0.3">
      <c r="Q889" s="1"/>
      <c r="R889" s="1"/>
      <c r="S889" s="1"/>
      <c r="T889" s="1"/>
      <c r="U889" s="1"/>
      <c r="V889" s="1"/>
    </row>
    <row r="890" spans="17:22" x14ac:dyDescent="0.3">
      <c r="Q890" s="1"/>
      <c r="R890" s="1"/>
      <c r="S890" s="1"/>
      <c r="T890" s="1"/>
      <c r="U890" s="1"/>
      <c r="V890" s="1"/>
    </row>
    <row r="891" spans="17:22" x14ac:dyDescent="0.3">
      <c r="Q891" s="1"/>
      <c r="R891" s="1"/>
      <c r="S891" s="1"/>
      <c r="T891" s="1"/>
      <c r="U891" s="1"/>
      <c r="V891" s="1"/>
    </row>
    <row r="892" spans="17:22" x14ac:dyDescent="0.3">
      <c r="Q892" s="1"/>
      <c r="R892" s="1"/>
      <c r="S892" s="1"/>
      <c r="T892" s="1"/>
      <c r="U892" s="1"/>
      <c r="V892" s="1"/>
    </row>
    <row r="893" spans="17:22" x14ac:dyDescent="0.3">
      <c r="Q893" s="1"/>
      <c r="R893" s="1"/>
      <c r="S893" s="1"/>
      <c r="T893" s="1"/>
      <c r="U893" s="1"/>
      <c r="V893" s="1"/>
    </row>
    <row r="894" spans="17:22" x14ac:dyDescent="0.3">
      <c r="Q894" s="1"/>
      <c r="R894" s="1"/>
      <c r="S894" s="1"/>
      <c r="T894" s="1"/>
      <c r="U894" s="1"/>
      <c r="V894" s="1"/>
    </row>
    <row r="895" spans="17:22" x14ac:dyDescent="0.3">
      <c r="Q895" s="1"/>
      <c r="R895" s="1"/>
      <c r="S895" s="1"/>
      <c r="T895" s="1"/>
      <c r="U895" s="1"/>
      <c r="V895" s="1"/>
    </row>
    <row r="896" spans="17:22" x14ac:dyDescent="0.3">
      <c r="Q896" s="1"/>
      <c r="R896" s="1"/>
      <c r="S896" s="1"/>
      <c r="T896" s="1"/>
      <c r="U896" s="1"/>
      <c r="V896" s="1"/>
    </row>
    <row r="897" spans="17:22" x14ac:dyDescent="0.3">
      <c r="Q897" s="1"/>
      <c r="R897" s="1"/>
      <c r="S897" s="1"/>
      <c r="T897" s="1"/>
      <c r="U897" s="1"/>
      <c r="V897" s="1"/>
    </row>
    <row r="898" spans="17:22" x14ac:dyDescent="0.3">
      <c r="Q898" s="1"/>
      <c r="R898" s="1"/>
      <c r="S898" s="1"/>
      <c r="T898" s="1"/>
      <c r="U898" s="1"/>
      <c r="V898" s="1"/>
    </row>
    <row r="899" spans="17:22" x14ac:dyDescent="0.3">
      <c r="Q899" s="1"/>
      <c r="R899" s="1"/>
      <c r="S899" s="1"/>
      <c r="T899" s="1"/>
      <c r="U899" s="1"/>
      <c r="V899" s="1"/>
    </row>
    <row r="900" spans="17:22" x14ac:dyDescent="0.3">
      <c r="Q900" s="1"/>
      <c r="R900" s="1"/>
      <c r="S900" s="1"/>
      <c r="T900" s="1"/>
      <c r="U900" s="1"/>
      <c r="V900" s="1"/>
    </row>
    <row r="901" spans="17:22" x14ac:dyDescent="0.3">
      <c r="Q901" s="1"/>
      <c r="R901" s="1"/>
      <c r="S901" s="1"/>
      <c r="T901" s="1"/>
      <c r="U901" s="1"/>
      <c r="V901" s="1"/>
    </row>
    <row r="902" spans="17:22" x14ac:dyDescent="0.3">
      <c r="Q902" s="1"/>
      <c r="R902" s="1"/>
      <c r="S902" s="1"/>
      <c r="T902" s="1"/>
      <c r="U902" s="1"/>
      <c r="V902" s="1"/>
    </row>
    <row r="903" spans="17:22" x14ac:dyDescent="0.3">
      <c r="Q903" s="1"/>
      <c r="R903" s="1"/>
      <c r="S903" s="1"/>
      <c r="T903" s="1"/>
      <c r="U903" s="1"/>
      <c r="V903" s="1"/>
    </row>
    <row r="904" spans="17:22" x14ac:dyDescent="0.3">
      <c r="Q904" s="1"/>
      <c r="R904" s="1"/>
      <c r="S904" s="1"/>
      <c r="T904" s="1"/>
      <c r="U904" s="1"/>
      <c r="V904" s="1"/>
    </row>
    <row r="905" spans="17:22" x14ac:dyDescent="0.3">
      <c r="Q905" s="1"/>
      <c r="R905" s="1"/>
      <c r="S905" s="1"/>
      <c r="T905" s="1"/>
      <c r="U905" s="1"/>
      <c r="V905" s="1"/>
    </row>
    <row r="906" spans="17:22" x14ac:dyDescent="0.3">
      <c r="Q906" s="1"/>
      <c r="R906" s="1"/>
      <c r="S906" s="1"/>
      <c r="T906" s="1"/>
      <c r="U906" s="1"/>
      <c r="V906" s="1"/>
    </row>
    <row r="907" spans="17:22" x14ac:dyDescent="0.3">
      <c r="Q907" s="1"/>
      <c r="R907" s="1"/>
      <c r="S907" s="1"/>
      <c r="T907" s="1"/>
      <c r="U907" s="1"/>
      <c r="V907" s="1"/>
    </row>
    <row r="908" spans="17:22" x14ac:dyDescent="0.3">
      <c r="Q908" s="1"/>
      <c r="R908" s="1"/>
      <c r="S908" s="1"/>
      <c r="T908" s="1"/>
      <c r="U908" s="1"/>
      <c r="V908" s="1"/>
    </row>
    <row r="909" spans="17:22" x14ac:dyDescent="0.3">
      <c r="Q909" s="1"/>
      <c r="R909" s="1"/>
      <c r="S909" s="1"/>
      <c r="T909" s="1"/>
      <c r="U909" s="1"/>
      <c r="V909" s="1"/>
    </row>
    <row r="910" spans="17:22" x14ac:dyDescent="0.3">
      <c r="Q910" s="1"/>
      <c r="R910" s="1"/>
      <c r="S910" s="1"/>
      <c r="T910" s="1"/>
      <c r="U910" s="1"/>
      <c r="V910" s="1"/>
    </row>
    <row r="911" spans="17:22" x14ac:dyDescent="0.3">
      <c r="Q911" s="1"/>
      <c r="R911" s="1"/>
      <c r="S911" s="1"/>
      <c r="T911" s="1"/>
      <c r="U911" s="1"/>
      <c r="V911" s="1"/>
    </row>
    <row r="912" spans="17:22" x14ac:dyDescent="0.3">
      <c r="Q912" s="1"/>
      <c r="R912" s="1"/>
      <c r="S912" s="1"/>
      <c r="T912" s="1"/>
      <c r="U912" s="1"/>
      <c r="V912" s="1"/>
    </row>
    <row r="913" spans="17:22" x14ac:dyDescent="0.3">
      <c r="Q913" s="1"/>
      <c r="R913" s="1"/>
      <c r="S913" s="1"/>
      <c r="T913" s="1"/>
      <c r="U913" s="1"/>
      <c r="V913" s="1"/>
    </row>
    <row r="914" spans="17:22" x14ac:dyDescent="0.3">
      <c r="Q914" s="1"/>
      <c r="R914" s="1"/>
      <c r="S914" s="1"/>
      <c r="T914" s="1"/>
      <c r="U914" s="1"/>
      <c r="V914" s="1"/>
    </row>
    <row r="915" spans="17:22" x14ac:dyDescent="0.3">
      <c r="Q915" s="1"/>
      <c r="R915" s="1"/>
      <c r="S915" s="1"/>
      <c r="T915" s="1"/>
      <c r="U915" s="1"/>
      <c r="V915" s="1"/>
    </row>
    <row r="916" spans="17:22" x14ac:dyDescent="0.3">
      <c r="Q916" s="1"/>
      <c r="R916" s="1"/>
      <c r="S916" s="1"/>
      <c r="T916" s="1"/>
      <c r="U916" s="1"/>
      <c r="V916" s="1"/>
    </row>
    <row r="917" spans="17:22" x14ac:dyDescent="0.3">
      <c r="Q917" s="1"/>
      <c r="R917" s="1"/>
      <c r="S917" s="1"/>
      <c r="T917" s="1"/>
      <c r="U917" s="1"/>
      <c r="V917" s="1"/>
    </row>
    <row r="918" spans="17:22" x14ac:dyDescent="0.3">
      <c r="Q918" s="1"/>
      <c r="R918" s="1"/>
      <c r="S918" s="1"/>
      <c r="T918" s="1"/>
      <c r="U918" s="1"/>
      <c r="V918" s="1"/>
    </row>
    <row r="919" spans="17:22" x14ac:dyDescent="0.3">
      <c r="Q919" s="1"/>
      <c r="R919" s="1"/>
      <c r="S919" s="1"/>
      <c r="T919" s="1"/>
      <c r="U919" s="1"/>
      <c r="V919" s="1"/>
    </row>
    <row r="920" spans="17:22" x14ac:dyDescent="0.3">
      <c r="Q920" s="1"/>
      <c r="R920" s="1"/>
      <c r="S920" s="1"/>
      <c r="T920" s="1"/>
      <c r="U920" s="1"/>
      <c r="V920" s="1"/>
    </row>
    <row r="921" spans="17:22" x14ac:dyDescent="0.3">
      <c r="Q921" s="1"/>
      <c r="R921" s="1"/>
      <c r="S921" s="1"/>
      <c r="T921" s="1"/>
      <c r="U921" s="1"/>
      <c r="V921" s="1"/>
    </row>
    <row r="922" spans="17:22" x14ac:dyDescent="0.3">
      <c r="Q922" s="1"/>
      <c r="R922" s="1"/>
      <c r="S922" s="1"/>
      <c r="T922" s="1"/>
      <c r="U922" s="1"/>
      <c r="V922" s="1"/>
    </row>
    <row r="923" spans="17:22" x14ac:dyDescent="0.3">
      <c r="Q923" s="1"/>
      <c r="R923" s="1"/>
      <c r="S923" s="1"/>
      <c r="T923" s="1"/>
      <c r="U923" s="1"/>
      <c r="V923" s="1"/>
    </row>
    <row r="924" spans="17:22" x14ac:dyDescent="0.3">
      <c r="Q924" s="1"/>
      <c r="R924" s="1"/>
      <c r="S924" s="1"/>
      <c r="T924" s="1"/>
      <c r="U924" s="1"/>
      <c r="V924" s="1"/>
    </row>
    <row r="925" spans="17:22" x14ac:dyDescent="0.3">
      <c r="Q925" s="1"/>
      <c r="R925" s="1"/>
      <c r="S925" s="1"/>
      <c r="T925" s="1"/>
      <c r="U925" s="1"/>
      <c r="V925" s="1"/>
    </row>
    <row r="926" spans="17:22" x14ac:dyDescent="0.3">
      <c r="Q926" s="1"/>
      <c r="R926" s="1"/>
      <c r="S926" s="1"/>
      <c r="T926" s="1"/>
      <c r="U926" s="1"/>
      <c r="V926" s="1"/>
    </row>
    <row r="927" spans="17:22" x14ac:dyDescent="0.3">
      <c r="Q927" s="1"/>
      <c r="R927" s="1"/>
      <c r="S927" s="1"/>
      <c r="T927" s="1"/>
      <c r="U927" s="1"/>
      <c r="V927" s="1"/>
    </row>
    <row r="928" spans="17:22" x14ac:dyDescent="0.3">
      <c r="Q928" s="1"/>
      <c r="R928" s="1"/>
      <c r="S928" s="1"/>
      <c r="T928" s="1"/>
      <c r="U928" s="1"/>
      <c r="V928" s="1"/>
    </row>
    <row r="929" spans="17:22" x14ac:dyDescent="0.3">
      <c r="Q929" s="1"/>
      <c r="R929" s="1"/>
      <c r="S929" s="1"/>
      <c r="T929" s="1"/>
      <c r="U929" s="1"/>
      <c r="V929" s="1"/>
    </row>
    <row r="930" spans="17:22" x14ac:dyDescent="0.3">
      <c r="Q930" s="1"/>
      <c r="R930" s="1"/>
      <c r="S930" s="1"/>
      <c r="T930" s="1"/>
      <c r="U930" s="1"/>
      <c r="V930" s="1"/>
    </row>
    <row r="931" spans="17:22" x14ac:dyDescent="0.3">
      <c r="Q931" s="1"/>
      <c r="R931" s="1"/>
      <c r="S931" s="1"/>
      <c r="T931" s="1"/>
      <c r="U931" s="1"/>
      <c r="V931" s="1"/>
    </row>
    <row r="932" spans="17:22" x14ac:dyDescent="0.3">
      <c r="Q932" s="1"/>
      <c r="R932" s="1"/>
      <c r="S932" s="1"/>
      <c r="T932" s="1"/>
      <c r="U932" s="1"/>
      <c r="V932" s="1"/>
    </row>
    <row r="933" spans="17:22" x14ac:dyDescent="0.3">
      <c r="Q933" s="1"/>
      <c r="R933" s="1"/>
      <c r="S933" s="1"/>
      <c r="T933" s="1"/>
      <c r="U933" s="1"/>
      <c r="V933" s="1"/>
    </row>
    <row r="934" spans="17:22" x14ac:dyDescent="0.3">
      <c r="Q934" s="1"/>
      <c r="R934" s="1"/>
      <c r="S934" s="1"/>
      <c r="T934" s="1"/>
      <c r="U934" s="1"/>
      <c r="V934" s="1"/>
    </row>
    <row r="935" spans="17:22" x14ac:dyDescent="0.3">
      <c r="Q935" s="1"/>
      <c r="R935" s="1"/>
      <c r="S935" s="1"/>
      <c r="T935" s="1"/>
      <c r="U935" s="1"/>
      <c r="V935" s="1"/>
    </row>
    <row r="936" spans="17:22" x14ac:dyDescent="0.3">
      <c r="Q936" s="1"/>
      <c r="R936" s="1"/>
      <c r="S936" s="1"/>
      <c r="T936" s="1"/>
      <c r="U936" s="1"/>
      <c r="V936" s="1"/>
    </row>
    <row r="937" spans="17:22" x14ac:dyDescent="0.3">
      <c r="Q937" s="1"/>
      <c r="R937" s="1"/>
      <c r="S937" s="1"/>
      <c r="T937" s="1"/>
      <c r="U937" s="1"/>
      <c r="V937" s="1"/>
    </row>
    <row r="938" spans="17:22" x14ac:dyDescent="0.3">
      <c r="Q938" s="1"/>
      <c r="R938" s="1"/>
      <c r="S938" s="1"/>
      <c r="T938" s="1"/>
      <c r="U938" s="1"/>
      <c r="V938" s="1"/>
    </row>
    <row r="939" spans="17:22" x14ac:dyDescent="0.3">
      <c r="Q939" s="1"/>
      <c r="R939" s="1"/>
      <c r="S939" s="1"/>
      <c r="T939" s="1"/>
      <c r="U939" s="1"/>
      <c r="V939" s="1"/>
    </row>
    <row r="940" spans="17:22" x14ac:dyDescent="0.3">
      <c r="Q940" s="1"/>
      <c r="R940" s="1"/>
      <c r="S940" s="1"/>
      <c r="T940" s="1"/>
      <c r="U940" s="1"/>
      <c r="V940" s="1"/>
    </row>
    <row r="941" spans="17:22" x14ac:dyDescent="0.3">
      <c r="Q941" s="1"/>
      <c r="R941" s="1"/>
      <c r="S941" s="1"/>
      <c r="T941" s="1"/>
      <c r="U941" s="1"/>
      <c r="V941" s="1"/>
    </row>
    <row r="942" spans="17:22" x14ac:dyDescent="0.3">
      <c r="Q942" s="1"/>
      <c r="R942" s="1"/>
      <c r="S942" s="1"/>
      <c r="T942" s="1"/>
      <c r="U942" s="1"/>
      <c r="V942" s="1"/>
    </row>
    <row r="943" spans="17:22" x14ac:dyDescent="0.3">
      <c r="Q943" s="1"/>
      <c r="R943" s="1"/>
      <c r="S943" s="1"/>
      <c r="T943" s="1"/>
      <c r="U943" s="1"/>
      <c r="V943" s="1"/>
    </row>
    <row r="944" spans="17:22" x14ac:dyDescent="0.3">
      <c r="Q944" s="1"/>
      <c r="R944" s="1"/>
      <c r="S944" s="1"/>
      <c r="T944" s="1"/>
      <c r="U944" s="1"/>
      <c r="V944" s="1"/>
    </row>
    <row r="945" spans="17:22" x14ac:dyDescent="0.3">
      <c r="Q945" s="1"/>
      <c r="R945" s="1"/>
      <c r="S945" s="1"/>
      <c r="T945" s="1"/>
      <c r="U945" s="1"/>
      <c r="V945" s="1"/>
    </row>
    <row r="946" spans="17:22" x14ac:dyDescent="0.3">
      <c r="Q946" s="1"/>
      <c r="R946" s="1"/>
      <c r="S946" s="1"/>
      <c r="T946" s="1"/>
      <c r="U946" s="1"/>
      <c r="V946" s="1"/>
    </row>
    <row r="947" spans="17:22" x14ac:dyDescent="0.3">
      <c r="Q947" s="1"/>
      <c r="R947" s="1"/>
      <c r="S947" s="1"/>
      <c r="T947" s="1"/>
      <c r="U947" s="1"/>
      <c r="V947" s="1"/>
    </row>
    <row r="948" spans="17:22" x14ac:dyDescent="0.3">
      <c r="Q948" s="1"/>
      <c r="R948" s="1"/>
      <c r="S948" s="1"/>
      <c r="T948" s="1"/>
      <c r="U948" s="1"/>
      <c r="V948" s="1"/>
    </row>
    <row r="949" spans="17:22" x14ac:dyDescent="0.3">
      <c r="Q949" s="1"/>
      <c r="R949" s="1"/>
      <c r="S949" s="1"/>
      <c r="T949" s="1"/>
      <c r="U949" s="1"/>
      <c r="V949" s="1"/>
    </row>
    <row r="950" spans="17:22" x14ac:dyDescent="0.3">
      <c r="Q950" s="1"/>
      <c r="R950" s="1"/>
      <c r="S950" s="1"/>
      <c r="T950" s="1"/>
      <c r="U950" s="1"/>
      <c r="V950" s="1"/>
    </row>
    <row r="951" spans="17:22" x14ac:dyDescent="0.3">
      <c r="Q951" s="1"/>
      <c r="R951" s="1"/>
      <c r="S951" s="1"/>
      <c r="T951" s="1"/>
      <c r="U951" s="1"/>
      <c r="V951" s="1"/>
    </row>
    <row r="952" spans="17:22" x14ac:dyDescent="0.3">
      <c r="Q952" s="1"/>
      <c r="R952" s="1"/>
      <c r="S952" s="1"/>
      <c r="T952" s="1"/>
      <c r="U952" s="1"/>
      <c r="V952" s="1"/>
    </row>
    <row r="953" spans="17:22" x14ac:dyDescent="0.3">
      <c r="Q953" s="1"/>
      <c r="R953" s="1"/>
      <c r="S953" s="1"/>
      <c r="T953" s="1"/>
      <c r="U953" s="1"/>
      <c r="V953" s="1"/>
    </row>
    <row r="954" spans="17:22" x14ac:dyDescent="0.3">
      <c r="Q954" s="1"/>
      <c r="R954" s="1"/>
      <c r="S954" s="1"/>
      <c r="T954" s="1"/>
      <c r="U954" s="1"/>
      <c r="V954" s="1"/>
    </row>
    <row r="955" spans="17:22" x14ac:dyDescent="0.3">
      <c r="Q955" s="1"/>
      <c r="R955" s="1"/>
      <c r="S955" s="1"/>
      <c r="T955" s="1"/>
      <c r="U955" s="1"/>
      <c r="V955" s="1"/>
    </row>
    <row r="956" spans="17:22" x14ac:dyDescent="0.3">
      <c r="Q956" s="1"/>
      <c r="R956" s="1"/>
      <c r="S956" s="1"/>
      <c r="T956" s="1"/>
      <c r="U956" s="1"/>
      <c r="V956" s="1"/>
    </row>
    <row r="957" spans="17:22" x14ac:dyDescent="0.3">
      <c r="Q957" s="1"/>
      <c r="R957" s="1"/>
      <c r="S957" s="1"/>
      <c r="T957" s="1"/>
      <c r="U957" s="1"/>
      <c r="V957" s="1"/>
    </row>
    <row r="958" spans="17:22" x14ac:dyDescent="0.3">
      <c r="Q958" s="1"/>
      <c r="R958" s="1"/>
      <c r="S958" s="1"/>
      <c r="T958" s="1"/>
      <c r="U958" s="1"/>
      <c r="V958" s="1"/>
    </row>
    <row r="959" spans="17:22" x14ac:dyDescent="0.3">
      <c r="Q959" s="1"/>
      <c r="R959" s="1"/>
      <c r="S959" s="1"/>
      <c r="T959" s="1"/>
      <c r="U959" s="1"/>
      <c r="V959" s="1"/>
    </row>
    <row r="960" spans="17:22" x14ac:dyDescent="0.3">
      <c r="Q960" s="1"/>
      <c r="R960" s="1"/>
      <c r="S960" s="1"/>
      <c r="T960" s="1"/>
      <c r="U960" s="1"/>
      <c r="V960" s="1"/>
    </row>
    <row r="961" spans="17:22" x14ac:dyDescent="0.3">
      <c r="Q961" s="1"/>
      <c r="R961" s="1"/>
      <c r="S961" s="1"/>
      <c r="T961" s="1"/>
      <c r="U961" s="1"/>
      <c r="V961" s="1"/>
    </row>
    <row r="962" spans="17:22" x14ac:dyDescent="0.3">
      <c r="Q962" s="1"/>
      <c r="R962" s="1"/>
      <c r="S962" s="1"/>
      <c r="T962" s="1"/>
      <c r="U962" s="1"/>
      <c r="V962" s="1"/>
    </row>
    <row r="963" spans="17:22" x14ac:dyDescent="0.3">
      <c r="Q963" s="1"/>
      <c r="R963" s="1"/>
      <c r="S963" s="1"/>
      <c r="T963" s="1"/>
      <c r="U963" s="1"/>
      <c r="V963" s="1"/>
    </row>
    <row r="964" spans="17:22" x14ac:dyDescent="0.3">
      <c r="Q964" s="1"/>
      <c r="R964" s="1"/>
      <c r="S964" s="1"/>
      <c r="T964" s="1"/>
      <c r="U964" s="1"/>
      <c r="V964" s="1"/>
    </row>
    <row r="965" spans="17:22" x14ac:dyDescent="0.3">
      <c r="Q965" s="1"/>
      <c r="R965" s="1"/>
      <c r="S965" s="1"/>
      <c r="T965" s="1"/>
      <c r="U965" s="1"/>
      <c r="V965" s="1"/>
    </row>
    <row r="966" spans="17:22" x14ac:dyDescent="0.3">
      <c r="Q966" s="1"/>
      <c r="R966" s="1"/>
      <c r="S966" s="1"/>
      <c r="T966" s="1"/>
      <c r="U966" s="1"/>
      <c r="V966" s="1"/>
    </row>
    <row r="967" spans="17:22" x14ac:dyDescent="0.3">
      <c r="Q967" s="1"/>
      <c r="R967" s="1"/>
      <c r="S967" s="1"/>
      <c r="T967" s="1"/>
      <c r="U967" s="1"/>
      <c r="V967" s="1"/>
    </row>
    <row r="968" spans="17:22" x14ac:dyDescent="0.3">
      <c r="Q968" s="1"/>
      <c r="R968" s="1"/>
      <c r="S968" s="1"/>
      <c r="T968" s="1"/>
      <c r="U968" s="1"/>
      <c r="V968" s="1"/>
    </row>
    <row r="969" spans="17:22" x14ac:dyDescent="0.3">
      <c r="Q969" s="1"/>
      <c r="R969" s="1"/>
      <c r="S969" s="1"/>
      <c r="T969" s="1"/>
      <c r="U969" s="1"/>
      <c r="V969" s="1"/>
    </row>
    <row r="970" spans="17:22" x14ac:dyDescent="0.3">
      <c r="Q970" s="1"/>
      <c r="R970" s="1"/>
      <c r="S970" s="1"/>
      <c r="T970" s="1"/>
      <c r="U970" s="1"/>
      <c r="V970" s="1"/>
    </row>
    <row r="971" spans="17:22" x14ac:dyDescent="0.3">
      <c r="Q971" s="1"/>
      <c r="R971" s="1"/>
      <c r="S971" s="1"/>
      <c r="T971" s="1"/>
      <c r="U971" s="1"/>
      <c r="V971" s="1"/>
    </row>
    <row r="972" spans="17:22" x14ac:dyDescent="0.3">
      <c r="Q972" s="1"/>
      <c r="R972" s="1"/>
      <c r="S972" s="1"/>
      <c r="T972" s="1"/>
      <c r="U972" s="1"/>
      <c r="V972" s="1"/>
    </row>
    <row r="973" spans="17:22" x14ac:dyDescent="0.3">
      <c r="Q973" s="1"/>
      <c r="R973" s="1"/>
      <c r="S973" s="1"/>
      <c r="T973" s="1"/>
      <c r="U973" s="1"/>
      <c r="V973" s="1"/>
    </row>
    <row r="974" spans="17:22" x14ac:dyDescent="0.3">
      <c r="Q974" s="1"/>
      <c r="R974" s="1"/>
      <c r="S974" s="1"/>
      <c r="T974" s="1"/>
      <c r="U974" s="1"/>
      <c r="V974" s="1"/>
    </row>
    <row r="975" spans="17:22" x14ac:dyDescent="0.3">
      <c r="Q975" s="1"/>
      <c r="R975" s="1"/>
      <c r="S975" s="1"/>
      <c r="T975" s="1"/>
      <c r="U975" s="1"/>
      <c r="V975" s="1"/>
    </row>
    <row r="976" spans="17:22" x14ac:dyDescent="0.3">
      <c r="Q976" s="1"/>
      <c r="R976" s="1"/>
      <c r="S976" s="1"/>
      <c r="T976" s="1"/>
      <c r="U976" s="1"/>
      <c r="V976" s="1"/>
    </row>
    <row r="977" spans="17:22" x14ac:dyDescent="0.3">
      <c r="Q977" s="1"/>
      <c r="R977" s="1"/>
      <c r="S977" s="1"/>
      <c r="T977" s="1"/>
      <c r="U977" s="1"/>
      <c r="V977" s="1"/>
    </row>
    <row r="978" spans="17:22" x14ac:dyDescent="0.3">
      <c r="Q978" s="1"/>
      <c r="R978" s="1"/>
      <c r="S978" s="1"/>
      <c r="T978" s="1"/>
      <c r="U978" s="1"/>
      <c r="V978" s="1"/>
    </row>
    <row r="979" spans="17:22" x14ac:dyDescent="0.3">
      <c r="Q979" s="1"/>
      <c r="R979" s="1"/>
      <c r="S979" s="1"/>
      <c r="T979" s="1"/>
      <c r="U979" s="1"/>
      <c r="V979" s="1"/>
    </row>
    <row r="980" spans="17:22" x14ac:dyDescent="0.3">
      <c r="Q980" s="1"/>
      <c r="R980" s="1"/>
      <c r="S980" s="1"/>
      <c r="T980" s="1"/>
      <c r="U980" s="1"/>
      <c r="V980" s="1"/>
    </row>
    <row r="981" spans="17:22" x14ac:dyDescent="0.3">
      <c r="Q981" s="1"/>
      <c r="R981" s="1"/>
      <c r="S981" s="1"/>
      <c r="T981" s="1"/>
      <c r="U981" s="1"/>
      <c r="V981" s="1"/>
    </row>
    <row r="982" spans="17:22" x14ac:dyDescent="0.3">
      <c r="Q982" s="1"/>
      <c r="R982" s="1"/>
      <c r="S982" s="1"/>
      <c r="T982" s="1"/>
      <c r="U982" s="1"/>
      <c r="V982" s="1"/>
    </row>
    <row r="983" spans="17:22" x14ac:dyDescent="0.3">
      <c r="Q983" s="1"/>
      <c r="R983" s="1"/>
      <c r="S983" s="1"/>
      <c r="T983" s="1"/>
      <c r="U983" s="1"/>
      <c r="V983" s="1"/>
    </row>
    <row r="984" spans="17:22" x14ac:dyDescent="0.3">
      <c r="Q984" s="1"/>
      <c r="R984" s="1"/>
      <c r="S984" s="1"/>
      <c r="T984" s="1"/>
      <c r="U984" s="1"/>
      <c r="V984" s="1"/>
    </row>
    <row r="985" spans="17:22" x14ac:dyDescent="0.3">
      <c r="Q985" s="1"/>
      <c r="R985" s="1"/>
      <c r="S985" s="1"/>
      <c r="T985" s="1"/>
      <c r="U985" s="1"/>
      <c r="V985" s="1"/>
    </row>
    <row r="986" spans="17:22" x14ac:dyDescent="0.3">
      <c r="Q986" s="1"/>
      <c r="R986" s="1"/>
      <c r="S986" s="1"/>
      <c r="T986" s="1"/>
      <c r="U986" s="1"/>
      <c r="V986" s="1"/>
    </row>
    <row r="987" spans="17:22" x14ac:dyDescent="0.3">
      <c r="Q987" s="1"/>
      <c r="R987" s="1"/>
      <c r="S987" s="1"/>
      <c r="T987" s="1"/>
      <c r="U987" s="1"/>
      <c r="V987" s="1"/>
    </row>
    <row r="988" spans="17:22" x14ac:dyDescent="0.3">
      <c r="Q988" s="1"/>
      <c r="R988" s="1"/>
      <c r="S988" s="1"/>
      <c r="T988" s="1"/>
      <c r="U988" s="1"/>
      <c r="V988" s="1"/>
    </row>
    <row r="989" spans="17:22" x14ac:dyDescent="0.3">
      <c r="Q989" s="1"/>
      <c r="R989" s="1"/>
      <c r="S989" s="1"/>
      <c r="T989" s="1"/>
      <c r="U989" s="1"/>
      <c r="V989" s="1"/>
    </row>
    <row r="990" spans="17:22" x14ac:dyDescent="0.3">
      <c r="Q990" s="1"/>
      <c r="R990" s="1"/>
      <c r="S990" s="1"/>
      <c r="T990" s="1"/>
      <c r="U990" s="1"/>
      <c r="V990" s="1"/>
    </row>
    <row r="991" spans="17:22" x14ac:dyDescent="0.3">
      <c r="Q991" s="1"/>
      <c r="R991" s="1"/>
      <c r="S991" s="1"/>
      <c r="T991" s="1"/>
      <c r="U991" s="1"/>
      <c r="V991" s="1"/>
    </row>
    <row r="992" spans="17:22" x14ac:dyDescent="0.3">
      <c r="Q992" s="1"/>
      <c r="R992" s="1"/>
      <c r="S992" s="1"/>
      <c r="T992" s="1"/>
      <c r="U992" s="1"/>
      <c r="V992" s="1"/>
    </row>
    <row r="993" spans="17:22" x14ac:dyDescent="0.3">
      <c r="Q993" s="1"/>
      <c r="R993" s="1"/>
      <c r="S993" s="1"/>
      <c r="T993" s="1"/>
      <c r="U993" s="1"/>
      <c r="V993" s="1"/>
    </row>
    <row r="994" spans="17:22" x14ac:dyDescent="0.3">
      <c r="Q994" s="1"/>
      <c r="R994" s="1"/>
      <c r="S994" s="1"/>
      <c r="T994" s="1"/>
      <c r="U994" s="1"/>
      <c r="V994" s="1"/>
    </row>
    <row r="995" spans="17:22" x14ac:dyDescent="0.3">
      <c r="Q995" s="1"/>
      <c r="R995" s="1"/>
      <c r="S995" s="1"/>
      <c r="T995" s="1"/>
      <c r="U995" s="1"/>
      <c r="V995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Domingo Docampo Amoedo</cp:lastModifiedBy>
  <dcterms:created xsi:type="dcterms:W3CDTF">2025-09-11T16:00:48Z</dcterms:created>
  <dcterms:modified xsi:type="dcterms:W3CDTF">2025-09-19T15:43:52Z</dcterms:modified>
</cp:coreProperties>
</file>